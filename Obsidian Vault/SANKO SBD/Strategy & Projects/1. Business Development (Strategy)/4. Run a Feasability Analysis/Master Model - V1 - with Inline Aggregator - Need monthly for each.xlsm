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BuÇalışmaKitabı"/>
  <mc:AlternateContent xmlns:mc="http://schemas.openxmlformats.org/markup-compatibility/2006">
    <mc:Choice Requires="x15">
      <x15ac:absPath xmlns:x15ac="http://schemas.microsoft.com/office/spreadsheetml/2010/11/ac" url="C:\Users\cagatay.sipahioglu\OneDrive - Sanko Holding\Belgeler\Obsidian Vault\SANKO SBD\Strategy &amp; Projects\1. Business Development (Strategy)\4. Run a Feasability Analysis\"/>
    </mc:Choice>
  </mc:AlternateContent>
  <xr:revisionPtr revIDLastSave="0" documentId="13_ncr:1_{6ADE014A-8709-4F3D-9DDB-1399516FEDAC}" xr6:coauthVersionLast="47" xr6:coauthVersionMax="47" xr10:uidLastSave="{00000000-0000-0000-0000-000000000000}"/>
  <bookViews>
    <workbookView xWindow="28680" yWindow="-120" windowWidth="29040" windowHeight="15720" xr2:uid="{B4200D8C-E6CF-4715-A999-5355D3EB3C98}"/>
  </bookViews>
  <sheets>
    <sheet name="INPUT" sheetId="8" r:id="rId1"/>
    <sheet name="GES" sheetId="14" r:id="rId2"/>
    <sheet name="DATA-&gt;&gt;&gt;" sheetId="15" r:id="rId3"/>
    <sheet name="TEİAŞ" sheetId="16" r:id="rId4"/>
    <sheet name="Water Properties" sheetId="11" r:id="rId5"/>
    <sheet name="Sayfa2" sheetId="12" r:id="rId6"/>
  </sheets>
  <definedNames>
    <definedName name="_xleta.EOMONTH" hidden="1" xlm="1">#NAME?</definedName>
    <definedName name="_xleta.IF" hidden="1" xlm="1">#NAME?</definedName>
    <definedName name="_xleta.SUM" hidden="1" xlm="1">#NAME?</definedName>
    <definedName name="_xleta.T" hidden="1" xlm="1">#NAME?</definedName>
    <definedName name="_xleta.TRANSPOSE" hidden="1" xlm="1">#NAME?</definedName>
    <definedName name="_xleta.VALUETOTEXT" hidden="1" xlm="1">#NAME?</definedName>
    <definedName name="_xleta.YEAR" hidden="1" xlm="1">#NAME?</definedName>
    <definedName name="_xlpm.a" hidden="1" xlm="1">#NAME?</definedName>
    <definedName name="_xlpm.Aylar" hidden="1" xlm="1">#NAME?</definedName>
    <definedName name="_xlpm.Aylik" hidden="1" xlm="1">#NAME?</definedName>
    <definedName name="_xlpm.Ceyrekler" hidden="1" xlm="1">#NAME?</definedName>
    <definedName name="_xlpm.Ceyreklik" hidden="1" xlm="1">#NAME?</definedName>
    <definedName name="_xlpm.D" hidden="1" xlm="1">#NAME?</definedName>
    <definedName name="_xlpm.De" hidden="1" xlm="1">#NAME?</definedName>
    <definedName name="_xlpm.Değ" hidden="1" xlm="1">#NAME?</definedName>
    <definedName name="_xlpm.Değe" hidden="1" xlm="1">#NAME?</definedName>
    <definedName name="_xlpm.Değer" hidden="1" xlm="1">#NAME?</definedName>
    <definedName name="_xlpm.Değerl" hidden="1" xlm="1">#NAME?</definedName>
    <definedName name="_xlpm.Değerle" hidden="1" xlm="1">#NAME?</definedName>
    <definedName name="_xlpm.Değerler" hidden="1" xlm="1">#NAME?</definedName>
    <definedName name="_xlpm.DeğerlerA" hidden="1" xlm="1">#NAME?</definedName>
    <definedName name="_xlpm.DeğerlerAy" hidden="1" xlm="1">#NAME?</definedName>
    <definedName name="_xlpm.DeğerlerAyl" hidden="1" xlm="1">#NAME?</definedName>
    <definedName name="_xlpm.DeğerlerAylı" hidden="1" xlm="1">#NAME?</definedName>
    <definedName name="_xlpm.DeğerlerAylık" hidden="1" xlm="1">#NAME?</definedName>
    <definedName name="_xlpm.KarDizisi" hidden="1" xlm="1">#NAME?</definedName>
    <definedName name="_xlpm.m" hidden="1" xlm="1">#NAME?</definedName>
    <definedName name="_xlpm.Mo" hidden="1" xlm="1">#NAME?</definedName>
    <definedName name="_xlpm.Mon" hidden="1" xlm="1">#NAME?</definedName>
    <definedName name="_xlpm.Mont" hidden="1" xlm="1">#NAME?</definedName>
    <definedName name="_xlpm.Month" hidden="1" xlm="1">#NAME?</definedName>
    <definedName name="_xlpm.Monthl" hidden="1" xlm="1">#NAME?</definedName>
    <definedName name="_xlpm.Monthly" hidden="1" xlm="1">#NAME?</definedName>
    <definedName name="_xlpm.MonthlyProfit" hidden="1" xlm="1">#NAME?</definedName>
    <definedName name="_xlpm.MonthlyV" hidden="1" xlm="1">#NAME?</definedName>
    <definedName name="_xlpm.MonthlyVa" hidden="1" xlm="1">#NAME?</definedName>
    <definedName name="_xlpm.MonthlyVal" hidden="1" xlm="1">#NAME?</definedName>
    <definedName name="_xlpm.MonthlyValu" hidden="1" xlm="1">#NAME?</definedName>
    <definedName name="_xlpm.MonthlyValue" hidden="1" xlm="1">#NAME?</definedName>
    <definedName name="_xlpm.MonthlyValues" hidden="1" xlm="1">#NAME?</definedName>
    <definedName name="_xlpm.Months" hidden="1" xlm="1">#NAME?</definedName>
    <definedName name="_xlpm.onthlyValues" hidden="1" xlm="1">#NAME?</definedName>
    <definedName name="_xlpm.q" hidden="1" xlm="1">#NAME?</definedName>
    <definedName name="_xlpm.Qu" hidden="1" xlm="1">#NAME?</definedName>
    <definedName name="_xlpm.Qua" hidden="1" xlm="1">#NAME?</definedName>
    <definedName name="_xlpm.Quar" hidden="1" xlm="1">#NAME?</definedName>
    <definedName name="_xlpm.Quart" hidden="1" xlm="1">#NAME?</definedName>
    <definedName name="_xlpm.Quarte" hidden="1" xlm="1">#NAME?</definedName>
    <definedName name="_xlpm.Quarter" hidden="1" xlm="1">#NAME?</definedName>
    <definedName name="_xlpm.Quarters" hidden="1" xlm="1">#NAME?</definedName>
    <definedName name="_xlpm.QuartersO" hidden="1" xlm="1">#NAME?</definedName>
    <definedName name="_xlpm.QuartersOf" hidden="1" xlm="1">#NAME?</definedName>
    <definedName name="_xlpm.QuartersOfM" hidden="1" xlm="1">#NAME?</definedName>
    <definedName name="_xlpm.QuartersOfMo" hidden="1" xlm="1">#NAME?</definedName>
    <definedName name="_xlpm.QuartersOfMon" hidden="1" xlm="1">#NAME?</definedName>
    <definedName name="_xlpm.QuartersOfMont" hidden="1" xlm="1">#NAME?</definedName>
    <definedName name="_xlpm.QuartersOfMonth" hidden="1" xlm="1">#NAME?</definedName>
    <definedName name="_xlpm.QuartersOfMonths" hidden="1" xlm="1">#NAME?</definedName>
    <definedName name="_xlpm.Secim" hidden="1" xlm="1">#NAME?</definedName>
    <definedName name="_xlpm.t" hidden="1" xlm="1">#NAME?</definedName>
    <definedName name="_xlpm.Ti" hidden="1" xlm="1">#NAME?</definedName>
    <definedName name="_xlpm.Tim" hidden="1" xlm="1">#NAME?</definedName>
    <definedName name="_xlpm.Time" hidden="1" xlm="1">#NAME?</definedName>
    <definedName name="_xlpm.TimeR" hidden="1" xlm="1">#NAME?</definedName>
    <definedName name="_xlpm.TimeRu" hidden="1" xlm="1">#NAME?</definedName>
    <definedName name="_xlpm.TimeRuı" hidden="1" xlm="1">#NAME?</definedName>
    <definedName name="_xlpm.TimeRul" hidden="1" xlm="1">#NAME?</definedName>
    <definedName name="_xlpm.TimeRule" hidden="1" xlm="1">#NAME?</definedName>
    <definedName name="_xlpm.TimeRuler" hidden="1" xlm="1">#NAME?</definedName>
    <definedName name="_xlpm.TimeRulerC" hidden="1" xlm="1">#NAME?</definedName>
    <definedName name="_xlpm.TimeRulerCh" hidden="1" xlm="1">#NAME?</definedName>
    <definedName name="_xlpm.TimeRulerCho" hidden="1" xlm="1">#NAME?</definedName>
    <definedName name="_xlpm.TimeRulerChoi" hidden="1" xlm="1">#NAME?</definedName>
    <definedName name="_xlpm.TimeRulerChoic" hidden="1" xlm="1">#NAME?</definedName>
    <definedName name="_xlpm.TimeRulerChoice" hidden="1" xlm="1">#NAME?</definedName>
    <definedName name="_xlpm.TimeRulerM" hidden="1" xlm="1">#NAME?</definedName>
    <definedName name="_xlpm.TimeRulerMo" hidden="1" xlm="1">#NAME?</definedName>
    <definedName name="_xlpm.TimeRulerMon" hidden="1" xlm="1">#NAME?</definedName>
    <definedName name="_xlpm.TimeRulerMont" hidden="1" xlm="1">#NAME?</definedName>
    <definedName name="_xlpm.TimeRulerMonth" hidden="1" xlm="1">#NAME?</definedName>
    <definedName name="_xlpm.TimeRulerMonthl" hidden="1" xlm="1">#NAME?</definedName>
    <definedName name="_xlpm.TimeRulerMonthly" hidden="1" xlm="1">#NAME?</definedName>
    <definedName name="_xlpm.TimeRulerQ" hidden="1" xlm="1">#NAME?</definedName>
    <definedName name="_xlpm.TimeRulerQu" hidden="1" xlm="1">#NAME?</definedName>
    <definedName name="_xlpm.TimeRulerQua" hidden="1" xlm="1">#NAME?</definedName>
    <definedName name="_xlpm.TimeRulerQuar" hidden="1" xlm="1">#NAME?</definedName>
    <definedName name="_xlpm.TimeRulerQuart" hidden="1" xlm="1">#NAME?</definedName>
    <definedName name="_xlpm.TimeRulerQuarte" hidden="1" xlm="1">#NAME?</definedName>
    <definedName name="_xlpm.TimeRulerQuarter" hidden="1" xlm="1">#NAME?</definedName>
    <definedName name="_xlpm.TimeRulerQuarterl" hidden="1" xlm="1">#NAME?</definedName>
    <definedName name="_xlpm.TimeRulerQuarterly" hidden="1" xlm="1">#NAME?</definedName>
    <definedName name="_xlpm.TimeRulerY" hidden="1" xlm="1">#NAME?</definedName>
    <definedName name="_xlpm.TimeRulerYe" hidden="1" xlm="1">#NAME?</definedName>
    <definedName name="_xlpm.TimeRulerYea" hidden="1" xlm="1">#NAME?</definedName>
    <definedName name="_xlpm.TimeRulerYear" hidden="1" xlm="1">#NAME?</definedName>
    <definedName name="_xlpm.TimeRulerYearl" hidden="1" xlm="1">#NAME?</definedName>
    <definedName name="_xlpm.TimeRulerYearly" hidden="1" xlm="1">#NAME?</definedName>
    <definedName name="_xlpm.y" hidden="1" xlm="1">#NAME?</definedName>
    <definedName name="_xlpm.Ye" hidden="1" xlm="1">#NAME?</definedName>
    <definedName name="_xlpm.Yea" hidden="1" xlm="1">#NAME?</definedName>
    <definedName name="_xlpm.Year" hidden="1" xlm="1">#NAME?</definedName>
    <definedName name="_xlpm.YearO" hidden="1" xlm="1">#NAME?</definedName>
    <definedName name="_xlpm.YearOf" hidden="1" xlm="1">#NAME?</definedName>
    <definedName name="_xlpm.YearOfM" hidden="1" xlm="1">#NAME?</definedName>
    <definedName name="_xlpm.YearOfMo" hidden="1" xlm="1">#NAME?</definedName>
    <definedName name="_xlpm.YearOfMon" hidden="1" xlm="1">#NAME?</definedName>
    <definedName name="_xlpm.YearOfMont" hidden="1" xlm="1">#NAME?</definedName>
    <definedName name="_xlpm.YearOfMonth" hidden="1" xlm="1">#NAME?</definedName>
    <definedName name="_xlpm.YearOfMonths" hidden="1" xlm="1">#NAME?</definedName>
    <definedName name="_xlpm.Years" hidden="1" xlm="1">#NAME?</definedName>
    <definedName name="_xlpm.YearsI" hidden="1" xlm="1">#NAME?</definedName>
    <definedName name="_xlpm.YearsIf" hidden="1" xlm="1">#NAME?</definedName>
    <definedName name="_xlpm.YearsO" hidden="1" xlm="1">#NAME?</definedName>
    <definedName name="_xlpm.YearsOf" hidden="1" xlm="1">#NAME?</definedName>
    <definedName name="_xlpm.YearsOfM" hidden="1" xlm="1">#NAME?</definedName>
    <definedName name="_xlpm.YearsOfMo" hidden="1" xlm="1">#NAME?</definedName>
    <definedName name="_xlpm.YearsOfMon" hidden="1" xlm="1">#NAME?</definedName>
    <definedName name="_xlpm.YearsOfMont" hidden="1" xlm="1">#NAME?</definedName>
    <definedName name="_xlpm.YearsOfMonth" hidden="1" xlm="1">#NAME?</definedName>
    <definedName name="_xlpm.YearsOfMonths" hidden="1" xlm="1">#NAME?</definedName>
    <definedName name="_xlpm.Yillar" hidden="1" xlm="1">#NAME?</definedName>
    <definedName name="_xlpm.Yillik"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6" i="8" l="1"/>
  <c r="E70" i="8"/>
  <c r="E11" i="8"/>
  <c r="P3" i="8"/>
  <c r="P4" i="8"/>
  <c r="P2" i="8"/>
  <c r="P35" i="8"/>
  <c r="H304" i="8"/>
  <c r="G304" i="8"/>
  <c r="F304" i="8"/>
  <c r="P128" i="14" a="1"/>
  <c r="P128" i="14" s="1"/>
  <c r="E75" i="14" l="1"/>
  <c r="E76" i="14" s="1"/>
  <c r="H62" i="14"/>
  <c r="P231" i="14" a="1"/>
  <c r="P231" i="14" s="1"/>
  <c r="P228" i="14" a="1"/>
  <c r="P228" i="14" s="1"/>
  <c r="E117" i="14"/>
  <c r="E11" i="14"/>
  <c r="N12" i="14" s="1"/>
  <c r="P2" i="14" a="1"/>
  <c r="E59" i="14" l="1"/>
  <c r="P234" i="14" a="1"/>
  <c r="P234" i="14" s="1"/>
  <c r="P2" i="14"/>
  <c r="P26" i="14" s="1" a="1"/>
  <c r="P26" i="14" s="1"/>
  <c r="N13" i="14"/>
  <c r="P125" i="14" l="1" a="1"/>
  <c r="P125" i="14" s="1"/>
  <c r="P119" i="14" a="1"/>
  <c r="P119" i="14" s="1"/>
  <c r="P226" i="14" a="1"/>
  <c r="P226" i="14" s="1"/>
  <c r="P124" i="14" a="1"/>
  <c r="P17" i="14" a="1"/>
  <c r="P17" i="14" s="1"/>
  <c r="P14" i="14" a="1"/>
  <c r="P14" i="14" s="1"/>
  <c r="P25" i="14" a="1"/>
  <c r="P25" i="14" s="1"/>
  <c r="P23" i="14" a="1"/>
  <c r="P23" i="14" s="1"/>
  <c r="P3" i="14" a="1"/>
  <c r="P19" i="14" a="1"/>
  <c r="P19" i="14" s="1"/>
  <c r="P22" i="14" a="1"/>
  <c r="P22" i="14" s="1"/>
  <c r="P15" i="14" a="1"/>
  <c r="P15" i="14" s="1"/>
  <c r="P11" i="14" a="1"/>
  <c r="P11" i="14" s="1"/>
  <c r="P18" i="14" a="1"/>
  <c r="P18" i="14" s="1"/>
  <c r="P24" i="14" a="1"/>
  <c r="P24" i="14" s="1"/>
  <c r="P20" i="14" a="1"/>
  <c r="P20" i="14" s="1"/>
  <c r="P16" i="14" a="1"/>
  <c r="P16" i="14" s="1"/>
  <c r="P6" i="14" a="1"/>
  <c r="P6" i="14" s="1"/>
  <c r="P5" i="14" a="1"/>
  <c r="P5" i="14" s="1"/>
  <c r="P1" i="14" a="1"/>
  <c r="P1" i="14" s="1"/>
  <c r="P21" i="14" a="1"/>
  <c r="P21" i="14" s="1"/>
  <c r="H71" i="14"/>
  <c r="H63" i="14"/>
  <c r="H70" i="14"/>
  <c r="H68" i="14"/>
  <c r="H67" i="14"/>
  <c r="H65" i="14"/>
  <c r="H66" i="14"/>
  <c r="H72" i="14"/>
  <c r="H64" i="14"/>
  <c r="H69" i="14"/>
  <c r="H61" i="14"/>
  <c r="O13" i="14"/>
  <c r="O12" i="14" s="1"/>
  <c r="P12" i="14" s="1" a="1"/>
  <c r="P12" i="14" s="1"/>
  <c r="P13" i="14" a="1"/>
  <c r="P13" i="14" s="1"/>
  <c r="P3" i="14" l="1"/>
  <c r="P4" i="14" s="1" a="1"/>
  <c r="P4" i="14" s="1"/>
  <c r="P124" i="14"/>
  <c r="P232" i="14" a="1"/>
  <c r="P232" i="14" s="1"/>
  <c r="P127" i="14" a="1"/>
  <c r="P229" i="14" l="1" a="1"/>
  <c r="P229" i="14" s="1"/>
  <c r="P227" i="14" a="1"/>
  <c r="P227" i="14" s="1"/>
  <c r="P127" i="14"/>
  <c r="P129" i="14" s="1" a="1"/>
  <c r="P129" i="14" s="1"/>
  <c r="P126" i="14" l="1" a="1"/>
  <c r="P233" i="14" a="1"/>
  <c r="P233" i="14" s="1"/>
  <c r="P230" i="14" a="1"/>
  <c r="P230" i="14" s="1"/>
  <c r="P243" i="14" l="1" a="1"/>
  <c r="P243" i="14" s="1"/>
  <c r="P126" i="14"/>
  <c r="P130" i="14" s="1" a="1"/>
  <c r="P130" i="14" s="1"/>
  <c r="N130" i="14" s="1"/>
  <c r="N243" i="14" l="1"/>
  <c r="P131" i="14" a="1"/>
  <c r="P131" i="14" s="1"/>
  <c r="N131" i="14" s="1"/>
  <c r="P244" i="14" l="1" a="1"/>
  <c r="P244" i="14" l="1"/>
  <c r="N244" i="14"/>
  <c r="P245" i="14" a="1"/>
  <c r="O13" i="8"/>
  <c r="O12" i="8" l="1"/>
  <c r="P13" i="8"/>
  <c r="P245" i="14"/>
  <c r="N245" i="14"/>
  <c r="O14" i="8" l="1"/>
  <c r="O15" i="8"/>
  <c r="O16" i="8"/>
  <c r="Q271" i="8" a="1"/>
  <c r="Q271" i="8" s="1"/>
  <c r="Q268" i="8" a="1"/>
  <c r="Q268" i="8" s="1"/>
  <c r="P15" i="8" l="1"/>
  <c r="P16" i="8"/>
  <c r="O17" i="8" s="1"/>
  <c r="P14" i="8"/>
  <c r="Q274" i="8" a="1"/>
  <c r="Q274" i="8" s="1"/>
  <c r="O25" i="8" l="1"/>
  <c r="O22" i="8" s="1"/>
  <c r="O23" i="8"/>
  <c r="O26" i="8"/>
  <c r="P17" i="8"/>
  <c r="O18" i="8" s="1"/>
  <c r="E129" i="8"/>
  <c r="P25" i="8" l="1"/>
  <c r="P26" i="8"/>
  <c r="P23" i="8"/>
  <c r="P18" i="8"/>
  <c r="O19" i="8" s="1"/>
  <c r="Q2" i="8" a="1"/>
  <c r="P19" i="8" l="1"/>
  <c r="O20" i="8" s="1"/>
  <c r="Q2" i="8"/>
  <c r="Q266" i="8" s="1" a="1"/>
  <c r="Q5" i="8" l="1" a="1"/>
  <c r="Q5" i="8" s="1"/>
  <c r="Q6" i="8" s="1" a="1"/>
  <c r="Q6" i="8" s="1"/>
  <c r="Q3" i="8" a="1"/>
  <c r="Q4" i="8" a="1"/>
  <c r="Q4" i="8" s="1"/>
  <c r="Q16" i="8" a="1"/>
  <c r="Q16" i="8" s="1"/>
  <c r="Q17" i="8" a="1"/>
  <c r="Q17" i="8" s="1"/>
  <c r="Q15" i="8" a="1"/>
  <c r="Q15" i="8" s="1"/>
  <c r="Q25" i="8" a="1"/>
  <c r="Q25" i="8" s="1"/>
  <c r="Q14" i="8" a="1"/>
  <c r="Q14" i="8" s="1"/>
  <c r="Q26" i="8" a="1"/>
  <c r="Q26" i="8" s="1"/>
  <c r="Q23" i="8" a="1"/>
  <c r="Q23" i="8" s="1"/>
  <c r="Q19" i="8" a="1"/>
  <c r="Q19" i="8" s="1"/>
  <c r="Q18" i="8" a="1"/>
  <c r="Q18" i="8" s="1"/>
  <c r="P20" i="8"/>
  <c r="O21" i="8" s="1"/>
  <c r="Q13" i="8" a="1"/>
  <c r="Q13" i="8" s="1"/>
  <c r="Q266" i="8"/>
  <c r="Q272" i="8" s="1" a="1"/>
  <c r="Q272" i="8" s="1"/>
  <c r="Q3" i="8" l="1"/>
  <c r="Q11" i="8" a="1"/>
  <c r="Q11" i="8" s="1"/>
  <c r="Q20" i="8" a="1"/>
  <c r="Q20" i="8" s="1"/>
  <c r="Q21" i="8" a="1"/>
  <c r="Q21" i="8" s="1"/>
  <c r="P21" i="8"/>
  <c r="O27" i="8" s="1"/>
  <c r="Q269" i="8" a="1"/>
  <c r="Q269" i="8" s="1"/>
  <c r="Q267" i="8" a="1"/>
  <c r="Q267" i="8" s="1"/>
  <c r="Q273" i="8" s="1" a="1"/>
  <c r="Q273" i="8" s="1"/>
  <c r="E74" i="8"/>
  <c r="P27" i="8" l="1"/>
  <c r="O29" i="8" s="1"/>
  <c r="Q27" i="8" a="1"/>
  <c r="Q27" i="8" s="1"/>
  <c r="P12" i="8"/>
  <c r="Q12" i="8" s="1" a="1"/>
  <c r="Q12" i="8" s="1"/>
  <c r="O32" i="8"/>
  <c r="Q270" i="8" a="1"/>
  <c r="Q270" i="8" s="1"/>
  <c r="E77" i="8"/>
  <c r="Q32" i="8" l="1" a="1"/>
  <c r="Q32" i="8" s="1"/>
  <c r="P28" i="8"/>
  <c r="O28" i="8"/>
  <c r="P29" i="8"/>
  <c r="Q29" i="8" s="1" a="1"/>
  <c r="Q29" i="8" s="1"/>
  <c r="O33" i="8"/>
  <c r="P32" i="8"/>
  <c r="Q344" i="8" a="1"/>
  <c r="Q344" i="8" s="1"/>
  <c r="Q1" i="8" a="1"/>
  <c r="Q28" i="8" l="1" a="1"/>
  <c r="Q28" i="8" s="1"/>
  <c r="O31" i="8"/>
  <c r="O30" i="8"/>
  <c r="P24" i="8"/>
  <c r="O24" i="8"/>
  <c r="Q24" i="8" s="1" a="1"/>
  <c r="Q24" i="8" s="1"/>
  <c r="O34" i="8"/>
  <c r="Q1" i="8"/>
  <c r="Q146" i="8" s="1" a="1"/>
  <c r="Q146" i="8" s="1"/>
  <c r="Q140" i="8" a="1"/>
  <c r="Q140" i="8" s="1"/>
  <c r="P30" i="8" l="1"/>
  <c r="Q30" i="8" s="1" a="1"/>
  <c r="Q30" i="8" s="1"/>
  <c r="P31" i="8"/>
  <c r="Q31" i="8" s="1" a="1"/>
  <c r="Q31" i="8" s="1"/>
  <c r="P34" i="8"/>
  <c r="Q34" i="8" s="1" a="1"/>
  <c r="Q34" i="8" s="1"/>
  <c r="O35" i="8"/>
  <c r="Q35" i="8" a="1"/>
  <c r="Q335" i="8" a="1"/>
  <c r="Q335" i="8" s="1"/>
  <c r="Q138" i="8" a="1"/>
  <c r="Q138" i="8" s="1"/>
  <c r="Q148" i="8" a="1"/>
  <c r="Q148" i="8" s="1"/>
  <c r="Q149" i="8" s="1" a="1"/>
  <c r="Q149" i="8" s="1"/>
  <c r="Q334" i="8" a="1"/>
  <c r="Q334" i="8" s="1"/>
  <c r="Q147" i="8" a="1"/>
  <c r="Q147" i="8" s="1"/>
  <c r="Q337" i="8" a="1"/>
  <c r="Q337" i="8" s="1"/>
  <c r="Q384" i="8" a="1"/>
  <c r="Q384" i="8" s="1"/>
  <c r="Q35" i="8" l="1"/>
  <c r="Q137" i="8" s="1" a="1"/>
  <c r="Q137" i="8" s="1"/>
  <c r="P33" i="8"/>
  <c r="Q33" i="8" s="1" a="1"/>
  <c r="Q33" i="8" s="1"/>
  <c r="P22" i="8"/>
  <c r="Q22" i="8" s="1" a="1"/>
  <c r="Q22" i="8" s="1"/>
  <c r="Q150" i="8" a="1"/>
  <c r="Q150" i="8" s="1"/>
  <c r="Q332" i="8" a="1"/>
  <c r="Q332" i="8" s="1"/>
  <c r="Q333" i="8" s="1" a="1"/>
  <c r="Q333" i="8" s="1"/>
  <c r="Q336" i="8" s="1" a="1"/>
  <c r="Q336" i="8" s="1"/>
  <c r="Q338" i="8" s="1" a="1"/>
  <c r="Q385" i="8" a="1"/>
  <c r="Q385" i="8" s="1"/>
  <c r="Q352" i="8" a="1"/>
  <c r="Q352" i="8" s="1"/>
  <c r="Q339" i="8" a="1"/>
  <c r="Q339" i="8" s="1"/>
  <c r="Q338" i="8" l="1"/>
  <c r="Q340" i="8" s="1" a="1"/>
  <c r="Q340" i="8" l="1"/>
  <c r="E362" i="8" l="1"/>
  <c r="E344" i="8"/>
  <c r="E345" i="8" s="1"/>
  <c r="E371" i="8"/>
  <c r="Q341" i="8" s="1" a="1"/>
  <c r="Q341" i="8" s="1"/>
  <c r="E356" i="8"/>
  <c r="E346" i="8" l="1"/>
  <c r="Q342" i="8" a="1"/>
  <c r="Q342" i="8" s="1"/>
  <c r="Q141" i="8" l="1" a="1"/>
  <c r="Q141" i="8" l="1"/>
  <c r="Q151" i="8" s="1" a="1"/>
  <c r="Q151" i="8" s="1"/>
  <c r="O151" i="8" l="1"/>
  <c r="Q152" i="8" a="1"/>
  <c r="Q123" i="8" l="1" a="1"/>
  <c r="Q123" i="8" s="1"/>
  <c r="Q152" i="8"/>
  <c r="O15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62EBCEC0-B268-4BE8-9762-02C3C4ED3EAB}">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34" authorId="0" shapeId="0" xr:uid="{703BE84E-5C8D-4011-A52E-2C88CBD725B0}">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Q35" authorId="0" shapeId="0" xr:uid="{C28C5540-FA23-4622-AB74-E663BC7F7AD5}">
      <text>
        <r>
          <rPr>
            <b/>
            <sz val="9"/>
            <color indexed="81"/>
            <rFont val="Tahoma"/>
            <family val="2"/>
            <charset val="162"/>
          </rPr>
          <t>Mustafa Çağatay Sipahioğlu:</t>
        </r>
        <r>
          <rPr>
            <sz val="9"/>
            <color indexed="81"/>
            <rFont val="Tahoma"/>
            <family val="2"/>
            <charset val="162"/>
          </rPr>
          <t xml:space="preserve">
Bu formül her türbinin devreye giriş tarihini hesaplayarak her ay kaç tane türbinin devreye girmiş olduğu toplamını bulur.</t>
        </r>
      </text>
    </comment>
    <comment ref="E39" authorId="0" shapeId="0" xr:uid="{CCC15240-A6E1-4492-BE7B-DD72CCF6E3F4}">
      <text>
        <r>
          <rPr>
            <b/>
            <sz val="9"/>
            <color indexed="81"/>
            <rFont val="Tahoma"/>
            <family val="2"/>
            <charset val="162"/>
          </rPr>
          <t>Mustafa Çağatay Sipahioğlu:</t>
        </r>
        <r>
          <rPr>
            <sz val="9"/>
            <color indexed="81"/>
            <rFont val="Tahoma"/>
            <family val="2"/>
            <charset val="162"/>
          </rPr>
          <t xml:space="preserve">
Conservative assumption</t>
        </r>
      </text>
    </comment>
    <comment ref="C50" authorId="0" shapeId="0" xr:uid="{F8F95B8F-3904-437F-987D-1DB933B04382}">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D66" authorId="0" shapeId="0" xr:uid="{3707AC2F-E2B2-4D55-9D84-A065348D7B1A}">
      <text>
        <r>
          <rPr>
            <b/>
            <sz val="9"/>
            <color indexed="81"/>
            <rFont val="Tahoma"/>
            <charset val="1"/>
          </rPr>
          <t>Mustafa Çağatay Sipahioğlu:</t>
        </r>
        <r>
          <rPr>
            <sz val="9"/>
            <color indexed="81"/>
            <rFont val="Tahoma"/>
            <charset val="1"/>
          </rPr>
          <t xml:space="preserve">
Santralin rotorda ürettiği güç. Bu mekanik güç jeneratöre aktarılarak elektriğe dönüşütürlmelidir.</t>
        </r>
      </text>
    </comment>
    <comment ref="D67" authorId="0" shapeId="0" xr:uid="{8DEAE46F-6949-4D1E-BAA0-575A2E63D566}">
      <text>
        <r>
          <rPr>
            <b/>
            <sz val="9"/>
            <color indexed="81"/>
            <rFont val="Tahoma"/>
            <charset val="1"/>
          </rPr>
          <t>Mustafa Çağatay Sipahioğlu:</t>
        </r>
        <r>
          <rPr>
            <sz val="9"/>
            <color indexed="81"/>
            <rFont val="Tahoma"/>
            <charset val="1"/>
          </rPr>
          <t xml:space="preserve">
Mekanik gücün jeneratörde elektriğe dönüştürülmesi sonucu santralden çıkan net elektrik gücü.</t>
        </r>
      </text>
    </comment>
    <comment ref="D72" authorId="0" shapeId="0" xr:uid="{B0E1AB11-6D79-4436-8F1D-0AE58CAB9EB3}">
      <text>
        <r>
          <rPr>
            <b/>
            <sz val="9"/>
            <color indexed="81"/>
            <rFont val="Tahoma"/>
            <family val="2"/>
            <charset val="162"/>
          </rPr>
          <t>Mustafa Çağatay Sipahioğlu:</t>
        </r>
        <r>
          <rPr>
            <sz val="9"/>
            <color indexed="81"/>
            <rFont val="Tahoma"/>
            <family val="2"/>
            <charset val="162"/>
          </rPr>
          <t xml:space="preserve">
Yıldaki 8760 saatin % kaçında çalışmış. Simülasyonlarda %50 ihtimalle tutturacağı raqkam P50.</t>
        </r>
      </text>
    </comment>
    <comment ref="M134" authorId="0" shapeId="0" xr:uid="{6C5AB7E1-19E5-4CFE-AF9E-2096B6FB4338}">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N166" authorId="0" shapeId="0" xr:uid="{03F047A5-85C5-4100-92F3-C32BC9D0CEAF}">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N193" authorId="0" shapeId="0" xr:uid="{67BC04DD-2485-4486-8E34-47928A30E338}">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N202" authorId="0" shapeId="0" xr:uid="{EE229409-2993-43B5-9F4B-587574661BE1}">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N203" authorId="0" shapeId="0" xr:uid="{DDEACCE8-9A7E-4621-B669-21A91773693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N204" authorId="0" shapeId="0" xr:uid="{7DE2F48B-5FF2-4660-8E65-74CA6AE8BBF9}">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N207" authorId="0" shapeId="0" xr:uid="{81A8949A-B76D-4513-8623-6266C8190C44}">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N257" authorId="0" shapeId="0" xr:uid="{69A20CD5-5C2E-48D3-AC73-D7F3581E87B0}">
      <text>
        <r>
          <rPr>
            <b/>
            <sz val="9"/>
            <color indexed="81"/>
            <rFont val="Tahoma"/>
            <family val="2"/>
            <charset val="162"/>
          </rPr>
          <t>Mustafa Çağatay Sipahioğlu:</t>
        </r>
        <r>
          <rPr>
            <sz val="9"/>
            <color indexed="81"/>
            <rFont val="Tahoma"/>
            <family val="2"/>
            <charset val="162"/>
          </rPr>
          <t xml:space="preserve">
Project cashflow doesnt care about financing or equity it cares about operating cashflow and capexs</t>
        </r>
      </text>
    </comment>
    <comment ref="N258" authorId="0" shapeId="0" xr:uid="{7F5EE148-A0AC-4C66-BB14-93A9AE29805F}">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N259" authorId="0" shapeId="0" xr:uid="{59802E6E-DD97-41D8-8AEA-A0F4461BC1F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N262" authorId="0" shapeId="0" xr:uid="{E4F421DD-ECC6-4E68-8BB7-611B5D91DF06}">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N263" authorId="0" shapeId="0" xr:uid="{5F074655-D340-41A8-B2CE-A5AF69BFF524}">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 ref="N296" authorId="0" shapeId="0" xr:uid="{6EDBAEE3-D56C-49C7-83D9-5BBA3FFA7233}">
      <text>
        <r>
          <rPr>
            <b/>
            <sz val="9"/>
            <color indexed="81"/>
            <rFont val="Tahoma"/>
            <family val="2"/>
            <charset val="162"/>
          </rPr>
          <t>Mustafa Çağatay Sipahioğlu:</t>
        </r>
        <r>
          <rPr>
            <sz val="9"/>
            <color indexed="81"/>
            <rFont val="Tahoma"/>
            <family val="2"/>
            <charset val="162"/>
          </rPr>
          <t xml:space="preserve">
Finansman bağımsız projenin karlılık ölçütü.</t>
        </r>
      </text>
    </comment>
    <comment ref="N298" authorId="0" shapeId="0" xr:uid="{B429D939-E2AE-4D8F-8DA6-257BE4A6BADE}">
      <text>
        <r>
          <rPr>
            <b/>
            <sz val="9"/>
            <color indexed="81"/>
            <rFont val="Tahoma"/>
            <family val="2"/>
            <charset val="162"/>
          </rPr>
          <t>Mustafa Çağatay Sipahioğlu:</t>
        </r>
        <r>
          <rPr>
            <sz val="9"/>
            <color indexed="81"/>
            <rFont val="Tahoma"/>
            <family val="2"/>
            <charset val="162"/>
          </rPr>
          <t xml:space="preserve">
Finansman yükü ile birlikte projenin karlılık ölçütü.</t>
        </r>
      </text>
    </comment>
    <comment ref="N353" authorId="0" shapeId="0" xr:uid="{7FA36763-1330-4289-A26C-32C92BB7892C}">
      <text>
        <r>
          <rPr>
            <b/>
            <sz val="9"/>
            <color indexed="81"/>
            <rFont val="Tahoma"/>
            <family val="2"/>
            <charset val="162"/>
          </rPr>
          <t>Mustafa Çağatay Sipahioğlu:</t>
        </r>
        <r>
          <rPr>
            <sz val="9"/>
            <color indexed="81"/>
            <rFont val="Tahoma"/>
            <family val="2"/>
            <charset val="162"/>
          </rPr>
          <t xml:space="preserve">
The reservoir contains saturated liquid &amp; vapor</t>
        </r>
      </text>
    </comment>
    <comment ref="D354" authorId="0" shapeId="0" xr:uid="{663E326E-57E8-4947-A4E7-2108D7E08FED}">
      <text>
        <r>
          <rPr>
            <b/>
            <sz val="9"/>
            <color indexed="81"/>
            <rFont val="Tahoma"/>
            <family val="2"/>
            <charset val="162"/>
          </rPr>
          <t>Mustafa Çağatay Sipahioğlu:</t>
        </r>
        <r>
          <rPr>
            <sz val="9"/>
            <color indexed="81"/>
            <rFont val="Tahoma"/>
            <family val="2"/>
            <charset val="162"/>
          </rPr>
          <t xml:space="preserve">
Üretim kuyusunun debisi</t>
        </r>
      </text>
    </comment>
    <comment ref="N354" authorId="0" shapeId="0" xr:uid="{BD6D3277-5163-4578-9F05-2A8EA63CB941}">
      <text>
        <r>
          <rPr>
            <b/>
            <sz val="9"/>
            <color indexed="81"/>
            <rFont val="Tahoma"/>
            <family val="2"/>
            <charset val="162"/>
          </rPr>
          <t>Mustafa Çağatay Sipahioğlu:</t>
        </r>
        <r>
          <rPr>
            <sz val="9"/>
            <color indexed="81"/>
            <rFont val="Tahoma"/>
            <family val="2"/>
            <charset val="162"/>
          </rPr>
          <t xml:space="preserve">
The hot reservoir water flashes upon extraction into sat. Liq and sat. Vapor. It's temperature will change to the saturation temperature found at the wellhead pressure. Hence the enthalpy values should be looked up from the pressure table for saturated liquids.</t>
        </r>
      </text>
    </comment>
    <comment ref="D356" authorId="0" shapeId="0" xr:uid="{E4728856-B271-4A9B-BB46-7751C902B0E9}">
      <text>
        <r>
          <rPr>
            <b/>
            <sz val="9"/>
            <color indexed="81"/>
            <rFont val="Tahoma"/>
            <family val="2"/>
            <charset val="162"/>
          </rPr>
          <t>Mustafa Çağatay Sipahioğlu:</t>
        </r>
        <r>
          <rPr>
            <sz val="9"/>
            <color indexed="81"/>
            <rFont val="Tahoma"/>
            <family val="2"/>
            <charset val="162"/>
          </rPr>
          <t xml:space="preserve">
Sondja ile çıkarılan sıcak sıvı kullanıldıktan sonra geri reservuara enjekte edilir ve reservuarın sürdürülebilirliği sağlanır.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E2170923-F5AD-4119-99D7-13D470C9F023}">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25" authorId="0" shapeId="0" xr:uid="{7F9E7716-FEA7-4616-8610-29B56D3E9435}">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C36" authorId="0" shapeId="0" xr:uid="{44C70C14-984C-4179-A224-6CE0829A4CDA}">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H57" authorId="0" shapeId="0" xr:uid="{2AD2C36F-5E8E-4B91-AF1F-031BA87009ED}">
      <text>
        <r>
          <rPr>
            <b/>
            <sz val="9"/>
            <color indexed="81"/>
            <rFont val="Tahoma"/>
            <family val="2"/>
            <charset val="162"/>
          </rPr>
          <t>Mustafa Çağatay Sipahioğlu:</t>
        </r>
        <r>
          <rPr>
            <sz val="9"/>
            <color indexed="81"/>
            <rFont val="Tahoma"/>
            <family val="2"/>
            <charset val="162"/>
          </rPr>
          <t xml:space="preserve">
Son Güncelleme:
Kabul Notları</t>
        </r>
      </text>
    </comment>
    <comment ref="L121" authorId="0" shapeId="0" xr:uid="{E8787888-4A27-4614-9AC4-45B3CE20EA3F}">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M145" authorId="0" shapeId="0" xr:uid="{A777FB38-79C3-43F1-9A4B-D41771D36DD3}">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M171" authorId="0" shapeId="0" xr:uid="{6ABF9D4B-7FC1-496D-BEE4-77465F3852BD}">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M180" authorId="0" shapeId="0" xr:uid="{95AA0BD9-D67E-4830-A43B-80EA19D9A9BE}">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M181" authorId="0" shapeId="0" xr:uid="{7C41A003-C553-42BF-9FC2-CF61DF58191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M182" authorId="0" shapeId="0" xr:uid="{11069312-8AB7-452C-8D03-676B0A060A74}">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M185" authorId="0" shapeId="0" xr:uid="{B22BF703-E403-44EC-A3C3-1F4A616E4B10}">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M188" authorId="0" shapeId="0" xr:uid="{83ADFAB4-C136-4901-9DC5-3619C3D45347}">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M189" authorId="0" shapeId="0" xr:uid="{20150044-3413-4DCD-BAE5-73CD0C27BB7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M222" authorId="0" shapeId="0" xr:uid="{1E67D034-1527-4685-A9AE-902B742DEF02}">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M223" authorId="0" shapeId="0" xr:uid="{B69BBBD7-0CE3-465F-9F35-A74E05220E20}">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<sst xmlns="http://schemas.openxmlformats.org/spreadsheetml/2006/main" count="947" uniqueCount="439">
  <si>
    <t>Revenue</t>
  </si>
  <si>
    <t>Tax</t>
  </si>
  <si>
    <t>Dividends</t>
  </si>
  <si>
    <t>PTF</t>
  </si>
  <si>
    <t>Total Revenue</t>
  </si>
  <si>
    <t>Gross Profit</t>
  </si>
  <si>
    <t>Cost of Sales</t>
  </si>
  <si>
    <t>Modelling Period Start</t>
  </si>
  <si>
    <t>Modelling Period End</t>
  </si>
  <si>
    <t>Project Month</t>
  </si>
  <si>
    <t>Project Year</t>
  </si>
  <si>
    <t>Time Ruler</t>
  </si>
  <si>
    <t>Calendar Quarter</t>
  </si>
  <si>
    <t>Calendar Year</t>
  </si>
  <si>
    <t>MWh</t>
  </si>
  <si>
    <t>$/MWh</t>
  </si>
  <si>
    <t>Kabul Kalemi</t>
  </si>
  <si>
    <t>Kabul</t>
  </si>
  <si>
    <t>Üretim Kabulleri</t>
  </si>
  <si>
    <t>Birim</t>
  </si>
  <si>
    <t>Ticaret Kabulleri</t>
  </si>
  <si>
    <t>CAPEX Kabulleri</t>
  </si>
  <si>
    <t>OPEX Kabulleri</t>
  </si>
  <si>
    <t>Finansman Kabulleri</t>
  </si>
  <si>
    <t>Amortisman Kabulleri</t>
  </si>
  <si>
    <t>Vergi Kabulleri</t>
  </si>
  <si>
    <t>MWe</t>
  </si>
  <si>
    <t>Brüt Kurulu Güç</t>
  </si>
  <si>
    <t>Net Kurulu Güç</t>
  </si>
  <si>
    <t>MWm</t>
  </si>
  <si>
    <t>Senaryo 1</t>
  </si>
  <si>
    <t>(%)</t>
  </si>
  <si>
    <t>Türbin Gücü</t>
  </si>
  <si>
    <t>Türbin Sayısı</t>
  </si>
  <si>
    <t>#</t>
  </si>
  <si>
    <t>Kapasite Faktörü - P50</t>
  </si>
  <si>
    <t>January</t>
  </si>
  <si>
    <t>February</t>
  </si>
  <si>
    <t>March</t>
  </si>
  <si>
    <t>April</t>
  </si>
  <si>
    <t>May</t>
  </si>
  <si>
    <t>June</t>
  </si>
  <si>
    <t>July</t>
  </si>
  <si>
    <t>August</t>
  </si>
  <si>
    <t>September</t>
  </si>
  <si>
    <t>October</t>
  </si>
  <si>
    <t>November</t>
  </si>
  <si>
    <t>December</t>
  </si>
  <si>
    <t>Üretim</t>
  </si>
  <si>
    <t>Yıllık Üretim</t>
  </si>
  <si>
    <t>ÜFE</t>
  </si>
  <si>
    <t>TÜFE</t>
  </si>
  <si>
    <t>YEKDEM</t>
  </si>
  <si>
    <t>Senaryo 2</t>
  </si>
  <si>
    <t>Sayı Formatı</t>
  </si>
  <si>
    <t>Aktif Senaryo</t>
  </si>
  <si>
    <t>Üretim Kuyu Sayısı</t>
  </si>
  <si>
    <t>Re-Enjeksiyon Kuyu Sayısı</t>
  </si>
  <si>
    <t>Re-Enjeksiyon / Üretim Kuyusu Çarpanı</t>
  </si>
  <si>
    <t>×</t>
  </si>
  <si>
    <t>Rezervuar Sıcaklığı</t>
  </si>
  <si>
    <t>Re-Enjeksiyon Sıcaklığı</t>
  </si>
  <si>
    <t>Yıllık Soğuma Miktarı</t>
  </si>
  <si>
    <t>Yıllık İç Tüketim Artışı</t>
  </si>
  <si>
    <t>ton/saat</t>
  </si>
  <si>
    <t>°C</t>
  </si>
  <si>
    <t>°C/yıl</t>
  </si>
  <si>
    <t>(%)/yıl</t>
  </si>
  <si>
    <t>Santral Verimliliği</t>
  </si>
  <si>
    <t>İç Tüketim</t>
  </si>
  <si>
    <t>Yıllık Çalışma Saati</t>
  </si>
  <si>
    <t>saat</t>
  </si>
  <si>
    <t>Reservoir Enthalpy</t>
  </si>
  <si>
    <t>kJ/kg</t>
  </si>
  <si>
    <t>Injection Enthalpy</t>
  </si>
  <si>
    <t>kg/s</t>
  </si>
  <si>
    <t>Net Electricity Production</t>
  </si>
  <si>
    <t>Kapasite Faktörü</t>
  </si>
  <si>
    <t>MWth</t>
  </si>
  <si>
    <t>PTF Capture Price</t>
  </si>
  <si>
    <t>Sale Price</t>
  </si>
  <si>
    <t>$</t>
  </si>
  <si>
    <t>Available Thermal Power</t>
  </si>
  <si>
    <t>THERMODYNAMIC PROPERTIES OF THE GEOTHERMAL WATER AT SATURATED CONDITIONS</t>
  </si>
  <si>
    <t>Temperature</t>
  </si>
  <si>
    <t>Pressure</t>
  </si>
  <si>
    <t>Liquid</t>
  </si>
  <si>
    <t>Vapor</t>
  </si>
  <si>
    <t>Density</t>
  </si>
  <si>
    <t>Enthalpy</t>
  </si>
  <si>
    <t>Entropy</t>
  </si>
  <si>
    <t>Cp</t>
  </si>
  <si>
    <t>(°C)</t>
  </si>
  <si>
    <t>(bar)</t>
  </si>
  <si>
    <t>(kg/m³)</t>
  </si>
  <si>
    <t>(kJ/kg)</t>
  </si>
  <si>
    <t>(kJ/kg-K)</t>
  </si>
  <si>
    <t>Toplam Üretim Debisi</t>
  </si>
  <si>
    <t>Gross Plant Power</t>
  </si>
  <si>
    <t>Net Plant Power</t>
  </si>
  <si>
    <t>Kuyu Debisi</t>
  </si>
  <si>
    <t>Kuyu Başı Sıcaklığı</t>
  </si>
  <si>
    <t>Kuyu Başı Basıncı</t>
  </si>
  <si>
    <t>bar</t>
  </si>
  <si>
    <t>Sat. Liquid Enthalpy</t>
  </si>
  <si>
    <t>Sat. Vapor Enthalpy</t>
  </si>
  <si>
    <t>Reinjection Enthalpy</t>
  </si>
  <si>
    <t>Vapor Quality</t>
  </si>
  <si>
    <t>Brine Massflow</t>
  </si>
  <si>
    <t>Steam Thermal Power</t>
  </si>
  <si>
    <t>Brine Thermal Power</t>
  </si>
  <si>
    <t>Steam Massflow</t>
  </si>
  <si>
    <t>Total Thermal Power</t>
  </si>
  <si>
    <t>Plant Efficiency</t>
  </si>
  <si>
    <t>Gross Electrical Power</t>
  </si>
  <si>
    <t>Auxilary Power</t>
  </si>
  <si>
    <t>Net Electrical Power</t>
  </si>
  <si>
    <t>NCG%</t>
  </si>
  <si>
    <t>Fluid Interaction Ratio</t>
  </si>
  <si>
    <t>Kuyu Kabülleri</t>
  </si>
  <si>
    <t>Rezervuar Kabulleri</t>
  </si>
  <si>
    <t>Kuyu Başı Kabulleri</t>
  </si>
  <si>
    <t>Buhar Kalitesi Kabulleri</t>
  </si>
  <si>
    <t>Elektrik Üretimi Kabulleri</t>
  </si>
  <si>
    <t>Reservoir Temperature</t>
  </si>
  <si>
    <t>MW</t>
  </si>
  <si>
    <t>PTF Capture %</t>
  </si>
  <si>
    <t>Capacity Factor</t>
  </si>
  <si>
    <t>Yerli Katkı Fiyatı</t>
  </si>
  <si>
    <t>Yerli Katkı Süresi</t>
  </si>
  <si>
    <t>YEKDEM Fiyatı</t>
  </si>
  <si>
    <t>YEKDEM Süresi</t>
  </si>
  <si>
    <t>yıl</t>
  </si>
  <si>
    <t>Sales Price</t>
  </si>
  <si>
    <t>USD/TRY</t>
  </si>
  <si>
    <t>EUR/TRY</t>
  </si>
  <si>
    <t>Yerli Katkı Payı</t>
  </si>
  <si>
    <t>Ticaret</t>
  </si>
  <si>
    <t>Financial Master Model</t>
  </si>
  <si>
    <t>Created by: M. Çağatay Sipahioğlu (Nov 2025)</t>
  </si>
  <si>
    <t>P90/P50 Factor</t>
  </si>
  <si>
    <t>Kapasite Faktörü - P90</t>
  </si>
  <si>
    <t>Yıllık Üretim - P50</t>
  </si>
  <si>
    <t>Yıllık Üretim - P90</t>
  </si>
  <si>
    <t>Seasonality Factor</t>
  </si>
  <si>
    <t>Seasonality Assumptions</t>
  </si>
  <si>
    <t>Kapasite Kabulleri</t>
  </si>
  <si>
    <t>2025B</t>
  </si>
  <si>
    <t>2026B</t>
  </si>
  <si>
    <t>2027B</t>
  </si>
  <si>
    <t>2028B</t>
  </si>
  <si>
    <t>2029B</t>
  </si>
  <si>
    <t>2030B</t>
  </si>
  <si>
    <t>2031B</t>
  </si>
  <si>
    <t>2032B</t>
  </si>
  <si>
    <t>2033B</t>
  </si>
  <si>
    <t>2034B</t>
  </si>
  <si>
    <t>2035B</t>
  </si>
  <si>
    <t>2036B</t>
  </si>
  <si>
    <t>2037B</t>
  </si>
  <si>
    <t>2038B</t>
  </si>
  <si>
    <t>2039B</t>
  </si>
  <si>
    <t>2040B</t>
  </si>
  <si>
    <t>2041B</t>
  </si>
  <si>
    <t>2042B</t>
  </si>
  <si>
    <t>2043B</t>
  </si>
  <si>
    <t>2044B</t>
  </si>
  <si>
    <t>2045B</t>
  </si>
  <si>
    <t>2046B</t>
  </si>
  <si>
    <t>2047B</t>
  </si>
  <si>
    <t>2048B</t>
  </si>
  <si>
    <t>2049B</t>
  </si>
  <si>
    <t>2050B</t>
  </si>
  <si>
    <t>2051B</t>
  </si>
  <si>
    <t>2052B</t>
  </si>
  <si>
    <t>2053B</t>
  </si>
  <si>
    <t>2054B</t>
  </si>
  <si>
    <t>2055B</t>
  </si>
  <si>
    <t>2056B</t>
  </si>
  <si>
    <t>2057B</t>
  </si>
  <si>
    <t>2058B</t>
  </si>
  <si>
    <t>2059B</t>
  </si>
  <si>
    <t>2060B</t>
  </si>
  <si>
    <t>2061B</t>
  </si>
  <si>
    <t>2062B</t>
  </si>
  <si>
    <t>2063B</t>
  </si>
  <si>
    <t>2064B</t>
  </si>
  <si>
    <t>2065B</t>
  </si>
  <si>
    <t>2066B</t>
  </si>
  <si>
    <t>Consumption Growth, %</t>
  </si>
  <si>
    <t xml:space="preserve">Export Growth, % </t>
  </si>
  <si>
    <t>CPI Inflation (e.o.p.), %</t>
  </si>
  <si>
    <t>CPI Inflation (average), %</t>
  </si>
  <si>
    <t>CAD, % of GDP</t>
  </si>
  <si>
    <t>Money market rates %</t>
  </si>
  <si>
    <t>TL Risk Free Rate (10YRS), %</t>
  </si>
  <si>
    <t>US$ Risk Free Rate (30YRS), %</t>
  </si>
  <si>
    <t>TL/$ (average)</t>
  </si>
  <si>
    <t>TL/$ (eop)</t>
  </si>
  <si>
    <t>TL/€ (average)</t>
  </si>
  <si>
    <t>TL/€ (eop)</t>
  </si>
  <si>
    <t>Özel tüketim büyümesi, %</t>
  </si>
  <si>
    <t xml:space="preserve">İhracat Büyümesi </t>
  </si>
  <si>
    <t>TÜFE (yıl sonu), %</t>
  </si>
  <si>
    <t>TÜFE (ortalama), %</t>
  </si>
  <si>
    <t>Cari Denge / GSYİH (%)</t>
  </si>
  <si>
    <t xml:space="preserve">Para Piyasası Faizi, % </t>
  </si>
  <si>
    <t xml:space="preserve">Gösterge 10 yıllık TL tahvil faizi </t>
  </si>
  <si>
    <t>30 yıllık Dolar cinsi Eurobond faizi</t>
  </si>
  <si>
    <t>TL/Dolar (ortalama)</t>
  </si>
  <si>
    <t>TL/Dolar (yıl sonu)</t>
  </si>
  <si>
    <t>TL/Euro (ortalama)</t>
  </si>
  <si>
    <t>TL/Euro (yıl sonu)</t>
  </si>
  <si>
    <t>OPEX</t>
  </si>
  <si>
    <t>Forest Fee</t>
  </si>
  <si>
    <t>Insurance</t>
  </si>
  <si>
    <t>Personnel</t>
  </si>
  <si>
    <t>Maintenance</t>
  </si>
  <si>
    <t>Sales Revenue</t>
  </si>
  <si>
    <t>TOTAL</t>
  </si>
  <si>
    <t>CAPEX</t>
  </si>
  <si>
    <t>Transmission</t>
  </si>
  <si>
    <t>Overhead</t>
  </si>
  <si>
    <t>Depreciation &amp; Amortization</t>
  </si>
  <si>
    <t>Onay ve İzinler</t>
  </si>
  <si>
    <t>Önlisans Süreci</t>
  </si>
  <si>
    <t>Lisans Ücreti</t>
  </si>
  <si>
    <t>EPC</t>
  </si>
  <si>
    <t>Birim Türbin Maliyeti</t>
  </si>
  <si>
    <t>EBOP</t>
  </si>
  <si>
    <t>Bina, İstinat Duvarı</t>
  </si>
  <si>
    <t>Mühendislik Hizmetleri</t>
  </si>
  <si>
    <t>Türbin Temelleri</t>
  </si>
  <si>
    <t>Proje Yapım</t>
  </si>
  <si>
    <t>Hafriyat, Ulaşım Yolları</t>
  </si>
  <si>
    <t>Şalt</t>
  </si>
  <si>
    <t>Trafo</t>
  </si>
  <si>
    <t>Enerji Nakil Hattı</t>
  </si>
  <si>
    <t>Risk Payı</t>
  </si>
  <si>
    <t>END - CAPEX Kabulleri</t>
  </si>
  <si>
    <t>İş Planı</t>
  </si>
  <si>
    <t>END - İş Planı</t>
  </si>
  <si>
    <t>END - Ticaret Kabulleri</t>
  </si>
  <si>
    <t>END - Üretim Kabulleri</t>
  </si>
  <si>
    <t>Equity Kabulleri</t>
  </si>
  <si>
    <t>END - Equity Kabulleri</t>
  </si>
  <si>
    <t>END - Vergi Kabulleri</t>
  </si>
  <si>
    <t>END - Amortisman Kabulleri</t>
  </si>
  <si>
    <t>END - Finansman Kabulleri</t>
  </si>
  <si>
    <t>END - OPEX Kabulleri</t>
  </si>
  <si>
    <t>Gross Profit Margin</t>
  </si>
  <si>
    <t>EBITDA</t>
  </si>
  <si>
    <t>EBITDA Margin</t>
  </si>
  <si>
    <t>EBIT</t>
  </si>
  <si>
    <t>Interest</t>
  </si>
  <si>
    <t>END - Income Statement</t>
  </si>
  <si>
    <t>START - Cash Flow Statement</t>
  </si>
  <si>
    <t>START - Income Statement</t>
  </si>
  <si>
    <t>Operating Cash Flow</t>
  </si>
  <si>
    <t>Investing Cash Flow</t>
  </si>
  <si>
    <t>Debt Drawdown</t>
  </si>
  <si>
    <t>Equity Injection</t>
  </si>
  <si>
    <t>Free Cash Flow to Equity</t>
  </si>
  <si>
    <t>END - Cash Flow Statement</t>
  </si>
  <si>
    <t>Changes in Working Capital</t>
  </si>
  <si>
    <t>Maintenance CAPEX</t>
  </si>
  <si>
    <t>Inventory</t>
  </si>
  <si>
    <t>Receivables</t>
  </si>
  <si>
    <t>Payables</t>
  </si>
  <si>
    <t>Delete this for energy sector.</t>
  </si>
  <si>
    <t>Corporate Tax Rate</t>
  </si>
  <si>
    <t>Corporate Tax</t>
  </si>
  <si>
    <t>Free Cash Retained</t>
  </si>
  <si>
    <t>Blocked Cash Retained</t>
  </si>
  <si>
    <t>Total Cash Retained by the SPV</t>
  </si>
  <si>
    <t>SANKO's SPV Equity</t>
  </si>
  <si>
    <t>Cash Flow Available for Debt Service</t>
  </si>
  <si>
    <t>Personel Servisi</t>
  </si>
  <si>
    <t>Personel Maaşı</t>
  </si>
  <si>
    <t>Kurulu Güç</t>
  </si>
  <si>
    <t>Electrical Power</t>
  </si>
  <si>
    <t>Project IRR</t>
  </si>
  <si>
    <t>Equity IRR</t>
  </si>
  <si>
    <t>Project NPV</t>
  </si>
  <si>
    <t>Equity NPV</t>
  </si>
  <si>
    <t>Other's SPV Equity</t>
  </si>
  <si>
    <t>Exit Date</t>
  </si>
  <si>
    <t>Exit Amount</t>
  </si>
  <si>
    <t>SANKO Dividends</t>
  </si>
  <si>
    <t>Other's Dividends</t>
  </si>
  <si>
    <t>SANKO Equity Injection</t>
  </si>
  <si>
    <t>Other's Equity Injection</t>
  </si>
  <si>
    <t>date</t>
  </si>
  <si>
    <t>Other's Equity</t>
  </si>
  <si>
    <t>SANKO Equity</t>
  </si>
  <si>
    <t>Equity Injection/Dividends</t>
  </si>
  <si>
    <t>Net Profit</t>
  </si>
  <si>
    <t>Net Profit Margin</t>
  </si>
  <si>
    <t>EBT (Net Profit Before Tax)</t>
  </si>
  <si>
    <t>EBT Margin (NPBT Margin)</t>
  </si>
  <si>
    <t>SANKO Cash Flow</t>
  </si>
  <si>
    <t>Equity Injection to SPV</t>
  </si>
  <si>
    <t>SPV Dividends to SANKO</t>
  </si>
  <si>
    <t>Premiums</t>
  </si>
  <si>
    <t>Project Exit</t>
  </si>
  <si>
    <t>Project Buy In</t>
  </si>
  <si>
    <t>Key Performance Indicators</t>
  </si>
  <si>
    <t>SANKO IRR</t>
  </si>
  <si>
    <t>Yatırım Amorti Yılı (Yatırım/EBITDA)</t>
  </si>
  <si>
    <t>Yatırım + Faiz Amorti Yılı (Yatırım+Faiz/EBITDA)</t>
  </si>
  <si>
    <t>Discounted Payback Period</t>
  </si>
  <si>
    <t>Payback Period</t>
  </si>
  <si>
    <t>Project NPV (Cepten alırsakın bir ölçüsü aslında, finansman hariç)</t>
  </si>
  <si>
    <t>SANKO NPV (Buna finansman yükü de dahil)</t>
  </si>
  <si>
    <t>Buy-in Date</t>
  </si>
  <si>
    <t>Buy-in Amount</t>
  </si>
  <si>
    <t>Financing Cash Flow</t>
  </si>
  <si>
    <t>Fees</t>
  </si>
  <si>
    <t>Teminat Mektubu Fee</t>
  </si>
  <si>
    <t>Senior Debt Fees</t>
  </si>
  <si>
    <t>Subordinate Debt Fees</t>
  </si>
  <si>
    <t>Shareholder Loan Fees</t>
  </si>
  <si>
    <t>Senior Debt Interest</t>
  </si>
  <si>
    <t>Subordinate Debt Interest</t>
  </si>
  <si>
    <t>Shareholder Loan Interest</t>
  </si>
  <si>
    <t>Senior Debt Principal</t>
  </si>
  <si>
    <t>Subordinate Debt Principal</t>
  </si>
  <si>
    <t>Shareholder Debt Principal</t>
  </si>
  <si>
    <t>Senior Debt Drawdown</t>
  </si>
  <si>
    <t>Subordinate Debt Drawdown</t>
  </si>
  <si>
    <t>Shareholder Debt Drawdown</t>
  </si>
  <si>
    <t>Interest &amp; Principal Payments</t>
  </si>
  <si>
    <t>Asset Sales</t>
  </si>
  <si>
    <t>START - Project Evaluation</t>
  </si>
  <si>
    <t>END - Project Evaluation</t>
  </si>
  <si>
    <t>Yapı Ruhsatı Süreci</t>
  </si>
  <si>
    <t>Lisans Süreci</t>
  </si>
  <si>
    <t>days</t>
  </si>
  <si>
    <t>Türbin Temeli</t>
  </si>
  <si>
    <t>Türbin Temeli Süreci</t>
  </si>
  <si>
    <t>1 Türbin Montaj+Devreye Alma Süreci</t>
  </si>
  <si>
    <t>2 Türbin Devreye Alma Arası Gün Sayısı</t>
  </si>
  <si>
    <t>Yapı Ruhsatı</t>
  </si>
  <si>
    <t>Türbin Montaj</t>
  </si>
  <si>
    <t>Türbin Devreye Alma</t>
  </si>
  <si>
    <t>Operasyon</t>
  </si>
  <si>
    <t>Hafriyat, Temel Hazırlık Süreci</t>
  </si>
  <si>
    <t>Hafriyat, Temel Hazırlık</t>
  </si>
  <si>
    <t>Başlangıç</t>
  </si>
  <si>
    <t>Bitiş</t>
  </si>
  <si>
    <t>Proje Start</t>
  </si>
  <si>
    <t>bura</t>
  </si>
  <si>
    <t>years</t>
  </si>
  <si>
    <t>Degradasyon</t>
  </si>
  <si>
    <t>COD</t>
  </si>
  <si>
    <t>PVSyst Production</t>
  </si>
  <si>
    <t>Degradasyon kaç ay sonra başlar?</t>
  </si>
  <si>
    <t>montha</t>
  </si>
  <si>
    <t>index</t>
  </si>
  <si>
    <t>Degradation Month Start Index</t>
  </si>
  <si>
    <t>Degraded Power %</t>
  </si>
  <si>
    <t>SANKO NPV</t>
  </si>
  <si>
    <t>Yatırım/EBITDA</t>
  </si>
  <si>
    <t>Yatırım+Faiz/EBITDA</t>
  </si>
  <si>
    <t>Buy-in Period</t>
  </si>
  <si>
    <t>KDV</t>
  </si>
  <si>
    <t>Project Buy In Total</t>
  </si>
  <si>
    <t>Buy-in KDV %</t>
  </si>
  <si>
    <t>ÇED + TEA(RES) Süreci</t>
  </si>
  <si>
    <t>ÇED + TEA(RES)</t>
  </si>
  <si>
    <t>Harita Süreci</t>
  </si>
  <si>
    <t>Halihazır Harita Alım ve Onay</t>
  </si>
  <si>
    <t>Mülkiyet Hakkı Süreci</t>
  </si>
  <si>
    <t>Jeoteknik Etüt Süreci</t>
  </si>
  <si>
    <t>İmar Planı Süreci</t>
  </si>
  <si>
    <t>İmar Planı</t>
  </si>
  <si>
    <t>Jeoteknik Etüt</t>
  </si>
  <si>
    <t>Mülkiyet Hakkı</t>
  </si>
  <si>
    <t>İmar Uygulaması Süreci</t>
  </si>
  <si>
    <t>İmar Uygulaması</t>
  </si>
  <si>
    <t>Önlisans -&gt; Lisans / Lisans Tadil</t>
  </si>
  <si>
    <t>Bunu devrik dönüşüm yapıp sunuma at.</t>
  </si>
  <si>
    <t>CAPEX+Faiz</t>
  </si>
  <si>
    <t>Ciro</t>
  </si>
  <si>
    <t>Gider</t>
  </si>
  <si>
    <t>Faiz</t>
  </si>
  <si>
    <t>EBITDA Avg.</t>
  </si>
  <si>
    <t>CAPEX/MWh</t>
  </si>
  <si>
    <t>k$/Mwm</t>
  </si>
  <si>
    <t>k$</t>
  </si>
  <si>
    <t>Birim CAPEX</t>
  </si>
  <si>
    <t>P/L</t>
  </si>
  <si>
    <t>ROI</t>
  </si>
  <si>
    <t>Performance</t>
  </si>
  <si>
    <t>START - Scenario Comparison</t>
  </si>
  <si>
    <t xml:space="preserve">Önlisans </t>
  </si>
  <si>
    <t>Halihazır Harita Süreci</t>
  </si>
  <si>
    <t>Halihazır Harita</t>
  </si>
  <si>
    <t>months</t>
  </si>
  <si>
    <t>ÇED + TEA(RES) Ücreti</t>
  </si>
  <si>
    <t>Mülkiyet Hakkı Ücreti</t>
  </si>
  <si>
    <t>Halihazır Harita Ücreti</t>
  </si>
  <si>
    <t>Jeoteknik Etüt Ücreti</t>
  </si>
  <si>
    <t>İmar Planı Ücreti</t>
  </si>
  <si>
    <t>İmar Uygulaması Ücreti</t>
  </si>
  <si>
    <t>Yapı Ruhsatı Ücreti</t>
  </si>
  <si>
    <t>Önlisans Ücreti</t>
  </si>
  <si>
    <t>Paid @ Süreç Başlangıcı</t>
  </si>
  <si>
    <t>days/turbine</t>
  </si>
  <si>
    <t>Project Start</t>
  </si>
  <si>
    <t>Burda trafo gücüylen MWm*CF i caplemek düşünülebilir. (CF 90% filan olmadıkça bir problem yaratmıycaktır-. Haaa pardon yaratabilir o üretim analizmiiz gibi bir şey lazım)</t>
  </si>
  <si>
    <t>Proje Yapım (EPC)</t>
  </si>
  <si>
    <t>Income Statement</t>
  </si>
  <si>
    <t>Cash Flow Statement</t>
  </si>
  <si>
    <t>Project Evaluation</t>
  </si>
  <si>
    <t>Project Cashflow</t>
  </si>
  <si>
    <t>DSRA</t>
  </si>
  <si>
    <t>CAPEX/Mwm</t>
  </si>
  <si>
    <t>Operating Profit (EBIT)</t>
  </si>
  <si>
    <t>Operating Margin</t>
  </si>
  <si>
    <t>Pre-Tax Margin</t>
  </si>
  <si>
    <t>Pre-Tax Profit (EBT)</t>
  </si>
  <si>
    <t>İşveren Mühendislik</t>
  </si>
  <si>
    <t>Türbin Kurulum</t>
  </si>
  <si>
    <t>Türbin Kurulum+Devreye Alma Süreci</t>
  </si>
  <si>
    <t>Santral Sipariş-Teslim Süreci</t>
  </si>
  <si>
    <t>Trafo Sipariş-Teslim Süreci</t>
  </si>
  <si>
    <t>Trafo Kurulum</t>
  </si>
  <si>
    <t>Trafo Sipariş-Teslim</t>
  </si>
  <si>
    <t>Santral Sipariş-Teslim</t>
  </si>
  <si>
    <t>Ulaşım Yolları, Hafriyat</t>
  </si>
  <si>
    <t>Cost of Equity</t>
  </si>
  <si>
    <t>WACC</t>
  </si>
  <si>
    <t>Monthly</t>
  </si>
  <si>
    <t>Quarterly</t>
  </si>
  <si>
    <t>Yearly</t>
  </si>
  <si>
    <t>Mwe</t>
  </si>
  <si>
    <t>Kurulu Mekanik Güç</t>
  </si>
  <si>
    <t>Kurulu Elektrik Gücü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</si>
</sst>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41F]d\ mmmm\ yyyy;@"/>
    <numFmt numFmtId="166" formatCode="0.0%"/>
    <numFmt numFmtId="167" formatCode="0.000"/>
    <numFmt numFmtId="168" formatCode="0.0000"/>
    <numFmt numFmtId="169" formatCode="mmm\ yyyy"/>
    <numFmt numFmtId="170" formatCode="#,##0.0"/>
  </numFmts>
  <fonts count="25" x14ac:knownFonts="1">
    <font>
      <sz val="10"/>
      <color theme="1"/>
      <name val="Calibri"/>
      <family val="2"/>
      <scheme val="minor"/>
    </font>
    <font>
      <u/>
      <sz val="11"/>
      <color theme="10"/>
      <name val="Calibri"/>
      <family val="2"/>
      <scheme val="minor"/>
    </font>
    <font>
      <b/>
      <sz val="9"/>
      <color indexed="81"/>
      <name val="Tahoma"/>
      <family val="2"/>
      <charset val="162"/>
    </font>
    <font>
      <sz val="9"/>
      <color indexed="81"/>
      <name val="Tahoma"/>
      <family val="2"/>
      <charset val="162"/>
    </font>
    <font>
      <b/>
      <sz val="10"/>
      <color theme="1"/>
      <name val="Calibri"/>
      <family val="2"/>
      <scheme val="minor"/>
    </font>
    <font>
      <b/>
      <sz val="10"/>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Arial"/>
      <family val="2"/>
    </font>
    <font>
      <b/>
      <sz val="10"/>
      <color theme="1"/>
      <name val="Calibri"/>
      <family val="2"/>
      <charset val="162"/>
      <scheme val="minor"/>
    </font>
    <font>
      <sz val="10"/>
      <color theme="1" tint="0.499984740745262"/>
      <name val="Calibri"/>
      <family val="2"/>
      <scheme val="minor"/>
    </font>
    <font>
      <sz val="10"/>
      <color theme="1"/>
      <name val="Calibri"/>
      <family val="2"/>
      <charset val="162"/>
      <scheme val="minor"/>
    </font>
    <font>
      <b/>
      <sz val="10"/>
      <name val="Calibri"/>
      <family val="2"/>
      <charset val="162"/>
      <scheme val="minor"/>
    </font>
    <font>
      <sz val="10"/>
      <color theme="0"/>
      <name val="Calibri"/>
      <family val="2"/>
      <scheme val="minor"/>
    </font>
    <font>
      <b/>
      <sz val="14"/>
      <color theme="1"/>
      <name val="Calibri"/>
      <family val="2"/>
      <scheme val="minor"/>
    </font>
    <font>
      <b/>
      <sz val="10"/>
      <color theme="1" tint="0.499984740745262"/>
      <name val="Calibri"/>
      <family val="2"/>
      <charset val="162"/>
      <scheme val="minor"/>
    </font>
    <font>
      <sz val="10"/>
      <color theme="1" tint="0.499984740745262"/>
      <name val="Calibri"/>
      <family val="2"/>
      <charset val="162"/>
      <scheme val="minor"/>
    </font>
    <font>
      <b/>
      <sz val="10"/>
      <color theme="0"/>
      <name val="Calibri"/>
      <family val="2"/>
      <charset val="162"/>
      <scheme val="minor"/>
    </font>
    <font>
      <b/>
      <sz val="10"/>
      <color theme="1" tint="0.499984740745262"/>
      <name val="Calibri"/>
      <family val="2"/>
      <scheme val="minor"/>
    </font>
    <font>
      <b/>
      <sz val="10"/>
      <color theme="0"/>
      <name val="Calibri"/>
      <family val="2"/>
      <scheme val="minor"/>
    </font>
    <font>
      <sz val="10"/>
      <name val="Calibri"/>
      <family val="2"/>
      <charset val="162"/>
      <scheme val="minor"/>
    </font>
    <font>
      <sz val="11"/>
      <color rgb="FF000000"/>
      <name val="Calibri"/>
      <family val="2"/>
      <charset val="162"/>
    </font>
    <font>
      <sz val="9"/>
      <color indexed="81"/>
      <name val="Tahoma"/>
      <charset val="1"/>
    </font>
    <font>
      <b/>
      <sz val="9"/>
      <color indexed="81"/>
      <name val="Tahoma"/>
      <charset val="1"/>
    </font>
  </fonts>
  <fills count="23">
    <fill>
      <patternFill patternType="none"/>
    </fill>
    <fill>
      <patternFill patternType="gray125"/>
    </fill>
    <fill>
      <patternFill patternType="solid">
        <fgColor theme="0"/>
        <bgColor indexed="64"/>
      </patternFill>
    </fill>
    <fill>
      <patternFill patternType="solid">
        <fgColor rgb="FFFFFFAF"/>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rgb="FFA400E6"/>
        <bgColor indexed="64"/>
      </patternFill>
    </fill>
    <fill>
      <patternFill patternType="solid">
        <fgColor theme="3" tint="0.79998168889431442"/>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s>
  <borders count="3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diagonal/>
    </border>
  </borders>
  <cellStyleXfs count="2">
    <xf numFmtId="170" fontId="0" fillId="2" borderId="0"/>
    <xf numFmtId="0" fontId="1" fillId="2" borderId="0" applyNumberFormat="0" applyFill="0" applyBorder="0" applyAlignment="0" applyProtection="0"/>
  </cellStyleXfs>
  <cellXfs count="298">
    <xf numFmtId="170" fontId="0" fillId="2" borderId="0" xfId="0"/>
    <xf numFmtId="1" fontId="14" fillId="2" borderId="0" xfId="0" applyNumberFormat="1" applyFont="1"/>
    <xf numFmtId="170" fontId="10" fillId="17" borderId="26" xfId="0" applyFont="1" applyFill="1" applyBorder="1"/>
    <xf numFmtId="1" fontId="0" fillId="2" borderId="12" xfId="0" applyNumberFormat="1" applyBorder="1" applyAlignment="1">
      <alignment horizontal="right"/>
    </xf>
    <xf numFmtId="10" fontId="0" fillId="2" borderId="0" xfId="0" applyNumberFormat="1"/>
    <xf numFmtId="170" fontId="0" fillId="2" borderId="10" xfId="0" applyBorder="1"/>
    <xf numFmtId="170" fontId="0" fillId="2" borderId="12" xfId="0" applyBorder="1"/>
    <xf numFmtId="170" fontId="0" fillId="2" borderId="0" xfId="0" applyAlignment="1">
      <alignment horizontal="right"/>
    </xf>
    <xf numFmtId="170" fontId="0" fillId="2" borderId="19" xfId="0" applyBorder="1"/>
    <xf numFmtId="14" fontId="0" fillId="2" borderId="0" xfId="0" applyNumberFormat="1"/>
    <xf numFmtId="0" fontId="6" fillId="2" borderId="0" xfId="1" applyFont="1" applyFill="1" applyAlignment="1">
      <alignment horizontal="right"/>
    </xf>
    <xf numFmtId="170" fontId="4" fillId="2" borderId="0" xfId="0" applyFont="1"/>
    <xf numFmtId="170" fontId="4" fillId="2" borderId="23" xfId="0" applyFont="1" applyBorder="1" applyAlignment="1">
      <alignment horizontal="right"/>
    </xf>
    <xf numFmtId="170" fontId="4" fillId="2" borderId="24" xfId="0" applyFont="1" applyBorder="1" applyAlignment="1">
      <alignment horizontal="left"/>
    </xf>
    <xf numFmtId="10" fontId="4" fillId="2" borderId="23" xfId="0" applyNumberFormat="1" applyFont="1" applyBorder="1" applyAlignment="1">
      <alignment horizontal="right"/>
    </xf>
    <xf numFmtId="10" fontId="4" fillId="2" borderId="0" xfId="0" applyNumberFormat="1" applyFont="1" applyAlignment="1">
      <alignment horizontal="right"/>
    </xf>
    <xf numFmtId="170" fontId="4" fillId="2" borderId="0" xfId="0" applyFont="1" applyAlignment="1">
      <alignment horizontal="left"/>
    </xf>
    <xf numFmtId="170" fontId="0" fillId="2" borderId="20" xfId="0" applyBorder="1" applyAlignment="1">
      <alignment horizontal="right"/>
    </xf>
    <xf numFmtId="170" fontId="0" fillId="2" borderId="19" xfId="0" applyBorder="1" applyAlignment="1">
      <alignment horizontal="right"/>
    </xf>
    <xf numFmtId="165" fontId="4" fillId="4" borderId="22" xfId="0" applyNumberFormat="1" applyFont="1" applyFill="1" applyBorder="1"/>
    <xf numFmtId="165" fontId="4" fillId="4" borderId="17" xfId="0" applyNumberFormat="1" applyFont="1" applyFill="1" applyBorder="1"/>
    <xf numFmtId="170" fontId="0" fillId="2" borderId="0" xfId="0" applyAlignment="1">
      <alignment horizontal="left"/>
    </xf>
    <xf numFmtId="170" fontId="7" fillId="4" borderId="21" xfId="0" applyFont="1" applyFill="1" applyBorder="1"/>
    <xf numFmtId="0" fontId="8" fillId="4" borderId="21" xfId="1" applyFont="1" applyFill="1" applyBorder="1"/>
    <xf numFmtId="1" fontId="0" fillId="2" borderId="0" xfId="0" applyNumberFormat="1" applyAlignment="1">
      <alignment horizontal="right"/>
    </xf>
    <xf numFmtId="170" fontId="9" fillId="3" borderId="22" xfId="0" applyFont="1" applyFill="1" applyBorder="1" applyAlignment="1">
      <alignment horizontal="center" vertical="top"/>
    </xf>
    <xf numFmtId="1" fontId="4" fillId="2" borderId="23" xfId="0" applyNumberFormat="1" applyFont="1" applyBorder="1" applyAlignment="1">
      <alignment horizontal="right"/>
    </xf>
    <xf numFmtId="10" fontId="10" fillId="2" borderId="23" xfId="0" applyNumberFormat="1" applyFont="1" applyBorder="1" applyAlignment="1">
      <alignment horizontal="right"/>
    </xf>
    <xf numFmtId="9" fontId="4" fillId="2" borderId="23" xfId="0" applyNumberFormat="1" applyFont="1" applyBorder="1" applyAlignment="1">
      <alignment horizontal="right"/>
    </xf>
    <xf numFmtId="166" fontId="4" fillId="2" borderId="23" xfId="0" applyNumberFormat="1" applyFont="1" applyBorder="1" applyAlignment="1">
      <alignment horizontal="right"/>
    </xf>
    <xf numFmtId="170" fontId="11" fillId="2" borderId="0" xfId="0" applyFont="1"/>
    <xf numFmtId="2" fontId="4" fillId="2" borderId="23" xfId="0" applyNumberFormat="1" applyFont="1" applyBorder="1" applyAlignment="1">
      <alignment horizontal="right"/>
    </xf>
    <xf numFmtId="170" fontId="11" fillId="2" borderId="19" xfId="0" applyFont="1" applyBorder="1"/>
    <xf numFmtId="170" fontId="0" fillId="2" borderId="20" xfId="0" applyBorder="1"/>
    <xf numFmtId="170" fontId="12" fillId="2" borderId="12" xfId="0" applyFont="1" applyBorder="1"/>
    <xf numFmtId="170" fontId="12" fillId="2" borderId="20" xfId="0" applyFont="1" applyBorder="1"/>
    <xf numFmtId="170" fontId="10" fillId="2" borderId="12" xfId="0" applyFont="1" applyBorder="1"/>
    <xf numFmtId="170" fontId="13" fillId="5" borderId="13" xfId="0" applyFont="1" applyFill="1" applyBorder="1"/>
    <xf numFmtId="170" fontId="10" fillId="5" borderId="13" xfId="0" applyFont="1" applyFill="1" applyBorder="1"/>
    <xf numFmtId="170" fontId="10" fillId="5" borderId="24" xfId="0" applyFont="1" applyFill="1" applyBorder="1"/>
    <xf numFmtId="170" fontId="12" fillId="2" borderId="19" xfId="0" applyFont="1" applyBorder="1" applyAlignment="1">
      <alignment horizontal="center" vertical="center"/>
    </xf>
    <xf numFmtId="170" fontId="12" fillId="2" borderId="19" xfId="0" applyFont="1" applyBorder="1" applyAlignment="1">
      <alignment horizontal="center"/>
    </xf>
    <xf numFmtId="2" fontId="12" fillId="2" borderId="19" xfId="0" applyNumberFormat="1" applyFont="1" applyBorder="1" applyAlignment="1">
      <alignment horizontal="center"/>
    </xf>
    <xf numFmtId="167" fontId="12" fillId="2" borderId="19" xfId="0" applyNumberFormat="1" applyFont="1" applyBorder="1" applyAlignment="1">
      <alignment horizontal="center"/>
    </xf>
    <xf numFmtId="164" fontId="12" fillId="2" borderId="19" xfId="0" applyNumberFormat="1" applyFont="1" applyBorder="1" applyAlignment="1">
      <alignment horizontal="center"/>
    </xf>
    <xf numFmtId="168" fontId="12" fillId="2" borderId="19" xfId="0" applyNumberFormat="1" applyFont="1" applyBorder="1" applyAlignment="1">
      <alignment horizontal="center"/>
    </xf>
    <xf numFmtId="170" fontId="12" fillId="2" borderId="20" xfId="0" applyFont="1" applyBorder="1" applyAlignment="1">
      <alignment horizontal="center" vertical="center"/>
    </xf>
    <xf numFmtId="168" fontId="12" fillId="2" borderId="19" xfId="0" applyNumberFormat="1" applyFont="1" applyBorder="1" applyAlignment="1">
      <alignment horizontal="center" vertical="center"/>
    </xf>
    <xf numFmtId="168" fontId="12" fillId="2" borderId="20" xfId="0" applyNumberFormat="1" applyFont="1" applyBorder="1" applyAlignment="1">
      <alignment horizontal="center" vertical="center"/>
    </xf>
    <xf numFmtId="168" fontId="12" fillId="2" borderId="20" xfId="0" applyNumberFormat="1" applyFont="1" applyBorder="1" applyAlignment="1">
      <alignment horizontal="center"/>
    </xf>
    <xf numFmtId="2" fontId="12" fillId="2" borderId="20" xfId="0" applyNumberFormat="1" applyFont="1" applyBorder="1" applyAlignment="1">
      <alignment horizontal="center"/>
    </xf>
    <xf numFmtId="167" fontId="12" fillId="2" borderId="17" xfId="0" applyNumberFormat="1" applyFont="1" applyBorder="1" applyAlignment="1">
      <alignment horizontal="center"/>
    </xf>
    <xf numFmtId="170" fontId="12" fillId="2" borderId="17" xfId="0" applyFont="1" applyBorder="1" applyAlignment="1">
      <alignment horizontal="center" vertical="center"/>
    </xf>
    <xf numFmtId="170" fontId="12" fillId="2" borderId="17" xfId="0" applyFont="1" applyBorder="1" applyAlignment="1">
      <alignment horizontal="center"/>
    </xf>
    <xf numFmtId="164" fontId="12" fillId="2" borderId="17" xfId="0" applyNumberFormat="1" applyFont="1" applyBorder="1" applyAlignment="1">
      <alignment horizontal="center"/>
    </xf>
    <xf numFmtId="168" fontId="12" fillId="2" borderId="17" xfId="0" applyNumberFormat="1" applyFont="1" applyBorder="1" applyAlignment="1">
      <alignment horizontal="center"/>
    </xf>
    <xf numFmtId="169" fontId="0" fillId="2" borderId="12" xfId="0" applyNumberFormat="1" applyBorder="1" applyAlignment="1">
      <alignment horizontal="right"/>
    </xf>
    <xf numFmtId="170" fontId="14" fillId="2" borderId="0" xfId="0" applyFont="1"/>
    <xf numFmtId="170" fontId="14" fillId="2" borderId="19" xfId="0" applyFont="1" applyBorder="1"/>
    <xf numFmtId="170" fontId="11" fillId="2" borderId="25" xfId="0" applyFont="1" applyBorder="1"/>
    <xf numFmtId="10" fontId="11" fillId="2" borderId="0" xfId="0" applyNumberFormat="1" applyFont="1"/>
    <xf numFmtId="2" fontId="11" fillId="2" borderId="0" xfId="0" applyNumberFormat="1" applyFont="1"/>
    <xf numFmtId="10" fontId="11" fillId="2" borderId="19" xfId="0" applyNumberFormat="1" applyFont="1" applyBorder="1"/>
    <xf numFmtId="2" fontId="0" fillId="2" borderId="0" xfId="0" applyNumberFormat="1"/>
    <xf numFmtId="1" fontId="12" fillId="2" borderId="12" xfId="0" applyNumberFormat="1" applyFont="1" applyBorder="1"/>
    <xf numFmtId="164" fontId="11" fillId="2" borderId="0" xfId="0" applyNumberFormat="1" applyFont="1"/>
    <xf numFmtId="170" fontId="0" fillId="6" borderId="0" xfId="0" applyFill="1"/>
    <xf numFmtId="170" fontId="5" fillId="4" borderId="1" xfId="0" applyFont="1" applyFill="1" applyBorder="1" applyAlignment="1">
      <alignment horizontal="center"/>
    </xf>
    <xf numFmtId="170" fontId="4" fillId="2" borderId="0" xfId="0" applyFont="1" applyAlignment="1">
      <alignment wrapText="1"/>
    </xf>
    <xf numFmtId="170" fontId="0" fillId="6" borderId="12" xfId="0" applyFill="1" applyBorder="1"/>
    <xf numFmtId="170" fontId="5" fillId="4" borderId="7" xfId="0" applyFont="1" applyFill="1" applyBorder="1" applyAlignment="1">
      <alignment horizontal="center"/>
    </xf>
    <xf numFmtId="170" fontId="7" fillId="4" borderId="4" xfId="0" applyFont="1" applyFill="1" applyBorder="1"/>
    <xf numFmtId="0" fontId="8" fillId="4" borderId="4" xfId="1" applyFont="1" applyFill="1" applyBorder="1"/>
    <xf numFmtId="170" fontId="0" fillId="6" borderId="2" xfId="0" applyFill="1" applyBorder="1"/>
    <xf numFmtId="170" fontId="0" fillId="6" borderId="11" xfId="0" applyFill="1" applyBorder="1"/>
    <xf numFmtId="170" fontId="0" fillId="6" borderId="3" xfId="0" applyFill="1" applyBorder="1"/>
    <xf numFmtId="170" fontId="0" fillId="6" borderId="4" xfId="0" applyFill="1" applyBorder="1"/>
    <xf numFmtId="170" fontId="0" fillId="6" borderId="5" xfId="0" applyFill="1" applyBorder="1"/>
    <xf numFmtId="170" fontId="0" fillId="6" borderId="27" xfId="0" applyFill="1" applyBorder="1"/>
    <xf numFmtId="170" fontId="0" fillId="6" borderId="14" xfId="0" applyFill="1" applyBorder="1"/>
    <xf numFmtId="0" fontId="6" fillId="6" borderId="4" xfId="1" applyFont="1" applyFill="1" applyBorder="1"/>
    <xf numFmtId="0" fontId="6" fillId="6" borderId="0" xfId="1" applyFont="1" applyFill="1" applyBorder="1"/>
    <xf numFmtId="0" fontId="6" fillId="6" borderId="5" xfId="1" applyFont="1" applyFill="1" applyBorder="1"/>
    <xf numFmtId="164" fontId="10" fillId="2" borderId="23" xfId="0" applyNumberFormat="1" applyFont="1" applyBorder="1"/>
    <xf numFmtId="170" fontId="10" fillId="2" borderId="26" xfId="0" applyFont="1" applyBorder="1"/>
    <xf numFmtId="170" fontId="0" fillId="2" borderId="13" xfId="0" applyBorder="1"/>
    <xf numFmtId="170" fontId="0" fillId="2" borderId="24" xfId="0" applyBorder="1"/>
    <xf numFmtId="170" fontId="0" fillId="2" borderId="27" xfId="0" applyBorder="1"/>
    <xf numFmtId="170" fontId="10" fillId="2" borderId="0" xfId="0" applyFont="1"/>
    <xf numFmtId="170" fontId="10" fillId="2" borderId="10" xfId="0" applyFont="1" applyBorder="1"/>
    <xf numFmtId="170" fontId="0" fillId="2" borderId="25" xfId="0" applyBorder="1"/>
    <xf numFmtId="170" fontId="13" fillId="2" borderId="0" xfId="0" applyFont="1"/>
    <xf numFmtId="3" fontId="4" fillId="2" borderId="23" xfId="0" applyNumberFormat="1" applyFont="1" applyBorder="1" applyAlignment="1">
      <alignment horizontal="right"/>
    </xf>
    <xf numFmtId="3" fontId="10" fillId="5" borderId="13" xfId="0" applyNumberFormat="1" applyFont="1" applyFill="1" applyBorder="1"/>
    <xf numFmtId="170" fontId="19" fillId="2" borderId="0" xfId="0" applyFont="1"/>
    <xf numFmtId="170" fontId="7" fillId="2" borderId="20" xfId="0" applyFont="1" applyBorder="1"/>
    <xf numFmtId="170" fontId="7" fillId="2" borderId="12" xfId="0" applyFont="1" applyBorder="1"/>
    <xf numFmtId="3" fontId="7" fillId="2" borderId="12" xfId="0" applyNumberFormat="1" applyFont="1" applyBorder="1"/>
    <xf numFmtId="170" fontId="13" fillId="9" borderId="13" xfId="0" applyFont="1" applyFill="1" applyBorder="1"/>
    <xf numFmtId="3" fontId="10" fillId="9" borderId="13" xfId="0" applyNumberFormat="1" applyFont="1" applyFill="1" applyBorder="1"/>
    <xf numFmtId="170" fontId="10" fillId="9" borderId="24" xfId="0" applyFont="1" applyFill="1" applyBorder="1"/>
    <xf numFmtId="170" fontId="13" fillId="8" borderId="13" xfId="0" applyFont="1" applyFill="1" applyBorder="1"/>
    <xf numFmtId="3" fontId="10" fillId="8" borderId="13" xfId="0" applyNumberFormat="1" applyFont="1" applyFill="1" applyBorder="1"/>
    <xf numFmtId="170" fontId="10" fillId="8" borderId="24" xfId="0" applyFont="1" applyFill="1" applyBorder="1"/>
    <xf numFmtId="170" fontId="10" fillId="5" borderId="26" xfId="0" applyFont="1" applyFill="1" applyBorder="1"/>
    <xf numFmtId="170" fontId="0" fillId="5" borderId="13" xfId="0" applyFill="1" applyBorder="1"/>
    <xf numFmtId="170" fontId="0" fillId="5" borderId="24" xfId="0" applyFill="1" applyBorder="1"/>
    <xf numFmtId="170" fontId="10" fillId="8" borderId="26" xfId="0" applyFont="1" applyFill="1" applyBorder="1"/>
    <xf numFmtId="170" fontId="0" fillId="8" borderId="13" xfId="0" applyFill="1" applyBorder="1"/>
    <xf numFmtId="170" fontId="0" fillId="8" borderId="24" xfId="0" applyFill="1" applyBorder="1"/>
    <xf numFmtId="170" fontId="11" fillId="2" borderId="10" xfId="0" applyFont="1" applyBorder="1"/>
    <xf numFmtId="170" fontId="13" fillId="10" borderId="26" xfId="0" applyFont="1" applyFill="1" applyBorder="1"/>
    <xf numFmtId="170" fontId="13" fillId="10" borderId="13" xfId="0" applyFont="1" applyFill="1" applyBorder="1"/>
    <xf numFmtId="170" fontId="13" fillId="10" borderId="24" xfId="0" applyFont="1" applyFill="1" applyBorder="1"/>
    <xf numFmtId="170" fontId="10" fillId="10" borderId="26" xfId="0" applyFont="1" applyFill="1" applyBorder="1"/>
    <xf numFmtId="170" fontId="10" fillId="10" borderId="13" xfId="0" applyFont="1" applyFill="1" applyBorder="1"/>
    <xf numFmtId="170" fontId="10" fillId="10" borderId="24" xfId="0" applyFont="1" applyFill="1" applyBorder="1"/>
    <xf numFmtId="170" fontId="7" fillId="6" borderId="21" xfId="0" applyFont="1" applyFill="1" applyBorder="1"/>
    <xf numFmtId="170" fontId="7" fillId="6" borderId="4" xfId="0" applyFont="1" applyFill="1" applyBorder="1"/>
    <xf numFmtId="170" fontId="0" fillId="6" borderId="10" xfId="0" applyFill="1" applyBorder="1"/>
    <xf numFmtId="170" fontId="15" fillId="2" borderId="0" xfId="0" applyFont="1" applyAlignment="1">
      <alignment textRotation="90"/>
    </xf>
    <xf numFmtId="170" fontId="4" fillId="2" borderId="9" xfId="0" applyFont="1" applyBorder="1" applyAlignment="1">
      <alignment horizontal="center"/>
    </xf>
    <xf numFmtId="170" fontId="4" fillId="2" borderId="8" xfId="0" applyFont="1" applyBorder="1" applyAlignment="1">
      <alignment horizontal="center"/>
    </xf>
    <xf numFmtId="170" fontId="4" fillId="2" borderId="0" xfId="0" applyFont="1" applyAlignment="1">
      <alignment horizontal="center"/>
    </xf>
    <xf numFmtId="170" fontId="5" fillId="6" borderId="21" xfId="0" applyFont="1" applyFill="1" applyBorder="1" applyAlignment="1">
      <alignment horizontal="center"/>
    </xf>
    <xf numFmtId="170" fontId="5" fillId="6" borderId="4" xfId="0" applyFont="1" applyFill="1" applyBorder="1" applyAlignment="1">
      <alignment horizontal="center"/>
    </xf>
    <xf numFmtId="170" fontId="10" fillId="6" borderId="0" xfId="0" applyFont="1" applyFill="1"/>
    <xf numFmtId="170" fontId="18" fillId="2" borderId="0" xfId="0" applyFont="1" applyAlignment="1">
      <alignment horizontal="left"/>
    </xf>
    <xf numFmtId="170" fontId="10" fillId="2" borderId="0" xfId="0" applyFont="1" applyAlignment="1">
      <alignment horizontal="left"/>
    </xf>
    <xf numFmtId="170" fontId="10" fillId="2" borderId="12" xfId="0" applyFont="1" applyBorder="1" applyAlignment="1">
      <alignment horizontal="left"/>
    </xf>
    <xf numFmtId="10" fontId="16" fillId="2" borderId="0" xfId="0" applyNumberFormat="1" applyFont="1" applyAlignment="1">
      <alignment horizontal="left"/>
    </xf>
    <xf numFmtId="170" fontId="16" fillId="2" borderId="0" xfId="0" applyFont="1" applyAlignment="1">
      <alignment horizontal="left"/>
    </xf>
    <xf numFmtId="170" fontId="0" fillId="2" borderId="12" xfId="0" applyBorder="1" applyAlignment="1">
      <alignment horizontal="left"/>
    </xf>
    <xf numFmtId="170" fontId="12" fillId="2" borderId="0" xfId="0" applyFont="1" applyAlignment="1">
      <alignment horizontal="left"/>
    </xf>
    <xf numFmtId="10" fontId="17" fillId="2" borderId="0" xfId="0" applyNumberFormat="1" applyFont="1" applyAlignment="1">
      <alignment horizontal="left"/>
    </xf>
    <xf numFmtId="170" fontId="10" fillId="12" borderId="26" xfId="0" applyFont="1" applyFill="1" applyBorder="1"/>
    <xf numFmtId="170" fontId="0" fillId="12" borderId="13" xfId="0" applyFill="1" applyBorder="1"/>
    <xf numFmtId="170" fontId="10" fillId="11" borderId="26" xfId="0" applyFont="1" applyFill="1" applyBorder="1"/>
    <xf numFmtId="170" fontId="0" fillId="11" borderId="13" xfId="0" applyFill="1" applyBorder="1"/>
    <xf numFmtId="170" fontId="10" fillId="7" borderId="26" xfId="0" applyFont="1" applyFill="1" applyBorder="1"/>
    <xf numFmtId="170" fontId="0" fillId="7" borderId="13" xfId="0" applyFill="1" applyBorder="1"/>
    <xf numFmtId="170" fontId="10" fillId="13" borderId="26" xfId="0" applyFont="1" applyFill="1" applyBorder="1"/>
    <xf numFmtId="170" fontId="0" fillId="13" borderId="13" xfId="0" applyFill="1" applyBorder="1"/>
    <xf numFmtId="170" fontId="10" fillId="14" borderId="26" xfId="0" applyFont="1" applyFill="1" applyBorder="1"/>
    <xf numFmtId="170" fontId="0" fillId="14" borderId="13" xfId="0" applyFill="1" applyBorder="1"/>
    <xf numFmtId="10" fontId="10" fillId="2" borderId="0" xfId="0" applyNumberFormat="1" applyFont="1" applyAlignment="1">
      <alignment horizontal="right"/>
    </xf>
    <xf numFmtId="170" fontId="7" fillId="4" borderId="16" xfId="0" applyFont="1" applyFill="1" applyBorder="1"/>
    <xf numFmtId="170" fontId="0" fillId="15" borderId="0" xfId="0" applyFill="1"/>
    <xf numFmtId="170" fontId="11" fillId="15" borderId="0" xfId="0" applyFont="1" applyFill="1"/>
    <xf numFmtId="170" fontId="11" fillId="15" borderId="19" xfId="0" applyFont="1" applyFill="1" applyBorder="1"/>
    <xf numFmtId="10" fontId="11" fillId="15" borderId="0" xfId="0" applyNumberFormat="1" applyFont="1" applyFill="1"/>
    <xf numFmtId="170" fontId="0" fillId="15" borderId="27" xfId="0" applyFill="1" applyBorder="1"/>
    <xf numFmtId="170" fontId="11" fillId="15" borderId="12" xfId="0" applyFont="1" applyFill="1" applyBorder="1"/>
    <xf numFmtId="170" fontId="11" fillId="15" borderId="20" xfId="0" applyFont="1" applyFill="1" applyBorder="1"/>
    <xf numFmtId="10" fontId="11" fillId="15" borderId="12" xfId="0" applyNumberFormat="1" applyFont="1" applyFill="1" applyBorder="1"/>
    <xf numFmtId="170" fontId="10" fillId="6" borderId="15" xfId="0" applyFont="1" applyFill="1" applyBorder="1"/>
    <xf numFmtId="170" fontId="0" fillId="6" borderId="15" xfId="0" applyFill="1" applyBorder="1"/>
    <xf numFmtId="170" fontId="0" fillId="6" borderId="6" xfId="0" applyFill="1" applyBorder="1"/>
    <xf numFmtId="170" fontId="0" fillId="2" borderId="26" xfId="0" applyBorder="1"/>
    <xf numFmtId="170" fontId="10" fillId="16" borderId="0" xfId="0" applyFont="1" applyFill="1"/>
    <xf numFmtId="170" fontId="10" fillId="17" borderId="13" xfId="0" applyFont="1" applyFill="1" applyBorder="1"/>
    <xf numFmtId="170" fontId="10" fillId="17" borderId="0" xfId="0" applyFont="1" applyFill="1"/>
    <xf numFmtId="170" fontId="0" fillId="7" borderId="24" xfId="0" applyFill="1" applyBorder="1"/>
    <xf numFmtId="170" fontId="10" fillId="16" borderId="19" xfId="0" applyFont="1" applyFill="1" applyBorder="1"/>
    <xf numFmtId="170" fontId="0" fillId="12" borderId="24" xfId="0" applyFill="1" applyBorder="1"/>
    <xf numFmtId="170" fontId="10" fillId="17" borderId="24" xfId="0" applyFont="1" applyFill="1" applyBorder="1"/>
    <xf numFmtId="170" fontId="10" fillId="17" borderId="19" xfId="0" applyFont="1" applyFill="1" applyBorder="1"/>
    <xf numFmtId="170" fontId="0" fillId="11" borderId="24" xfId="0" applyFill="1" applyBorder="1"/>
    <xf numFmtId="170" fontId="0" fillId="13" borderId="24" xfId="0" applyFill="1" applyBorder="1"/>
    <xf numFmtId="170" fontId="0" fillId="14" borderId="24" xfId="0" applyFill="1" applyBorder="1"/>
    <xf numFmtId="170" fontId="4" fillId="2" borderId="0" xfId="0" applyFont="1" applyAlignment="1">
      <alignment horizontal="right"/>
    </xf>
    <xf numFmtId="14" fontId="10" fillId="2" borderId="23" xfId="0" applyNumberFormat="1" applyFont="1" applyBorder="1" applyAlignment="1">
      <alignment horizontal="right"/>
    </xf>
    <xf numFmtId="14" fontId="10" fillId="2" borderId="24" xfId="0" applyNumberFormat="1" applyFont="1" applyBorder="1" applyAlignment="1">
      <alignment horizontal="left"/>
    </xf>
    <xf numFmtId="10" fontId="0" fillId="2" borderId="12" xfId="0" applyNumberFormat="1" applyBorder="1"/>
    <xf numFmtId="170" fontId="11" fillId="2" borderId="4" xfId="0" applyFont="1" applyBorder="1"/>
    <xf numFmtId="170" fontId="11" fillId="2" borderId="27" xfId="0" applyFont="1" applyBorder="1"/>
    <xf numFmtId="170" fontId="0" fillId="18" borderId="13" xfId="0" applyFill="1" applyBorder="1"/>
    <xf numFmtId="170" fontId="0" fillId="18" borderId="24" xfId="0" applyFill="1" applyBorder="1"/>
    <xf numFmtId="170" fontId="14" fillId="18" borderId="12" xfId="0" applyFont="1" applyFill="1" applyBorder="1"/>
    <xf numFmtId="170" fontId="14" fillId="18" borderId="20" xfId="0" applyFont="1" applyFill="1" applyBorder="1"/>
    <xf numFmtId="170" fontId="7" fillId="2" borderId="13" xfId="0" applyFont="1" applyBorder="1"/>
    <xf numFmtId="10" fontId="7" fillId="2" borderId="13" xfId="0" applyNumberFormat="1" applyFont="1" applyBorder="1"/>
    <xf numFmtId="170" fontId="7" fillId="2" borderId="10" xfId="0" applyFont="1" applyBorder="1"/>
    <xf numFmtId="10" fontId="7" fillId="2" borderId="10" xfId="0" applyNumberFormat="1" applyFont="1" applyBorder="1"/>
    <xf numFmtId="170" fontId="7" fillId="2" borderId="0" xfId="0" applyFont="1"/>
    <xf numFmtId="170" fontId="10" fillId="2" borderId="15" xfId="0" applyFont="1" applyBorder="1" applyAlignment="1">
      <alignment horizontal="left"/>
    </xf>
    <xf numFmtId="170" fontId="12" fillId="2" borderId="15" xfId="0" applyFont="1" applyBorder="1" applyAlignment="1">
      <alignment horizontal="left"/>
    </xf>
    <xf numFmtId="170" fontId="0" fillId="2" borderId="15" xfId="0" applyBorder="1" applyAlignment="1">
      <alignment horizontal="right"/>
    </xf>
    <xf numFmtId="170" fontId="0" fillId="2" borderId="15" xfId="0" applyBorder="1" applyAlignment="1">
      <alignment horizontal="left"/>
    </xf>
    <xf numFmtId="170" fontId="0" fillId="2" borderId="15" xfId="0" applyBorder="1"/>
    <xf numFmtId="2" fontId="10" fillId="2" borderId="23" xfId="0" applyNumberFormat="1" applyFont="1" applyBorder="1" applyAlignment="1">
      <alignment horizontal="right"/>
    </xf>
    <xf numFmtId="2" fontId="10" fillId="2" borderId="24" xfId="0" applyNumberFormat="1" applyFont="1" applyBorder="1" applyAlignment="1">
      <alignment horizontal="left"/>
    </xf>
    <xf numFmtId="3" fontId="10" fillId="2" borderId="23" xfId="0" applyNumberFormat="1" applyFont="1" applyBorder="1" applyAlignment="1">
      <alignment horizontal="right"/>
    </xf>
    <xf numFmtId="170" fontId="10" fillId="19" borderId="26" xfId="0" applyFont="1" applyFill="1" applyBorder="1"/>
    <xf numFmtId="170" fontId="10" fillId="19" borderId="13" xfId="0" applyFont="1" applyFill="1" applyBorder="1"/>
    <xf numFmtId="170" fontId="10" fillId="19" borderId="24" xfId="0" applyFont="1" applyFill="1" applyBorder="1"/>
    <xf numFmtId="170" fontId="10" fillId="20" borderId="26" xfId="0" applyFont="1" applyFill="1" applyBorder="1"/>
    <xf numFmtId="170" fontId="10" fillId="20" borderId="13" xfId="0" applyFont="1" applyFill="1" applyBorder="1"/>
    <xf numFmtId="170" fontId="10" fillId="20" borderId="24" xfId="0" applyFont="1" applyFill="1" applyBorder="1"/>
    <xf numFmtId="170" fontId="13" fillId="13" borderId="26" xfId="0" applyFont="1" applyFill="1" applyBorder="1"/>
    <xf numFmtId="170" fontId="10" fillId="21" borderId="26" xfId="0" applyFont="1" applyFill="1" applyBorder="1"/>
    <xf numFmtId="170" fontId="10" fillId="21" borderId="13" xfId="0" applyFont="1" applyFill="1" applyBorder="1"/>
    <xf numFmtId="170" fontId="10" fillId="21" borderId="24" xfId="0" applyFont="1" applyFill="1" applyBorder="1"/>
    <xf numFmtId="2" fontId="10" fillId="21" borderId="13" xfId="0" applyNumberFormat="1" applyFont="1" applyFill="1" applyBorder="1"/>
    <xf numFmtId="170" fontId="11" fillId="2" borderId="12" xfId="0" applyFont="1" applyBorder="1"/>
    <xf numFmtId="170" fontId="11" fillId="2" borderId="20" xfId="0" applyFont="1" applyBorder="1"/>
    <xf numFmtId="170" fontId="0" fillId="2" borderId="18" xfId="0" applyBorder="1"/>
    <xf numFmtId="170" fontId="7" fillId="6" borderId="0" xfId="0" applyFont="1" applyFill="1"/>
    <xf numFmtId="170" fontId="18" fillId="18" borderId="13" xfId="0" applyFont="1" applyFill="1" applyBorder="1"/>
    <xf numFmtId="170" fontId="20" fillId="18" borderId="12" xfId="0" applyFont="1" applyFill="1" applyBorder="1"/>
    <xf numFmtId="170" fontId="7" fillId="6" borderId="2" xfId="0" applyFont="1" applyFill="1" applyBorder="1"/>
    <xf numFmtId="170" fontId="7" fillId="6" borderId="11" xfId="0" applyFont="1" applyFill="1" applyBorder="1"/>
    <xf numFmtId="170" fontId="5" fillId="6" borderId="11" xfId="0" applyFont="1" applyFill="1" applyBorder="1"/>
    <xf numFmtId="170" fontId="7" fillId="6" borderId="10" xfId="0" applyFont="1" applyFill="1" applyBorder="1"/>
    <xf numFmtId="170" fontId="7" fillId="6" borderId="12" xfId="0" applyFont="1" applyFill="1" applyBorder="1"/>
    <xf numFmtId="3" fontId="4" fillId="2" borderId="23" xfId="0" applyNumberFormat="1" applyFont="1" applyBorder="1" applyAlignment="1">
      <alignment horizontal="center"/>
    </xf>
    <xf numFmtId="170" fontId="4" fillId="2" borderId="24" xfId="0" applyFont="1" applyBorder="1" applyAlignment="1">
      <alignment horizontal="center"/>
    </xf>
    <xf numFmtId="14" fontId="4" fillId="2" borderId="23" xfId="0" applyNumberFormat="1" applyFont="1" applyBorder="1" applyAlignment="1">
      <alignment horizontal="center"/>
    </xf>
    <xf numFmtId="170" fontId="4" fillId="2" borderId="15" xfId="0" applyFont="1" applyBorder="1" applyAlignment="1">
      <alignment horizontal="left"/>
    </xf>
    <xf numFmtId="170" fontId="4" fillId="2" borderId="15" xfId="0" applyFont="1" applyBorder="1" applyAlignment="1">
      <alignment horizontal="center"/>
    </xf>
    <xf numFmtId="170" fontId="10" fillId="2" borderId="15" xfId="0" applyFont="1" applyBorder="1"/>
    <xf numFmtId="170" fontId="5" fillId="6" borderId="16" xfId="0" applyFont="1" applyFill="1" applyBorder="1" applyAlignment="1">
      <alignment horizontal="center"/>
    </xf>
    <xf numFmtId="170" fontId="5" fillId="6" borderId="6" xfId="0" applyFont="1" applyFill="1" applyBorder="1" applyAlignment="1">
      <alignment horizontal="center"/>
    </xf>
    <xf numFmtId="170" fontId="10" fillId="2" borderId="27" xfId="0" applyFont="1" applyBorder="1"/>
    <xf numFmtId="14" fontId="0" fillId="2" borderId="10" xfId="0" applyNumberFormat="1" applyBorder="1"/>
    <xf numFmtId="14" fontId="0" fillId="2" borderId="25" xfId="0" applyNumberFormat="1" applyBorder="1"/>
    <xf numFmtId="14" fontId="0" fillId="2" borderId="19" xfId="0" applyNumberFormat="1" applyBorder="1"/>
    <xf numFmtId="14" fontId="0" fillId="2" borderId="12" xfId="0" applyNumberFormat="1" applyBorder="1"/>
    <xf numFmtId="14" fontId="0" fillId="2" borderId="20" xfId="0" applyNumberFormat="1" applyBorder="1"/>
    <xf numFmtId="169" fontId="0" fillId="2" borderId="0" xfId="0" applyNumberFormat="1"/>
    <xf numFmtId="170" fontId="10" fillId="6" borderId="10" xfId="0" applyFont="1" applyFill="1" applyBorder="1"/>
    <xf numFmtId="169" fontId="0" fillId="6" borderId="10" xfId="0" applyNumberFormat="1" applyFill="1" applyBorder="1"/>
    <xf numFmtId="170" fontId="7" fillId="2" borderId="24" xfId="0" applyFont="1" applyBorder="1"/>
    <xf numFmtId="170" fontId="7" fillId="2" borderId="25" xfId="0" applyFont="1" applyBorder="1"/>
    <xf numFmtId="170" fontId="7" fillId="2" borderId="19" xfId="0" applyFont="1" applyBorder="1"/>
    <xf numFmtId="2" fontId="10" fillId="2" borderId="0" xfId="0" applyNumberFormat="1" applyFont="1" applyAlignment="1">
      <alignment horizontal="right"/>
    </xf>
    <xf numFmtId="1" fontId="10" fillId="2" borderId="23" xfId="0" applyNumberFormat="1" applyFont="1" applyBorder="1" applyAlignment="1">
      <alignment horizontal="right"/>
    </xf>
    <xf numFmtId="170" fontId="18" fillId="18" borderId="10" xfId="0" applyFont="1" applyFill="1" applyBorder="1"/>
    <xf numFmtId="170" fontId="0" fillId="18" borderId="10" xfId="0" applyFill="1" applyBorder="1"/>
    <xf numFmtId="170" fontId="0" fillId="18" borderId="25" xfId="0" applyFill="1" applyBorder="1"/>
    <xf numFmtId="170" fontId="21" fillId="2" borderId="12" xfId="0" applyFont="1" applyBorder="1"/>
    <xf numFmtId="170" fontId="21" fillId="2" borderId="20" xfId="0" applyFont="1" applyBorder="1"/>
    <xf numFmtId="170" fontId="17" fillId="2" borderId="0" xfId="0" applyFont="1"/>
    <xf numFmtId="170" fontId="17" fillId="2" borderId="19" xfId="0" applyFont="1" applyBorder="1"/>
    <xf numFmtId="3" fontId="21" fillId="2" borderId="12" xfId="0" applyNumberFormat="1" applyFont="1" applyBorder="1"/>
    <xf numFmtId="3" fontId="17" fillId="2" borderId="0" xfId="0" applyNumberFormat="1" applyFont="1"/>
    <xf numFmtId="3" fontId="11" fillId="2" borderId="0" xfId="0" applyNumberFormat="1" applyFont="1"/>
    <xf numFmtId="3" fontId="0" fillId="2" borderId="0" xfId="0" applyNumberFormat="1"/>
    <xf numFmtId="170" fontId="0" fillId="2" borderId="0" xfId="0" applyAlignment="1">
      <alignment vertical="center"/>
    </xf>
    <xf numFmtId="170" fontId="10" fillId="2" borderId="28" xfId="0" applyFont="1" applyBorder="1"/>
    <xf numFmtId="170" fontId="12" fillId="2" borderId="0" xfId="0" applyFont="1" applyAlignment="1">
      <alignment horizontal="center"/>
    </xf>
    <xf numFmtId="14" fontId="0" fillId="2" borderId="24" xfId="0" applyNumberFormat="1" applyBorder="1"/>
    <xf numFmtId="14" fontId="0" fillId="2" borderId="13" xfId="0" applyNumberFormat="1" applyBorder="1"/>
    <xf numFmtId="14" fontId="0" fillId="6" borderId="15" xfId="0" applyNumberFormat="1" applyFill="1" applyBorder="1"/>
    <xf numFmtId="3" fontId="0" fillId="2" borderId="18" xfId="0" applyNumberFormat="1" applyBorder="1"/>
    <xf numFmtId="0" fontId="6" fillId="2" borderId="0" xfId="1" applyFont="1" applyFill="1" applyAlignment="1"/>
    <xf numFmtId="170" fontId="4" fillId="2" borderId="8" xfId="0" applyFont="1" applyBorder="1"/>
    <xf numFmtId="170" fontId="4" fillId="2" borderId="24" xfId="0" applyFont="1" applyBorder="1"/>
    <xf numFmtId="170" fontId="12" fillId="2" borderId="0" xfId="0" applyFont="1"/>
    <xf numFmtId="170" fontId="4" fillId="2" borderId="15" xfId="0" applyFont="1" applyBorder="1"/>
    <xf numFmtId="2" fontId="10" fillId="2" borderId="24" xfId="0" applyNumberFormat="1" applyFont="1" applyBorder="1"/>
    <xf numFmtId="170" fontId="10" fillId="2" borderId="24" xfId="0" applyFont="1" applyBorder="1"/>
    <xf numFmtId="14" fontId="10" fillId="2" borderId="24" xfId="0" applyNumberFormat="1" applyFont="1" applyBorder="1"/>
    <xf numFmtId="170" fontId="5" fillId="4" borderId="21" xfId="0" applyFont="1" applyFill="1" applyBorder="1" applyAlignment="1">
      <alignment horizontal="center"/>
    </xf>
    <xf numFmtId="170" fontId="5" fillId="4" borderId="4" xfId="0" applyFont="1" applyFill="1" applyBorder="1" applyAlignment="1">
      <alignment horizontal="center"/>
    </xf>
    <xf numFmtId="170" fontId="5" fillId="4" borderId="16" xfId="0" applyFont="1" applyFill="1" applyBorder="1" applyAlignment="1">
      <alignment horizontal="center"/>
    </xf>
    <xf numFmtId="170" fontId="5" fillId="4" borderId="6" xfId="0" applyFont="1" applyFill="1" applyBorder="1" applyAlignment="1">
      <alignment horizontal="center"/>
    </xf>
    <xf numFmtId="170" fontId="13" fillId="2" borderId="0" xfId="0" applyFont="1" applyAlignment="1">
      <alignment horizontal="left"/>
    </xf>
    <xf numFmtId="170" fontId="18" fillId="18" borderId="0" xfId="0" applyFont="1" applyFill="1" applyAlignment="1">
      <alignment horizontal="center" vertical="center"/>
    </xf>
    <xf numFmtId="170" fontId="10" fillId="22" borderId="26" xfId="0" applyFont="1" applyFill="1" applyBorder="1" applyAlignment="1">
      <alignment horizontal="left"/>
    </xf>
    <xf numFmtId="170" fontId="10" fillId="22" borderId="13" xfId="0" applyFont="1" applyFill="1" applyBorder="1"/>
    <xf numFmtId="170" fontId="10" fillId="22" borderId="24" xfId="0" applyFont="1" applyFill="1" applyBorder="1"/>
    <xf numFmtId="165" fontId="4" fillId="4" borderId="22" xfId="0" applyNumberFormat="1" applyFont="1" applyFill="1" applyBorder="1" applyAlignment="1">
      <alignment horizontal="center"/>
    </xf>
    <xf numFmtId="170" fontId="0" fillId="2" borderId="19" xfId="0" applyBorder="1">
      <extLst>
        <ext xmlns:xfpb="http://schemas.microsoft.com/office/spreadsheetml/2022/featurepropertybag" uri="{C7286773-470A-42A8-94C5-96B5CB345126}">
          <xfpb:xfComplement i="0"/>
        </ext>
      </extLst>
    </xf>
    <xf numFmtId="170" fontId="0" fillId="2" borderId="20" xfId="0" applyBorder="1">
      <extLst>
        <ext xmlns:xfpb="http://schemas.microsoft.com/office/spreadsheetml/2022/featurepropertybag" uri="{C7286773-470A-42A8-94C5-96B5CB345126}">
          <xfpb:xfComplement i="0"/>
        </ext>
      </extLst>
    </xf>
    <xf numFmtId="170" fontId="0" fillId="2" borderId="18" xfId="0" applyBorder="1" applyAlignment="1">
      <alignment horizontal="right"/>
    </xf>
    <xf numFmtId="170" fontId="0" fillId="2" borderId="0" xfId="0">
      <extLst>
        <ext xmlns:xfpb="http://schemas.microsoft.com/office/spreadsheetml/2022/featurepropertybag" uri="{C7286773-470A-42A8-94C5-96B5CB345126}">
          <xfpb:xfComplement i="0"/>
        </ext>
      </extLst>
    </xf>
    <xf numFmtId="1" fontId="7" fillId="2" borderId="0" xfId="0" applyNumberFormat="1" applyFont="1" applyAlignment="1">
      <alignment horizontal="right"/>
    </xf>
    <xf numFmtId="169" fontId="7" fillId="2" borderId="29" xfId="0" applyNumberFormat="1" applyFont="1" applyBorder="1" applyAlignment="1">
      <alignment horizontal="right"/>
    </xf>
    <xf numFmtId="169" fontId="7" fillId="2" borderId="0" xfId="0" applyNumberFormat="1" applyFont="1"/>
    <xf numFmtId="170" fontId="10" fillId="2" borderId="4" xfId="0" applyFont="1" applyBorder="1" applyAlignment="1">
      <alignment horizontal="center"/>
    </xf>
    <xf numFmtId="170" fontId="11" fillId="2" borderId="0" xfId="0" applyFont="1" applyAlignment="1">
      <alignment horizontal="center"/>
    </xf>
    <xf numFmtId="170" fontId="11" fillId="2" borderId="12" xfId="0" applyFont="1" applyBorder="1" applyAlignment="1">
      <alignment horizontal="center"/>
    </xf>
    <xf numFmtId="169" fontId="0" fillId="2" borderId="0" xfId="0" applyNumberFormat="1" applyAlignment="1">
      <alignment horizontal="right"/>
    </xf>
    <xf numFmtId="170" fontId="10" fillId="2" borderId="10" xfId="0" applyFont="1" applyBorder="1" applyAlignment="1">
      <alignment horizontal="right"/>
    </xf>
    <xf numFmtId="169" fontId="0" fillId="2" borderId="10" xfId="0" applyNumberFormat="1" applyBorder="1" applyAlignment="1">
      <alignment horizontal="right"/>
    </xf>
    <xf numFmtId="165" fontId="4" fillId="2" borderId="22" xfId="0" applyNumberFormat="1" applyFont="1" applyBorder="1" applyAlignment="1">
      <alignment horizontal="center"/>
    </xf>
    <xf numFmtId="170" fontId="0" fillId="6" borderId="0" xfId="0" applyFill="1" applyAlignment="1">
      <alignment wrapText="1"/>
    </xf>
    <xf numFmtId="2" fontId="7" fillId="2" borderId="0" xfId="0" applyNumberFormat="1" applyFont="1"/>
    <xf numFmtId="170" fontId="7" fillId="2" borderId="27" xfId="0" applyFont="1" applyBorder="1"/>
    <xf numFmtId="170" fontId="18" fillId="18" borderId="0" xfId="0" applyFont="1" applyFill="1" applyAlignment="1">
      <alignment horizontal="center" vertical="center"/>
    </xf>
    <xf numFmtId="170" fontId="4" fillId="2" borderId="7" xfId="0" applyFont="1" applyBorder="1" applyAlignment="1">
      <alignment horizontal="center"/>
    </xf>
    <xf numFmtId="170" fontId="4" fillId="2" borderId="9" xfId="0" applyFont="1" applyBorder="1" applyAlignment="1">
      <alignment horizontal="center"/>
    </xf>
    <xf numFmtId="170" fontId="12" fillId="2" borderId="23" xfId="0" applyFont="1" applyBorder="1" applyAlignment="1">
      <alignment horizontal="center" vertical="center"/>
    </xf>
    <xf numFmtId="170" fontId="12" fillId="2" borderId="13" xfId="0" applyFont="1" applyBorder="1" applyAlignment="1">
      <alignment horizontal="center" vertical="center"/>
    </xf>
    <xf numFmtId="170" fontId="12" fillId="2" borderId="24" xfId="0" applyFont="1" applyBorder="1" applyAlignment="1">
      <alignment horizontal="center" vertical="center"/>
    </xf>
    <xf numFmtId="170" fontId="12" fillId="2" borderId="19" xfId="0" applyFont="1" applyBorder="1" applyAlignment="1">
      <alignment horizontal="center" vertical="center"/>
    </xf>
    <xf numFmtId="170" fontId="12" fillId="2" borderId="20" xfId="0" applyFont="1" applyBorder="1" applyAlignment="1">
      <alignment horizontal="center" vertical="center"/>
    </xf>
  </cellXfs>
  <cellStyles count="2">
    <cellStyle name="Köprü" xfId="1" builtinId="8"/>
    <cellStyle name="Normal" xfId="0" builtinId="0" customBuiltin="1"/>
  </cellStyles>
  <dxfs count="22">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ont>
        <color auto="1"/>
      </font>
    </dxf>
    <dxf>
      <font>
        <color auto="1"/>
      </font>
    </dxf>
    <dxf>
      <font>
        <color theme="1"/>
      </font>
    </dxf>
    <dxf>
      <font>
        <color theme="0"/>
      </font>
    </dxf>
    <dxf>
      <font>
        <color theme="0"/>
      </font>
    </dxf>
    <dxf>
      <font>
        <color theme="0"/>
      </font>
      <border>
        <vertical/>
        <horizontal/>
      </border>
    </dxf>
    <dxf>
      <fill>
        <patternFill>
          <bgColor rgb="FF5A9E00"/>
        </patternFill>
      </fill>
    </dxf>
  </dxfs>
  <tableStyles count="0" defaultTableStyle="TableStyleMedium2" defaultPivotStyle="PivotStyleLight16"/>
  <colors>
    <mruColors>
      <color rgb="FF5A9E00"/>
      <color rgb="FF007EDC"/>
      <color rgb="FF6C0000"/>
      <color rgb="FFA400E6"/>
      <color rgb="FFB300FA"/>
      <color rgb="FF9D00DC"/>
      <color rgb="FF8F00C8"/>
      <color rgb="FFCDC800"/>
      <color rgb="FFBE006D"/>
      <color rgb="FFDC9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1/relationships/FeaturePropertyBag" Target="featurePropertyBag/featurePropertyBag.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xdr:colOff>
          <xdr:row>7</xdr:row>
          <xdr:rowOff>7620</xdr:rowOff>
        </xdr:from>
        <xdr:to>
          <xdr:col>10</xdr:col>
          <xdr:colOff>167640</xdr:colOff>
          <xdr:row>7</xdr:row>
          <xdr:rowOff>167640</xdr:rowOff>
        </xdr:to>
        <xdr:sp macro="" textlink="">
          <xdr:nvSpPr>
            <xdr:cNvPr id="3216" name="Button 144" descr="Add New Scenario Column"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xdr:colOff>
          <xdr:row>7</xdr:row>
          <xdr:rowOff>7620</xdr:rowOff>
        </xdr:from>
        <xdr:to>
          <xdr:col>9</xdr:col>
          <xdr:colOff>167640</xdr:colOff>
          <xdr:row>7</xdr:row>
          <xdr:rowOff>167640</xdr:rowOff>
        </xdr:to>
        <xdr:sp macro="" textlink="">
          <xdr:nvSpPr>
            <xdr:cNvPr id="11265" name="Button 1" descr="Add New Scenario Column"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Metropolitan">
  <a:themeElements>
    <a:clrScheme name="S70-L40">
      <a:dk1>
        <a:srgbClr val="000000"/>
      </a:dk1>
      <a:lt1>
        <a:srgbClr val="FFFFFF"/>
      </a:lt1>
      <a:dk2>
        <a:srgbClr val="C80000"/>
      </a:dk2>
      <a:lt2>
        <a:srgbClr val="D29600"/>
      </a:lt2>
      <a:accent1>
        <a:srgbClr val="B2B200"/>
      </a:accent1>
      <a:accent2>
        <a:srgbClr val="66B200"/>
      </a:accent2>
      <a:accent3>
        <a:srgbClr val="00B29B"/>
      </a:accent3>
      <a:accent4>
        <a:srgbClr val="007EDC"/>
      </a:accent4>
      <a:accent5>
        <a:srgbClr val="A400E6"/>
      </a:accent5>
      <a:accent6>
        <a:srgbClr val="BE006D"/>
      </a:accent6>
      <a:hlink>
        <a:srgbClr val="008574"/>
      </a:hlink>
      <a:folHlink>
        <a:srgbClr val="008574"/>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AppData/Roaming/Microsoft/Belgeler/Obsidian%20Vault/SANKO%20SBD/Strategy%20&amp;%20Projects/1.%20Business%20Development%20(Strategy)/4.%20Run%20a%20Feasability%20Analysis/Dok&#252;man" TargetMode="External"/><Relationship Id="rId1" Type="http://schemas.openxmlformats.org/officeDocument/2006/relationships/hyperlink" Target="../../AppData/Roaming/Microsoft/Belgeler/Obsidian%20Vault/SANKO%20SBD/Strategy%20&amp;%20Projects/1.%20Business%20Development%20(Strategy)/Belgeler/Obsidian%20Vault/SANKO%20SBD/Strategy%20&amp;%20Projects/1.%20Business%20Development%20(Strategy)/4.%20Run%20a%20Feasability%20Analysis/RES%20Master%20Model.xlsx" TargetMode="External"/><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F89E-1F48-475E-AF46-0A68670C1D05}">
  <sheetPr codeName="Sayfa3">
    <outlinePr summaryBelow="0" summaryRight="0"/>
  </sheetPr>
  <dimension ref="A1:OE385"/>
  <sheetViews>
    <sheetView tabSelected="1" zoomScale="85" zoomScaleNormal="85" workbookViewId="0">
      <pane ySplit="6" topLeftCell="A7" activePane="bottomLeft" state="frozen"/>
      <selection pane="bottomLeft" activeCell="D66" sqref="D66:D67"/>
    </sheetView>
  </sheetViews>
  <sheetFormatPr defaultRowHeight="13.8" customHeight="1" outlineLevelRow="1" outlineLevelCol="1" x14ac:dyDescent="0.3"/>
  <cols>
    <col min="1" max="3" width="2.5546875" style="128" customWidth="1"/>
    <col min="4" max="4" width="24.77734375" style="21" customWidth="1"/>
    <col min="5" max="5" width="17.5546875" customWidth="1"/>
    <col min="6" max="6" width="11.109375" customWidth="1"/>
    <col min="7" max="7" width="11.5546875" customWidth="1"/>
    <col min="8" max="8" width="8.6640625" customWidth="1" collapsed="1"/>
    <col min="9" max="10" width="15.109375" hidden="1" customWidth="1" outlineLevel="1"/>
    <col min="11" max="13" width="2.5546875" customWidth="1"/>
    <col min="14" max="14" width="17.5546875" customWidth="1"/>
    <col min="15" max="15" width="12.6640625" customWidth="1"/>
    <col min="16" max="16" width="11.77734375" customWidth="1"/>
    <col min="17" max="17" width="12.6640625" customWidth="1"/>
    <col min="18" max="19" width="10.109375" customWidth="1"/>
    <col min="20" max="395" width="11.77734375" customWidth="1"/>
  </cols>
  <sheetData>
    <row r="1" spans="1:395" ht="13.8" customHeight="1" x14ac:dyDescent="0.3">
      <c r="A1" s="127" t="s">
        <v>138</v>
      </c>
      <c r="E1" s="7"/>
      <c r="G1" s="68"/>
      <c r="H1" s="68"/>
      <c r="K1" s="73"/>
      <c r="L1" s="74"/>
      <c r="M1" s="75"/>
      <c r="N1" s="280" t="s">
        <v>11</v>
      </c>
      <c r="O1" s="272" t="s">
        <v>433</v>
      </c>
      <c r="P1" s="8"/>
      <c r="Q1" s="1" cm="1">
        <f t="array" ref="Q1:OE1">_xlfn.SEQUENCE(1,COUNTA(_xlfn.ANCHORARRAY(Q2)),1,0)</f>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s="1">
        <v>1</v>
      </c>
    </row>
    <row r="2" spans="1:395" ht="13.8" customHeight="1" x14ac:dyDescent="0.3">
      <c r="A2" s="127"/>
      <c r="B2" s="127" t="s">
        <v>139</v>
      </c>
      <c r="D2" s="21" t="s">
        <v>55</v>
      </c>
      <c r="E2" s="272" t="s">
        <v>30</v>
      </c>
      <c r="G2" s="68"/>
      <c r="H2" s="68"/>
      <c r="K2" s="76"/>
      <c r="L2" s="66"/>
      <c r="M2" s="77"/>
      <c r="O2" s="281" t="s">
        <v>433</v>
      </c>
      <c r="P2" s="276" t="b">
        <f>IF($O$1=O2,TRUE,FALSE)</f>
        <v>1</v>
      </c>
      <c r="Q2" s="278" cm="1">
        <f t="array" ref="Q2:OE2">EDATE(INPUT!E4,_xlfn.SEQUENCE(1,((YEAR(INPUT!E5)-YEAR(INPUT!E4))*12+(MONTH(INPUT!E5)-MONTH(INPUT!E4))+1),0))</f>
        <v>46174</v>
      </c>
      <c r="R2" s="279">
        <v>46204</v>
      </c>
      <c r="S2" s="279">
        <v>46235</v>
      </c>
      <c r="T2" s="279">
        <v>46266</v>
      </c>
      <c r="U2" s="279">
        <v>46296</v>
      </c>
      <c r="V2" s="279">
        <v>46327</v>
      </c>
      <c r="W2" s="279">
        <v>46357</v>
      </c>
      <c r="X2" s="279">
        <v>46388</v>
      </c>
      <c r="Y2" s="279">
        <v>46419</v>
      </c>
      <c r="Z2" s="279">
        <v>46447</v>
      </c>
      <c r="AA2" s="279">
        <v>46478</v>
      </c>
      <c r="AB2" s="279">
        <v>46508</v>
      </c>
      <c r="AC2" s="279">
        <v>46539</v>
      </c>
      <c r="AD2" s="279">
        <v>46569</v>
      </c>
      <c r="AE2" s="279">
        <v>46600</v>
      </c>
      <c r="AF2" s="279">
        <v>46631</v>
      </c>
      <c r="AG2" s="279">
        <v>46661</v>
      </c>
      <c r="AH2" s="279">
        <v>46692</v>
      </c>
      <c r="AI2" s="279">
        <v>46722</v>
      </c>
      <c r="AJ2" s="279">
        <v>46753</v>
      </c>
      <c r="AK2" s="279">
        <v>46784</v>
      </c>
      <c r="AL2" s="279">
        <v>46813</v>
      </c>
      <c r="AM2" s="279">
        <v>46844</v>
      </c>
      <c r="AN2" s="279">
        <v>46874</v>
      </c>
      <c r="AO2" s="279">
        <v>46905</v>
      </c>
      <c r="AP2" s="279">
        <v>46935</v>
      </c>
      <c r="AQ2" s="279">
        <v>46966</v>
      </c>
      <c r="AR2" s="279">
        <v>46997</v>
      </c>
      <c r="AS2" s="279">
        <v>47027</v>
      </c>
      <c r="AT2" s="279">
        <v>47058</v>
      </c>
      <c r="AU2" s="279">
        <v>47088</v>
      </c>
      <c r="AV2" s="279">
        <v>47119</v>
      </c>
      <c r="AW2" s="279">
        <v>47150</v>
      </c>
      <c r="AX2" s="279">
        <v>47178</v>
      </c>
      <c r="AY2" s="279">
        <v>47209</v>
      </c>
      <c r="AZ2" s="279">
        <v>47239</v>
      </c>
      <c r="BA2" s="279">
        <v>47270</v>
      </c>
      <c r="BB2" s="279">
        <v>47300</v>
      </c>
      <c r="BC2" s="279">
        <v>47331</v>
      </c>
      <c r="BD2" s="279">
        <v>47362</v>
      </c>
      <c r="BE2" s="279">
        <v>47392</v>
      </c>
      <c r="BF2" s="279">
        <v>47423</v>
      </c>
      <c r="BG2" s="279">
        <v>47453</v>
      </c>
      <c r="BH2" s="279">
        <v>47484</v>
      </c>
      <c r="BI2" s="279">
        <v>47515</v>
      </c>
      <c r="BJ2" s="279">
        <v>47543</v>
      </c>
      <c r="BK2" s="279">
        <v>47574</v>
      </c>
      <c r="BL2" s="279">
        <v>47604</v>
      </c>
      <c r="BM2" s="279">
        <v>47635</v>
      </c>
      <c r="BN2" s="279">
        <v>47665</v>
      </c>
      <c r="BO2" s="279">
        <v>47696</v>
      </c>
      <c r="BP2" s="279">
        <v>47727</v>
      </c>
      <c r="BQ2" s="279">
        <v>47757</v>
      </c>
      <c r="BR2" s="279">
        <v>47788</v>
      </c>
      <c r="BS2" s="279">
        <v>47818</v>
      </c>
      <c r="BT2" s="279">
        <v>47849</v>
      </c>
      <c r="BU2" s="279">
        <v>47880</v>
      </c>
      <c r="BV2" s="279">
        <v>47908</v>
      </c>
      <c r="BW2" s="279">
        <v>47939</v>
      </c>
      <c r="BX2" s="279">
        <v>47969</v>
      </c>
      <c r="BY2" s="279">
        <v>48000</v>
      </c>
      <c r="BZ2" s="279">
        <v>48030</v>
      </c>
      <c r="CA2" s="279">
        <v>48061</v>
      </c>
      <c r="CB2" s="279">
        <v>48092</v>
      </c>
      <c r="CC2" s="279">
        <v>48122</v>
      </c>
      <c r="CD2" s="279">
        <v>48153</v>
      </c>
      <c r="CE2" s="279">
        <v>48183</v>
      </c>
      <c r="CF2" s="279">
        <v>48214</v>
      </c>
      <c r="CG2" s="279">
        <v>48245</v>
      </c>
      <c r="CH2" s="279">
        <v>48274</v>
      </c>
      <c r="CI2" s="279">
        <v>48305</v>
      </c>
      <c r="CJ2" s="279">
        <v>48335</v>
      </c>
      <c r="CK2" s="279">
        <v>48366</v>
      </c>
      <c r="CL2" s="279">
        <v>48396</v>
      </c>
      <c r="CM2" s="279">
        <v>48427</v>
      </c>
      <c r="CN2" s="279">
        <v>48458</v>
      </c>
      <c r="CO2" s="279">
        <v>48488</v>
      </c>
      <c r="CP2" s="279">
        <v>48519</v>
      </c>
      <c r="CQ2" s="279">
        <v>48549</v>
      </c>
      <c r="CR2" s="279">
        <v>48580</v>
      </c>
      <c r="CS2" s="279">
        <v>48611</v>
      </c>
      <c r="CT2" s="279">
        <v>48639</v>
      </c>
      <c r="CU2" s="279">
        <v>48670</v>
      </c>
      <c r="CV2" s="279">
        <v>48700</v>
      </c>
      <c r="CW2" s="279">
        <v>48731</v>
      </c>
      <c r="CX2" s="279">
        <v>48761</v>
      </c>
      <c r="CY2" s="279">
        <v>48792</v>
      </c>
      <c r="CZ2" s="279">
        <v>48823</v>
      </c>
      <c r="DA2" s="279">
        <v>48853</v>
      </c>
      <c r="DB2" s="279">
        <v>48884</v>
      </c>
      <c r="DC2" s="279">
        <v>48914</v>
      </c>
      <c r="DD2" s="279">
        <v>48945</v>
      </c>
      <c r="DE2" s="279">
        <v>48976</v>
      </c>
      <c r="DF2" s="279">
        <v>49004</v>
      </c>
      <c r="DG2" s="279">
        <v>49035</v>
      </c>
      <c r="DH2" s="279">
        <v>49065</v>
      </c>
      <c r="DI2" s="279">
        <v>49096</v>
      </c>
      <c r="DJ2" s="279">
        <v>49126</v>
      </c>
      <c r="DK2" s="279">
        <v>49157</v>
      </c>
      <c r="DL2" s="279">
        <v>49188</v>
      </c>
      <c r="DM2" s="279">
        <v>49218</v>
      </c>
      <c r="DN2" s="279">
        <v>49249</v>
      </c>
      <c r="DO2" s="279">
        <v>49279</v>
      </c>
      <c r="DP2" s="279">
        <v>49310</v>
      </c>
      <c r="DQ2" s="279">
        <v>49341</v>
      </c>
      <c r="DR2" s="279">
        <v>49369</v>
      </c>
      <c r="DS2" s="279">
        <v>49400</v>
      </c>
      <c r="DT2" s="279">
        <v>49430</v>
      </c>
      <c r="DU2" s="279">
        <v>49461</v>
      </c>
      <c r="DV2" s="279">
        <v>49491</v>
      </c>
      <c r="DW2" s="279">
        <v>49522</v>
      </c>
      <c r="DX2" s="279">
        <v>49553</v>
      </c>
      <c r="DY2" s="279">
        <v>49583</v>
      </c>
      <c r="DZ2" s="279">
        <v>49614</v>
      </c>
      <c r="EA2" s="279">
        <v>49644</v>
      </c>
      <c r="EB2" s="279">
        <v>49675</v>
      </c>
      <c r="EC2" s="279">
        <v>49706</v>
      </c>
      <c r="ED2" s="279">
        <v>49735</v>
      </c>
      <c r="EE2" s="279">
        <v>49766</v>
      </c>
      <c r="EF2" s="279">
        <v>49796</v>
      </c>
      <c r="EG2" s="279">
        <v>49827</v>
      </c>
      <c r="EH2" s="279">
        <v>49857</v>
      </c>
      <c r="EI2" s="279">
        <v>49888</v>
      </c>
      <c r="EJ2" s="279">
        <v>49919</v>
      </c>
      <c r="EK2" s="279">
        <v>49949</v>
      </c>
      <c r="EL2" s="279">
        <v>49980</v>
      </c>
      <c r="EM2" s="279">
        <v>50010</v>
      </c>
      <c r="EN2" s="279">
        <v>50041</v>
      </c>
      <c r="EO2" s="279">
        <v>50072</v>
      </c>
      <c r="EP2" s="279">
        <v>50100</v>
      </c>
      <c r="EQ2" s="279">
        <v>50131</v>
      </c>
      <c r="ER2" s="279">
        <v>50161</v>
      </c>
      <c r="ES2" s="279">
        <v>50192</v>
      </c>
      <c r="ET2" s="279">
        <v>50222</v>
      </c>
      <c r="EU2" s="279">
        <v>50253</v>
      </c>
      <c r="EV2" s="279">
        <v>50284</v>
      </c>
      <c r="EW2" s="279">
        <v>50314</v>
      </c>
      <c r="EX2" s="279">
        <v>50345</v>
      </c>
      <c r="EY2" s="279">
        <v>50375</v>
      </c>
      <c r="EZ2" s="279">
        <v>50406</v>
      </c>
      <c r="FA2" s="279">
        <v>50437</v>
      </c>
      <c r="FB2" s="279">
        <v>50465</v>
      </c>
      <c r="FC2" s="279">
        <v>50496</v>
      </c>
      <c r="FD2" s="279">
        <v>50526</v>
      </c>
      <c r="FE2" s="279">
        <v>50557</v>
      </c>
      <c r="FF2" s="279">
        <v>50587</v>
      </c>
      <c r="FG2" s="279">
        <v>50618</v>
      </c>
      <c r="FH2" s="279">
        <v>50649</v>
      </c>
      <c r="FI2" s="279">
        <v>50679</v>
      </c>
      <c r="FJ2" s="279">
        <v>50710</v>
      </c>
      <c r="FK2" s="279">
        <v>50740</v>
      </c>
      <c r="FL2" s="279">
        <v>50771</v>
      </c>
      <c r="FM2" s="279">
        <v>50802</v>
      </c>
      <c r="FN2" s="279">
        <v>50830</v>
      </c>
      <c r="FO2" s="279">
        <v>50861</v>
      </c>
      <c r="FP2" s="279">
        <v>50891</v>
      </c>
      <c r="FQ2" s="279">
        <v>50922</v>
      </c>
      <c r="FR2" s="279">
        <v>50952</v>
      </c>
      <c r="FS2" s="279">
        <v>50983</v>
      </c>
      <c r="FT2" s="279">
        <v>51014</v>
      </c>
      <c r="FU2" s="279">
        <v>51044</v>
      </c>
      <c r="FV2" s="279">
        <v>51075</v>
      </c>
      <c r="FW2" s="279">
        <v>51105</v>
      </c>
      <c r="FX2" s="279">
        <v>51136</v>
      </c>
      <c r="FY2" s="279">
        <v>51167</v>
      </c>
      <c r="FZ2" s="279">
        <v>51196</v>
      </c>
      <c r="GA2" s="279">
        <v>51227</v>
      </c>
      <c r="GB2" s="279">
        <v>51257</v>
      </c>
      <c r="GC2" s="279">
        <v>51288</v>
      </c>
      <c r="GD2" s="279">
        <v>51318</v>
      </c>
      <c r="GE2" s="279">
        <v>51349</v>
      </c>
      <c r="GF2" s="279">
        <v>51380</v>
      </c>
      <c r="GG2" s="279">
        <v>51410</v>
      </c>
      <c r="GH2" s="279">
        <v>51441</v>
      </c>
      <c r="GI2" s="279">
        <v>51471</v>
      </c>
      <c r="GJ2" s="279">
        <v>51502</v>
      </c>
      <c r="GK2" s="279">
        <v>51533</v>
      </c>
      <c r="GL2" s="279">
        <v>51561</v>
      </c>
      <c r="GM2" s="279">
        <v>51592</v>
      </c>
      <c r="GN2" s="279">
        <v>51622</v>
      </c>
      <c r="GO2" s="279">
        <v>51653</v>
      </c>
      <c r="GP2" s="279">
        <v>51683</v>
      </c>
      <c r="GQ2" s="279">
        <v>51714</v>
      </c>
      <c r="GR2" s="279">
        <v>51745</v>
      </c>
      <c r="GS2" s="279">
        <v>51775</v>
      </c>
      <c r="GT2" s="279">
        <v>51806</v>
      </c>
      <c r="GU2" s="279">
        <v>51836</v>
      </c>
      <c r="GV2" s="279">
        <v>51867</v>
      </c>
      <c r="GW2" s="279">
        <v>51898</v>
      </c>
      <c r="GX2" s="279">
        <v>51926</v>
      </c>
      <c r="GY2" s="279">
        <v>51957</v>
      </c>
      <c r="GZ2" s="279">
        <v>51987</v>
      </c>
      <c r="HA2" s="279">
        <v>52018</v>
      </c>
      <c r="HB2" s="279">
        <v>52048</v>
      </c>
      <c r="HC2" s="279">
        <v>52079</v>
      </c>
      <c r="HD2" s="279">
        <v>52110</v>
      </c>
      <c r="HE2" s="279">
        <v>52140</v>
      </c>
      <c r="HF2" s="279">
        <v>52171</v>
      </c>
      <c r="HG2" s="279">
        <v>52201</v>
      </c>
      <c r="HH2" s="279">
        <v>52232</v>
      </c>
      <c r="HI2" s="279">
        <v>52263</v>
      </c>
      <c r="HJ2" s="279">
        <v>52291</v>
      </c>
      <c r="HK2" s="279">
        <v>52322</v>
      </c>
      <c r="HL2" s="279">
        <v>52352</v>
      </c>
      <c r="HM2" s="279">
        <v>52383</v>
      </c>
      <c r="HN2" s="279">
        <v>52413</v>
      </c>
      <c r="HO2" s="279">
        <v>52444</v>
      </c>
      <c r="HP2" s="279">
        <v>52475</v>
      </c>
      <c r="HQ2" s="279">
        <v>52505</v>
      </c>
      <c r="HR2" s="279">
        <v>52536</v>
      </c>
      <c r="HS2" s="279">
        <v>52566</v>
      </c>
      <c r="HT2" s="279">
        <v>52597</v>
      </c>
      <c r="HU2" s="279">
        <v>52628</v>
      </c>
      <c r="HV2" s="279">
        <v>52657</v>
      </c>
      <c r="HW2" s="279">
        <v>52688</v>
      </c>
      <c r="HX2" s="279">
        <v>52718</v>
      </c>
      <c r="HY2" s="279">
        <v>52749</v>
      </c>
      <c r="HZ2" s="279">
        <v>52779</v>
      </c>
      <c r="IA2" s="279">
        <v>52810</v>
      </c>
      <c r="IB2" s="279">
        <v>52841</v>
      </c>
      <c r="IC2" s="279">
        <v>52871</v>
      </c>
      <c r="ID2" s="279">
        <v>52902</v>
      </c>
      <c r="IE2" s="279">
        <v>52932</v>
      </c>
      <c r="IF2" s="279">
        <v>52963</v>
      </c>
      <c r="IG2" s="279">
        <v>52994</v>
      </c>
      <c r="IH2" s="279">
        <v>53022</v>
      </c>
      <c r="II2" s="279">
        <v>53053</v>
      </c>
      <c r="IJ2" s="279">
        <v>53083</v>
      </c>
      <c r="IK2" s="279">
        <v>53114</v>
      </c>
      <c r="IL2" s="279">
        <v>53144</v>
      </c>
      <c r="IM2" s="279">
        <v>53175</v>
      </c>
      <c r="IN2" s="279">
        <v>53206</v>
      </c>
      <c r="IO2" s="279">
        <v>53236</v>
      </c>
      <c r="IP2" s="279">
        <v>53267</v>
      </c>
      <c r="IQ2" s="279">
        <v>53297</v>
      </c>
      <c r="IR2" s="279">
        <v>53328</v>
      </c>
      <c r="IS2" s="279">
        <v>53359</v>
      </c>
      <c r="IT2" s="279">
        <v>53387</v>
      </c>
      <c r="IU2" s="279">
        <v>53418</v>
      </c>
      <c r="IV2" s="279">
        <v>53448</v>
      </c>
      <c r="IW2" s="279">
        <v>53479</v>
      </c>
      <c r="IX2" s="279">
        <v>53509</v>
      </c>
      <c r="IY2" s="279">
        <v>53540</v>
      </c>
      <c r="IZ2" s="279">
        <v>53571</v>
      </c>
      <c r="JA2" s="279">
        <v>53601</v>
      </c>
      <c r="JB2" s="279">
        <v>53632</v>
      </c>
      <c r="JC2" s="279">
        <v>53662</v>
      </c>
      <c r="JD2" s="279">
        <v>53693</v>
      </c>
      <c r="JE2" s="279">
        <v>53724</v>
      </c>
      <c r="JF2" s="279">
        <v>53752</v>
      </c>
      <c r="JG2" s="279">
        <v>53783</v>
      </c>
      <c r="JH2" s="279">
        <v>53813</v>
      </c>
      <c r="JI2" s="279">
        <v>53844</v>
      </c>
      <c r="JJ2" s="279">
        <v>53874</v>
      </c>
      <c r="JK2" s="279">
        <v>53905</v>
      </c>
      <c r="JL2" s="279">
        <v>53936</v>
      </c>
      <c r="JM2" s="279">
        <v>53966</v>
      </c>
      <c r="JN2" s="279">
        <v>53997</v>
      </c>
      <c r="JO2" s="279">
        <v>54027</v>
      </c>
      <c r="JP2" s="279">
        <v>54058</v>
      </c>
      <c r="JQ2" s="279">
        <v>54089</v>
      </c>
      <c r="JR2" s="279">
        <v>54118</v>
      </c>
      <c r="JS2" s="279">
        <v>54149</v>
      </c>
      <c r="JT2" s="279">
        <v>54179</v>
      </c>
      <c r="JU2" s="279">
        <v>54210</v>
      </c>
      <c r="JV2" s="279">
        <v>54240</v>
      </c>
      <c r="JW2" s="279">
        <v>54271</v>
      </c>
      <c r="JX2" s="279">
        <v>54302</v>
      </c>
      <c r="JY2" s="279">
        <v>54332</v>
      </c>
      <c r="JZ2" s="279">
        <v>54363</v>
      </c>
      <c r="KA2" s="279">
        <v>54393</v>
      </c>
      <c r="KB2" s="279">
        <v>54424</v>
      </c>
      <c r="KC2" s="279">
        <v>54455</v>
      </c>
      <c r="KD2" s="279">
        <v>54483</v>
      </c>
      <c r="KE2" s="279">
        <v>54514</v>
      </c>
      <c r="KF2" s="279">
        <v>54544</v>
      </c>
      <c r="KG2" s="279">
        <v>54575</v>
      </c>
      <c r="KH2" s="279">
        <v>54605</v>
      </c>
      <c r="KI2" s="279">
        <v>54636</v>
      </c>
      <c r="KJ2" s="279">
        <v>54667</v>
      </c>
      <c r="KK2" s="279">
        <v>54697</v>
      </c>
      <c r="KL2" s="279">
        <v>54728</v>
      </c>
      <c r="KM2" s="279">
        <v>54758</v>
      </c>
      <c r="KN2" s="279">
        <v>54789</v>
      </c>
      <c r="KO2" s="279">
        <v>54820</v>
      </c>
      <c r="KP2" s="279">
        <v>54848</v>
      </c>
      <c r="KQ2" s="279">
        <v>54879</v>
      </c>
      <c r="KR2" s="279">
        <v>54909</v>
      </c>
      <c r="KS2" s="279">
        <v>54940</v>
      </c>
      <c r="KT2" s="279">
        <v>54970</v>
      </c>
      <c r="KU2" s="279">
        <v>55001</v>
      </c>
      <c r="KV2" s="279">
        <v>55032</v>
      </c>
      <c r="KW2" s="279">
        <v>55062</v>
      </c>
      <c r="KX2" s="279">
        <v>55093</v>
      </c>
      <c r="KY2" s="279">
        <v>55123</v>
      </c>
      <c r="KZ2" s="279">
        <v>55154</v>
      </c>
      <c r="LA2" s="279">
        <v>55185</v>
      </c>
      <c r="LB2" s="279">
        <v>55213</v>
      </c>
      <c r="LC2" s="279">
        <v>55244</v>
      </c>
      <c r="LD2" s="279">
        <v>55274</v>
      </c>
      <c r="LE2" s="279">
        <v>55305</v>
      </c>
      <c r="LF2" s="279">
        <v>55335</v>
      </c>
      <c r="LG2" s="279">
        <v>55366</v>
      </c>
      <c r="LH2" s="279">
        <v>55397</v>
      </c>
      <c r="LI2" s="279">
        <v>55427</v>
      </c>
      <c r="LJ2" s="279">
        <v>55458</v>
      </c>
      <c r="LK2" s="279">
        <v>55488</v>
      </c>
      <c r="LL2" s="279">
        <v>55519</v>
      </c>
      <c r="LM2" s="279">
        <v>55550</v>
      </c>
      <c r="LN2" s="279">
        <v>55579</v>
      </c>
      <c r="LO2" s="279">
        <v>55610</v>
      </c>
      <c r="LP2" s="279">
        <v>55640</v>
      </c>
      <c r="LQ2" s="279">
        <v>55671</v>
      </c>
      <c r="LR2" s="279">
        <v>55701</v>
      </c>
      <c r="LS2" s="279">
        <v>55732</v>
      </c>
      <c r="LT2" s="279">
        <v>55763</v>
      </c>
      <c r="LU2" s="279">
        <v>55793</v>
      </c>
      <c r="LV2" s="279">
        <v>55824</v>
      </c>
      <c r="LW2" s="279">
        <v>55854</v>
      </c>
      <c r="LX2" s="279">
        <v>55885</v>
      </c>
      <c r="LY2" s="279">
        <v>55916</v>
      </c>
      <c r="LZ2" s="279">
        <v>55944</v>
      </c>
      <c r="MA2" s="279">
        <v>55975</v>
      </c>
      <c r="MB2" s="279">
        <v>56005</v>
      </c>
      <c r="MC2" s="279">
        <v>56036</v>
      </c>
      <c r="MD2" s="279">
        <v>56066</v>
      </c>
      <c r="ME2" s="279">
        <v>56097</v>
      </c>
      <c r="MF2" s="279">
        <v>56128</v>
      </c>
      <c r="MG2" s="279">
        <v>56158</v>
      </c>
      <c r="MH2" s="279">
        <v>56189</v>
      </c>
      <c r="MI2" s="279">
        <v>56219</v>
      </c>
      <c r="MJ2" s="279">
        <v>56250</v>
      </c>
      <c r="MK2" s="279">
        <v>56281</v>
      </c>
      <c r="ML2" s="279">
        <v>56309</v>
      </c>
      <c r="MM2" s="279">
        <v>56340</v>
      </c>
      <c r="MN2" s="279">
        <v>56370</v>
      </c>
      <c r="MO2" s="279">
        <v>56401</v>
      </c>
      <c r="MP2" s="279">
        <v>56431</v>
      </c>
      <c r="MQ2" s="279">
        <v>56462</v>
      </c>
      <c r="MR2" s="279">
        <v>56493</v>
      </c>
      <c r="MS2" s="279">
        <v>56523</v>
      </c>
      <c r="MT2" s="279">
        <v>56554</v>
      </c>
      <c r="MU2" s="279">
        <v>56584</v>
      </c>
      <c r="MV2" s="279">
        <v>56615</v>
      </c>
      <c r="MW2" s="279">
        <v>56646</v>
      </c>
      <c r="MX2" s="279">
        <v>56674</v>
      </c>
      <c r="MY2" s="279">
        <v>56705</v>
      </c>
      <c r="MZ2" s="279">
        <v>56735</v>
      </c>
      <c r="NA2" s="279">
        <v>56766</v>
      </c>
      <c r="NB2" s="279">
        <v>56796</v>
      </c>
      <c r="NC2" s="279">
        <v>56827</v>
      </c>
      <c r="ND2" s="279">
        <v>56858</v>
      </c>
      <c r="NE2" s="279">
        <v>56888</v>
      </c>
      <c r="NF2" s="279">
        <v>56919</v>
      </c>
      <c r="NG2" s="279">
        <v>56949</v>
      </c>
      <c r="NH2" s="279">
        <v>56980</v>
      </c>
      <c r="NI2" s="279">
        <v>57011</v>
      </c>
      <c r="NJ2" s="279">
        <v>57040</v>
      </c>
      <c r="NK2" s="279">
        <v>57071</v>
      </c>
      <c r="NL2" s="279">
        <v>57101</v>
      </c>
      <c r="NM2" s="279">
        <v>57132</v>
      </c>
      <c r="NN2" s="279">
        <v>57162</v>
      </c>
      <c r="NO2" s="279">
        <v>57193</v>
      </c>
      <c r="NP2" s="279">
        <v>57224</v>
      </c>
      <c r="NQ2" s="279">
        <v>57254</v>
      </c>
      <c r="NR2" s="279">
        <v>57285</v>
      </c>
      <c r="NS2" s="279">
        <v>57315</v>
      </c>
      <c r="NT2" s="279">
        <v>57346</v>
      </c>
      <c r="NU2" s="279">
        <v>57377</v>
      </c>
      <c r="NV2" s="279">
        <v>57405</v>
      </c>
      <c r="NW2" s="279">
        <v>57436</v>
      </c>
      <c r="NX2" s="279">
        <v>57466</v>
      </c>
      <c r="NY2" s="279">
        <v>57497</v>
      </c>
      <c r="NZ2" s="279">
        <v>57527</v>
      </c>
      <c r="OA2" s="279">
        <v>57558</v>
      </c>
      <c r="OB2" s="279">
        <v>57589</v>
      </c>
      <c r="OC2" s="279">
        <v>57619</v>
      </c>
      <c r="OD2" s="279">
        <v>57650</v>
      </c>
      <c r="OE2" s="279">
        <v>57680</v>
      </c>
    </row>
    <row r="3" spans="1:395" ht="13.8" customHeight="1" x14ac:dyDescent="0.3">
      <c r="A3" s="127"/>
      <c r="G3" s="68"/>
      <c r="H3" s="68"/>
      <c r="K3" s="76"/>
      <c r="L3" s="66"/>
      <c r="M3" s="77"/>
      <c r="N3" s="57"/>
      <c r="O3" s="281" t="s">
        <v>435</v>
      </c>
      <c r="P3" s="273" t="b">
        <f>IF($O$1=O3,TRUE,FALSE)</f>
        <v>0</v>
      </c>
      <c r="Q3" s="277" cm="1">
        <f t="array" ref="Q3:AV3">TRANSPOSE(_xlfn.UNIQUE(TRANSPOSE((YEAR(_xlfn.ANCHORARRAY(Q2))))))</f>
        <v>2026</v>
      </c>
      <c r="R3" s="277">
        <v>2027</v>
      </c>
      <c r="S3" s="277">
        <v>2028</v>
      </c>
      <c r="T3" s="277">
        <v>2029</v>
      </c>
      <c r="U3" s="277">
        <v>2030</v>
      </c>
      <c r="V3" s="277">
        <v>2031</v>
      </c>
      <c r="W3" s="277">
        <v>2032</v>
      </c>
      <c r="X3" s="277">
        <v>2033</v>
      </c>
      <c r="Y3" s="277">
        <v>2034</v>
      </c>
      <c r="Z3" s="277">
        <v>2035</v>
      </c>
      <c r="AA3" s="277">
        <v>2036</v>
      </c>
      <c r="AB3" s="277">
        <v>2037</v>
      </c>
      <c r="AC3" s="277">
        <v>2038</v>
      </c>
      <c r="AD3" s="277">
        <v>2039</v>
      </c>
      <c r="AE3" s="277">
        <v>2040</v>
      </c>
      <c r="AF3" s="277">
        <v>2041</v>
      </c>
      <c r="AG3" s="277">
        <v>2042</v>
      </c>
      <c r="AH3" s="277">
        <v>2043</v>
      </c>
      <c r="AI3" s="277">
        <v>2044</v>
      </c>
      <c r="AJ3" s="277">
        <v>2045</v>
      </c>
      <c r="AK3" s="277">
        <v>2046</v>
      </c>
      <c r="AL3" s="277">
        <v>2047</v>
      </c>
      <c r="AM3" s="277">
        <v>2048</v>
      </c>
      <c r="AN3" s="277">
        <v>2049</v>
      </c>
      <c r="AO3" s="277">
        <v>2050</v>
      </c>
      <c r="AP3" s="277">
        <v>2051</v>
      </c>
      <c r="AQ3" s="277">
        <v>2052</v>
      </c>
      <c r="AR3" s="277">
        <v>2053</v>
      </c>
      <c r="AS3" s="277">
        <v>2054</v>
      </c>
      <c r="AT3" s="277">
        <v>2055</v>
      </c>
      <c r="AU3" s="277">
        <v>2056</v>
      </c>
      <c r="AV3" s="277">
        <v>2057</v>
      </c>
      <c r="AW3" s="277"/>
      <c r="AX3" s="277"/>
      <c r="AY3" s="277"/>
      <c r="AZ3" s="277"/>
      <c r="BA3" s="277"/>
      <c r="BB3" s="277"/>
      <c r="BC3" s="277"/>
      <c r="BD3" s="277"/>
      <c r="BE3" s="277"/>
      <c r="BF3" s="277"/>
      <c r="BG3" s="277"/>
      <c r="BH3" s="277"/>
      <c r="BI3" s="277"/>
      <c r="BJ3" s="277"/>
      <c r="BK3" s="277"/>
      <c r="BL3" s="277"/>
      <c r="BM3" s="277"/>
      <c r="BN3" s="277"/>
      <c r="BO3" s="277"/>
      <c r="BP3" s="277"/>
      <c r="BQ3" s="277"/>
      <c r="BR3" s="277"/>
      <c r="BS3" s="277"/>
      <c r="BT3" s="277"/>
      <c r="BU3" s="277"/>
      <c r="BV3" s="277"/>
      <c r="BW3" s="277"/>
      <c r="BX3" s="277"/>
      <c r="BY3" s="277"/>
      <c r="BZ3" s="277"/>
      <c r="CA3" s="277"/>
      <c r="CB3" s="277"/>
      <c r="CC3" s="277"/>
      <c r="CD3" s="277"/>
      <c r="CE3" s="277"/>
      <c r="CF3" s="277"/>
      <c r="CG3" s="277"/>
      <c r="CH3" s="277"/>
      <c r="CI3" s="277"/>
      <c r="CJ3" s="277"/>
      <c r="CK3" s="277"/>
      <c r="CL3" s="277"/>
      <c r="CM3" s="277"/>
      <c r="CN3" s="277"/>
      <c r="CO3" s="277"/>
      <c r="CP3" s="277"/>
      <c r="CQ3" s="277"/>
      <c r="CR3" s="277"/>
      <c r="CS3" s="277"/>
      <c r="CT3" s="277"/>
      <c r="CU3" s="277"/>
      <c r="CV3" s="277"/>
      <c r="CW3" s="277"/>
      <c r="CX3" s="277"/>
      <c r="CY3" s="277"/>
      <c r="CZ3" s="277"/>
      <c r="DA3" s="277"/>
      <c r="DB3" s="277"/>
      <c r="DC3" s="277"/>
      <c r="DD3" s="277"/>
      <c r="DE3" s="277"/>
      <c r="DF3" s="277"/>
      <c r="DG3" s="277"/>
      <c r="DH3" s="277"/>
      <c r="DI3" s="277"/>
      <c r="DJ3" s="277"/>
      <c r="DK3" s="277"/>
      <c r="DL3" s="277"/>
      <c r="DM3" s="277"/>
      <c r="DN3" s="277"/>
      <c r="DO3" s="277"/>
      <c r="DP3" s="277"/>
      <c r="DQ3" s="277"/>
      <c r="DR3" s="277"/>
      <c r="DS3" s="277"/>
      <c r="DT3" s="277"/>
      <c r="DU3" s="277"/>
      <c r="DV3" s="277"/>
      <c r="DW3" s="277"/>
      <c r="DX3" s="277"/>
      <c r="DY3" s="277"/>
      <c r="DZ3" s="277"/>
      <c r="EA3" s="277"/>
      <c r="EB3" s="277"/>
      <c r="EC3" s="277"/>
      <c r="ED3" s="277"/>
      <c r="EE3" s="277"/>
      <c r="EF3" s="277"/>
      <c r="EG3" s="277"/>
      <c r="EH3" s="277"/>
      <c r="EI3" s="277"/>
      <c r="EJ3" s="277"/>
      <c r="EK3" s="277"/>
      <c r="EL3" s="277"/>
      <c r="EM3" s="277"/>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row>
    <row r="4" spans="1:395" ht="13.8" customHeight="1" x14ac:dyDescent="0.3">
      <c r="A4" s="267"/>
      <c r="D4" s="21" t="s">
        <v>7</v>
      </c>
      <c r="E4" s="272">
        <v>46174</v>
      </c>
      <c r="G4" s="21"/>
      <c r="K4" s="76"/>
      <c r="L4" s="66"/>
      <c r="M4" s="77"/>
      <c r="N4" s="87"/>
      <c r="O4" s="282" t="s">
        <v>434</v>
      </c>
      <c r="P4" s="274" t="b">
        <f>IF($O$1=O4,TRUE,FALSE)</f>
        <v>0</v>
      </c>
      <c r="Q4" s="275" t="str" cm="1">
        <f t="array" ref="Q4:EM4">TRANSPOSE(_xlfn.UNIQUE(TRANSPOSE(YEAR(_xlfn.ANCHORARRAY(Q2)) &amp; "-Q" &amp; ROUNDUP(MONTH(_xlfn.ANCHORARRAY(Q2))/3,0))))</f>
        <v>2026-Q2</v>
      </c>
      <c r="R4" s="56" t="str">
        <v>2026-Q3</v>
      </c>
      <c r="S4" s="56" t="str">
        <v>2026-Q4</v>
      </c>
      <c r="T4" s="56" t="str">
        <v>2027-Q1</v>
      </c>
      <c r="U4" s="56" t="str">
        <v>2027-Q2</v>
      </c>
      <c r="V4" s="56" t="str">
        <v>2027-Q3</v>
      </c>
      <c r="W4" s="56" t="str">
        <v>2027-Q4</v>
      </c>
      <c r="X4" s="56" t="str">
        <v>2028-Q1</v>
      </c>
      <c r="Y4" s="56" t="str">
        <v>2028-Q2</v>
      </c>
      <c r="Z4" s="56" t="str">
        <v>2028-Q3</v>
      </c>
      <c r="AA4" s="56" t="str">
        <v>2028-Q4</v>
      </c>
      <c r="AB4" s="56" t="str">
        <v>2029-Q1</v>
      </c>
      <c r="AC4" s="56" t="str">
        <v>2029-Q2</v>
      </c>
      <c r="AD4" s="56" t="str">
        <v>2029-Q3</v>
      </c>
      <c r="AE4" s="56" t="str">
        <v>2029-Q4</v>
      </c>
      <c r="AF4" s="56" t="str">
        <v>2030-Q1</v>
      </c>
      <c r="AG4" s="56" t="str">
        <v>2030-Q2</v>
      </c>
      <c r="AH4" s="56" t="str">
        <v>2030-Q3</v>
      </c>
      <c r="AI4" s="56" t="str">
        <v>2030-Q4</v>
      </c>
      <c r="AJ4" s="56" t="str">
        <v>2031-Q1</v>
      </c>
      <c r="AK4" s="56" t="str">
        <v>2031-Q2</v>
      </c>
      <c r="AL4" s="56" t="str">
        <v>2031-Q3</v>
      </c>
      <c r="AM4" s="56" t="str">
        <v>2031-Q4</v>
      </c>
      <c r="AN4" s="56" t="str">
        <v>2032-Q1</v>
      </c>
      <c r="AO4" s="56" t="str">
        <v>2032-Q2</v>
      </c>
      <c r="AP4" s="56" t="str">
        <v>2032-Q3</v>
      </c>
      <c r="AQ4" s="56" t="str">
        <v>2032-Q4</v>
      </c>
      <c r="AR4" s="56" t="str">
        <v>2033-Q1</v>
      </c>
      <c r="AS4" s="56" t="str">
        <v>2033-Q2</v>
      </c>
      <c r="AT4" s="56" t="str">
        <v>2033-Q3</v>
      </c>
      <c r="AU4" s="56" t="str">
        <v>2033-Q4</v>
      </c>
      <c r="AV4" s="56" t="str">
        <v>2034-Q1</v>
      </c>
      <c r="AW4" s="56" t="str">
        <v>2034-Q2</v>
      </c>
      <c r="AX4" s="56" t="str">
        <v>2034-Q3</v>
      </c>
      <c r="AY4" s="56" t="str">
        <v>2034-Q4</v>
      </c>
      <c r="AZ4" s="56" t="str">
        <v>2035-Q1</v>
      </c>
      <c r="BA4" s="56" t="str">
        <v>2035-Q2</v>
      </c>
      <c r="BB4" s="56" t="str">
        <v>2035-Q3</v>
      </c>
      <c r="BC4" s="56" t="str">
        <v>2035-Q4</v>
      </c>
      <c r="BD4" s="56" t="str">
        <v>2036-Q1</v>
      </c>
      <c r="BE4" s="56" t="str">
        <v>2036-Q2</v>
      </c>
      <c r="BF4" s="56" t="str">
        <v>2036-Q3</v>
      </c>
      <c r="BG4" s="56" t="str">
        <v>2036-Q4</v>
      </c>
      <c r="BH4" s="56" t="str">
        <v>2037-Q1</v>
      </c>
      <c r="BI4" s="56" t="str">
        <v>2037-Q2</v>
      </c>
      <c r="BJ4" s="56" t="str">
        <v>2037-Q3</v>
      </c>
      <c r="BK4" s="56" t="str">
        <v>2037-Q4</v>
      </c>
      <c r="BL4" s="56" t="str">
        <v>2038-Q1</v>
      </c>
      <c r="BM4" s="56" t="str">
        <v>2038-Q2</v>
      </c>
      <c r="BN4" s="56" t="str">
        <v>2038-Q3</v>
      </c>
      <c r="BO4" s="56" t="str">
        <v>2038-Q4</v>
      </c>
      <c r="BP4" s="56" t="str">
        <v>2039-Q1</v>
      </c>
      <c r="BQ4" s="56" t="str">
        <v>2039-Q2</v>
      </c>
      <c r="BR4" s="56" t="str">
        <v>2039-Q3</v>
      </c>
      <c r="BS4" s="56" t="str">
        <v>2039-Q4</v>
      </c>
      <c r="BT4" s="56" t="str">
        <v>2040-Q1</v>
      </c>
      <c r="BU4" s="56" t="str">
        <v>2040-Q2</v>
      </c>
      <c r="BV4" s="56" t="str">
        <v>2040-Q3</v>
      </c>
      <c r="BW4" s="56" t="str">
        <v>2040-Q4</v>
      </c>
      <c r="BX4" s="56" t="str">
        <v>2041-Q1</v>
      </c>
      <c r="BY4" s="56" t="str">
        <v>2041-Q2</v>
      </c>
      <c r="BZ4" s="56" t="str">
        <v>2041-Q3</v>
      </c>
      <c r="CA4" s="56" t="str">
        <v>2041-Q4</v>
      </c>
      <c r="CB4" s="56" t="str">
        <v>2042-Q1</v>
      </c>
      <c r="CC4" s="56" t="str">
        <v>2042-Q2</v>
      </c>
      <c r="CD4" s="56" t="str">
        <v>2042-Q3</v>
      </c>
      <c r="CE4" s="56" t="str">
        <v>2042-Q4</v>
      </c>
      <c r="CF4" s="56" t="str">
        <v>2043-Q1</v>
      </c>
      <c r="CG4" s="56" t="str">
        <v>2043-Q2</v>
      </c>
      <c r="CH4" s="56" t="str">
        <v>2043-Q3</v>
      </c>
      <c r="CI4" s="56" t="str">
        <v>2043-Q4</v>
      </c>
      <c r="CJ4" s="56" t="str">
        <v>2044-Q1</v>
      </c>
      <c r="CK4" s="56" t="str">
        <v>2044-Q2</v>
      </c>
      <c r="CL4" s="56" t="str">
        <v>2044-Q3</v>
      </c>
      <c r="CM4" s="56" t="str">
        <v>2044-Q4</v>
      </c>
      <c r="CN4" s="56" t="str">
        <v>2045-Q1</v>
      </c>
      <c r="CO4" s="56" t="str">
        <v>2045-Q2</v>
      </c>
      <c r="CP4" s="56" t="str">
        <v>2045-Q3</v>
      </c>
      <c r="CQ4" s="56" t="str">
        <v>2045-Q4</v>
      </c>
      <c r="CR4" s="56" t="str">
        <v>2046-Q1</v>
      </c>
      <c r="CS4" s="56" t="str">
        <v>2046-Q2</v>
      </c>
      <c r="CT4" s="56" t="str">
        <v>2046-Q3</v>
      </c>
      <c r="CU4" s="56" t="str">
        <v>2046-Q4</v>
      </c>
      <c r="CV4" s="56" t="str">
        <v>2047-Q1</v>
      </c>
      <c r="CW4" s="56" t="str">
        <v>2047-Q2</v>
      </c>
      <c r="CX4" s="56" t="str">
        <v>2047-Q3</v>
      </c>
      <c r="CY4" s="56" t="str">
        <v>2047-Q4</v>
      </c>
      <c r="CZ4" s="56" t="str">
        <v>2048-Q1</v>
      </c>
      <c r="DA4" s="56" t="str">
        <v>2048-Q2</v>
      </c>
      <c r="DB4" s="56" t="str">
        <v>2048-Q3</v>
      </c>
      <c r="DC4" s="56" t="str">
        <v>2048-Q4</v>
      </c>
      <c r="DD4" s="56" t="str">
        <v>2049-Q1</v>
      </c>
      <c r="DE4" s="56" t="str">
        <v>2049-Q2</v>
      </c>
      <c r="DF4" s="56" t="str">
        <v>2049-Q3</v>
      </c>
      <c r="DG4" s="56" t="str">
        <v>2049-Q4</v>
      </c>
      <c r="DH4" s="56" t="str">
        <v>2050-Q1</v>
      </c>
      <c r="DI4" s="56" t="str">
        <v>2050-Q2</v>
      </c>
      <c r="DJ4" s="56" t="str">
        <v>2050-Q3</v>
      </c>
      <c r="DK4" s="56" t="str">
        <v>2050-Q4</v>
      </c>
      <c r="DL4" s="56" t="str">
        <v>2051-Q1</v>
      </c>
      <c r="DM4" s="56" t="str">
        <v>2051-Q2</v>
      </c>
      <c r="DN4" s="56" t="str">
        <v>2051-Q3</v>
      </c>
      <c r="DO4" s="56" t="str">
        <v>2051-Q4</v>
      </c>
      <c r="DP4" s="56" t="str">
        <v>2052-Q1</v>
      </c>
      <c r="DQ4" s="56" t="str">
        <v>2052-Q2</v>
      </c>
      <c r="DR4" s="56" t="str">
        <v>2052-Q3</v>
      </c>
      <c r="DS4" s="56" t="str">
        <v>2052-Q4</v>
      </c>
      <c r="DT4" s="56" t="str">
        <v>2053-Q1</v>
      </c>
      <c r="DU4" s="56" t="str">
        <v>2053-Q2</v>
      </c>
      <c r="DV4" s="56" t="str">
        <v>2053-Q3</v>
      </c>
      <c r="DW4" s="56" t="str">
        <v>2053-Q4</v>
      </c>
      <c r="DX4" s="56" t="str">
        <v>2054-Q1</v>
      </c>
      <c r="DY4" s="56" t="str">
        <v>2054-Q2</v>
      </c>
      <c r="DZ4" s="56" t="str">
        <v>2054-Q3</v>
      </c>
      <c r="EA4" s="56" t="str">
        <v>2054-Q4</v>
      </c>
      <c r="EB4" s="56" t="str">
        <v>2055-Q1</v>
      </c>
      <c r="EC4" s="56" t="str">
        <v>2055-Q2</v>
      </c>
      <c r="ED4" s="56" t="str">
        <v>2055-Q3</v>
      </c>
      <c r="EE4" s="56" t="str">
        <v>2055-Q4</v>
      </c>
      <c r="EF4" s="56" t="str">
        <v>2056-Q1</v>
      </c>
      <c r="EG4" s="56" t="str">
        <v>2056-Q2</v>
      </c>
      <c r="EH4" s="56" t="str">
        <v>2056-Q3</v>
      </c>
      <c r="EI4" s="56" t="str">
        <v>2056-Q4</v>
      </c>
      <c r="EJ4" s="56" t="str">
        <v>2057-Q1</v>
      </c>
      <c r="EK4" s="56" t="str">
        <v>2057-Q2</v>
      </c>
      <c r="EL4" s="56" t="str">
        <v>2057-Q3</v>
      </c>
      <c r="EM4" s="56" t="str">
        <v>2057-Q4</v>
      </c>
      <c r="EN4" s="56"/>
      <c r="EO4" s="56"/>
      <c r="EP4" s="56"/>
      <c r="EQ4" s="56"/>
      <c r="ER4" s="56"/>
      <c r="ES4" s="56"/>
      <c r="ET4" s="56"/>
      <c r="EU4" s="56"/>
      <c r="EV4" s="56"/>
      <c r="EW4" s="56"/>
      <c r="EX4" s="56"/>
      <c r="EY4" s="56"/>
      <c r="EZ4" s="56"/>
      <c r="FA4" s="56"/>
      <c r="FB4" s="56"/>
      <c r="FC4" s="56"/>
      <c r="FD4" s="56"/>
      <c r="FE4" s="56"/>
      <c r="FF4" s="56"/>
      <c r="FG4" s="56"/>
      <c r="FH4" s="56"/>
      <c r="FI4" s="56"/>
      <c r="FJ4" s="56"/>
      <c r="FK4" s="56"/>
      <c r="FL4" s="56"/>
      <c r="FM4" s="56"/>
      <c r="FN4" s="56"/>
      <c r="FO4" s="56"/>
      <c r="FP4" s="56"/>
      <c r="FQ4" s="56"/>
      <c r="FR4" s="56"/>
      <c r="FS4" s="56"/>
      <c r="FT4" s="56"/>
      <c r="FU4" s="56"/>
      <c r="FV4" s="56"/>
      <c r="FW4" s="56"/>
      <c r="FX4" s="56"/>
      <c r="FY4" s="56"/>
      <c r="FZ4" s="56"/>
      <c r="GA4" s="56"/>
      <c r="GB4" s="56"/>
      <c r="GC4" s="56"/>
      <c r="GD4" s="56"/>
      <c r="GE4" s="56"/>
      <c r="GF4" s="56"/>
      <c r="GG4" s="56"/>
      <c r="GH4" s="56"/>
      <c r="GI4" s="56"/>
      <c r="GJ4" s="56"/>
      <c r="GK4" s="56"/>
      <c r="GL4" s="56"/>
      <c r="GM4" s="56"/>
      <c r="GN4" s="56"/>
      <c r="GO4" s="56"/>
      <c r="GP4" s="56"/>
      <c r="GQ4" s="56"/>
      <c r="GR4" s="56"/>
      <c r="GS4" s="56"/>
      <c r="GT4" s="56"/>
      <c r="GU4" s="56"/>
      <c r="GV4" s="56"/>
      <c r="GW4" s="56"/>
      <c r="GX4" s="56"/>
      <c r="GY4" s="56"/>
      <c r="GZ4" s="56"/>
      <c r="HA4" s="56"/>
      <c r="HB4" s="56"/>
      <c r="HC4" s="56"/>
      <c r="HD4" s="56"/>
      <c r="HE4" s="56"/>
      <c r="HF4" s="56"/>
      <c r="HG4" s="56"/>
      <c r="HH4" s="56"/>
      <c r="HI4" s="56"/>
      <c r="HJ4" s="56"/>
      <c r="HK4" s="56"/>
      <c r="HL4" s="56"/>
      <c r="HM4" s="56"/>
      <c r="HN4" s="56"/>
      <c r="HO4" s="56"/>
      <c r="HP4" s="56"/>
      <c r="HQ4" s="56"/>
      <c r="HR4" s="56"/>
      <c r="HS4" s="56"/>
      <c r="HT4" s="56"/>
      <c r="HU4" s="56"/>
      <c r="HV4" s="56"/>
      <c r="HW4" s="56"/>
      <c r="HX4" s="56"/>
      <c r="HY4" s="56"/>
      <c r="HZ4" s="56"/>
      <c r="IA4" s="56"/>
      <c r="IB4" s="56"/>
      <c r="IC4" s="56"/>
      <c r="ID4" s="56"/>
      <c r="IE4" s="56"/>
      <c r="IF4" s="56"/>
      <c r="IG4" s="56"/>
      <c r="IH4" s="56"/>
      <c r="II4" s="56"/>
      <c r="IJ4" s="56"/>
      <c r="IK4" s="56"/>
      <c r="IL4" s="56"/>
      <c r="IM4" s="56"/>
      <c r="IN4" s="56"/>
      <c r="IO4" s="56"/>
      <c r="IP4" s="56"/>
      <c r="IQ4" s="56"/>
      <c r="IR4" s="56"/>
      <c r="IS4" s="56"/>
      <c r="IT4" s="56"/>
      <c r="IU4" s="56"/>
      <c r="IV4" s="56"/>
      <c r="IW4" s="56"/>
      <c r="IX4" s="56"/>
      <c r="IY4" s="56"/>
      <c r="IZ4" s="56"/>
      <c r="JA4" s="56"/>
      <c r="JB4" s="56"/>
      <c r="JC4" s="56"/>
      <c r="JD4" s="56"/>
      <c r="JE4" s="56"/>
      <c r="JF4" s="56"/>
      <c r="JG4" s="56"/>
      <c r="JH4" s="56"/>
      <c r="JI4" s="56"/>
      <c r="JJ4" s="56"/>
      <c r="JK4" s="56"/>
      <c r="JL4" s="56"/>
      <c r="JM4" s="56"/>
      <c r="JN4" s="56"/>
      <c r="JO4" s="56"/>
      <c r="JP4" s="56"/>
      <c r="JQ4" s="56"/>
      <c r="JR4" s="56"/>
      <c r="JS4" s="56"/>
      <c r="JT4" s="56"/>
      <c r="JU4" s="56"/>
      <c r="JV4" s="56"/>
      <c r="JW4" s="56"/>
      <c r="JX4" s="56"/>
      <c r="JY4" s="56"/>
      <c r="JZ4" s="56"/>
      <c r="KA4" s="56"/>
      <c r="KB4" s="56"/>
      <c r="KC4" s="56"/>
      <c r="KD4" s="56"/>
      <c r="KE4" s="56"/>
      <c r="KF4" s="56"/>
      <c r="KG4" s="56"/>
      <c r="KH4" s="56"/>
      <c r="KI4" s="56"/>
      <c r="KJ4" s="56"/>
      <c r="KK4" s="56"/>
      <c r="KL4" s="56"/>
      <c r="KM4" s="56"/>
      <c r="KN4" s="56"/>
      <c r="KO4" s="56"/>
      <c r="KP4" s="56"/>
      <c r="KQ4" s="56"/>
      <c r="KR4" s="56"/>
      <c r="KS4" s="56"/>
      <c r="KT4" s="56"/>
      <c r="KU4" s="56"/>
      <c r="KV4" s="56"/>
      <c r="KW4" s="56"/>
      <c r="KX4" s="56"/>
      <c r="KY4" s="56"/>
      <c r="KZ4" s="56"/>
      <c r="LA4" s="56"/>
      <c r="LB4" s="56"/>
      <c r="LC4" s="56"/>
      <c r="LD4" s="56"/>
      <c r="LE4" s="56"/>
      <c r="LF4" s="56"/>
      <c r="LG4" s="56"/>
      <c r="LH4" s="56"/>
      <c r="LI4" s="56"/>
      <c r="LJ4" s="56"/>
      <c r="LK4" s="56"/>
      <c r="LL4" s="56"/>
      <c r="LM4" s="56"/>
      <c r="LN4" s="56"/>
      <c r="LO4" s="56"/>
      <c r="LP4" s="56"/>
      <c r="LQ4" s="56"/>
      <c r="LR4" s="56"/>
      <c r="LS4" s="56"/>
      <c r="LT4" s="56"/>
      <c r="LU4" s="56"/>
      <c r="LV4" s="56"/>
      <c r="LW4" s="56"/>
      <c r="LX4" s="56"/>
      <c r="LY4" s="56"/>
      <c r="LZ4" s="56"/>
      <c r="MA4" s="56"/>
      <c r="MB4" s="56"/>
      <c r="MC4" s="56"/>
      <c r="MD4" s="56"/>
      <c r="ME4" s="56"/>
      <c r="MF4" s="56"/>
      <c r="MG4" s="56"/>
      <c r="MH4" s="56"/>
      <c r="MI4" s="56"/>
      <c r="MJ4" s="56"/>
      <c r="MK4" s="56"/>
      <c r="ML4" s="56"/>
      <c r="MM4" s="56"/>
      <c r="MN4" s="56"/>
      <c r="MO4" s="56"/>
      <c r="MP4" s="56"/>
      <c r="MQ4" s="56"/>
      <c r="MR4" s="56"/>
      <c r="MS4" s="56"/>
      <c r="MT4" s="56"/>
      <c r="MU4" s="56"/>
      <c r="MV4" s="56"/>
      <c r="MW4" s="56"/>
      <c r="MX4" s="56"/>
      <c r="MY4" s="56"/>
      <c r="MZ4" s="56"/>
      <c r="NA4" s="56"/>
      <c r="NB4" s="56"/>
      <c r="NC4" s="56"/>
      <c r="ND4" s="56"/>
      <c r="NE4" s="56"/>
      <c r="NF4" s="56"/>
      <c r="NG4" s="56"/>
      <c r="NH4" s="56"/>
      <c r="NI4" s="56"/>
      <c r="NJ4" s="56"/>
      <c r="NK4" s="56"/>
      <c r="NL4" s="56"/>
      <c r="NM4" s="56"/>
      <c r="NN4" s="56"/>
      <c r="NO4" s="56"/>
      <c r="NP4" s="56"/>
      <c r="NQ4" s="56"/>
      <c r="NR4" s="56"/>
      <c r="NS4" s="56"/>
      <c r="NT4" s="56"/>
      <c r="NU4" s="56"/>
      <c r="NV4" s="56"/>
      <c r="NW4" s="56"/>
      <c r="NX4" s="56"/>
      <c r="NY4" s="56"/>
      <c r="NZ4" s="56"/>
      <c r="OA4" s="56"/>
      <c r="OB4" s="56"/>
      <c r="OC4" s="56"/>
      <c r="OD4" s="56"/>
      <c r="OE4" s="56"/>
    </row>
    <row r="5" spans="1:395" ht="14.4" customHeight="1" x14ac:dyDescent="0.3">
      <c r="D5" s="21" t="s">
        <v>8</v>
      </c>
      <c r="E5" s="272">
        <v>57710</v>
      </c>
      <c r="K5" s="76"/>
      <c r="L5" s="66"/>
      <c r="M5" s="77"/>
      <c r="N5" t="s">
        <v>9</v>
      </c>
      <c r="P5" s="18"/>
      <c r="Q5" s="24" cm="1">
        <f t="array" ref="Q5:OE5">_xlfn.SEQUENCE(1,COUNTA(_xlfn.ANCHORARRAY(Q2)),1)</f>
        <v>1</v>
      </c>
      <c r="R5" s="24">
        <v>2</v>
      </c>
      <c r="S5" s="24">
        <v>3</v>
      </c>
      <c r="T5" s="24">
        <v>4</v>
      </c>
      <c r="U5" s="24">
        <v>5</v>
      </c>
      <c r="V5" s="24">
        <v>6</v>
      </c>
      <c r="W5" s="24">
        <v>7</v>
      </c>
      <c r="X5" s="24">
        <v>8</v>
      </c>
      <c r="Y5" s="24">
        <v>9</v>
      </c>
      <c r="Z5" s="24">
        <v>10</v>
      </c>
      <c r="AA5" s="24">
        <v>11</v>
      </c>
      <c r="AB5" s="24">
        <v>12</v>
      </c>
      <c r="AC5" s="24">
        <v>13</v>
      </c>
      <c r="AD5" s="24">
        <v>14</v>
      </c>
      <c r="AE5" s="24">
        <v>15</v>
      </c>
      <c r="AF5" s="24">
        <v>16</v>
      </c>
      <c r="AG5" s="24">
        <v>17</v>
      </c>
      <c r="AH5" s="24">
        <v>18</v>
      </c>
      <c r="AI5" s="24">
        <v>19</v>
      </c>
      <c r="AJ5" s="24">
        <v>20</v>
      </c>
      <c r="AK5" s="24">
        <v>21</v>
      </c>
      <c r="AL5" s="24">
        <v>22</v>
      </c>
      <c r="AM5" s="24">
        <v>23</v>
      </c>
      <c r="AN5" s="24">
        <v>24</v>
      </c>
      <c r="AO5" s="24">
        <v>25</v>
      </c>
      <c r="AP5" s="24">
        <v>26</v>
      </c>
      <c r="AQ5" s="24">
        <v>27</v>
      </c>
      <c r="AR5" s="24">
        <v>28</v>
      </c>
      <c r="AS5" s="24">
        <v>29</v>
      </c>
      <c r="AT5" s="24">
        <v>30</v>
      </c>
      <c r="AU5" s="24">
        <v>31</v>
      </c>
      <c r="AV5" s="24">
        <v>32</v>
      </c>
      <c r="AW5" s="24">
        <v>33</v>
      </c>
      <c r="AX5" s="24">
        <v>34</v>
      </c>
      <c r="AY5" s="24">
        <v>35</v>
      </c>
      <c r="AZ5" s="24">
        <v>36</v>
      </c>
      <c r="BA5" s="24">
        <v>37</v>
      </c>
      <c r="BB5" s="24">
        <v>38</v>
      </c>
      <c r="BC5" s="24">
        <v>39</v>
      </c>
      <c r="BD5" s="24">
        <v>40</v>
      </c>
      <c r="BE5" s="24">
        <v>41</v>
      </c>
      <c r="BF5" s="24">
        <v>42</v>
      </c>
      <c r="BG5" s="24">
        <v>43</v>
      </c>
      <c r="BH5" s="24">
        <v>44</v>
      </c>
      <c r="BI5" s="24">
        <v>45</v>
      </c>
      <c r="BJ5" s="24">
        <v>46</v>
      </c>
      <c r="BK5" s="24">
        <v>47</v>
      </c>
      <c r="BL5" s="24">
        <v>48</v>
      </c>
      <c r="BM5" s="24">
        <v>49</v>
      </c>
      <c r="BN5" s="24">
        <v>50</v>
      </c>
      <c r="BO5" s="24">
        <v>51</v>
      </c>
      <c r="BP5" s="24">
        <v>52</v>
      </c>
      <c r="BQ5" s="24">
        <v>53</v>
      </c>
      <c r="BR5" s="24">
        <v>54</v>
      </c>
      <c r="BS5" s="24">
        <v>55</v>
      </c>
      <c r="BT5" s="24">
        <v>56</v>
      </c>
      <c r="BU5" s="24">
        <v>57</v>
      </c>
      <c r="BV5" s="24">
        <v>58</v>
      </c>
      <c r="BW5" s="24">
        <v>59</v>
      </c>
      <c r="BX5" s="24">
        <v>60</v>
      </c>
      <c r="BY5" s="24">
        <v>61</v>
      </c>
      <c r="BZ5" s="24">
        <v>62</v>
      </c>
      <c r="CA5" s="24">
        <v>63</v>
      </c>
      <c r="CB5" s="24">
        <v>64</v>
      </c>
      <c r="CC5" s="24">
        <v>65</v>
      </c>
      <c r="CD5" s="24">
        <v>66</v>
      </c>
      <c r="CE5" s="24">
        <v>67</v>
      </c>
      <c r="CF5" s="24">
        <v>68</v>
      </c>
      <c r="CG5" s="24">
        <v>69</v>
      </c>
      <c r="CH5" s="24">
        <v>70</v>
      </c>
      <c r="CI5" s="24">
        <v>71</v>
      </c>
      <c r="CJ5" s="24">
        <v>72</v>
      </c>
      <c r="CK5" s="24">
        <v>73</v>
      </c>
      <c r="CL5" s="24">
        <v>74</v>
      </c>
      <c r="CM5" s="24">
        <v>75</v>
      </c>
      <c r="CN5" s="24">
        <v>76</v>
      </c>
      <c r="CO5" s="24">
        <v>77</v>
      </c>
      <c r="CP5" s="24">
        <v>78</v>
      </c>
      <c r="CQ5" s="24">
        <v>79</v>
      </c>
      <c r="CR5" s="24">
        <v>80</v>
      </c>
      <c r="CS5" s="24">
        <v>81</v>
      </c>
      <c r="CT5" s="24">
        <v>82</v>
      </c>
      <c r="CU5" s="24">
        <v>83</v>
      </c>
      <c r="CV5" s="24">
        <v>84</v>
      </c>
      <c r="CW5" s="24">
        <v>85</v>
      </c>
      <c r="CX5" s="24">
        <v>86</v>
      </c>
      <c r="CY5" s="24">
        <v>87</v>
      </c>
      <c r="CZ5" s="24">
        <v>88</v>
      </c>
      <c r="DA5" s="24">
        <v>89</v>
      </c>
      <c r="DB5" s="24">
        <v>90</v>
      </c>
      <c r="DC5" s="24">
        <v>91</v>
      </c>
      <c r="DD5" s="24">
        <v>92</v>
      </c>
      <c r="DE5" s="24">
        <v>93</v>
      </c>
      <c r="DF5" s="24">
        <v>94</v>
      </c>
      <c r="DG5" s="24">
        <v>95</v>
      </c>
      <c r="DH5" s="24">
        <v>96</v>
      </c>
      <c r="DI5" s="24">
        <v>97</v>
      </c>
      <c r="DJ5" s="24">
        <v>98</v>
      </c>
      <c r="DK5" s="24">
        <v>99</v>
      </c>
      <c r="DL5" s="24">
        <v>100</v>
      </c>
      <c r="DM5" s="24">
        <v>101</v>
      </c>
      <c r="DN5" s="24">
        <v>102</v>
      </c>
      <c r="DO5" s="24">
        <v>103</v>
      </c>
      <c r="DP5" s="24">
        <v>104</v>
      </c>
      <c r="DQ5" s="24">
        <v>105</v>
      </c>
      <c r="DR5" s="24">
        <v>106</v>
      </c>
      <c r="DS5" s="24">
        <v>107</v>
      </c>
      <c r="DT5" s="24">
        <v>108</v>
      </c>
      <c r="DU5" s="24">
        <v>109</v>
      </c>
      <c r="DV5" s="24">
        <v>110</v>
      </c>
      <c r="DW5" s="24">
        <v>111</v>
      </c>
      <c r="DX5" s="24">
        <v>112</v>
      </c>
      <c r="DY5" s="24">
        <v>113</v>
      </c>
      <c r="DZ5" s="24">
        <v>114</v>
      </c>
      <c r="EA5" s="24">
        <v>115</v>
      </c>
      <c r="EB5" s="24">
        <v>116</v>
      </c>
      <c r="EC5" s="24">
        <v>117</v>
      </c>
      <c r="ED5" s="24">
        <v>118</v>
      </c>
      <c r="EE5" s="24">
        <v>119</v>
      </c>
      <c r="EF5" s="24">
        <v>120</v>
      </c>
      <c r="EG5" s="24">
        <v>121</v>
      </c>
      <c r="EH5" s="24">
        <v>122</v>
      </c>
      <c r="EI5" s="24">
        <v>123</v>
      </c>
      <c r="EJ5" s="24">
        <v>124</v>
      </c>
      <c r="EK5" s="24">
        <v>125</v>
      </c>
      <c r="EL5" s="24">
        <v>126</v>
      </c>
      <c r="EM5" s="24">
        <v>127</v>
      </c>
      <c r="EN5" s="24">
        <v>128</v>
      </c>
      <c r="EO5" s="24">
        <v>129</v>
      </c>
      <c r="EP5" s="24">
        <v>130</v>
      </c>
      <c r="EQ5" s="24">
        <v>131</v>
      </c>
      <c r="ER5" s="24">
        <v>132</v>
      </c>
      <c r="ES5" s="24">
        <v>133</v>
      </c>
      <c r="ET5" s="24">
        <v>134</v>
      </c>
      <c r="EU5" s="24">
        <v>135</v>
      </c>
      <c r="EV5" s="24">
        <v>136</v>
      </c>
      <c r="EW5" s="24">
        <v>137</v>
      </c>
      <c r="EX5" s="24">
        <v>138</v>
      </c>
      <c r="EY5" s="24">
        <v>139</v>
      </c>
      <c r="EZ5" s="24">
        <v>140</v>
      </c>
      <c r="FA5" s="24">
        <v>141</v>
      </c>
      <c r="FB5" s="24">
        <v>142</v>
      </c>
      <c r="FC5" s="24">
        <v>143</v>
      </c>
      <c r="FD5" s="24">
        <v>144</v>
      </c>
      <c r="FE5" s="24">
        <v>145</v>
      </c>
      <c r="FF5" s="24">
        <v>146</v>
      </c>
      <c r="FG5" s="24">
        <v>147</v>
      </c>
      <c r="FH5" s="24">
        <v>148</v>
      </c>
      <c r="FI5" s="24">
        <v>149</v>
      </c>
      <c r="FJ5" s="24">
        <v>150</v>
      </c>
      <c r="FK5" s="24">
        <v>151</v>
      </c>
      <c r="FL5" s="24">
        <v>152</v>
      </c>
      <c r="FM5" s="24">
        <v>153</v>
      </c>
      <c r="FN5" s="24">
        <v>154</v>
      </c>
      <c r="FO5" s="24">
        <v>155</v>
      </c>
      <c r="FP5" s="24">
        <v>156</v>
      </c>
      <c r="FQ5" s="24">
        <v>157</v>
      </c>
      <c r="FR5" s="24">
        <v>158</v>
      </c>
      <c r="FS5" s="24">
        <v>159</v>
      </c>
      <c r="FT5" s="24">
        <v>160</v>
      </c>
      <c r="FU5" s="24">
        <v>161</v>
      </c>
      <c r="FV5" s="24">
        <v>162</v>
      </c>
      <c r="FW5" s="24">
        <v>163</v>
      </c>
      <c r="FX5" s="24">
        <v>164</v>
      </c>
      <c r="FY5" s="24">
        <v>165</v>
      </c>
      <c r="FZ5" s="24">
        <v>166</v>
      </c>
      <c r="GA5" s="24">
        <v>167</v>
      </c>
      <c r="GB5" s="24">
        <v>168</v>
      </c>
      <c r="GC5" s="24">
        <v>169</v>
      </c>
      <c r="GD5" s="24">
        <v>170</v>
      </c>
      <c r="GE5" s="24">
        <v>171</v>
      </c>
      <c r="GF5" s="24">
        <v>172</v>
      </c>
      <c r="GG5" s="24">
        <v>173</v>
      </c>
      <c r="GH5" s="24">
        <v>174</v>
      </c>
      <c r="GI5" s="24">
        <v>175</v>
      </c>
      <c r="GJ5" s="24">
        <v>176</v>
      </c>
      <c r="GK5" s="24">
        <v>177</v>
      </c>
      <c r="GL5" s="24">
        <v>178</v>
      </c>
      <c r="GM5" s="24">
        <v>179</v>
      </c>
      <c r="GN5" s="24">
        <v>180</v>
      </c>
      <c r="GO5" s="24">
        <v>181</v>
      </c>
      <c r="GP5" s="24">
        <v>182</v>
      </c>
      <c r="GQ5" s="24">
        <v>183</v>
      </c>
      <c r="GR5" s="24">
        <v>184</v>
      </c>
      <c r="GS5" s="24">
        <v>185</v>
      </c>
      <c r="GT5" s="24">
        <v>186</v>
      </c>
      <c r="GU5" s="24">
        <v>187</v>
      </c>
      <c r="GV5" s="24">
        <v>188</v>
      </c>
      <c r="GW5" s="24">
        <v>189</v>
      </c>
      <c r="GX5" s="24">
        <v>190</v>
      </c>
      <c r="GY5" s="24">
        <v>191</v>
      </c>
      <c r="GZ5" s="24">
        <v>192</v>
      </c>
      <c r="HA5" s="24">
        <v>193</v>
      </c>
      <c r="HB5" s="24">
        <v>194</v>
      </c>
      <c r="HC5" s="24">
        <v>195</v>
      </c>
      <c r="HD5" s="24">
        <v>196</v>
      </c>
      <c r="HE5" s="24">
        <v>197</v>
      </c>
      <c r="HF5" s="24">
        <v>198</v>
      </c>
      <c r="HG5" s="24">
        <v>199</v>
      </c>
      <c r="HH5" s="24">
        <v>200</v>
      </c>
      <c r="HI5" s="24">
        <v>201</v>
      </c>
      <c r="HJ5" s="24">
        <v>202</v>
      </c>
      <c r="HK5" s="24">
        <v>203</v>
      </c>
      <c r="HL5" s="24">
        <v>204</v>
      </c>
      <c r="HM5" s="24">
        <v>205</v>
      </c>
      <c r="HN5" s="24">
        <v>206</v>
      </c>
      <c r="HO5" s="24">
        <v>207</v>
      </c>
      <c r="HP5" s="24">
        <v>208</v>
      </c>
      <c r="HQ5" s="24">
        <v>209</v>
      </c>
      <c r="HR5" s="24">
        <v>210</v>
      </c>
      <c r="HS5" s="24">
        <v>211</v>
      </c>
      <c r="HT5" s="24">
        <v>212</v>
      </c>
      <c r="HU5" s="24">
        <v>213</v>
      </c>
      <c r="HV5" s="24">
        <v>214</v>
      </c>
      <c r="HW5" s="24">
        <v>215</v>
      </c>
      <c r="HX5" s="24">
        <v>216</v>
      </c>
      <c r="HY5" s="24">
        <v>217</v>
      </c>
      <c r="HZ5" s="24">
        <v>218</v>
      </c>
      <c r="IA5" s="24">
        <v>219</v>
      </c>
      <c r="IB5" s="24">
        <v>220</v>
      </c>
      <c r="IC5" s="24">
        <v>221</v>
      </c>
      <c r="ID5" s="24">
        <v>222</v>
      </c>
      <c r="IE5" s="24">
        <v>223</v>
      </c>
      <c r="IF5" s="24">
        <v>224</v>
      </c>
      <c r="IG5" s="24">
        <v>225</v>
      </c>
      <c r="IH5" s="24">
        <v>226</v>
      </c>
      <c r="II5" s="24">
        <v>227</v>
      </c>
      <c r="IJ5" s="24">
        <v>228</v>
      </c>
      <c r="IK5" s="24">
        <v>229</v>
      </c>
      <c r="IL5" s="24">
        <v>230</v>
      </c>
      <c r="IM5" s="24">
        <v>231</v>
      </c>
      <c r="IN5" s="24">
        <v>232</v>
      </c>
      <c r="IO5" s="24">
        <v>233</v>
      </c>
      <c r="IP5" s="24">
        <v>234</v>
      </c>
      <c r="IQ5" s="24">
        <v>235</v>
      </c>
      <c r="IR5" s="24">
        <v>236</v>
      </c>
      <c r="IS5" s="24">
        <v>237</v>
      </c>
      <c r="IT5" s="24">
        <v>238</v>
      </c>
      <c r="IU5" s="24">
        <v>239</v>
      </c>
      <c r="IV5" s="24">
        <v>240</v>
      </c>
      <c r="IW5" s="24">
        <v>241</v>
      </c>
      <c r="IX5" s="24">
        <v>242</v>
      </c>
      <c r="IY5" s="24">
        <v>243</v>
      </c>
      <c r="IZ5" s="24">
        <v>244</v>
      </c>
      <c r="JA5" s="24">
        <v>245</v>
      </c>
      <c r="JB5" s="24">
        <v>246</v>
      </c>
      <c r="JC5" s="24">
        <v>247</v>
      </c>
      <c r="JD5" s="24">
        <v>248</v>
      </c>
      <c r="JE5" s="24">
        <v>249</v>
      </c>
      <c r="JF5" s="24">
        <v>250</v>
      </c>
      <c r="JG5" s="24">
        <v>251</v>
      </c>
      <c r="JH5" s="24">
        <v>252</v>
      </c>
      <c r="JI5" s="24">
        <v>253</v>
      </c>
      <c r="JJ5" s="24">
        <v>254</v>
      </c>
      <c r="JK5" s="24">
        <v>255</v>
      </c>
      <c r="JL5" s="24">
        <v>256</v>
      </c>
      <c r="JM5" s="24">
        <v>257</v>
      </c>
      <c r="JN5" s="24">
        <v>258</v>
      </c>
      <c r="JO5" s="24">
        <v>259</v>
      </c>
      <c r="JP5" s="24">
        <v>260</v>
      </c>
      <c r="JQ5" s="24">
        <v>261</v>
      </c>
      <c r="JR5" s="24">
        <v>262</v>
      </c>
      <c r="JS5" s="24">
        <v>263</v>
      </c>
      <c r="JT5" s="24">
        <v>264</v>
      </c>
      <c r="JU5" s="24">
        <v>265</v>
      </c>
      <c r="JV5" s="24">
        <v>266</v>
      </c>
      <c r="JW5" s="24">
        <v>267</v>
      </c>
      <c r="JX5" s="24">
        <v>268</v>
      </c>
      <c r="JY5" s="24">
        <v>269</v>
      </c>
      <c r="JZ5" s="24">
        <v>270</v>
      </c>
      <c r="KA5" s="24">
        <v>271</v>
      </c>
      <c r="KB5" s="24">
        <v>272</v>
      </c>
      <c r="KC5" s="24">
        <v>273</v>
      </c>
      <c r="KD5" s="24">
        <v>274</v>
      </c>
      <c r="KE5" s="24">
        <v>275</v>
      </c>
      <c r="KF5" s="24">
        <v>276</v>
      </c>
      <c r="KG5" s="24">
        <v>277</v>
      </c>
      <c r="KH5" s="24">
        <v>278</v>
      </c>
      <c r="KI5" s="24">
        <v>279</v>
      </c>
      <c r="KJ5" s="24">
        <v>280</v>
      </c>
      <c r="KK5" s="24">
        <v>281</v>
      </c>
      <c r="KL5" s="24">
        <v>282</v>
      </c>
      <c r="KM5" s="24">
        <v>283</v>
      </c>
      <c r="KN5" s="24">
        <v>284</v>
      </c>
      <c r="KO5" s="24">
        <v>285</v>
      </c>
      <c r="KP5" s="24">
        <v>286</v>
      </c>
      <c r="KQ5" s="24">
        <v>287</v>
      </c>
      <c r="KR5" s="24">
        <v>288</v>
      </c>
      <c r="KS5" s="24">
        <v>289</v>
      </c>
      <c r="KT5" s="24">
        <v>290</v>
      </c>
      <c r="KU5" s="24">
        <v>291</v>
      </c>
      <c r="KV5" s="24">
        <v>292</v>
      </c>
      <c r="KW5" s="24">
        <v>293</v>
      </c>
      <c r="KX5" s="24">
        <v>294</v>
      </c>
      <c r="KY5" s="24">
        <v>295</v>
      </c>
      <c r="KZ5" s="24">
        <v>296</v>
      </c>
      <c r="LA5" s="24">
        <v>297</v>
      </c>
      <c r="LB5" s="24">
        <v>298</v>
      </c>
      <c r="LC5" s="24">
        <v>299</v>
      </c>
      <c r="LD5" s="24">
        <v>300</v>
      </c>
      <c r="LE5" s="24">
        <v>301</v>
      </c>
      <c r="LF5" s="24">
        <v>302</v>
      </c>
      <c r="LG5" s="24">
        <v>303</v>
      </c>
      <c r="LH5" s="24">
        <v>304</v>
      </c>
      <c r="LI5" s="24">
        <v>305</v>
      </c>
      <c r="LJ5" s="24">
        <v>306</v>
      </c>
      <c r="LK5" s="24">
        <v>307</v>
      </c>
      <c r="LL5" s="24">
        <v>308</v>
      </c>
      <c r="LM5" s="24">
        <v>309</v>
      </c>
      <c r="LN5" s="24">
        <v>310</v>
      </c>
      <c r="LO5" s="24">
        <v>311</v>
      </c>
      <c r="LP5" s="24">
        <v>312</v>
      </c>
      <c r="LQ5" s="24">
        <v>313</v>
      </c>
      <c r="LR5" s="24">
        <v>314</v>
      </c>
      <c r="LS5" s="24">
        <v>315</v>
      </c>
      <c r="LT5" s="24">
        <v>316</v>
      </c>
      <c r="LU5" s="24">
        <v>317</v>
      </c>
      <c r="LV5" s="24">
        <v>318</v>
      </c>
      <c r="LW5" s="24">
        <v>319</v>
      </c>
      <c r="LX5" s="24">
        <v>320</v>
      </c>
      <c r="LY5" s="24">
        <v>321</v>
      </c>
      <c r="LZ5" s="24">
        <v>322</v>
      </c>
      <c r="MA5" s="24">
        <v>323</v>
      </c>
      <c r="MB5" s="24">
        <v>324</v>
      </c>
      <c r="MC5" s="24">
        <v>325</v>
      </c>
      <c r="MD5" s="24">
        <v>326</v>
      </c>
      <c r="ME5" s="24">
        <v>327</v>
      </c>
      <c r="MF5" s="24">
        <v>328</v>
      </c>
      <c r="MG5" s="24">
        <v>329</v>
      </c>
      <c r="MH5" s="24">
        <v>330</v>
      </c>
      <c r="MI5" s="24">
        <v>331</v>
      </c>
      <c r="MJ5" s="24">
        <v>332</v>
      </c>
      <c r="MK5" s="24">
        <v>333</v>
      </c>
      <c r="ML5" s="24">
        <v>334</v>
      </c>
      <c r="MM5" s="24">
        <v>335</v>
      </c>
      <c r="MN5" s="24">
        <v>336</v>
      </c>
      <c r="MO5" s="24">
        <v>337</v>
      </c>
      <c r="MP5" s="24">
        <v>338</v>
      </c>
      <c r="MQ5" s="24">
        <v>339</v>
      </c>
      <c r="MR5" s="24">
        <v>340</v>
      </c>
      <c r="MS5" s="24">
        <v>341</v>
      </c>
      <c r="MT5" s="24">
        <v>342</v>
      </c>
      <c r="MU5" s="24">
        <v>343</v>
      </c>
      <c r="MV5" s="24">
        <v>344</v>
      </c>
      <c r="MW5" s="24">
        <v>345</v>
      </c>
      <c r="MX5" s="24">
        <v>346</v>
      </c>
      <c r="MY5" s="24">
        <v>347</v>
      </c>
      <c r="MZ5" s="24">
        <v>348</v>
      </c>
      <c r="NA5" s="24">
        <v>349</v>
      </c>
      <c r="NB5" s="24">
        <v>350</v>
      </c>
      <c r="NC5" s="24">
        <v>351</v>
      </c>
      <c r="ND5" s="24">
        <v>352</v>
      </c>
      <c r="NE5" s="24">
        <v>353</v>
      </c>
      <c r="NF5" s="24">
        <v>354</v>
      </c>
      <c r="NG5" s="24">
        <v>355</v>
      </c>
      <c r="NH5" s="24">
        <v>356</v>
      </c>
      <c r="NI5" s="24">
        <v>357</v>
      </c>
      <c r="NJ5" s="24">
        <v>358</v>
      </c>
      <c r="NK5" s="24">
        <v>359</v>
      </c>
      <c r="NL5" s="24">
        <v>360</v>
      </c>
      <c r="NM5" s="24">
        <v>361</v>
      </c>
      <c r="NN5" s="24">
        <v>362</v>
      </c>
      <c r="NO5" s="24">
        <v>363</v>
      </c>
      <c r="NP5" s="24">
        <v>364</v>
      </c>
      <c r="NQ5" s="24">
        <v>365</v>
      </c>
      <c r="NR5" s="24">
        <v>366</v>
      </c>
      <c r="NS5" s="24">
        <v>367</v>
      </c>
      <c r="NT5" s="24">
        <v>368</v>
      </c>
      <c r="NU5" s="24">
        <v>369</v>
      </c>
      <c r="NV5" s="24">
        <v>370</v>
      </c>
      <c r="NW5" s="24">
        <v>371</v>
      </c>
      <c r="NX5" s="24">
        <v>372</v>
      </c>
      <c r="NY5" s="24">
        <v>373</v>
      </c>
      <c r="NZ5" s="24">
        <v>374</v>
      </c>
      <c r="OA5" s="24">
        <v>375</v>
      </c>
      <c r="OB5" s="24">
        <v>376</v>
      </c>
      <c r="OC5" s="24">
        <v>377</v>
      </c>
      <c r="OD5" s="24">
        <v>378</v>
      </c>
      <c r="OE5" s="24">
        <v>379</v>
      </c>
    </row>
    <row r="6" spans="1:395" x14ac:dyDescent="0.3">
      <c r="K6" s="76"/>
      <c r="L6" s="66"/>
      <c r="M6" s="77"/>
      <c r="N6" s="6" t="s">
        <v>10</v>
      </c>
      <c r="O6" s="6"/>
      <c r="P6" s="17"/>
      <c r="Q6" s="3" cm="1">
        <f t="array" ref="Q6:OE6">ROUNDUP(_xlfn.ANCHORARRAY(Q5)/12,0)</f>
        <v>1</v>
      </c>
      <c r="R6" s="3">
        <v>1</v>
      </c>
      <c r="S6" s="3">
        <v>1</v>
      </c>
      <c r="T6" s="3">
        <v>1</v>
      </c>
      <c r="U6" s="3">
        <v>1</v>
      </c>
      <c r="V6" s="3">
        <v>1</v>
      </c>
      <c r="W6" s="3">
        <v>1</v>
      </c>
      <c r="X6" s="3">
        <v>1</v>
      </c>
      <c r="Y6" s="3">
        <v>1</v>
      </c>
      <c r="Z6" s="3">
        <v>1</v>
      </c>
      <c r="AA6" s="3">
        <v>1</v>
      </c>
      <c r="AB6" s="3">
        <v>1</v>
      </c>
      <c r="AC6" s="3">
        <v>2</v>
      </c>
      <c r="AD6" s="3">
        <v>2</v>
      </c>
      <c r="AE6" s="3">
        <v>2</v>
      </c>
      <c r="AF6" s="3">
        <v>2</v>
      </c>
      <c r="AG6" s="3">
        <v>2</v>
      </c>
      <c r="AH6" s="3">
        <v>2</v>
      </c>
      <c r="AI6" s="3">
        <v>2</v>
      </c>
      <c r="AJ6" s="3">
        <v>2</v>
      </c>
      <c r="AK6" s="3">
        <v>2</v>
      </c>
      <c r="AL6" s="3">
        <v>2</v>
      </c>
      <c r="AM6" s="3">
        <v>2</v>
      </c>
      <c r="AN6" s="3">
        <v>2</v>
      </c>
      <c r="AO6" s="3">
        <v>3</v>
      </c>
      <c r="AP6" s="3">
        <v>3</v>
      </c>
      <c r="AQ6" s="3">
        <v>3</v>
      </c>
      <c r="AR6" s="3">
        <v>3</v>
      </c>
      <c r="AS6" s="3">
        <v>3</v>
      </c>
      <c r="AT6" s="3">
        <v>3</v>
      </c>
      <c r="AU6" s="3">
        <v>3</v>
      </c>
      <c r="AV6" s="3">
        <v>3</v>
      </c>
      <c r="AW6" s="3">
        <v>3</v>
      </c>
      <c r="AX6" s="3">
        <v>3</v>
      </c>
      <c r="AY6" s="3">
        <v>3</v>
      </c>
      <c r="AZ6" s="3">
        <v>3</v>
      </c>
      <c r="BA6" s="3">
        <v>4</v>
      </c>
      <c r="BB6" s="3">
        <v>4</v>
      </c>
      <c r="BC6" s="3">
        <v>4</v>
      </c>
      <c r="BD6" s="3">
        <v>4</v>
      </c>
      <c r="BE6" s="3">
        <v>4</v>
      </c>
      <c r="BF6" s="3">
        <v>4</v>
      </c>
      <c r="BG6" s="3">
        <v>4</v>
      </c>
      <c r="BH6" s="3">
        <v>4</v>
      </c>
      <c r="BI6" s="3">
        <v>4</v>
      </c>
      <c r="BJ6" s="3">
        <v>4</v>
      </c>
      <c r="BK6" s="3">
        <v>4</v>
      </c>
      <c r="BL6" s="3">
        <v>4</v>
      </c>
      <c r="BM6" s="3">
        <v>5</v>
      </c>
      <c r="BN6" s="3">
        <v>5</v>
      </c>
      <c r="BO6" s="3">
        <v>5</v>
      </c>
      <c r="BP6" s="3">
        <v>5</v>
      </c>
      <c r="BQ6" s="3">
        <v>5</v>
      </c>
      <c r="BR6" s="3">
        <v>5</v>
      </c>
      <c r="BS6" s="3">
        <v>5</v>
      </c>
      <c r="BT6" s="3">
        <v>5</v>
      </c>
      <c r="BU6" s="3">
        <v>5</v>
      </c>
      <c r="BV6" s="3">
        <v>5</v>
      </c>
      <c r="BW6" s="3">
        <v>5</v>
      </c>
      <c r="BX6" s="3">
        <v>5</v>
      </c>
      <c r="BY6" s="3">
        <v>6</v>
      </c>
      <c r="BZ6" s="3">
        <v>6</v>
      </c>
      <c r="CA6" s="3">
        <v>6</v>
      </c>
      <c r="CB6" s="3">
        <v>6</v>
      </c>
      <c r="CC6" s="3">
        <v>6</v>
      </c>
      <c r="CD6" s="3">
        <v>6</v>
      </c>
      <c r="CE6" s="3">
        <v>6</v>
      </c>
      <c r="CF6" s="3">
        <v>6</v>
      </c>
      <c r="CG6" s="3">
        <v>6</v>
      </c>
      <c r="CH6" s="3">
        <v>6</v>
      </c>
      <c r="CI6" s="3">
        <v>6</v>
      </c>
      <c r="CJ6" s="3">
        <v>6</v>
      </c>
      <c r="CK6" s="3">
        <v>7</v>
      </c>
      <c r="CL6" s="3">
        <v>7</v>
      </c>
      <c r="CM6" s="3">
        <v>7</v>
      </c>
      <c r="CN6" s="3">
        <v>7</v>
      </c>
      <c r="CO6" s="3">
        <v>7</v>
      </c>
      <c r="CP6" s="3">
        <v>7</v>
      </c>
      <c r="CQ6" s="3">
        <v>7</v>
      </c>
      <c r="CR6" s="3">
        <v>7</v>
      </c>
      <c r="CS6" s="3">
        <v>7</v>
      </c>
      <c r="CT6" s="3">
        <v>7</v>
      </c>
      <c r="CU6" s="3">
        <v>7</v>
      </c>
      <c r="CV6" s="3">
        <v>7</v>
      </c>
      <c r="CW6" s="3">
        <v>8</v>
      </c>
      <c r="CX6" s="3">
        <v>8</v>
      </c>
      <c r="CY6" s="3">
        <v>8</v>
      </c>
      <c r="CZ6" s="3">
        <v>8</v>
      </c>
      <c r="DA6" s="3">
        <v>8</v>
      </c>
      <c r="DB6" s="3">
        <v>8</v>
      </c>
      <c r="DC6" s="3">
        <v>8</v>
      </c>
      <c r="DD6" s="3">
        <v>8</v>
      </c>
      <c r="DE6" s="3">
        <v>8</v>
      </c>
      <c r="DF6" s="3">
        <v>8</v>
      </c>
      <c r="DG6" s="3">
        <v>8</v>
      </c>
      <c r="DH6" s="3">
        <v>8</v>
      </c>
      <c r="DI6" s="3">
        <v>9</v>
      </c>
      <c r="DJ6" s="3">
        <v>9</v>
      </c>
      <c r="DK6" s="3">
        <v>9</v>
      </c>
      <c r="DL6" s="3">
        <v>9</v>
      </c>
      <c r="DM6" s="3">
        <v>9</v>
      </c>
      <c r="DN6" s="3">
        <v>9</v>
      </c>
      <c r="DO6" s="3">
        <v>9</v>
      </c>
      <c r="DP6" s="3">
        <v>9</v>
      </c>
      <c r="DQ6" s="3">
        <v>9</v>
      </c>
      <c r="DR6" s="3">
        <v>9</v>
      </c>
      <c r="DS6" s="3">
        <v>9</v>
      </c>
      <c r="DT6" s="3">
        <v>9</v>
      </c>
      <c r="DU6" s="3">
        <v>10</v>
      </c>
      <c r="DV6" s="3">
        <v>10</v>
      </c>
      <c r="DW6" s="3">
        <v>10</v>
      </c>
      <c r="DX6" s="3">
        <v>10</v>
      </c>
      <c r="DY6" s="3">
        <v>10</v>
      </c>
      <c r="DZ6" s="3">
        <v>10</v>
      </c>
      <c r="EA6" s="3">
        <v>10</v>
      </c>
      <c r="EB6" s="3">
        <v>10</v>
      </c>
      <c r="EC6" s="3">
        <v>10</v>
      </c>
      <c r="ED6" s="3">
        <v>10</v>
      </c>
      <c r="EE6" s="3">
        <v>10</v>
      </c>
      <c r="EF6" s="3">
        <v>10</v>
      </c>
      <c r="EG6" s="3">
        <v>11</v>
      </c>
      <c r="EH6" s="3">
        <v>11</v>
      </c>
      <c r="EI6" s="3">
        <v>11</v>
      </c>
      <c r="EJ6" s="3">
        <v>11</v>
      </c>
      <c r="EK6" s="3">
        <v>11</v>
      </c>
      <c r="EL6" s="3">
        <v>11</v>
      </c>
      <c r="EM6" s="3">
        <v>11</v>
      </c>
      <c r="EN6" s="3">
        <v>11</v>
      </c>
      <c r="EO6" s="3">
        <v>11</v>
      </c>
      <c r="EP6" s="3">
        <v>11</v>
      </c>
      <c r="EQ6" s="3">
        <v>11</v>
      </c>
      <c r="ER6" s="3">
        <v>11</v>
      </c>
      <c r="ES6" s="3">
        <v>12</v>
      </c>
      <c r="ET6" s="3">
        <v>12</v>
      </c>
      <c r="EU6" s="3">
        <v>12</v>
      </c>
      <c r="EV6" s="3">
        <v>12</v>
      </c>
      <c r="EW6" s="3">
        <v>12</v>
      </c>
      <c r="EX6" s="3">
        <v>12</v>
      </c>
      <c r="EY6" s="3">
        <v>12</v>
      </c>
      <c r="EZ6" s="3">
        <v>12</v>
      </c>
      <c r="FA6" s="3">
        <v>12</v>
      </c>
      <c r="FB6" s="3">
        <v>12</v>
      </c>
      <c r="FC6" s="3">
        <v>12</v>
      </c>
      <c r="FD6" s="3">
        <v>12</v>
      </c>
      <c r="FE6" s="3">
        <v>13</v>
      </c>
      <c r="FF6" s="3">
        <v>13</v>
      </c>
      <c r="FG6" s="3">
        <v>13</v>
      </c>
      <c r="FH6" s="3">
        <v>13</v>
      </c>
      <c r="FI6" s="3">
        <v>13</v>
      </c>
      <c r="FJ6" s="3">
        <v>13</v>
      </c>
      <c r="FK6" s="3">
        <v>13</v>
      </c>
      <c r="FL6" s="3">
        <v>13</v>
      </c>
      <c r="FM6" s="3">
        <v>13</v>
      </c>
      <c r="FN6" s="3">
        <v>13</v>
      </c>
      <c r="FO6" s="3">
        <v>13</v>
      </c>
      <c r="FP6" s="3">
        <v>13</v>
      </c>
      <c r="FQ6" s="3">
        <v>14</v>
      </c>
      <c r="FR6" s="3">
        <v>14</v>
      </c>
      <c r="FS6" s="3">
        <v>14</v>
      </c>
      <c r="FT6" s="3">
        <v>14</v>
      </c>
      <c r="FU6" s="3">
        <v>14</v>
      </c>
      <c r="FV6" s="3">
        <v>14</v>
      </c>
      <c r="FW6" s="3">
        <v>14</v>
      </c>
      <c r="FX6" s="3">
        <v>14</v>
      </c>
      <c r="FY6" s="3">
        <v>14</v>
      </c>
      <c r="FZ6" s="3">
        <v>14</v>
      </c>
      <c r="GA6" s="3">
        <v>14</v>
      </c>
      <c r="GB6" s="3">
        <v>14</v>
      </c>
      <c r="GC6" s="3">
        <v>15</v>
      </c>
      <c r="GD6" s="3">
        <v>15</v>
      </c>
      <c r="GE6" s="3">
        <v>15</v>
      </c>
      <c r="GF6" s="3">
        <v>15</v>
      </c>
      <c r="GG6" s="3">
        <v>15</v>
      </c>
      <c r="GH6" s="3">
        <v>15</v>
      </c>
      <c r="GI6" s="3">
        <v>15</v>
      </c>
      <c r="GJ6" s="3">
        <v>15</v>
      </c>
      <c r="GK6" s="3">
        <v>15</v>
      </c>
      <c r="GL6" s="3">
        <v>15</v>
      </c>
      <c r="GM6" s="3">
        <v>15</v>
      </c>
      <c r="GN6" s="3">
        <v>15</v>
      </c>
      <c r="GO6" s="3">
        <v>16</v>
      </c>
      <c r="GP6" s="3">
        <v>16</v>
      </c>
      <c r="GQ6" s="3">
        <v>16</v>
      </c>
      <c r="GR6" s="3">
        <v>16</v>
      </c>
      <c r="GS6" s="3">
        <v>16</v>
      </c>
      <c r="GT6" s="3">
        <v>16</v>
      </c>
      <c r="GU6" s="3">
        <v>16</v>
      </c>
      <c r="GV6" s="3">
        <v>16</v>
      </c>
      <c r="GW6" s="3">
        <v>16</v>
      </c>
      <c r="GX6" s="3">
        <v>16</v>
      </c>
      <c r="GY6" s="3">
        <v>16</v>
      </c>
      <c r="GZ6" s="3">
        <v>16</v>
      </c>
      <c r="HA6" s="3">
        <v>17</v>
      </c>
      <c r="HB6" s="3">
        <v>17</v>
      </c>
      <c r="HC6" s="3">
        <v>17</v>
      </c>
      <c r="HD6" s="3">
        <v>17</v>
      </c>
      <c r="HE6" s="3">
        <v>17</v>
      </c>
      <c r="HF6" s="3">
        <v>17</v>
      </c>
      <c r="HG6" s="3">
        <v>17</v>
      </c>
      <c r="HH6" s="3">
        <v>17</v>
      </c>
      <c r="HI6" s="3">
        <v>17</v>
      </c>
      <c r="HJ6" s="3">
        <v>17</v>
      </c>
      <c r="HK6" s="3">
        <v>17</v>
      </c>
      <c r="HL6" s="3">
        <v>17</v>
      </c>
      <c r="HM6" s="3">
        <v>18</v>
      </c>
      <c r="HN6" s="3">
        <v>18</v>
      </c>
      <c r="HO6" s="3">
        <v>18</v>
      </c>
      <c r="HP6" s="3">
        <v>18</v>
      </c>
      <c r="HQ6" s="3">
        <v>18</v>
      </c>
      <c r="HR6" s="3">
        <v>18</v>
      </c>
      <c r="HS6" s="3">
        <v>18</v>
      </c>
      <c r="HT6" s="3">
        <v>18</v>
      </c>
      <c r="HU6" s="3">
        <v>18</v>
      </c>
      <c r="HV6" s="3">
        <v>18</v>
      </c>
      <c r="HW6" s="3">
        <v>18</v>
      </c>
      <c r="HX6" s="3">
        <v>18</v>
      </c>
      <c r="HY6" s="3">
        <v>19</v>
      </c>
      <c r="HZ6" s="3">
        <v>19</v>
      </c>
      <c r="IA6" s="3">
        <v>19</v>
      </c>
      <c r="IB6" s="3">
        <v>19</v>
      </c>
      <c r="IC6" s="3">
        <v>19</v>
      </c>
      <c r="ID6" s="3">
        <v>19</v>
      </c>
      <c r="IE6" s="3">
        <v>19</v>
      </c>
      <c r="IF6" s="3">
        <v>19</v>
      </c>
      <c r="IG6" s="3">
        <v>19</v>
      </c>
      <c r="IH6" s="3">
        <v>19</v>
      </c>
      <c r="II6" s="3">
        <v>19</v>
      </c>
      <c r="IJ6" s="3">
        <v>19</v>
      </c>
      <c r="IK6" s="3">
        <v>20</v>
      </c>
      <c r="IL6" s="3">
        <v>20</v>
      </c>
      <c r="IM6" s="3">
        <v>20</v>
      </c>
      <c r="IN6" s="3">
        <v>20</v>
      </c>
      <c r="IO6" s="3">
        <v>20</v>
      </c>
      <c r="IP6" s="3">
        <v>20</v>
      </c>
      <c r="IQ6" s="3">
        <v>20</v>
      </c>
      <c r="IR6" s="3">
        <v>20</v>
      </c>
      <c r="IS6" s="3">
        <v>20</v>
      </c>
      <c r="IT6" s="3">
        <v>20</v>
      </c>
      <c r="IU6" s="3">
        <v>20</v>
      </c>
      <c r="IV6" s="3">
        <v>20</v>
      </c>
      <c r="IW6" s="3">
        <v>21</v>
      </c>
      <c r="IX6" s="3">
        <v>21</v>
      </c>
      <c r="IY6" s="3">
        <v>21</v>
      </c>
      <c r="IZ6" s="3">
        <v>21</v>
      </c>
      <c r="JA6" s="3">
        <v>21</v>
      </c>
      <c r="JB6" s="3">
        <v>21</v>
      </c>
      <c r="JC6" s="3">
        <v>21</v>
      </c>
      <c r="JD6" s="3">
        <v>21</v>
      </c>
      <c r="JE6" s="3">
        <v>21</v>
      </c>
      <c r="JF6" s="3">
        <v>21</v>
      </c>
      <c r="JG6" s="3">
        <v>21</v>
      </c>
      <c r="JH6" s="3">
        <v>21</v>
      </c>
      <c r="JI6" s="3">
        <v>22</v>
      </c>
      <c r="JJ6" s="3">
        <v>22</v>
      </c>
      <c r="JK6" s="3">
        <v>22</v>
      </c>
      <c r="JL6" s="3">
        <v>22</v>
      </c>
      <c r="JM6" s="3">
        <v>22</v>
      </c>
      <c r="JN6" s="3">
        <v>22</v>
      </c>
      <c r="JO6" s="3">
        <v>22</v>
      </c>
      <c r="JP6" s="3">
        <v>22</v>
      </c>
      <c r="JQ6" s="3">
        <v>22</v>
      </c>
      <c r="JR6" s="3">
        <v>22</v>
      </c>
      <c r="JS6" s="3">
        <v>22</v>
      </c>
      <c r="JT6" s="3">
        <v>22</v>
      </c>
      <c r="JU6" s="3">
        <v>23</v>
      </c>
      <c r="JV6" s="3">
        <v>23</v>
      </c>
      <c r="JW6" s="3">
        <v>23</v>
      </c>
      <c r="JX6" s="3">
        <v>23</v>
      </c>
      <c r="JY6" s="3">
        <v>23</v>
      </c>
      <c r="JZ6" s="3">
        <v>23</v>
      </c>
      <c r="KA6" s="3">
        <v>23</v>
      </c>
      <c r="KB6" s="3">
        <v>23</v>
      </c>
      <c r="KC6" s="3">
        <v>23</v>
      </c>
      <c r="KD6" s="3">
        <v>23</v>
      </c>
      <c r="KE6" s="3">
        <v>23</v>
      </c>
      <c r="KF6" s="3">
        <v>23</v>
      </c>
      <c r="KG6" s="3">
        <v>24</v>
      </c>
      <c r="KH6" s="3">
        <v>24</v>
      </c>
      <c r="KI6" s="3">
        <v>24</v>
      </c>
      <c r="KJ6" s="3">
        <v>24</v>
      </c>
      <c r="KK6" s="3">
        <v>24</v>
      </c>
      <c r="KL6" s="3">
        <v>24</v>
      </c>
      <c r="KM6" s="3">
        <v>24</v>
      </c>
      <c r="KN6" s="3">
        <v>24</v>
      </c>
      <c r="KO6" s="3">
        <v>24</v>
      </c>
      <c r="KP6" s="3">
        <v>24</v>
      </c>
      <c r="KQ6" s="3">
        <v>24</v>
      </c>
      <c r="KR6" s="3">
        <v>24</v>
      </c>
      <c r="KS6" s="3">
        <v>25</v>
      </c>
      <c r="KT6" s="3">
        <v>25</v>
      </c>
      <c r="KU6" s="3">
        <v>25</v>
      </c>
      <c r="KV6" s="3">
        <v>25</v>
      </c>
      <c r="KW6" s="3">
        <v>25</v>
      </c>
      <c r="KX6" s="3">
        <v>25</v>
      </c>
      <c r="KY6" s="3">
        <v>25</v>
      </c>
      <c r="KZ6" s="3">
        <v>25</v>
      </c>
      <c r="LA6" s="3">
        <v>25</v>
      </c>
      <c r="LB6" s="3">
        <v>25</v>
      </c>
      <c r="LC6" s="3">
        <v>25</v>
      </c>
      <c r="LD6" s="3">
        <v>25</v>
      </c>
      <c r="LE6" s="3">
        <v>26</v>
      </c>
      <c r="LF6" s="3">
        <v>26</v>
      </c>
      <c r="LG6" s="3">
        <v>26</v>
      </c>
      <c r="LH6" s="3">
        <v>26</v>
      </c>
      <c r="LI6" s="3">
        <v>26</v>
      </c>
      <c r="LJ6" s="3">
        <v>26</v>
      </c>
      <c r="LK6" s="3">
        <v>26</v>
      </c>
      <c r="LL6" s="3">
        <v>26</v>
      </c>
      <c r="LM6" s="3">
        <v>26</v>
      </c>
      <c r="LN6" s="3">
        <v>26</v>
      </c>
      <c r="LO6" s="3">
        <v>26</v>
      </c>
      <c r="LP6" s="3">
        <v>26</v>
      </c>
      <c r="LQ6" s="3">
        <v>27</v>
      </c>
      <c r="LR6" s="3">
        <v>27</v>
      </c>
      <c r="LS6" s="3">
        <v>27</v>
      </c>
      <c r="LT6" s="3">
        <v>27</v>
      </c>
      <c r="LU6" s="3">
        <v>27</v>
      </c>
      <c r="LV6" s="3">
        <v>27</v>
      </c>
      <c r="LW6" s="3">
        <v>27</v>
      </c>
      <c r="LX6" s="3">
        <v>27</v>
      </c>
      <c r="LY6" s="3">
        <v>27</v>
      </c>
      <c r="LZ6" s="3">
        <v>27</v>
      </c>
      <c r="MA6" s="3">
        <v>27</v>
      </c>
      <c r="MB6" s="3">
        <v>27</v>
      </c>
      <c r="MC6" s="3">
        <v>28</v>
      </c>
      <c r="MD6" s="3">
        <v>28</v>
      </c>
      <c r="ME6" s="3">
        <v>28</v>
      </c>
      <c r="MF6" s="3">
        <v>28</v>
      </c>
      <c r="MG6" s="3">
        <v>28</v>
      </c>
      <c r="MH6" s="3">
        <v>28</v>
      </c>
      <c r="MI6" s="3">
        <v>28</v>
      </c>
      <c r="MJ6" s="3">
        <v>28</v>
      </c>
      <c r="MK6" s="3">
        <v>28</v>
      </c>
      <c r="ML6" s="3">
        <v>28</v>
      </c>
      <c r="MM6" s="3">
        <v>28</v>
      </c>
      <c r="MN6" s="3">
        <v>28</v>
      </c>
      <c r="MO6" s="3">
        <v>29</v>
      </c>
      <c r="MP6" s="3">
        <v>29</v>
      </c>
      <c r="MQ6" s="3">
        <v>29</v>
      </c>
      <c r="MR6" s="3">
        <v>29</v>
      </c>
      <c r="MS6" s="3">
        <v>29</v>
      </c>
      <c r="MT6" s="3">
        <v>29</v>
      </c>
      <c r="MU6" s="3">
        <v>29</v>
      </c>
      <c r="MV6" s="3">
        <v>29</v>
      </c>
      <c r="MW6" s="3">
        <v>29</v>
      </c>
      <c r="MX6" s="3">
        <v>29</v>
      </c>
      <c r="MY6" s="3">
        <v>29</v>
      </c>
      <c r="MZ6" s="3">
        <v>29</v>
      </c>
      <c r="NA6" s="3">
        <v>30</v>
      </c>
      <c r="NB6" s="3">
        <v>30</v>
      </c>
      <c r="NC6" s="3">
        <v>30</v>
      </c>
      <c r="ND6" s="3">
        <v>30</v>
      </c>
      <c r="NE6" s="3">
        <v>30</v>
      </c>
      <c r="NF6" s="3">
        <v>30</v>
      </c>
      <c r="NG6" s="3">
        <v>30</v>
      </c>
      <c r="NH6" s="3">
        <v>30</v>
      </c>
      <c r="NI6" s="3">
        <v>30</v>
      </c>
      <c r="NJ6" s="3">
        <v>30</v>
      </c>
      <c r="NK6" s="3">
        <v>30</v>
      </c>
      <c r="NL6" s="3">
        <v>30</v>
      </c>
      <c r="NM6" s="3">
        <v>31</v>
      </c>
      <c r="NN6" s="3">
        <v>31</v>
      </c>
      <c r="NO6" s="3">
        <v>31</v>
      </c>
      <c r="NP6" s="3">
        <v>31</v>
      </c>
      <c r="NQ6" s="3">
        <v>31</v>
      </c>
      <c r="NR6" s="3">
        <v>31</v>
      </c>
      <c r="NS6" s="3">
        <v>31</v>
      </c>
      <c r="NT6" s="3">
        <v>31</v>
      </c>
      <c r="NU6" s="3">
        <v>31</v>
      </c>
      <c r="NV6" s="3">
        <v>31</v>
      </c>
      <c r="NW6" s="3">
        <v>31</v>
      </c>
      <c r="NX6" s="3">
        <v>31</v>
      </c>
      <c r="NY6" s="3">
        <v>32</v>
      </c>
      <c r="NZ6" s="3">
        <v>32</v>
      </c>
      <c r="OA6" s="3">
        <v>32</v>
      </c>
      <c r="OB6" s="3">
        <v>32</v>
      </c>
      <c r="OC6" s="3">
        <v>32</v>
      </c>
      <c r="OD6" s="3">
        <v>32</v>
      </c>
      <c r="OE6" s="3">
        <v>32</v>
      </c>
    </row>
    <row r="7" spans="1:395" ht="14.4" customHeight="1" thickBot="1" x14ac:dyDescent="0.35">
      <c r="D7" s="128"/>
      <c r="F7" s="255" t="s">
        <v>54</v>
      </c>
      <c r="G7" s="120"/>
      <c r="H7" s="120"/>
      <c r="J7" s="7"/>
      <c r="K7" s="76"/>
      <c r="L7" s="66"/>
      <c r="M7" s="66"/>
      <c r="N7" s="119"/>
      <c r="O7" s="66"/>
      <c r="P7" s="66"/>
      <c r="Q7" s="66"/>
    </row>
    <row r="8" spans="1:395" ht="14.4" thickBot="1" x14ac:dyDescent="0.35">
      <c r="A8" s="291" t="s">
        <v>16</v>
      </c>
      <c r="B8" s="292"/>
      <c r="C8" s="292"/>
      <c r="D8" s="292"/>
      <c r="E8" s="121" t="s">
        <v>17</v>
      </c>
      <c r="F8" s="256" t="s">
        <v>19</v>
      </c>
      <c r="G8" s="88"/>
      <c r="H8" s="88"/>
      <c r="I8" s="67" t="s">
        <v>30</v>
      </c>
      <c r="J8" s="70" t="s">
        <v>53</v>
      </c>
      <c r="K8" s="76"/>
      <c r="L8" s="66"/>
      <c r="M8" s="66"/>
      <c r="N8" s="66"/>
      <c r="O8" s="66"/>
      <c r="P8" s="66"/>
      <c r="Q8" s="66"/>
    </row>
    <row r="9" spans="1:395" x14ac:dyDescent="0.3">
      <c r="A9" s="16"/>
      <c r="C9" s="16"/>
      <c r="D9" s="133"/>
      <c r="E9" s="123"/>
      <c r="F9" s="11"/>
      <c r="G9" s="88"/>
      <c r="H9" s="88"/>
      <c r="I9" s="263"/>
      <c r="J9" s="264"/>
      <c r="K9" s="76"/>
      <c r="L9" s="66"/>
      <c r="M9" s="66"/>
      <c r="N9" s="66"/>
      <c r="O9" s="66"/>
      <c r="P9" s="66"/>
      <c r="Q9" s="66"/>
    </row>
    <row r="10" spans="1:395" x14ac:dyDescent="0.3">
      <c r="A10" s="16"/>
      <c r="B10" s="128" t="s">
        <v>240</v>
      </c>
      <c r="C10" s="16"/>
      <c r="D10" s="133"/>
      <c r="E10" s="123"/>
      <c r="F10" s="11"/>
      <c r="G10" s="88"/>
      <c r="H10" s="88"/>
      <c r="I10" s="263"/>
      <c r="J10" s="264"/>
      <c r="K10" s="76"/>
      <c r="L10" s="66"/>
      <c r="M10" s="66"/>
      <c r="N10" s="66"/>
      <c r="O10" s="66"/>
      <c r="P10" s="66"/>
      <c r="Q10" s="66"/>
    </row>
    <row r="11" spans="1:395" outlineLevel="1" x14ac:dyDescent="0.3">
      <c r="A11" s="16"/>
      <c r="C11" s="16"/>
      <c r="D11" s="133" t="s">
        <v>409</v>
      </c>
      <c r="E11" s="286">
        <f>E4</f>
        <v>46174</v>
      </c>
      <c r="F11" s="257"/>
      <c r="G11" s="88"/>
      <c r="H11" s="88"/>
      <c r="I11" s="263"/>
      <c r="J11" s="264"/>
      <c r="K11" s="76"/>
      <c r="L11" s="66"/>
      <c r="M11" s="66"/>
      <c r="N11" s="66"/>
      <c r="O11" s="284" t="s">
        <v>348</v>
      </c>
      <c r="P11" s="284" t="s">
        <v>349</v>
      </c>
      <c r="Q11" s="285" cm="1">
        <f t="array" ref="Q11:OE11">IF(O1=O2,_xlfn.ANCHORARRAY(Q2),IF(O1=O3,_xlfn.ANCHORARRAY(Q3),_xlfn.ANCHORARRAY(Q4)))</f>
        <v>46174</v>
      </c>
      <c r="R11" s="283">
        <v>46204</v>
      </c>
      <c r="S11" s="283">
        <v>46235</v>
      </c>
      <c r="T11" s="283">
        <v>46266</v>
      </c>
      <c r="U11" s="283">
        <v>46296</v>
      </c>
      <c r="V11" s="283">
        <v>46327</v>
      </c>
      <c r="W11" s="283">
        <v>46357</v>
      </c>
      <c r="X11" s="283">
        <v>46388</v>
      </c>
      <c r="Y11" s="283">
        <v>46419</v>
      </c>
      <c r="Z11" s="283">
        <v>46447</v>
      </c>
      <c r="AA11" s="283">
        <v>46478</v>
      </c>
      <c r="AB11" s="283">
        <v>46508</v>
      </c>
      <c r="AC11" s="283">
        <v>46539</v>
      </c>
      <c r="AD11" s="283">
        <v>46569</v>
      </c>
      <c r="AE11" s="283">
        <v>46600</v>
      </c>
      <c r="AF11" s="283">
        <v>46631</v>
      </c>
      <c r="AG11" s="283">
        <v>46661</v>
      </c>
      <c r="AH11" s="283">
        <v>46692</v>
      </c>
      <c r="AI11" s="283">
        <v>46722</v>
      </c>
      <c r="AJ11" s="283">
        <v>46753</v>
      </c>
      <c r="AK11" s="283">
        <v>46784</v>
      </c>
      <c r="AL11" s="283">
        <v>46813</v>
      </c>
      <c r="AM11" s="283">
        <v>46844</v>
      </c>
      <c r="AN11" s="283">
        <v>46874</v>
      </c>
      <c r="AO11" s="283">
        <v>46905</v>
      </c>
      <c r="AP11" s="283">
        <v>46935</v>
      </c>
      <c r="AQ11" s="283">
        <v>46966</v>
      </c>
      <c r="AR11" s="283">
        <v>46997</v>
      </c>
      <c r="AS11" s="283">
        <v>47027</v>
      </c>
      <c r="AT11" s="283">
        <v>47058</v>
      </c>
      <c r="AU11" s="283">
        <v>47088</v>
      </c>
      <c r="AV11" s="283">
        <v>47119</v>
      </c>
      <c r="AW11" s="283">
        <v>47150</v>
      </c>
      <c r="AX11" s="283">
        <v>47178</v>
      </c>
      <c r="AY11" s="283">
        <v>47209</v>
      </c>
      <c r="AZ11" s="283">
        <v>47239</v>
      </c>
      <c r="BA11" s="283">
        <v>47270</v>
      </c>
      <c r="BB11" s="283">
        <v>47300</v>
      </c>
      <c r="BC11" s="283">
        <v>47331</v>
      </c>
      <c r="BD11" s="283">
        <v>47362</v>
      </c>
      <c r="BE11" s="283">
        <v>47392</v>
      </c>
      <c r="BF11" s="283">
        <v>47423</v>
      </c>
      <c r="BG11" s="283">
        <v>47453</v>
      </c>
      <c r="BH11" s="283">
        <v>47484</v>
      </c>
      <c r="BI11" s="283">
        <v>47515</v>
      </c>
      <c r="BJ11" s="283">
        <v>47543</v>
      </c>
      <c r="BK11" s="283">
        <v>47574</v>
      </c>
      <c r="BL11" s="283">
        <v>47604</v>
      </c>
      <c r="BM11" s="283">
        <v>47635</v>
      </c>
      <c r="BN11" s="283">
        <v>47665</v>
      </c>
      <c r="BO11" s="283">
        <v>47696</v>
      </c>
      <c r="BP11" s="283">
        <v>47727</v>
      </c>
      <c r="BQ11" s="283">
        <v>47757</v>
      </c>
      <c r="BR11" s="283">
        <v>47788</v>
      </c>
      <c r="BS11" s="283">
        <v>47818</v>
      </c>
      <c r="BT11" s="283">
        <v>47849</v>
      </c>
      <c r="BU11" s="283">
        <v>47880</v>
      </c>
      <c r="BV11" s="283">
        <v>47908</v>
      </c>
      <c r="BW11" s="283">
        <v>47939</v>
      </c>
      <c r="BX11" s="283">
        <v>47969</v>
      </c>
      <c r="BY11" s="283">
        <v>48000</v>
      </c>
      <c r="BZ11" s="283">
        <v>48030</v>
      </c>
      <c r="CA11" s="283">
        <v>48061</v>
      </c>
      <c r="CB11" s="283">
        <v>48092</v>
      </c>
      <c r="CC11" s="283">
        <v>48122</v>
      </c>
      <c r="CD11" s="283">
        <v>48153</v>
      </c>
      <c r="CE11" s="283">
        <v>48183</v>
      </c>
      <c r="CF11" s="283">
        <v>48214</v>
      </c>
      <c r="CG11" s="283">
        <v>48245</v>
      </c>
      <c r="CH11" s="283">
        <v>48274</v>
      </c>
      <c r="CI11" s="283">
        <v>48305</v>
      </c>
      <c r="CJ11" s="283">
        <v>48335</v>
      </c>
      <c r="CK11" s="283">
        <v>48366</v>
      </c>
      <c r="CL11" s="283">
        <v>48396</v>
      </c>
      <c r="CM11" s="283">
        <v>48427</v>
      </c>
      <c r="CN11" s="283">
        <v>48458</v>
      </c>
      <c r="CO11" s="283">
        <v>48488</v>
      </c>
      <c r="CP11" s="283">
        <v>48519</v>
      </c>
      <c r="CQ11" s="283">
        <v>48549</v>
      </c>
      <c r="CR11" s="283">
        <v>48580</v>
      </c>
      <c r="CS11" s="283">
        <v>48611</v>
      </c>
      <c r="CT11" s="283">
        <v>48639</v>
      </c>
      <c r="CU11" s="283">
        <v>48670</v>
      </c>
      <c r="CV11" s="283">
        <v>48700</v>
      </c>
      <c r="CW11" s="283">
        <v>48731</v>
      </c>
      <c r="CX11" s="283">
        <v>48761</v>
      </c>
      <c r="CY11" s="283">
        <v>48792</v>
      </c>
      <c r="CZ11" s="283">
        <v>48823</v>
      </c>
      <c r="DA11" s="283">
        <v>48853</v>
      </c>
      <c r="DB11" s="283">
        <v>48884</v>
      </c>
      <c r="DC11" s="283">
        <v>48914</v>
      </c>
      <c r="DD11" s="283">
        <v>48945</v>
      </c>
      <c r="DE11" s="283">
        <v>48976</v>
      </c>
      <c r="DF11" s="283">
        <v>49004</v>
      </c>
      <c r="DG11" s="283">
        <v>49035</v>
      </c>
      <c r="DH11" s="283">
        <v>49065</v>
      </c>
      <c r="DI11" s="283">
        <v>49096</v>
      </c>
      <c r="DJ11" s="283">
        <v>49126</v>
      </c>
      <c r="DK11" s="283">
        <v>49157</v>
      </c>
      <c r="DL11" s="283">
        <v>49188</v>
      </c>
      <c r="DM11" s="283">
        <v>49218</v>
      </c>
      <c r="DN11" s="283">
        <v>49249</v>
      </c>
      <c r="DO11" s="283">
        <v>49279</v>
      </c>
      <c r="DP11" s="283">
        <v>49310</v>
      </c>
      <c r="DQ11" s="283">
        <v>49341</v>
      </c>
      <c r="DR11" s="283">
        <v>49369</v>
      </c>
      <c r="DS11" s="283">
        <v>49400</v>
      </c>
      <c r="DT11" s="283">
        <v>49430</v>
      </c>
      <c r="DU11" s="283">
        <v>49461</v>
      </c>
      <c r="DV11" s="283">
        <v>49491</v>
      </c>
      <c r="DW11" s="283">
        <v>49522</v>
      </c>
      <c r="DX11" s="283">
        <v>49553</v>
      </c>
      <c r="DY11" s="283">
        <v>49583</v>
      </c>
      <c r="DZ11" s="283">
        <v>49614</v>
      </c>
      <c r="EA11" s="283">
        <v>49644</v>
      </c>
      <c r="EB11" s="283">
        <v>49675</v>
      </c>
      <c r="EC11" s="283">
        <v>49706</v>
      </c>
      <c r="ED11" s="283">
        <v>49735</v>
      </c>
      <c r="EE11" s="283">
        <v>49766</v>
      </c>
      <c r="EF11" s="283">
        <v>49796</v>
      </c>
      <c r="EG11" s="283">
        <v>49827</v>
      </c>
      <c r="EH11" s="283">
        <v>49857</v>
      </c>
      <c r="EI11" s="283">
        <v>49888</v>
      </c>
      <c r="EJ11" s="283">
        <v>49919</v>
      </c>
      <c r="EK11" s="283">
        <v>49949</v>
      </c>
      <c r="EL11" s="283">
        <v>49980</v>
      </c>
      <c r="EM11" s="283">
        <v>50010</v>
      </c>
      <c r="EN11" s="283">
        <v>50041</v>
      </c>
      <c r="EO11" s="283">
        <v>50072</v>
      </c>
      <c r="EP11" s="283">
        <v>50100</v>
      </c>
      <c r="EQ11" s="283">
        <v>50131</v>
      </c>
      <c r="ER11" s="283">
        <v>50161</v>
      </c>
      <c r="ES11" s="283">
        <v>50192</v>
      </c>
      <c r="ET11" s="283">
        <v>50222</v>
      </c>
      <c r="EU11" s="283">
        <v>50253</v>
      </c>
      <c r="EV11" s="283">
        <v>50284</v>
      </c>
      <c r="EW11" s="283">
        <v>50314</v>
      </c>
      <c r="EX11" s="283">
        <v>50345</v>
      </c>
      <c r="EY11" s="283">
        <v>50375</v>
      </c>
      <c r="EZ11" s="283">
        <v>50406</v>
      </c>
      <c r="FA11" s="283">
        <v>50437</v>
      </c>
      <c r="FB11" s="283">
        <v>50465</v>
      </c>
      <c r="FC11" s="283">
        <v>50496</v>
      </c>
      <c r="FD11" s="283">
        <v>50526</v>
      </c>
      <c r="FE11" s="283">
        <v>50557</v>
      </c>
      <c r="FF11" s="283">
        <v>50587</v>
      </c>
      <c r="FG11" s="283">
        <v>50618</v>
      </c>
      <c r="FH11" s="283">
        <v>50649</v>
      </c>
      <c r="FI11" s="283">
        <v>50679</v>
      </c>
      <c r="FJ11" s="283">
        <v>50710</v>
      </c>
      <c r="FK11" s="283">
        <v>50740</v>
      </c>
      <c r="FL11" s="283">
        <v>50771</v>
      </c>
      <c r="FM11" s="283">
        <v>50802</v>
      </c>
      <c r="FN11" s="283">
        <v>50830</v>
      </c>
      <c r="FO11" s="283">
        <v>50861</v>
      </c>
      <c r="FP11" s="283">
        <v>50891</v>
      </c>
      <c r="FQ11" s="283">
        <v>50922</v>
      </c>
      <c r="FR11" s="283">
        <v>50952</v>
      </c>
      <c r="FS11" s="283">
        <v>50983</v>
      </c>
      <c r="FT11" s="283">
        <v>51014</v>
      </c>
      <c r="FU11" s="283">
        <v>51044</v>
      </c>
      <c r="FV11" s="283">
        <v>51075</v>
      </c>
      <c r="FW11" s="283">
        <v>51105</v>
      </c>
      <c r="FX11" s="283">
        <v>51136</v>
      </c>
      <c r="FY11" s="283">
        <v>51167</v>
      </c>
      <c r="FZ11" s="283">
        <v>51196</v>
      </c>
      <c r="GA11" s="283">
        <v>51227</v>
      </c>
      <c r="GB11" s="283">
        <v>51257</v>
      </c>
      <c r="GC11" s="283">
        <v>51288</v>
      </c>
      <c r="GD11" s="283">
        <v>51318</v>
      </c>
      <c r="GE11" s="283">
        <v>51349</v>
      </c>
      <c r="GF11" s="283">
        <v>51380</v>
      </c>
      <c r="GG11" s="283">
        <v>51410</v>
      </c>
      <c r="GH11" s="283">
        <v>51441</v>
      </c>
      <c r="GI11" s="283">
        <v>51471</v>
      </c>
      <c r="GJ11" s="283">
        <v>51502</v>
      </c>
      <c r="GK11" s="283">
        <v>51533</v>
      </c>
      <c r="GL11" s="283">
        <v>51561</v>
      </c>
      <c r="GM11" s="283">
        <v>51592</v>
      </c>
      <c r="GN11" s="283">
        <v>51622</v>
      </c>
      <c r="GO11" s="283">
        <v>51653</v>
      </c>
      <c r="GP11" s="283">
        <v>51683</v>
      </c>
      <c r="GQ11" s="283">
        <v>51714</v>
      </c>
      <c r="GR11" s="283">
        <v>51745</v>
      </c>
      <c r="GS11" s="283">
        <v>51775</v>
      </c>
      <c r="GT11" s="283">
        <v>51806</v>
      </c>
      <c r="GU11" s="283">
        <v>51836</v>
      </c>
      <c r="GV11" s="283">
        <v>51867</v>
      </c>
      <c r="GW11" s="283">
        <v>51898</v>
      </c>
      <c r="GX11" s="283">
        <v>51926</v>
      </c>
      <c r="GY11" s="283">
        <v>51957</v>
      </c>
      <c r="GZ11" s="283">
        <v>51987</v>
      </c>
      <c r="HA11" s="283">
        <v>52018</v>
      </c>
      <c r="HB11" s="283">
        <v>52048</v>
      </c>
      <c r="HC11" s="283">
        <v>52079</v>
      </c>
      <c r="HD11" s="283">
        <v>52110</v>
      </c>
      <c r="HE11" s="283">
        <v>52140</v>
      </c>
      <c r="HF11" s="283">
        <v>52171</v>
      </c>
      <c r="HG11" s="283">
        <v>52201</v>
      </c>
      <c r="HH11" s="283">
        <v>52232</v>
      </c>
      <c r="HI11" s="283">
        <v>52263</v>
      </c>
      <c r="HJ11" s="283">
        <v>52291</v>
      </c>
      <c r="HK11" s="283">
        <v>52322</v>
      </c>
      <c r="HL11" s="283">
        <v>52352</v>
      </c>
      <c r="HM11" s="283">
        <v>52383</v>
      </c>
      <c r="HN11" s="283">
        <v>52413</v>
      </c>
      <c r="HO11" s="283">
        <v>52444</v>
      </c>
      <c r="HP11" s="283">
        <v>52475</v>
      </c>
      <c r="HQ11" s="283">
        <v>52505</v>
      </c>
      <c r="HR11" s="283">
        <v>52536</v>
      </c>
      <c r="HS11" s="283">
        <v>52566</v>
      </c>
      <c r="HT11" s="283">
        <v>52597</v>
      </c>
      <c r="HU11" s="283">
        <v>52628</v>
      </c>
      <c r="HV11" s="283">
        <v>52657</v>
      </c>
      <c r="HW11" s="283">
        <v>52688</v>
      </c>
      <c r="HX11" s="283">
        <v>52718</v>
      </c>
      <c r="HY11" s="283">
        <v>52749</v>
      </c>
      <c r="HZ11" s="283">
        <v>52779</v>
      </c>
      <c r="IA11" s="283">
        <v>52810</v>
      </c>
      <c r="IB11" s="283">
        <v>52841</v>
      </c>
      <c r="IC11" s="283">
        <v>52871</v>
      </c>
      <c r="ID11" s="283">
        <v>52902</v>
      </c>
      <c r="IE11" s="283">
        <v>52932</v>
      </c>
      <c r="IF11" s="283">
        <v>52963</v>
      </c>
      <c r="IG11" s="283">
        <v>52994</v>
      </c>
      <c r="IH11" s="283">
        <v>53022</v>
      </c>
      <c r="II11" s="283">
        <v>53053</v>
      </c>
      <c r="IJ11" s="283">
        <v>53083</v>
      </c>
      <c r="IK11" s="283">
        <v>53114</v>
      </c>
      <c r="IL11" s="283">
        <v>53144</v>
      </c>
      <c r="IM11" s="283">
        <v>53175</v>
      </c>
      <c r="IN11" s="283">
        <v>53206</v>
      </c>
      <c r="IO11" s="283">
        <v>53236</v>
      </c>
      <c r="IP11" s="283">
        <v>53267</v>
      </c>
      <c r="IQ11" s="283">
        <v>53297</v>
      </c>
      <c r="IR11" s="283">
        <v>53328</v>
      </c>
      <c r="IS11" s="283">
        <v>53359</v>
      </c>
      <c r="IT11" s="283">
        <v>53387</v>
      </c>
      <c r="IU11" s="283">
        <v>53418</v>
      </c>
      <c r="IV11" s="283">
        <v>53448</v>
      </c>
      <c r="IW11" s="283">
        <v>53479</v>
      </c>
      <c r="IX11" s="283">
        <v>53509</v>
      </c>
      <c r="IY11" s="283">
        <v>53540</v>
      </c>
      <c r="IZ11" s="283">
        <v>53571</v>
      </c>
      <c r="JA11" s="283">
        <v>53601</v>
      </c>
      <c r="JB11" s="283">
        <v>53632</v>
      </c>
      <c r="JC11" s="283">
        <v>53662</v>
      </c>
      <c r="JD11" s="283">
        <v>53693</v>
      </c>
      <c r="JE11" s="283">
        <v>53724</v>
      </c>
      <c r="JF11" s="283">
        <v>53752</v>
      </c>
      <c r="JG11" s="283">
        <v>53783</v>
      </c>
      <c r="JH11" s="283">
        <v>53813</v>
      </c>
      <c r="JI11" s="283">
        <v>53844</v>
      </c>
      <c r="JJ11" s="283">
        <v>53874</v>
      </c>
      <c r="JK11" s="283">
        <v>53905</v>
      </c>
      <c r="JL11" s="283">
        <v>53936</v>
      </c>
      <c r="JM11" s="283">
        <v>53966</v>
      </c>
      <c r="JN11" s="283">
        <v>53997</v>
      </c>
      <c r="JO11" s="283">
        <v>54027</v>
      </c>
      <c r="JP11" s="283">
        <v>54058</v>
      </c>
      <c r="JQ11" s="283">
        <v>54089</v>
      </c>
      <c r="JR11" s="283">
        <v>54118</v>
      </c>
      <c r="JS11" s="283">
        <v>54149</v>
      </c>
      <c r="JT11" s="283">
        <v>54179</v>
      </c>
      <c r="JU11" s="283">
        <v>54210</v>
      </c>
      <c r="JV11" s="283">
        <v>54240</v>
      </c>
      <c r="JW11" s="283">
        <v>54271</v>
      </c>
      <c r="JX11" s="283">
        <v>54302</v>
      </c>
      <c r="JY11" s="283">
        <v>54332</v>
      </c>
      <c r="JZ11" s="283">
        <v>54363</v>
      </c>
      <c r="KA11" s="283">
        <v>54393</v>
      </c>
      <c r="KB11" s="283">
        <v>54424</v>
      </c>
      <c r="KC11" s="283">
        <v>54455</v>
      </c>
      <c r="KD11" s="283">
        <v>54483</v>
      </c>
      <c r="KE11" s="283">
        <v>54514</v>
      </c>
      <c r="KF11" s="283">
        <v>54544</v>
      </c>
      <c r="KG11" s="283">
        <v>54575</v>
      </c>
      <c r="KH11" s="283">
        <v>54605</v>
      </c>
      <c r="KI11" s="283">
        <v>54636</v>
      </c>
      <c r="KJ11" s="283">
        <v>54667</v>
      </c>
      <c r="KK11" s="283">
        <v>54697</v>
      </c>
      <c r="KL11" s="283">
        <v>54728</v>
      </c>
      <c r="KM11" s="283">
        <v>54758</v>
      </c>
      <c r="KN11" s="283">
        <v>54789</v>
      </c>
      <c r="KO11" s="283">
        <v>54820</v>
      </c>
      <c r="KP11" s="283">
        <v>54848</v>
      </c>
      <c r="KQ11" s="283">
        <v>54879</v>
      </c>
      <c r="KR11" s="283">
        <v>54909</v>
      </c>
      <c r="KS11" s="283">
        <v>54940</v>
      </c>
      <c r="KT11" s="283">
        <v>54970</v>
      </c>
      <c r="KU11" s="283">
        <v>55001</v>
      </c>
      <c r="KV11" s="283">
        <v>55032</v>
      </c>
      <c r="KW11" s="283">
        <v>55062</v>
      </c>
      <c r="KX11" s="283">
        <v>55093</v>
      </c>
      <c r="KY11" s="283">
        <v>55123</v>
      </c>
      <c r="KZ11" s="283">
        <v>55154</v>
      </c>
      <c r="LA11" s="283">
        <v>55185</v>
      </c>
      <c r="LB11" s="283">
        <v>55213</v>
      </c>
      <c r="LC11" s="283">
        <v>55244</v>
      </c>
      <c r="LD11" s="283">
        <v>55274</v>
      </c>
      <c r="LE11" s="283">
        <v>55305</v>
      </c>
      <c r="LF11" s="283">
        <v>55335</v>
      </c>
      <c r="LG11" s="283">
        <v>55366</v>
      </c>
      <c r="LH11" s="283">
        <v>55397</v>
      </c>
      <c r="LI11" s="283">
        <v>55427</v>
      </c>
      <c r="LJ11" s="283">
        <v>55458</v>
      </c>
      <c r="LK11" s="283">
        <v>55488</v>
      </c>
      <c r="LL11" s="283">
        <v>55519</v>
      </c>
      <c r="LM11" s="283">
        <v>55550</v>
      </c>
      <c r="LN11" s="283">
        <v>55579</v>
      </c>
      <c r="LO11" s="283">
        <v>55610</v>
      </c>
      <c r="LP11" s="283">
        <v>55640</v>
      </c>
      <c r="LQ11" s="283">
        <v>55671</v>
      </c>
      <c r="LR11" s="283">
        <v>55701</v>
      </c>
      <c r="LS11" s="283">
        <v>55732</v>
      </c>
      <c r="LT11" s="283">
        <v>55763</v>
      </c>
      <c r="LU11" s="283">
        <v>55793</v>
      </c>
      <c r="LV11" s="283">
        <v>55824</v>
      </c>
      <c r="LW11" s="283">
        <v>55854</v>
      </c>
      <c r="LX11" s="283">
        <v>55885</v>
      </c>
      <c r="LY11" s="283">
        <v>55916</v>
      </c>
      <c r="LZ11" s="283">
        <v>55944</v>
      </c>
      <c r="MA11" s="283">
        <v>55975</v>
      </c>
      <c r="MB11" s="283">
        <v>56005</v>
      </c>
      <c r="MC11" s="283">
        <v>56036</v>
      </c>
      <c r="MD11" s="283">
        <v>56066</v>
      </c>
      <c r="ME11" s="283">
        <v>56097</v>
      </c>
      <c r="MF11" s="283">
        <v>56128</v>
      </c>
      <c r="MG11" s="283">
        <v>56158</v>
      </c>
      <c r="MH11" s="283">
        <v>56189</v>
      </c>
      <c r="MI11" s="283">
        <v>56219</v>
      </c>
      <c r="MJ11" s="283">
        <v>56250</v>
      </c>
      <c r="MK11" s="283">
        <v>56281</v>
      </c>
      <c r="ML11" s="283">
        <v>56309</v>
      </c>
      <c r="MM11" s="283">
        <v>56340</v>
      </c>
      <c r="MN11" s="283">
        <v>56370</v>
      </c>
      <c r="MO11" s="283">
        <v>56401</v>
      </c>
      <c r="MP11" s="283">
        <v>56431</v>
      </c>
      <c r="MQ11" s="283">
        <v>56462</v>
      </c>
      <c r="MR11" s="283">
        <v>56493</v>
      </c>
      <c r="MS11" s="283">
        <v>56523</v>
      </c>
      <c r="MT11" s="283">
        <v>56554</v>
      </c>
      <c r="MU11" s="283">
        <v>56584</v>
      </c>
      <c r="MV11" s="283">
        <v>56615</v>
      </c>
      <c r="MW11" s="283">
        <v>56646</v>
      </c>
      <c r="MX11" s="283">
        <v>56674</v>
      </c>
      <c r="MY11" s="283">
        <v>56705</v>
      </c>
      <c r="MZ11" s="283">
        <v>56735</v>
      </c>
      <c r="NA11" s="283">
        <v>56766</v>
      </c>
      <c r="NB11" s="283">
        <v>56796</v>
      </c>
      <c r="NC11" s="283">
        <v>56827</v>
      </c>
      <c r="ND11" s="283">
        <v>56858</v>
      </c>
      <c r="NE11" s="283">
        <v>56888</v>
      </c>
      <c r="NF11" s="283">
        <v>56919</v>
      </c>
      <c r="NG11" s="283">
        <v>56949</v>
      </c>
      <c r="NH11" s="283">
        <v>56980</v>
      </c>
      <c r="NI11" s="283">
        <v>57011</v>
      </c>
      <c r="NJ11" s="283">
        <v>57040</v>
      </c>
      <c r="NK11" s="283">
        <v>57071</v>
      </c>
      <c r="NL11" s="283">
        <v>57101</v>
      </c>
      <c r="NM11" s="283">
        <v>57132</v>
      </c>
      <c r="NN11" s="283">
        <v>57162</v>
      </c>
      <c r="NO11" s="283">
        <v>57193</v>
      </c>
      <c r="NP11" s="283">
        <v>57224</v>
      </c>
      <c r="NQ11" s="283">
        <v>57254</v>
      </c>
      <c r="NR11" s="283">
        <v>57285</v>
      </c>
      <c r="NS11" s="283">
        <v>57315</v>
      </c>
      <c r="NT11" s="283">
        <v>57346</v>
      </c>
      <c r="NU11" s="283">
        <v>57377</v>
      </c>
      <c r="NV11" s="283">
        <v>57405</v>
      </c>
      <c r="NW11" s="283">
        <v>57436</v>
      </c>
      <c r="NX11" s="283">
        <v>57466</v>
      </c>
      <c r="NY11" s="283">
        <v>57497</v>
      </c>
      <c r="NZ11" s="283">
        <v>57527</v>
      </c>
      <c r="OA11" s="283">
        <v>57558</v>
      </c>
      <c r="OB11" s="283">
        <v>57589</v>
      </c>
      <c r="OC11" s="283">
        <v>57619</v>
      </c>
      <c r="OD11" s="283">
        <v>57650</v>
      </c>
      <c r="OE11" s="283">
        <v>57680</v>
      </c>
    </row>
    <row r="12" spans="1:395" outlineLevel="1" x14ac:dyDescent="0.3">
      <c r="A12" s="16"/>
      <c r="C12" s="16" t="s">
        <v>224</v>
      </c>
      <c r="D12" s="133"/>
      <c r="E12" s="123"/>
      <c r="F12" s="11"/>
      <c r="G12" s="88"/>
      <c r="H12" s="88"/>
      <c r="I12" s="263"/>
      <c r="J12" s="264"/>
      <c r="K12" s="76"/>
      <c r="L12" s="66"/>
      <c r="M12" s="77"/>
      <c r="N12" s="89" t="s">
        <v>224</v>
      </c>
      <c r="O12" s="224">
        <f>O13</f>
        <v>46174</v>
      </c>
      <c r="P12" s="225">
        <f>P21</f>
        <v>47087</v>
      </c>
      <c r="Q12" t="str" cm="1">
        <f t="array" ref="Q12:OE12">IF(((EOMONTH(O12,-1)+1)&lt;=_xlfn.ANCHORARRAY($Q$2))*(_xlfn.ANCHORARRAY($Q$2)&lt;P12)," ","")</f>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xml:space="preserve"> </v>
      </c>
      <c r="AC12" t="str">
        <v xml:space="preserve"> </v>
      </c>
      <c r="AD12" t="str">
        <v xml:space="preserve"> </v>
      </c>
      <c r="AE12" t="str">
        <v xml:space="preserve"> </v>
      </c>
      <c r="AF12" t="str">
        <v xml:space="preserve"> </v>
      </c>
      <c r="AG12" t="str">
        <v xml:space="preserve"> </v>
      </c>
      <c r="AH12" t="str">
        <v xml:space="preserve"> </v>
      </c>
      <c r="AI12" t="str">
        <v xml:space="preserve"> </v>
      </c>
      <c r="AJ12" t="str">
        <v xml:space="preserve"> </v>
      </c>
      <c r="AK12" t="str">
        <v xml:space="preserve"> </v>
      </c>
      <c r="AL12" t="str">
        <v xml:space="preserve"> </v>
      </c>
      <c r="AM12" t="str">
        <v xml:space="preserve"> </v>
      </c>
      <c r="AN12" t="str">
        <v xml:space="preserve"> </v>
      </c>
      <c r="AO12" t="str">
        <v xml:space="preserve"> </v>
      </c>
      <c r="AP12" t="str">
        <v xml:space="preserve"> </v>
      </c>
      <c r="AQ12" t="str">
        <v xml:space="preserve"> </v>
      </c>
      <c r="AR12" t="str">
        <v xml:space="preserve"> </v>
      </c>
      <c r="AS12" t="str">
        <v xml:space="preserve"> </v>
      </c>
      <c r="AT12" t="str">
        <v xml:space="preserve">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row>
    <row r="13" spans="1:395" outlineLevel="1" x14ac:dyDescent="0.3">
      <c r="A13" s="16"/>
      <c r="D13" s="133" t="s">
        <v>225</v>
      </c>
      <c r="E13" s="215">
        <v>2</v>
      </c>
      <c r="F13" s="257" t="s">
        <v>398</v>
      </c>
      <c r="G13" s="88"/>
      <c r="H13" s="88"/>
      <c r="I13" s="263"/>
      <c r="J13" s="264"/>
      <c r="K13" s="76"/>
      <c r="L13" s="66"/>
      <c r="M13" s="77"/>
      <c r="N13" t="s">
        <v>395</v>
      </c>
      <c r="O13" s="9">
        <f>E11</f>
        <v>46174</v>
      </c>
      <c r="P13" s="226">
        <f t="shared" ref="P13:P21" si="0">EOMONTH(O13,E13)</f>
        <v>46265</v>
      </c>
      <c r="Q13" t="str" cm="1">
        <f t="array" ref="Q13:OE13">IF(((EOMONTH(O13,-1)+1)&lt;=_xlfn.ANCHORARRAY($Q$2))*(_xlfn.ANCHORARRAY($Q$2)&lt;P13)," ","")</f>
        <v xml:space="preserve"> </v>
      </c>
      <c r="R13" t="str">
        <v xml:space="preserve"> </v>
      </c>
      <c r="S13" t="str">
        <v xml:space="preserve"> </v>
      </c>
      <c r="T13" t="str">
        <v/>
      </c>
      <c r="U13" t="str">
        <v/>
      </c>
      <c r="V13" t="str">
        <v/>
      </c>
      <c r="W13" t="str">
        <v/>
      </c>
      <c r="X13" t="str">
        <v/>
      </c>
      <c r="Y13" t="str">
        <v/>
      </c>
      <c r="Z13" t="str">
        <v/>
      </c>
      <c r="AA13" t="str">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row>
    <row r="14" spans="1:395" outlineLevel="1" x14ac:dyDescent="0.3">
      <c r="A14" s="16"/>
      <c r="D14" s="133" t="s">
        <v>368</v>
      </c>
      <c r="E14" s="215">
        <v>12</v>
      </c>
      <c r="F14" s="257" t="s">
        <v>398</v>
      </c>
      <c r="G14" s="88"/>
      <c r="H14" s="88"/>
      <c r="I14" s="263"/>
      <c r="J14" s="264"/>
      <c r="K14" s="76"/>
      <c r="L14" s="66"/>
      <c r="M14" s="77"/>
      <c r="N14" t="s">
        <v>369</v>
      </c>
      <c r="O14" s="9">
        <f>P13+1</f>
        <v>46266</v>
      </c>
      <c r="P14" s="226">
        <f t="shared" si="0"/>
        <v>46660</v>
      </c>
      <c r="Q14" t="str" cm="1">
        <f t="array" ref="Q14:OE14">IF(((EOMONTH(O14,-1)+1)&lt;=_xlfn.ANCHORARRAY($Q$2))*(_xlfn.ANCHORARRAY($Q$2)&lt;P14)," ","")</f>
        <v/>
      </c>
      <c r="R14" t="str">
        <v/>
      </c>
      <c r="S14" t="str">
        <v/>
      </c>
      <c r="T14" t="str">
        <v xml:space="preserve"> </v>
      </c>
      <c r="U14" t="str">
        <v xml:space="preserve"> </v>
      </c>
      <c r="V14" t="str">
        <v xml:space="preserve"> </v>
      </c>
      <c r="W14" t="str">
        <v xml:space="preserve"> </v>
      </c>
      <c r="X14" t="str">
        <v xml:space="preserve"> </v>
      </c>
      <c r="Y14" t="str">
        <v xml:space="preserve"> </v>
      </c>
      <c r="Z14" t="str">
        <v xml:space="preserve"> </v>
      </c>
      <c r="AA14" t="str">
        <v xml:space="preserve"> </v>
      </c>
      <c r="AB14" t="str">
        <v xml:space="preserve"> </v>
      </c>
      <c r="AC14" t="str">
        <v xml:space="preserve"> </v>
      </c>
      <c r="AD14" t="str">
        <v xml:space="preserve"> </v>
      </c>
      <c r="AE14" t="str">
        <v xml:space="preserve"> </v>
      </c>
      <c r="AF14" t="str">
        <v xml:space="preserve">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row>
    <row r="15" spans="1:395" outlineLevel="1" x14ac:dyDescent="0.3">
      <c r="A15" s="16"/>
      <c r="D15" s="133" t="s">
        <v>372</v>
      </c>
      <c r="E15" s="215">
        <v>2</v>
      </c>
      <c r="F15" s="257" t="s">
        <v>398</v>
      </c>
      <c r="G15" s="88"/>
      <c r="H15" s="88"/>
      <c r="I15" s="263"/>
      <c r="J15" s="264"/>
      <c r="K15" s="76"/>
      <c r="L15" s="66"/>
      <c r="M15" s="77"/>
      <c r="N15" t="s">
        <v>377</v>
      </c>
      <c r="O15" s="9">
        <f>P13+1</f>
        <v>46266</v>
      </c>
      <c r="P15" s="226">
        <f t="shared" si="0"/>
        <v>46356</v>
      </c>
      <c r="Q15" t="str" cm="1">
        <f t="array" ref="Q15:OE15">IF(((EOMONTH(O15,-1)+1)&lt;=_xlfn.ANCHORARRAY($Q$2))*(_xlfn.ANCHORARRAY($Q$2)&lt;P15)," ","")</f>
        <v/>
      </c>
      <c r="R15" t="str">
        <v/>
      </c>
      <c r="S15" t="str">
        <v/>
      </c>
      <c r="T15" t="str">
        <v xml:space="preserve"> </v>
      </c>
      <c r="U15" t="str">
        <v xml:space="preserve"> </v>
      </c>
      <c r="V15" t="str">
        <v xml:space="preserve">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row>
    <row r="16" spans="1:395" outlineLevel="1" x14ac:dyDescent="0.3">
      <c r="A16" s="16"/>
      <c r="D16" s="21" t="s">
        <v>396</v>
      </c>
      <c r="E16" s="215">
        <v>6</v>
      </c>
      <c r="F16" s="257" t="s">
        <v>398</v>
      </c>
      <c r="G16" s="88"/>
      <c r="H16" s="88"/>
      <c r="I16" s="263"/>
      <c r="J16" s="264"/>
      <c r="K16" s="76"/>
      <c r="L16" s="66"/>
      <c r="M16" s="77"/>
      <c r="N16" t="s">
        <v>397</v>
      </c>
      <c r="O16" s="9">
        <f>P13+1</f>
        <v>46266</v>
      </c>
      <c r="P16" s="226">
        <f t="shared" si="0"/>
        <v>46477</v>
      </c>
      <c r="Q16" t="str" cm="1">
        <f t="array" ref="Q16:OE16">IF(((EOMONTH(O16,-1)+1)&lt;=_xlfn.ANCHORARRAY($Q$2))*(_xlfn.ANCHORARRAY($Q$2)&lt;P16)," ","")</f>
        <v/>
      </c>
      <c r="R16" t="str">
        <v/>
      </c>
      <c r="S16" t="str">
        <v/>
      </c>
      <c r="T16" t="str">
        <v xml:space="preserve"> </v>
      </c>
      <c r="U16" t="str">
        <v xml:space="preserve"> </v>
      </c>
      <c r="V16" t="str">
        <v xml:space="preserve"> </v>
      </c>
      <c r="W16" t="str">
        <v xml:space="preserve"> </v>
      </c>
      <c r="X16" t="str">
        <v xml:space="preserve"> </v>
      </c>
      <c r="Y16" t="str">
        <v xml:space="preserve"> </v>
      </c>
      <c r="Z16" t="str">
        <v xml:space="preserve">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row>
    <row r="17" spans="1:395" outlineLevel="1" x14ac:dyDescent="0.3">
      <c r="A17" s="16"/>
      <c r="D17" s="21" t="s">
        <v>373</v>
      </c>
      <c r="E17" s="215">
        <v>6</v>
      </c>
      <c r="F17" s="257" t="s">
        <v>398</v>
      </c>
      <c r="G17" s="88"/>
      <c r="H17" s="88"/>
      <c r="I17" s="263"/>
      <c r="J17" s="264"/>
      <c r="K17" s="76"/>
      <c r="L17" s="66"/>
      <c r="M17" s="77"/>
      <c r="N17" t="s">
        <v>376</v>
      </c>
      <c r="O17" s="9">
        <f>P16+1</f>
        <v>46478</v>
      </c>
      <c r="P17" s="226">
        <f t="shared" si="0"/>
        <v>46691</v>
      </c>
      <c r="Q17" t="str" cm="1">
        <f t="array" ref="Q17:OE17">IF(((EOMONTH(O17,-1)+1)&lt;=_xlfn.ANCHORARRAY($Q$2))*(_xlfn.ANCHORARRAY($Q$2)&lt;P17)," ","")</f>
        <v/>
      </c>
      <c r="R17" t="str">
        <v/>
      </c>
      <c r="S17" t="str">
        <v/>
      </c>
      <c r="T17" t="str">
        <v/>
      </c>
      <c r="U17" t="str">
        <v/>
      </c>
      <c r="V17" t="str">
        <v/>
      </c>
      <c r="W17" t="str">
        <v/>
      </c>
      <c r="X17" t="str">
        <v/>
      </c>
      <c r="Y17" t="str">
        <v/>
      </c>
      <c r="Z17" t="str">
        <v/>
      </c>
      <c r="AA17" t="str">
        <v xml:space="preserve"> </v>
      </c>
      <c r="AB17" t="str">
        <v xml:space="preserve"> </v>
      </c>
      <c r="AC17" t="str">
        <v xml:space="preserve"> </v>
      </c>
      <c r="AD17" t="str">
        <v xml:space="preserve"> </v>
      </c>
      <c r="AE17" t="str">
        <v xml:space="preserve"> </v>
      </c>
      <c r="AF17" t="str">
        <v xml:space="preserve"> </v>
      </c>
      <c r="AG17" t="str">
        <v xml:space="preserve">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row>
    <row r="18" spans="1:395" outlineLevel="1" x14ac:dyDescent="0.3">
      <c r="A18" s="16"/>
      <c r="D18" s="21" t="s">
        <v>374</v>
      </c>
      <c r="E18" s="215">
        <v>3</v>
      </c>
      <c r="F18" s="257" t="s">
        <v>398</v>
      </c>
      <c r="G18" s="88"/>
      <c r="H18" s="88"/>
      <c r="I18" s="263"/>
      <c r="J18" s="264"/>
      <c r="K18" s="76"/>
      <c r="L18" s="66"/>
      <c r="M18" s="77"/>
      <c r="N18" t="s">
        <v>375</v>
      </c>
      <c r="O18" s="9">
        <f>P17+1</f>
        <v>46692</v>
      </c>
      <c r="P18" s="226">
        <f t="shared" si="0"/>
        <v>46812</v>
      </c>
      <c r="Q18" t="str" cm="1">
        <f t="array" ref="Q18:OE18">IF(((EOMONTH(O18,-1)+1)&lt;=_xlfn.ANCHORARRAY($Q$2))*(_xlfn.ANCHORARRAY($Q$2)&lt;P18)," ","")</f>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xml:space="preserve"> </v>
      </c>
      <c r="AI18" t="str">
        <v xml:space="preserve"> </v>
      </c>
      <c r="AJ18" t="str">
        <v xml:space="preserve"> </v>
      </c>
      <c r="AK18" t="str">
        <v xml:space="preserve">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row>
    <row r="19" spans="1:395" outlineLevel="1" x14ac:dyDescent="0.3">
      <c r="A19" s="16"/>
      <c r="D19" s="21" t="s">
        <v>378</v>
      </c>
      <c r="E19" s="215">
        <v>2</v>
      </c>
      <c r="F19" s="257" t="s">
        <v>398</v>
      </c>
      <c r="G19" s="88"/>
      <c r="H19" s="88"/>
      <c r="I19" s="263"/>
      <c r="J19" s="264"/>
      <c r="K19" s="76"/>
      <c r="L19" s="66"/>
      <c r="M19" s="77"/>
      <c r="N19" t="s">
        <v>379</v>
      </c>
      <c r="O19" s="9">
        <f>P18+1</f>
        <v>46813</v>
      </c>
      <c r="P19" s="226">
        <f t="shared" si="0"/>
        <v>46904</v>
      </c>
      <c r="Q19" t="str" cm="1">
        <f t="array" ref="Q19:OE19">IF(((EOMONTH(O19,-1)+1)&lt;=_xlfn.ANCHORARRAY($Q$2))*(_xlfn.ANCHORARRAY($Q$2)&lt;P19)," ","")</f>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xml:space="preserve"> </v>
      </c>
      <c r="AM19" t="str">
        <v xml:space="preserve"> </v>
      </c>
      <c r="AN19" t="str">
        <v xml:space="preserve">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row>
    <row r="20" spans="1:395" outlineLevel="1" x14ac:dyDescent="0.3">
      <c r="A20" s="16"/>
      <c r="D20" s="21" t="s">
        <v>336</v>
      </c>
      <c r="E20" s="215">
        <v>2</v>
      </c>
      <c r="F20" s="257" t="s">
        <v>398</v>
      </c>
      <c r="G20" s="88"/>
      <c r="H20" s="88"/>
      <c r="I20" s="263"/>
      <c r="J20" s="264"/>
      <c r="K20" s="76"/>
      <c r="L20" s="66"/>
      <c r="M20" s="77"/>
      <c r="N20" t="s">
        <v>336</v>
      </c>
      <c r="O20" s="9">
        <f>P19+1</f>
        <v>46905</v>
      </c>
      <c r="P20" s="226">
        <f t="shared" si="0"/>
        <v>46996</v>
      </c>
      <c r="Q20" t="str" cm="1">
        <f t="array" ref="Q20:OE20">IF(((EOMONTH(O20,-1)+1)&lt;=_xlfn.ANCHORARRAY($Q$2))*(_xlfn.ANCHORARRAY($Q$2)&lt;P20)," ","")</f>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xml:space="preserve"> </v>
      </c>
      <c r="AP20" t="str">
        <v xml:space="preserve"> </v>
      </c>
      <c r="AQ20" t="str">
        <v xml:space="preserve">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row>
    <row r="21" spans="1:395" outlineLevel="1" x14ac:dyDescent="0.3">
      <c r="A21" s="16"/>
      <c r="C21"/>
      <c r="D21" s="133" t="s">
        <v>335</v>
      </c>
      <c r="E21" s="215">
        <v>2</v>
      </c>
      <c r="F21" s="257" t="s">
        <v>398</v>
      </c>
      <c r="G21" s="88"/>
      <c r="H21" s="88"/>
      <c r="I21" s="263"/>
      <c r="J21" s="264"/>
      <c r="K21" s="76"/>
      <c r="L21" s="66"/>
      <c r="M21" s="77"/>
      <c r="N21" t="s">
        <v>342</v>
      </c>
      <c r="O21" s="9">
        <f>P20+1</f>
        <v>46997</v>
      </c>
      <c r="P21" s="226">
        <f t="shared" si="0"/>
        <v>47087</v>
      </c>
      <c r="Q21" t="str" cm="1">
        <f t="array" ref="Q21:OE21">IF(((EOMONTH(O21,-1)+1)&lt;=_xlfn.ANCHORARRAY($Q$2))*(_xlfn.ANCHORARRAY($Q$2)&lt;P21)," ","")</f>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xml:space="preserve"> </v>
      </c>
      <c r="AS21" t="str">
        <v xml:space="preserve"> </v>
      </c>
      <c r="AT21" t="str">
        <v xml:space="preserve">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row>
    <row r="22" spans="1:395" outlineLevel="1" x14ac:dyDescent="0.3">
      <c r="A22" s="16"/>
      <c r="C22" s="16" t="s">
        <v>233</v>
      </c>
      <c r="D22" s="133"/>
      <c r="E22" s="133"/>
      <c r="F22" s="258"/>
      <c r="G22" s="88"/>
      <c r="H22" s="88"/>
      <c r="I22" s="263"/>
      <c r="J22" s="264"/>
      <c r="K22" s="76"/>
      <c r="L22" s="66"/>
      <c r="M22" s="77"/>
      <c r="N22" s="249" t="s">
        <v>233</v>
      </c>
      <c r="O22" s="224">
        <f>O25</f>
        <v>46357</v>
      </c>
      <c r="P22" s="225">
        <f>P34</f>
        <v>47229</v>
      </c>
      <c r="Q22" t="str" cm="1">
        <f t="array" ref="Q22:OE22">IF(((EOMONTH(O22,-1)+1)&lt;=_xlfn.ANCHORARRAY($Q$2))*(_xlfn.ANCHORARRAY($Q$2)&lt;P22)," ","")</f>
        <v/>
      </c>
      <c r="R22" t="str">
        <v/>
      </c>
      <c r="S22" t="str">
        <v/>
      </c>
      <c r="T22" t="str">
        <v/>
      </c>
      <c r="U22" t="str">
        <v/>
      </c>
      <c r="V22" t="str">
        <v/>
      </c>
      <c r="W22" t="str">
        <v xml:space="preserve"> </v>
      </c>
      <c r="X22" t="str">
        <v xml:space="preserve"> </v>
      </c>
      <c r="Y22" t="str">
        <v xml:space="preserve"> </v>
      </c>
      <c r="Z22" t="str">
        <v xml:space="preserve"> </v>
      </c>
      <c r="AA22" t="str">
        <v xml:space="preserve"> </v>
      </c>
      <c r="AB22" t="str">
        <v xml:space="preserve"> </v>
      </c>
      <c r="AC22" t="str">
        <v xml:space="preserve"> </v>
      </c>
      <c r="AD22" t="str">
        <v xml:space="preserve"> </v>
      </c>
      <c r="AE22" t="str">
        <v xml:space="preserve"> </v>
      </c>
      <c r="AF22" t="str">
        <v xml:space="preserve"> </v>
      </c>
      <c r="AG22" t="str">
        <v xml:space="preserve"> </v>
      </c>
      <c r="AH22" t="str">
        <v xml:space="preserve"> </v>
      </c>
      <c r="AI22" t="str">
        <v xml:space="preserve"> </v>
      </c>
      <c r="AJ22" t="str">
        <v xml:space="preserve"> </v>
      </c>
      <c r="AK22" t="str">
        <v xml:space="preserve"> </v>
      </c>
      <c r="AL22" t="str">
        <v xml:space="preserve"> </v>
      </c>
      <c r="AM22" t="str">
        <v xml:space="preserve"> </v>
      </c>
      <c r="AN22" t="str">
        <v xml:space="preserve"> </v>
      </c>
      <c r="AO22" t="str">
        <v xml:space="preserve"> </v>
      </c>
      <c r="AP22" t="str">
        <v xml:space="preserve"> </v>
      </c>
      <c r="AQ22" t="str">
        <v xml:space="preserve"> </v>
      </c>
      <c r="AR22" t="str">
        <v xml:space="preserve"> </v>
      </c>
      <c r="AS22" t="str">
        <v xml:space="preserve"> </v>
      </c>
      <c r="AT22" t="str">
        <v xml:space="preserve"> </v>
      </c>
      <c r="AU22" t="str">
        <v xml:space="preserve"> </v>
      </c>
      <c r="AV22" t="str">
        <v xml:space="preserve"> </v>
      </c>
      <c r="AW22" t="str">
        <v xml:space="preserve"> </v>
      </c>
      <c r="AX22" t="str">
        <v xml:space="preserve"> </v>
      </c>
      <c r="AY22" t="str">
        <v xml:space="preserve">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row>
    <row r="23" spans="1:395" outlineLevel="1" x14ac:dyDescent="0.3">
      <c r="A23" s="16"/>
      <c r="C23" s="16"/>
      <c r="D23" s="133" t="s">
        <v>231</v>
      </c>
      <c r="E23" s="215">
        <v>3</v>
      </c>
      <c r="F23" s="257" t="s">
        <v>398</v>
      </c>
      <c r="G23" s="88"/>
      <c r="H23" s="88"/>
      <c r="I23" s="263"/>
      <c r="J23" s="264"/>
      <c r="K23" s="76"/>
      <c r="L23" s="66"/>
      <c r="M23" s="77"/>
      <c r="N23" t="s">
        <v>422</v>
      </c>
      <c r="O23" s="9">
        <f>P15+1</f>
        <v>46357</v>
      </c>
      <c r="P23" s="226">
        <f>EOMONTH(O23,E23)</f>
        <v>46477</v>
      </c>
      <c r="Q23" t="str" cm="1">
        <f t="array" ref="Q23:OE23">IF(((EOMONTH(O23,-1)+1)&lt;=_xlfn.ANCHORARRAY($Q$2))*(_xlfn.ANCHORARRAY($Q$2)&lt;P23)," ","")</f>
        <v/>
      </c>
      <c r="R23" t="str">
        <v/>
      </c>
      <c r="S23" t="str">
        <v/>
      </c>
      <c r="T23" t="str">
        <v/>
      </c>
      <c r="U23" t="str">
        <v/>
      </c>
      <c r="V23" t="str">
        <v/>
      </c>
      <c r="W23" t="str">
        <v xml:space="preserve"> </v>
      </c>
      <c r="X23" t="str">
        <v xml:space="preserve"> </v>
      </c>
      <c r="Y23" t="str">
        <v xml:space="preserve"> </v>
      </c>
      <c r="Z23" t="str">
        <v xml:space="preserve">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row>
    <row r="24" spans="1:395" outlineLevel="1" x14ac:dyDescent="0.3">
      <c r="A24" s="16"/>
      <c r="C24" s="16"/>
      <c r="D24" s="133" t="s">
        <v>425</v>
      </c>
      <c r="E24" s="215">
        <v>12</v>
      </c>
      <c r="F24" s="257" t="s">
        <v>398</v>
      </c>
      <c r="G24" s="88"/>
      <c r="H24" s="88"/>
      <c r="I24" s="263"/>
      <c r="J24" s="264"/>
      <c r="K24" s="76"/>
      <c r="L24" s="66"/>
      <c r="M24" s="77"/>
      <c r="N24" t="s">
        <v>429</v>
      </c>
      <c r="O24" s="9">
        <f>EDATE(EOMONTH(O33,-1)+1,-E24)</f>
        <v>46722</v>
      </c>
      <c r="P24" s="226">
        <f>O33-1</f>
        <v>47094</v>
      </c>
      <c r="Q24" t="str" cm="1">
        <f t="array" ref="Q24:OE24">IF(((EOMONTH(O24,-1)+1)&lt;=_xlfn.ANCHORARRAY($Q$2))*(_xlfn.ANCHORARRAY($Q$2)&lt;P24)," ","")</f>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xml:space="preserve"> </v>
      </c>
      <c r="AJ24" t="str">
        <v xml:space="preserve"> </v>
      </c>
      <c r="AK24" t="str">
        <v xml:space="preserve"> </v>
      </c>
      <c r="AL24" t="str">
        <v xml:space="preserve"> </v>
      </c>
      <c r="AM24" t="str">
        <v xml:space="preserve"> </v>
      </c>
      <c r="AN24" t="str">
        <v xml:space="preserve"> </v>
      </c>
      <c r="AO24" t="str">
        <v xml:space="preserve"> </v>
      </c>
      <c r="AP24" t="str">
        <v xml:space="preserve"> </v>
      </c>
      <c r="AQ24" t="str">
        <v xml:space="preserve"> </v>
      </c>
      <c r="AR24" t="str">
        <v xml:space="preserve"> </v>
      </c>
      <c r="AS24" t="str">
        <v xml:space="preserve"> </v>
      </c>
      <c r="AT24" t="str">
        <v xml:space="preserve"> </v>
      </c>
      <c r="AU24" t="str">
        <v xml:space="preserve">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row>
    <row r="25" spans="1:395" outlineLevel="1" x14ac:dyDescent="0.3">
      <c r="A25" s="16"/>
      <c r="C25" s="16"/>
      <c r="D25" s="133" t="s">
        <v>430</v>
      </c>
      <c r="E25" s="215">
        <v>3</v>
      </c>
      <c r="F25" s="257" t="s">
        <v>398</v>
      </c>
      <c r="G25" s="88"/>
      <c r="H25" s="88"/>
      <c r="I25" s="263"/>
      <c r="J25" s="264"/>
      <c r="K25" s="76"/>
      <c r="L25" s="66"/>
      <c r="M25" s="77"/>
      <c r="N25" t="s">
        <v>430</v>
      </c>
      <c r="O25" s="9">
        <f>P15+1</f>
        <v>46357</v>
      </c>
      <c r="P25" s="226">
        <f>EOMONTH(O25,E25)</f>
        <v>46477</v>
      </c>
      <c r="Q25" t="str" cm="1">
        <f t="array" ref="Q25:OE25">IF(((EOMONTH(O25,-1)+1)&lt;=_xlfn.ANCHORARRAY($Q$2))*(_xlfn.ANCHORARRAY($Q$2)&lt;P25)," ","")</f>
        <v/>
      </c>
      <c r="R25" t="str">
        <v/>
      </c>
      <c r="S25" t="str">
        <v/>
      </c>
      <c r="T25" t="str">
        <v/>
      </c>
      <c r="U25" t="str">
        <v/>
      </c>
      <c r="V25" t="str">
        <v/>
      </c>
      <c r="W25" t="str">
        <v xml:space="preserve"> </v>
      </c>
      <c r="X25" t="str">
        <v xml:space="preserve"> </v>
      </c>
      <c r="Y25" t="str">
        <v xml:space="preserve"> </v>
      </c>
      <c r="Z25" t="str">
        <v xml:space="preserve">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row>
    <row r="26" spans="1:395" outlineLevel="1" x14ac:dyDescent="0.3">
      <c r="A26" s="16"/>
      <c r="C26" s="16"/>
      <c r="D26" s="133" t="s">
        <v>237</v>
      </c>
      <c r="E26" s="215">
        <v>3</v>
      </c>
      <c r="F26" s="257" t="s">
        <v>398</v>
      </c>
      <c r="G26" s="88"/>
      <c r="H26" s="88"/>
      <c r="I26" s="263"/>
      <c r="J26" s="264"/>
      <c r="K26" s="76"/>
      <c r="L26" s="66"/>
      <c r="M26" s="77"/>
      <c r="N26" t="s">
        <v>237</v>
      </c>
      <c r="O26" s="9">
        <f>P15+1</f>
        <v>46357</v>
      </c>
      <c r="P26" s="226">
        <f>EOMONTH(O26,E26)</f>
        <v>46477</v>
      </c>
      <c r="Q26" t="str" cm="1">
        <f t="array" ref="Q26:OE26">IF(((EOMONTH(O26,-1)+1)&lt;=_xlfn.ANCHORARRAY($Q$2))*(_xlfn.ANCHORARRAY($Q$2)&lt;P26)," ","")</f>
        <v/>
      </c>
      <c r="R26" t="str">
        <v/>
      </c>
      <c r="S26" t="str">
        <v/>
      </c>
      <c r="T26" t="str">
        <v/>
      </c>
      <c r="U26" t="str">
        <v/>
      </c>
      <c r="V26" t="str">
        <v/>
      </c>
      <c r="W26" t="str">
        <v xml:space="preserve"> </v>
      </c>
      <c r="X26" t="str">
        <v xml:space="preserve"> </v>
      </c>
      <c r="Y26" t="str">
        <v xml:space="preserve"> </v>
      </c>
      <c r="Z26" t="str">
        <v xml:space="preserve">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row>
    <row r="27" spans="1:395" outlineLevel="1" x14ac:dyDescent="0.3">
      <c r="A27" s="16"/>
      <c r="C27" s="16"/>
      <c r="D27" s="133" t="s">
        <v>230</v>
      </c>
      <c r="E27" s="215">
        <v>3</v>
      </c>
      <c r="F27" s="257" t="s">
        <v>398</v>
      </c>
      <c r="G27" s="88"/>
      <c r="H27" s="88"/>
      <c r="I27" s="263"/>
      <c r="J27" s="264"/>
      <c r="K27" s="76"/>
      <c r="L27" s="66"/>
      <c r="M27" s="77"/>
      <c r="N27" t="s">
        <v>230</v>
      </c>
      <c r="O27" s="9">
        <f>P21+1</f>
        <v>47088</v>
      </c>
      <c r="P27" s="226">
        <f>EOMONTH(O27,E27)</f>
        <v>47208</v>
      </c>
      <c r="Q27" t="str" cm="1">
        <f t="array" ref="Q27:OE27">IF(((EOMONTH(O27,-1)+1)&lt;=_xlfn.ANCHORARRAY($Q$2))*(_xlfn.ANCHORARRAY($Q$2)&lt;P27)," ","")</f>
        <v/>
      </c>
      <c r="R27" t="str">
        <v/>
      </c>
      <c r="S27" t="str">
        <v/>
      </c>
      <c r="T27" t="str">
        <v/>
      </c>
      <c r="U27" t="str">
        <v/>
      </c>
      <c r="V27" t="str">
        <v/>
      </c>
      <c r="W27" t="str">
        <v/>
      </c>
      <c r="X27" t="str">
        <v/>
      </c>
      <c r="Y27" t="str">
        <v/>
      </c>
      <c r="Z27" t="str">
        <v/>
      </c>
      <c r="AA27" t="str">
        <v/>
      </c>
      <c r="AB27" t="str">
        <v/>
      </c>
      <c r="AC27" t="str">
        <v/>
      </c>
      <c r="AD27" t="str">
        <v/>
      </c>
      <c r="AE27" t="str">
        <v/>
      </c>
      <c r="AF27" t="str">
        <v/>
      </c>
      <c r="AG27" t="str">
        <v/>
      </c>
      <c r="AH27" t="str">
        <v/>
      </c>
      <c r="AI27" t="str">
        <v/>
      </c>
      <c r="AJ27" t="str">
        <v/>
      </c>
      <c r="AK27" t="str">
        <v/>
      </c>
      <c r="AL27" t="str">
        <v/>
      </c>
      <c r="AM27" t="str">
        <v/>
      </c>
      <c r="AN27" t="str">
        <v/>
      </c>
      <c r="AO27" t="str">
        <v/>
      </c>
      <c r="AP27" t="str">
        <v/>
      </c>
      <c r="AQ27" t="str">
        <v/>
      </c>
      <c r="AR27" t="str">
        <v/>
      </c>
      <c r="AS27" t="str">
        <v/>
      </c>
      <c r="AT27" t="str">
        <v/>
      </c>
      <c r="AU27" t="str">
        <v xml:space="preserve"> </v>
      </c>
      <c r="AV27" t="str">
        <v xml:space="preserve"> </v>
      </c>
      <c r="AW27" t="str">
        <v xml:space="preserve"> </v>
      </c>
      <c r="AX27" t="str">
        <v xml:space="preserve"> </v>
      </c>
      <c r="AY27" t="str">
        <v/>
      </c>
      <c r="AZ27" t="str">
        <v/>
      </c>
      <c r="BA27" t="str">
        <v/>
      </c>
      <c r="BB27" t="str">
        <v/>
      </c>
      <c r="BC27" t="str">
        <v/>
      </c>
      <c r="BD27" t="str">
        <v/>
      </c>
      <c r="BE27" t="str">
        <v/>
      </c>
      <c r="BF27" t="str">
        <v/>
      </c>
      <c r="BG27" t="str">
        <v/>
      </c>
      <c r="BH27" t="str">
        <v/>
      </c>
      <c r="BI27" t="str">
        <v/>
      </c>
      <c r="BJ27" t="str">
        <v/>
      </c>
      <c r="BK27" t="str">
        <v/>
      </c>
      <c r="BL27" t="str">
        <v/>
      </c>
      <c r="BM27" t="str">
        <v/>
      </c>
      <c r="BN27" t="str">
        <v/>
      </c>
      <c r="BO27" t="str">
        <v/>
      </c>
      <c r="BP27" t="str">
        <v/>
      </c>
      <c r="BQ27" t="str">
        <v/>
      </c>
      <c r="BR27" t="str">
        <v/>
      </c>
      <c r="BS27" t="str">
        <v/>
      </c>
      <c r="BT27" t="str">
        <v/>
      </c>
      <c r="BU27" t="str">
        <v/>
      </c>
      <c r="BV27" t="str">
        <v/>
      </c>
      <c r="BW27" t="str">
        <v/>
      </c>
      <c r="BX27" t="str">
        <v/>
      </c>
      <c r="BY27" t="str">
        <v/>
      </c>
      <c r="BZ27" t="str">
        <v/>
      </c>
      <c r="CA27" t="str">
        <v/>
      </c>
      <c r="CB27" t="str">
        <v/>
      </c>
      <c r="CC27" t="str">
        <v/>
      </c>
      <c r="CD27" t="str">
        <v/>
      </c>
      <c r="CE27" t="str">
        <v/>
      </c>
      <c r="CF27" t="str">
        <v/>
      </c>
      <c r="CG27" t="str">
        <v/>
      </c>
      <c r="CH27" t="str">
        <v/>
      </c>
      <c r="CI27" t="str">
        <v/>
      </c>
      <c r="CJ27" t="str">
        <v/>
      </c>
      <c r="CK27" t="str">
        <v/>
      </c>
      <c r="CL27" t="str">
        <v/>
      </c>
      <c r="CM27" t="str">
        <v/>
      </c>
      <c r="CN27" t="str">
        <v/>
      </c>
      <c r="CO27" t="str">
        <v/>
      </c>
      <c r="CP27" t="str">
        <v/>
      </c>
      <c r="CQ27" t="str">
        <v/>
      </c>
      <c r="CR27" t="str">
        <v/>
      </c>
      <c r="CS27" t="str">
        <v/>
      </c>
      <c r="CT27" t="str">
        <v/>
      </c>
      <c r="CU27" t="str">
        <v/>
      </c>
      <c r="CV27" t="str">
        <v/>
      </c>
      <c r="CW27" t="str">
        <v/>
      </c>
      <c r="CX27" t="str">
        <v/>
      </c>
      <c r="CY27" t="str">
        <v/>
      </c>
      <c r="CZ27" t="str">
        <v/>
      </c>
      <c r="DA27" t="str">
        <v/>
      </c>
      <c r="DB27" t="str">
        <v/>
      </c>
      <c r="DC27" t="str">
        <v/>
      </c>
      <c r="DD27" t="str">
        <v/>
      </c>
      <c r="DE27" t="str">
        <v/>
      </c>
      <c r="DF27" t="str">
        <v/>
      </c>
      <c r="DG27" t="str">
        <v/>
      </c>
      <c r="DH27" t="str">
        <v/>
      </c>
      <c r="DI27" t="str">
        <v/>
      </c>
      <c r="DJ27" t="str">
        <v/>
      </c>
      <c r="DK27" t="str">
        <v/>
      </c>
      <c r="DL27" t="str">
        <v/>
      </c>
      <c r="DM27" t="str">
        <v/>
      </c>
      <c r="DN27" t="str">
        <v/>
      </c>
      <c r="DO27" t="str">
        <v/>
      </c>
      <c r="DP27" t="str">
        <v/>
      </c>
      <c r="DQ27" t="str">
        <v/>
      </c>
      <c r="DR27" t="str">
        <v/>
      </c>
      <c r="DS27" t="str">
        <v/>
      </c>
      <c r="DT27" t="str">
        <v/>
      </c>
      <c r="DU27" t="str">
        <v/>
      </c>
      <c r="DV27" t="str">
        <v/>
      </c>
      <c r="DW27" t="str">
        <v/>
      </c>
      <c r="DX27" t="str">
        <v/>
      </c>
      <c r="DY27" t="str">
        <v/>
      </c>
      <c r="DZ27" t="str">
        <v/>
      </c>
      <c r="EA27" t="str">
        <v/>
      </c>
      <c r="EB27" t="str">
        <v/>
      </c>
      <c r="EC27" t="str">
        <v/>
      </c>
      <c r="ED27" t="str">
        <v/>
      </c>
      <c r="EE27" t="str">
        <v/>
      </c>
      <c r="EF27" t="str">
        <v/>
      </c>
      <c r="EG27" t="str">
        <v/>
      </c>
      <c r="EH27" t="str">
        <v/>
      </c>
      <c r="EI27" t="str">
        <v/>
      </c>
      <c r="EJ27" t="str">
        <v/>
      </c>
      <c r="EK27" t="str">
        <v/>
      </c>
      <c r="EL27" t="str">
        <v/>
      </c>
      <c r="EM27" t="str">
        <v/>
      </c>
      <c r="EN27" t="str">
        <v/>
      </c>
      <c r="EO27" t="str">
        <v/>
      </c>
      <c r="EP27" t="str">
        <v/>
      </c>
      <c r="EQ27" t="str">
        <v/>
      </c>
      <c r="ER27" t="str">
        <v/>
      </c>
      <c r="ES27" t="str">
        <v/>
      </c>
      <c r="ET27" t="str">
        <v/>
      </c>
      <c r="EU27" t="str">
        <v/>
      </c>
      <c r="EV27" t="str">
        <v/>
      </c>
      <c r="EW27" t="str">
        <v/>
      </c>
      <c r="EX27" t="str">
        <v/>
      </c>
      <c r="EY27" t="str">
        <v/>
      </c>
      <c r="EZ27" t="str">
        <v/>
      </c>
      <c r="FA27" t="str">
        <v/>
      </c>
      <c r="FB27" t="str">
        <v/>
      </c>
      <c r="FC27" t="str">
        <v/>
      </c>
      <c r="FD27" t="str">
        <v/>
      </c>
      <c r="FE27" t="str">
        <v/>
      </c>
      <c r="FF27" t="str">
        <v/>
      </c>
      <c r="FG27" t="str">
        <v/>
      </c>
      <c r="FH27" t="str">
        <v/>
      </c>
      <c r="FI27" t="str">
        <v/>
      </c>
      <c r="FJ27" t="str">
        <v/>
      </c>
      <c r="FK27" t="str">
        <v/>
      </c>
      <c r="FL27" t="str">
        <v/>
      </c>
      <c r="FM27" t="str">
        <v/>
      </c>
      <c r="FN27" t="str">
        <v/>
      </c>
      <c r="FO27" t="str">
        <v/>
      </c>
      <c r="FP27" t="str">
        <v/>
      </c>
      <c r="FQ27" t="str">
        <v/>
      </c>
      <c r="FR27" t="str">
        <v/>
      </c>
      <c r="FS27" t="str">
        <v/>
      </c>
      <c r="FT27" t="str">
        <v/>
      </c>
      <c r="FU27" t="str">
        <v/>
      </c>
      <c r="FV27" t="str">
        <v/>
      </c>
      <c r="FW27" t="str">
        <v/>
      </c>
      <c r="FX27" t="str">
        <v/>
      </c>
      <c r="FY27" t="str">
        <v/>
      </c>
      <c r="FZ27" t="str">
        <v/>
      </c>
      <c r="GA27" t="str">
        <v/>
      </c>
      <c r="GB27" t="str">
        <v/>
      </c>
      <c r="GC27" t="str">
        <v/>
      </c>
      <c r="GD27" t="str">
        <v/>
      </c>
      <c r="GE27" t="str">
        <v/>
      </c>
      <c r="GF27" t="str">
        <v/>
      </c>
      <c r="GG27" t="str">
        <v/>
      </c>
      <c r="GH27" t="str">
        <v/>
      </c>
      <c r="GI27" t="str">
        <v/>
      </c>
      <c r="GJ27" t="str">
        <v/>
      </c>
      <c r="GK27" t="str">
        <v/>
      </c>
      <c r="GL27" t="str">
        <v/>
      </c>
      <c r="GM27" t="str">
        <v/>
      </c>
      <c r="GN27" t="str">
        <v/>
      </c>
      <c r="GO27" t="str">
        <v/>
      </c>
      <c r="GP27" t="str">
        <v/>
      </c>
      <c r="GQ27" t="str">
        <v/>
      </c>
      <c r="GR27" t="str">
        <v/>
      </c>
      <c r="GS27" t="str">
        <v/>
      </c>
      <c r="GT27" t="str">
        <v/>
      </c>
      <c r="GU27" t="str">
        <v/>
      </c>
      <c r="GV27" t="str">
        <v/>
      </c>
      <c r="GW27" t="str">
        <v/>
      </c>
      <c r="GX27" t="str">
        <v/>
      </c>
      <c r="GY27" t="str">
        <v/>
      </c>
      <c r="GZ27" t="str">
        <v/>
      </c>
      <c r="HA27" t="str">
        <v/>
      </c>
      <c r="HB27" t="str">
        <v/>
      </c>
      <c r="HC27" t="str">
        <v/>
      </c>
      <c r="HD27" t="str">
        <v/>
      </c>
      <c r="HE27" t="str">
        <v/>
      </c>
      <c r="HF27" t="str">
        <v/>
      </c>
      <c r="HG27" t="str">
        <v/>
      </c>
      <c r="HH27" t="str">
        <v/>
      </c>
      <c r="HI27" t="str">
        <v/>
      </c>
      <c r="HJ27" t="str">
        <v/>
      </c>
      <c r="HK27" t="str">
        <v/>
      </c>
      <c r="HL27" t="str">
        <v/>
      </c>
      <c r="HM27" t="str">
        <v/>
      </c>
      <c r="HN27" t="str">
        <v/>
      </c>
      <c r="HO27" t="str">
        <v/>
      </c>
      <c r="HP27" t="str">
        <v/>
      </c>
      <c r="HQ27" t="str">
        <v/>
      </c>
      <c r="HR27" t="str">
        <v/>
      </c>
      <c r="HS27" t="str">
        <v/>
      </c>
      <c r="HT27" t="str">
        <v/>
      </c>
      <c r="HU27" t="str">
        <v/>
      </c>
      <c r="HV27" t="str">
        <v/>
      </c>
      <c r="HW27" t="str">
        <v/>
      </c>
      <c r="HX27" t="str">
        <v/>
      </c>
      <c r="HY27" t="str">
        <v/>
      </c>
      <c r="HZ27" t="str">
        <v/>
      </c>
      <c r="IA27" t="str">
        <v/>
      </c>
      <c r="IB27" t="str">
        <v/>
      </c>
      <c r="IC27" t="str">
        <v/>
      </c>
      <c r="ID27" t="str">
        <v/>
      </c>
      <c r="IE27" t="str">
        <v/>
      </c>
      <c r="IF27" t="str">
        <v/>
      </c>
      <c r="IG27" t="str">
        <v/>
      </c>
      <c r="IH27" t="str">
        <v/>
      </c>
      <c r="II27" t="str">
        <v/>
      </c>
      <c r="IJ27" t="str">
        <v/>
      </c>
      <c r="IK27" t="str">
        <v/>
      </c>
      <c r="IL27" t="str">
        <v/>
      </c>
      <c r="IM27" t="str">
        <v/>
      </c>
      <c r="IN27" t="str">
        <v/>
      </c>
      <c r="IO27" t="str">
        <v/>
      </c>
      <c r="IP27" t="str">
        <v/>
      </c>
      <c r="IQ27" t="str">
        <v/>
      </c>
      <c r="IR27" t="str">
        <v/>
      </c>
      <c r="IS27" t="str">
        <v/>
      </c>
      <c r="IT27" t="str">
        <v/>
      </c>
      <c r="IU27" t="str">
        <v/>
      </c>
      <c r="IV27" t="str">
        <v/>
      </c>
      <c r="IW27" t="str">
        <v/>
      </c>
      <c r="IX27" t="str">
        <v/>
      </c>
      <c r="IY27" t="str">
        <v/>
      </c>
      <c r="IZ27" t="str">
        <v/>
      </c>
      <c r="JA27" t="str">
        <v/>
      </c>
      <c r="JB27" t="str">
        <v/>
      </c>
      <c r="JC27" t="str">
        <v/>
      </c>
      <c r="JD27" t="str">
        <v/>
      </c>
      <c r="JE27" t="str">
        <v/>
      </c>
      <c r="JF27" t="str">
        <v/>
      </c>
      <c r="JG27" t="str">
        <v/>
      </c>
      <c r="JH27" t="str">
        <v/>
      </c>
      <c r="JI27" t="str">
        <v/>
      </c>
      <c r="JJ27" t="str">
        <v/>
      </c>
      <c r="JK27" t="str">
        <v/>
      </c>
      <c r="JL27" t="str">
        <v/>
      </c>
      <c r="JM27" t="str">
        <v/>
      </c>
      <c r="JN27" t="str">
        <v/>
      </c>
      <c r="JO27" t="str">
        <v/>
      </c>
      <c r="JP27" t="str">
        <v/>
      </c>
      <c r="JQ27" t="str">
        <v/>
      </c>
      <c r="JR27" t="str">
        <v/>
      </c>
      <c r="JS27" t="str">
        <v/>
      </c>
      <c r="JT27" t="str">
        <v/>
      </c>
      <c r="JU27" t="str">
        <v/>
      </c>
      <c r="JV27" t="str">
        <v/>
      </c>
      <c r="JW27" t="str">
        <v/>
      </c>
      <c r="JX27" t="str">
        <v/>
      </c>
      <c r="JY27" t="str">
        <v/>
      </c>
      <c r="JZ27" t="str">
        <v/>
      </c>
      <c r="KA27" t="str">
        <v/>
      </c>
      <c r="KB27" t="str">
        <v/>
      </c>
      <c r="KC27" t="str">
        <v/>
      </c>
      <c r="KD27" t="str">
        <v/>
      </c>
      <c r="KE27" t="str">
        <v/>
      </c>
      <c r="KF27" t="str">
        <v/>
      </c>
      <c r="KG27" t="str">
        <v/>
      </c>
      <c r="KH27" t="str">
        <v/>
      </c>
      <c r="KI27" t="str">
        <v/>
      </c>
      <c r="KJ27" t="str">
        <v/>
      </c>
      <c r="KK27" t="str">
        <v/>
      </c>
      <c r="KL27" t="str">
        <v/>
      </c>
      <c r="KM27" t="str">
        <v/>
      </c>
      <c r="KN27" t="str">
        <v/>
      </c>
      <c r="KO27" t="str">
        <v/>
      </c>
      <c r="KP27" t="str">
        <v/>
      </c>
      <c r="KQ27" t="str">
        <v/>
      </c>
      <c r="KR27" t="str">
        <v/>
      </c>
      <c r="KS27" t="str">
        <v/>
      </c>
      <c r="KT27" t="str">
        <v/>
      </c>
      <c r="KU27" t="str">
        <v/>
      </c>
      <c r="KV27" t="str">
        <v/>
      </c>
      <c r="KW27" t="str">
        <v/>
      </c>
      <c r="KX27" t="str">
        <v/>
      </c>
      <c r="KY27" t="str">
        <v/>
      </c>
      <c r="KZ27" t="str">
        <v/>
      </c>
      <c r="LA27" t="str">
        <v/>
      </c>
      <c r="LB27" t="str">
        <v/>
      </c>
      <c r="LC27" t="str">
        <v/>
      </c>
      <c r="LD27" t="str">
        <v/>
      </c>
      <c r="LE27" t="str">
        <v/>
      </c>
      <c r="LF27" t="str">
        <v/>
      </c>
      <c r="LG27" t="str">
        <v/>
      </c>
      <c r="LH27" t="str">
        <v/>
      </c>
      <c r="LI27" t="str">
        <v/>
      </c>
      <c r="LJ27" t="str">
        <v/>
      </c>
      <c r="LK27" t="str">
        <v/>
      </c>
      <c r="LL27" t="str">
        <v/>
      </c>
      <c r="LM27" t="str">
        <v/>
      </c>
      <c r="LN27" t="str">
        <v/>
      </c>
      <c r="LO27" t="str">
        <v/>
      </c>
      <c r="LP27" t="str">
        <v/>
      </c>
      <c r="LQ27" t="str">
        <v/>
      </c>
      <c r="LR27" t="str">
        <v/>
      </c>
      <c r="LS27" t="str">
        <v/>
      </c>
      <c r="LT27" t="str">
        <v/>
      </c>
      <c r="LU27" t="str">
        <v/>
      </c>
      <c r="LV27" t="str">
        <v/>
      </c>
      <c r="LW27" t="str">
        <v/>
      </c>
      <c r="LX27" t="str">
        <v/>
      </c>
      <c r="LY27" t="str">
        <v/>
      </c>
      <c r="LZ27" t="str">
        <v/>
      </c>
      <c r="MA27" t="str">
        <v/>
      </c>
      <c r="MB27" t="str">
        <v/>
      </c>
      <c r="MC27" t="str">
        <v/>
      </c>
      <c r="MD27" t="str">
        <v/>
      </c>
      <c r="ME27" t="str">
        <v/>
      </c>
      <c r="MF27" t="str">
        <v/>
      </c>
      <c r="MG27" t="str">
        <v/>
      </c>
      <c r="MH27" t="str">
        <v/>
      </c>
      <c r="MI27" t="str">
        <v/>
      </c>
      <c r="MJ27" t="str">
        <v/>
      </c>
      <c r="MK27" t="str">
        <v/>
      </c>
      <c r="ML27" t="str">
        <v/>
      </c>
      <c r="MM27" t="str">
        <v/>
      </c>
      <c r="MN27" t="str">
        <v/>
      </c>
      <c r="MO27" t="str">
        <v/>
      </c>
      <c r="MP27" t="str">
        <v/>
      </c>
      <c r="MQ27" t="str">
        <v/>
      </c>
      <c r="MR27" t="str">
        <v/>
      </c>
      <c r="MS27" t="str">
        <v/>
      </c>
      <c r="MT27" t="str">
        <v/>
      </c>
      <c r="MU27" t="str">
        <v/>
      </c>
      <c r="MV27" t="str">
        <v/>
      </c>
      <c r="MW27" t="str">
        <v/>
      </c>
      <c r="MX27" t="str">
        <v/>
      </c>
      <c r="MY27" t="str">
        <v/>
      </c>
      <c r="MZ27" t="str">
        <v/>
      </c>
      <c r="NA27" t="str">
        <v/>
      </c>
      <c r="NB27" t="str">
        <v/>
      </c>
      <c r="NC27" t="str">
        <v/>
      </c>
      <c r="ND27" t="str">
        <v/>
      </c>
      <c r="NE27" t="str">
        <v/>
      </c>
      <c r="NF27" t="str">
        <v/>
      </c>
      <c r="NG27" t="str">
        <v/>
      </c>
      <c r="NH27" t="str">
        <v/>
      </c>
      <c r="NI27" t="str">
        <v/>
      </c>
      <c r="NJ27" t="str">
        <v/>
      </c>
      <c r="NK27" t="str">
        <v/>
      </c>
      <c r="NL27" t="str">
        <v/>
      </c>
      <c r="NM27" t="str">
        <v/>
      </c>
      <c r="NN27" t="str">
        <v/>
      </c>
      <c r="NO27" t="str">
        <v/>
      </c>
      <c r="NP27" t="str">
        <v/>
      </c>
      <c r="NQ27" t="str">
        <v/>
      </c>
      <c r="NR27" t="str">
        <v/>
      </c>
      <c r="NS27" t="str">
        <v/>
      </c>
      <c r="NT27" t="str">
        <v/>
      </c>
      <c r="NU27" t="str">
        <v/>
      </c>
      <c r="NV27" t="str">
        <v/>
      </c>
      <c r="NW27" t="str">
        <v/>
      </c>
      <c r="NX27" t="str">
        <v/>
      </c>
      <c r="NY27" t="str">
        <v/>
      </c>
      <c r="NZ27" t="str">
        <v/>
      </c>
      <c r="OA27" t="str">
        <v/>
      </c>
      <c r="OB27" t="str">
        <v/>
      </c>
      <c r="OC27" t="str">
        <v/>
      </c>
      <c r="OD27" t="str">
        <v/>
      </c>
      <c r="OE27" t="str">
        <v/>
      </c>
    </row>
    <row r="28" spans="1:395" outlineLevel="1" x14ac:dyDescent="0.3">
      <c r="A28" s="16"/>
      <c r="C28" s="16"/>
      <c r="D28" s="133" t="s">
        <v>426</v>
      </c>
      <c r="E28" s="215">
        <v>3</v>
      </c>
      <c r="F28" s="257" t="s">
        <v>398</v>
      </c>
      <c r="G28" s="88"/>
      <c r="H28" s="88"/>
      <c r="I28" s="263"/>
      <c r="J28" s="264"/>
      <c r="K28" s="76"/>
      <c r="L28" s="66"/>
      <c r="M28" s="77"/>
      <c r="N28" t="s">
        <v>428</v>
      </c>
      <c r="O28" s="9">
        <f>EDATE(EOMONTH(O29,-1)+1,-E28)</f>
        <v>47119</v>
      </c>
      <c r="P28" s="226">
        <f>O29-1</f>
        <v>47208</v>
      </c>
      <c r="Q28" t="str" cm="1">
        <f t="array" ref="Q28:OE28">IF(((EOMONTH(O28,-1)+1)&lt;=_xlfn.ANCHORARRAY($Q$2))*(_xlfn.ANCHORARRAY($Q$2)&lt;P28)," ","")</f>
        <v/>
      </c>
      <c r="R28" t="str">
        <v/>
      </c>
      <c r="S28" t="str">
        <v/>
      </c>
      <c r="T28" t="str">
        <v/>
      </c>
      <c r="U28" t="str">
        <v/>
      </c>
      <c r="V28" t="str">
        <v/>
      </c>
      <c r="W28" t="str">
        <v/>
      </c>
      <c r="X28" t="str">
        <v/>
      </c>
      <c r="Y28" t="str">
        <v/>
      </c>
      <c r="Z28" t="str">
        <v/>
      </c>
      <c r="AA28" t="str">
        <v/>
      </c>
      <c r="AB28" t="str">
        <v/>
      </c>
      <c r="AC28" t="str">
        <v/>
      </c>
      <c r="AD28" t="str">
        <v/>
      </c>
      <c r="AE28" t="str">
        <v/>
      </c>
      <c r="AF28" t="str">
        <v/>
      </c>
      <c r="AG28" t="str">
        <v/>
      </c>
      <c r="AH28" t="str">
        <v/>
      </c>
      <c r="AI28" t="str">
        <v/>
      </c>
      <c r="AJ28" t="str">
        <v/>
      </c>
      <c r="AK28" t="str">
        <v/>
      </c>
      <c r="AL28" t="str">
        <v/>
      </c>
      <c r="AM28" t="str">
        <v/>
      </c>
      <c r="AN28" t="str">
        <v/>
      </c>
      <c r="AO28" t="str">
        <v/>
      </c>
      <c r="AP28" t="str">
        <v/>
      </c>
      <c r="AQ28" t="str">
        <v/>
      </c>
      <c r="AR28" t="str">
        <v/>
      </c>
      <c r="AS28" t="str">
        <v/>
      </c>
      <c r="AT28" t="str">
        <v/>
      </c>
      <c r="AU28" t="str">
        <v/>
      </c>
      <c r="AV28" t="str">
        <v xml:space="preserve"> </v>
      </c>
      <c r="AW28" t="str">
        <v xml:space="preserve"> </v>
      </c>
      <c r="AX28" t="str">
        <v xml:space="preserve"> </v>
      </c>
      <c r="AY28" t="str">
        <v/>
      </c>
      <c r="AZ28" t="str">
        <v/>
      </c>
      <c r="BA28" t="str">
        <v/>
      </c>
      <c r="BB28" t="str">
        <v/>
      </c>
      <c r="BC28" t="str">
        <v/>
      </c>
      <c r="BD28" t="str">
        <v/>
      </c>
      <c r="BE28" t="str">
        <v/>
      </c>
      <c r="BF28" t="str">
        <v/>
      </c>
      <c r="BG28" t="str">
        <v/>
      </c>
      <c r="BH28" t="str">
        <v/>
      </c>
      <c r="BI28" t="str">
        <v/>
      </c>
      <c r="BJ28" t="str">
        <v/>
      </c>
      <c r="BK28" t="str">
        <v/>
      </c>
      <c r="BL28" t="str">
        <v/>
      </c>
      <c r="BM28" t="str">
        <v/>
      </c>
      <c r="BN28" t="str">
        <v/>
      </c>
      <c r="BO28" t="str">
        <v/>
      </c>
      <c r="BP28" t="str">
        <v/>
      </c>
      <c r="BQ28" t="str">
        <v/>
      </c>
      <c r="BR28" t="str">
        <v/>
      </c>
      <c r="BS28" t="str">
        <v/>
      </c>
      <c r="BT28" t="str">
        <v/>
      </c>
      <c r="BU28" t="str">
        <v/>
      </c>
      <c r="BV28" t="str">
        <v/>
      </c>
      <c r="BW28" t="str">
        <v/>
      </c>
      <c r="BX28" t="str">
        <v/>
      </c>
      <c r="BY28" t="str">
        <v/>
      </c>
      <c r="BZ28" t="str">
        <v/>
      </c>
      <c r="CA28" t="str">
        <v/>
      </c>
      <c r="CB28" t="str">
        <v/>
      </c>
      <c r="CC28" t="str">
        <v/>
      </c>
      <c r="CD28" t="str">
        <v/>
      </c>
      <c r="CE28" t="str">
        <v/>
      </c>
      <c r="CF28" t="str">
        <v/>
      </c>
      <c r="CG28" t="str">
        <v/>
      </c>
      <c r="CH28" t="str">
        <v/>
      </c>
      <c r="CI28" t="str">
        <v/>
      </c>
      <c r="CJ28" t="str">
        <v/>
      </c>
      <c r="CK28" t="str">
        <v/>
      </c>
      <c r="CL28" t="str">
        <v/>
      </c>
      <c r="CM28" t="str">
        <v/>
      </c>
      <c r="CN28" t="str">
        <v/>
      </c>
      <c r="CO28" t="str">
        <v/>
      </c>
      <c r="CP28" t="str">
        <v/>
      </c>
      <c r="CQ28" t="str">
        <v/>
      </c>
      <c r="CR28" t="str">
        <v/>
      </c>
      <c r="CS28" t="str">
        <v/>
      </c>
      <c r="CT28" t="str">
        <v/>
      </c>
      <c r="CU28" t="str">
        <v/>
      </c>
      <c r="CV28" t="str">
        <v/>
      </c>
      <c r="CW28" t="str">
        <v/>
      </c>
      <c r="CX28" t="str">
        <v/>
      </c>
      <c r="CY28" t="str">
        <v/>
      </c>
      <c r="CZ28" t="str">
        <v/>
      </c>
      <c r="DA28" t="str">
        <v/>
      </c>
      <c r="DB28" t="str">
        <v/>
      </c>
      <c r="DC28" t="str">
        <v/>
      </c>
      <c r="DD28" t="str">
        <v/>
      </c>
      <c r="DE28" t="str">
        <v/>
      </c>
      <c r="DF28" t="str">
        <v/>
      </c>
      <c r="DG28" t="str">
        <v/>
      </c>
      <c r="DH28" t="str">
        <v/>
      </c>
      <c r="DI28" t="str">
        <v/>
      </c>
      <c r="DJ28" t="str">
        <v/>
      </c>
      <c r="DK28" t="str">
        <v/>
      </c>
      <c r="DL28" t="str">
        <v/>
      </c>
      <c r="DM28" t="str">
        <v/>
      </c>
      <c r="DN28" t="str">
        <v/>
      </c>
      <c r="DO28" t="str">
        <v/>
      </c>
      <c r="DP28" t="str">
        <v/>
      </c>
      <c r="DQ28" t="str">
        <v/>
      </c>
      <c r="DR28" t="str">
        <v/>
      </c>
      <c r="DS28" t="str">
        <v/>
      </c>
      <c r="DT28" t="str">
        <v/>
      </c>
      <c r="DU28" t="str">
        <v/>
      </c>
      <c r="DV28" t="str">
        <v/>
      </c>
      <c r="DW28" t="str">
        <v/>
      </c>
      <c r="DX28" t="str">
        <v/>
      </c>
      <c r="DY28" t="str">
        <v/>
      </c>
      <c r="DZ28" t="str">
        <v/>
      </c>
      <c r="EA28" t="str">
        <v/>
      </c>
      <c r="EB28" t="str">
        <v/>
      </c>
      <c r="EC28" t="str">
        <v/>
      </c>
      <c r="ED28" t="str">
        <v/>
      </c>
      <c r="EE28" t="str">
        <v/>
      </c>
      <c r="EF28" t="str">
        <v/>
      </c>
      <c r="EG28" t="str">
        <v/>
      </c>
      <c r="EH28" t="str">
        <v/>
      </c>
      <c r="EI28" t="str">
        <v/>
      </c>
      <c r="EJ28" t="str">
        <v/>
      </c>
      <c r="EK28" t="str">
        <v/>
      </c>
      <c r="EL28" t="str">
        <v/>
      </c>
      <c r="EM28" t="str">
        <v/>
      </c>
      <c r="EN28" t="str">
        <v/>
      </c>
      <c r="EO28" t="str">
        <v/>
      </c>
      <c r="EP28" t="str">
        <v/>
      </c>
      <c r="EQ28" t="str">
        <v/>
      </c>
      <c r="ER28" t="str">
        <v/>
      </c>
      <c r="ES28" t="str">
        <v/>
      </c>
      <c r="ET28" t="str">
        <v/>
      </c>
      <c r="EU28" t="str">
        <v/>
      </c>
      <c r="EV28" t="str">
        <v/>
      </c>
      <c r="EW28" t="str">
        <v/>
      </c>
      <c r="EX28" t="str">
        <v/>
      </c>
      <c r="EY28" t="str">
        <v/>
      </c>
      <c r="EZ28" t="str">
        <v/>
      </c>
      <c r="FA28" t="str">
        <v/>
      </c>
      <c r="FB28" t="str">
        <v/>
      </c>
      <c r="FC28" t="str">
        <v/>
      </c>
      <c r="FD28" t="str">
        <v/>
      </c>
      <c r="FE28" t="str">
        <v/>
      </c>
      <c r="FF28" t="str">
        <v/>
      </c>
      <c r="FG28" t="str">
        <v/>
      </c>
      <c r="FH28" t="str">
        <v/>
      </c>
      <c r="FI28" t="str">
        <v/>
      </c>
      <c r="FJ28" t="str">
        <v/>
      </c>
      <c r="FK28" t="str">
        <v/>
      </c>
      <c r="FL28" t="str">
        <v/>
      </c>
      <c r="FM28" t="str">
        <v/>
      </c>
      <c r="FN28" t="str">
        <v/>
      </c>
      <c r="FO28" t="str">
        <v/>
      </c>
      <c r="FP28" t="str">
        <v/>
      </c>
      <c r="FQ28" t="str">
        <v/>
      </c>
      <c r="FR28" t="str">
        <v/>
      </c>
      <c r="FS28" t="str">
        <v/>
      </c>
      <c r="FT28" t="str">
        <v/>
      </c>
      <c r="FU28" t="str">
        <v/>
      </c>
      <c r="FV28" t="str">
        <v/>
      </c>
      <c r="FW28" t="str">
        <v/>
      </c>
      <c r="FX28" t="str">
        <v/>
      </c>
      <c r="FY28" t="str">
        <v/>
      </c>
      <c r="FZ28" t="str">
        <v/>
      </c>
      <c r="GA28" t="str">
        <v/>
      </c>
      <c r="GB28" t="str">
        <v/>
      </c>
      <c r="GC28" t="str">
        <v/>
      </c>
      <c r="GD28" t="str">
        <v/>
      </c>
      <c r="GE28" t="str">
        <v/>
      </c>
      <c r="GF28" t="str">
        <v/>
      </c>
      <c r="GG28" t="str">
        <v/>
      </c>
      <c r="GH28" t="str">
        <v/>
      </c>
      <c r="GI28" t="str">
        <v/>
      </c>
      <c r="GJ28" t="str">
        <v/>
      </c>
      <c r="GK28" t="str">
        <v/>
      </c>
      <c r="GL28" t="str">
        <v/>
      </c>
      <c r="GM28" t="str">
        <v/>
      </c>
      <c r="GN28" t="str">
        <v/>
      </c>
      <c r="GO28" t="str">
        <v/>
      </c>
      <c r="GP28" t="str">
        <v/>
      </c>
      <c r="GQ28" t="str">
        <v/>
      </c>
      <c r="GR28" t="str">
        <v/>
      </c>
      <c r="GS28" t="str">
        <v/>
      </c>
      <c r="GT28" t="str">
        <v/>
      </c>
      <c r="GU28" t="str">
        <v/>
      </c>
      <c r="GV28" t="str">
        <v/>
      </c>
      <c r="GW28" t="str">
        <v/>
      </c>
      <c r="GX28" t="str">
        <v/>
      </c>
      <c r="GY28" t="str">
        <v/>
      </c>
      <c r="GZ28" t="str">
        <v/>
      </c>
      <c r="HA28" t="str">
        <v/>
      </c>
      <c r="HB28" t="str">
        <v/>
      </c>
      <c r="HC28" t="str">
        <v/>
      </c>
      <c r="HD28" t="str">
        <v/>
      </c>
      <c r="HE28" t="str">
        <v/>
      </c>
      <c r="HF28" t="str">
        <v/>
      </c>
      <c r="HG28" t="str">
        <v/>
      </c>
      <c r="HH28" t="str">
        <v/>
      </c>
      <c r="HI28" t="str">
        <v/>
      </c>
      <c r="HJ28" t="str">
        <v/>
      </c>
      <c r="HK28" t="str">
        <v/>
      </c>
      <c r="HL28" t="str">
        <v/>
      </c>
      <c r="HM28" t="str">
        <v/>
      </c>
      <c r="HN28" t="str">
        <v/>
      </c>
      <c r="HO28" t="str">
        <v/>
      </c>
      <c r="HP28" t="str">
        <v/>
      </c>
      <c r="HQ28" t="str">
        <v/>
      </c>
      <c r="HR28" t="str">
        <v/>
      </c>
      <c r="HS28" t="str">
        <v/>
      </c>
      <c r="HT28" t="str">
        <v/>
      </c>
      <c r="HU28" t="str">
        <v/>
      </c>
      <c r="HV28" t="str">
        <v/>
      </c>
      <c r="HW28" t="str">
        <v/>
      </c>
      <c r="HX28" t="str">
        <v/>
      </c>
      <c r="HY28" t="str">
        <v/>
      </c>
      <c r="HZ28" t="str">
        <v/>
      </c>
      <c r="IA28" t="str">
        <v/>
      </c>
      <c r="IB28" t="str">
        <v/>
      </c>
      <c r="IC28" t="str">
        <v/>
      </c>
      <c r="ID28" t="str">
        <v/>
      </c>
      <c r="IE28" t="str">
        <v/>
      </c>
      <c r="IF28" t="str">
        <v/>
      </c>
      <c r="IG28" t="str">
        <v/>
      </c>
      <c r="IH28" t="str">
        <v/>
      </c>
      <c r="II28" t="str">
        <v/>
      </c>
      <c r="IJ28" t="str">
        <v/>
      </c>
      <c r="IK28" t="str">
        <v/>
      </c>
      <c r="IL28" t="str">
        <v/>
      </c>
      <c r="IM28" t="str">
        <v/>
      </c>
      <c r="IN28" t="str">
        <v/>
      </c>
      <c r="IO28" t="str">
        <v/>
      </c>
      <c r="IP28" t="str">
        <v/>
      </c>
      <c r="IQ28" t="str">
        <v/>
      </c>
      <c r="IR28" t="str">
        <v/>
      </c>
      <c r="IS28" t="str">
        <v/>
      </c>
      <c r="IT28" t="str">
        <v/>
      </c>
      <c r="IU28" t="str">
        <v/>
      </c>
      <c r="IV28" t="str">
        <v/>
      </c>
      <c r="IW28" t="str">
        <v/>
      </c>
      <c r="IX28" t="str">
        <v/>
      </c>
      <c r="IY28" t="str">
        <v/>
      </c>
      <c r="IZ28" t="str">
        <v/>
      </c>
      <c r="JA28" t="str">
        <v/>
      </c>
      <c r="JB28" t="str">
        <v/>
      </c>
      <c r="JC28" t="str">
        <v/>
      </c>
      <c r="JD28" t="str">
        <v/>
      </c>
      <c r="JE28" t="str">
        <v/>
      </c>
      <c r="JF28" t="str">
        <v/>
      </c>
      <c r="JG28" t="str">
        <v/>
      </c>
      <c r="JH28" t="str">
        <v/>
      </c>
      <c r="JI28" t="str">
        <v/>
      </c>
      <c r="JJ28" t="str">
        <v/>
      </c>
      <c r="JK28" t="str">
        <v/>
      </c>
      <c r="JL28" t="str">
        <v/>
      </c>
      <c r="JM28" t="str">
        <v/>
      </c>
      <c r="JN28" t="str">
        <v/>
      </c>
      <c r="JO28" t="str">
        <v/>
      </c>
      <c r="JP28" t="str">
        <v/>
      </c>
      <c r="JQ28" t="str">
        <v/>
      </c>
      <c r="JR28" t="str">
        <v/>
      </c>
      <c r="JS28" t="str">
        <v/>
      </c>
      <c r="JT28" t="str">
        <v/>
      </c>
      <c r="JU28" t="str">
        <v/>
      </c>
      <c r="JV28" t="str">
        <v/>
      </c>
      <c r="JW28" t="str">
        <v/>
      </c>
      <c r="JX28" t="str">
        <v/>
      </c>
      <c r="JY28" t="str">
        <v/>
      </c>
      <c r="JZ28" t="str">
        <v/>
      </c>
      <c r="KA28" t="str">
        <v/>
      </c>
      <c r="KB28" t="str">
        <v/>
      </c>
      <c r="KC28" t="str">
        <v/>
      </c>
      <c r="KD28" t="str">
        <v/>
      </c>
      <c r="KE28" t="str">
        <v/>
      </c>
      <c r="KF28" t="str">
        <v/>
      </c>
      <c r="KG28" t="str">
        <v/>
      </c>
      <c r="KH28" t="str">
        <v/>
      </c>
      <c r="KI28" t="str">
        <v/>
      </c>
      <c r="KJ28" t="str">
        <v/>
      </c>
      <c r="KK28" t="str">
        <v/>
      </c>
      <c r="KL28" t="str">
        <v/>
      </c>
      <c r="KM28" t="str">
        <v/>
      </c>
      <c r="KN28" t="str">
        <v/>
      </c>
      <c r="KO28" t="str">
        <v/>
      </c>
      <c r="KP28" t="str">
        <v/>
      </c>
      <c r="KQ28" t="str">
        <v/>
      </c>
      <c r="KR28" t="str">
        <v/>
      </c>
      <c r="KS28" t="str">
        <v/>
      </c>
      <c r="KT28" t="str">
        <v/>
      </c>
      <c r="KU28" t="str">
        <v/>
      </c>
      <c r="KV28" t="str">
        <v/>
      </c>
      <c r="KW28" t="str">
        <v/>
      </c>
      <c r="KX28" t="str">
        <v/>
      </c>
      <c r="KY28" t="str">
        <v/>
      </c>
      <c r="KZ28" t="str">
        <v/>
      </c>
      <c r="LA28" t="str">
        <v/>
      </c>
      <c r="LB28" t="str">
        <v/>
      </c>
      <c r="LC28" t="str">
        <v/>
      </c>
      <c r="LD28" t="str">
        <v/>
      </c>
      <c r="LE28" t="str">
        <v/>
      </c>
      <c r="LF28" t="str">
        <v/>
      </c>
      <c r="LG28" t="str">
        <v/>
      </c>
      <c r="LH28" t="str">
        <v/>
      </c>
      <c r="LI28" t="str">
        <v/>
      </c>
      <c r="LJ28" t="str">
        <v/>
      </c>
      <c r="LK28" t="str">
        <v/>
      </c>
      <c r="LL28" t="str">
        <v/>
      </c>
      <c r="LM28" t="str">
        <v/>
      </c>
      <c r="LN28" t="str">
        <v/>
      </c>
      <c r="LO28" t="str">
        <v/>
      </c>
      <c r="LP28" t="str">
        <v/>
      </c>
      <c r="LQ28" t="str">
        <v/>
      </c>
      <c r="LR28" t="str">
        <v/>
      </c>
      <c r="LS28" t="str">
        <v/>
      </c>
      <c r="LT28" t="str">
        <v/>
      </c>
      <c r="LU28" t="str">
        <v/>
      </c>
      <c r="LV28" t="str">
        <v/>
      </c>
      <c r="LW28" t="str">
        <v/>
      </c>
      <c r="LX28" t="str">
        <v/>
      </c>
      <c r="LY28" t="str">
        <v/>
      </c>
      <c r="LZ28" t="str">
        <v/>
      </c>
      <c r="MA28" t="str">
        <v/>
      </c>
      <c r="MB28" t="str">
        <v/>
      </c>
      <c r="MC28" t="str">
        <v/>
      </c>
      <c r="MD28" t="str">
        <v/>
      </c>
      <c r="ME28" t="str">
        <v/>
      </c>
      <c r="MF28" t="str">
        <v/>
      </c>
      <c r="MG28" t="str">
        <v/>
      </c>
      <c r="MH28" t="str">
        <v/>
      </c>
      <c r="MI28" t="str">
        <v/>
      </c>
      <c r="MJ28" t="str">
        <v/>
      </c>
      <c r="MK28" t="str">
        <v/>
      </c>
      <c r="ML28" t="str">
        <v/>
      </c>
      <c r="MM28" t="str">
        <v/>
      </c>
      <c r="MN28" t="str">
        <v/>
      </c>
      <c r="MO28" t="str">
        <v/>
      </c>
      <c r="MP28" t="str">
        <v/>
      </c>
      <c r="MQ28" t="str">
        <v/>
      </c>
      <c r="MR28" t="str">
        <v/>
      </c>
      <c r="MS28" t="str">
        <v/>
      </c>
      <c r="MT28" t="str">
        <v/>
      </c>
      <c r="MU28" t="str">
        <v/>
      </c>
      <c r="MV28" t="str">
        <v/>
      </c>
      <c r="MW28" t="str">
        <v/>
      </c>
      <c r="MX28" t="str">
        <v/>
      </c>
      <c r="MY28" t="str">
        <v/>
      </c>
      <c r="MZ28" t="str">
        <v/>
      </c>
      <c r="NA28" t="str">
        <v/>
      </c>
      <c r="NB28" t="str">
        <v/>
      </c>
      <c r="NC28" t="str">
        <v/>
      </c>
      <c r="ND28" t="str">
        <v/>
      </c>
      <c r="NE28" t="str">
        <v/>
      </c>
      <c r="NF28" t="str">
        <v/>
      </c>
      <c r="NG28" t="str">
        <v/>
      </c>
      <c r="NH28" t="str">
        <v/>
      </c>
      <c r="NI28" t="str">
        <v/>
      </c>
      <c r="NJ28" t="str">
        <v/>
      </c>
      <c r="NK28" t="str">
        <v/>
      </c>
      <c r="NL28" t="str">
        <v/>
      </c>
      <c r="NM28" t="str">
        <v/>
      </c>
      <c r="NN28" t="str">
        <v/>
      </c>
      <c r="NO28" t="str">
        <v/>
      </c>
      <c r="NP28" t="str">
        <v/>
      </c>
      <c r="NQ28" t="str">
        <v/>
      </c>
      <c r="NR28" t="str">
        <v/>
      </c>
      <c r="NS28" t="str">
        <v/>
      </c>
      <c r="NT28" t="str">
        <v/>
      </c>
      <c r="NU28" t="str">
        <v/>
      </c>
      <c r="NV28" t="str">
        <v/>
      </c>
      <c r="NW28" t="str">
        <v/>
      </c>
      <c r="NX28" t="str">
        <v/>
      </c>
      <c r="NY28" t="str">
        <v/>
      </c>
      <c r="NZ28" t="str">
        <v/>
      </c>
      <c r="OA28" t="str">
        <v/>
      </c>
      <c r="OB28" t="str">
        <v/>
      </c>
      <c r="OC28" t="str">
        <v/>
      </c>
      <c r="OD28" t="str">
        <v/>
      </c>
      <c r="OE28" t="str">
        <v/>
      </c>
    </row>
    <row r="29" spans="1:395" outlineLevel="1" x14ac:dyDescent="0.3">
      <c r="A29" s="16"/>
      <c r="C29" s="16"/>
      <c r="D29" s="133" t="s">
        <v>427</v>
      </c>
      <c r="E29" s="215">
        <v>3</v>
      </c>
      <c r="F29" s="257" t="s">
        <v>398</v>
      </c>
      <c r="G29" s="88"/>
      <c r="H29" s="88"/>
      <c r="I29" s="263"/>
      <c r="J29" s="264"/>
      <c r="K29" s="76"/>
      <c r="L29" s="66"/>
      <c r="M29" s="77"/>
      <c r="N29" t="s">
        <v>427</v>
      </c>
      <c r="O29" s="9">
        <f>P27+1</f>
        <v>47209</v>
      </c>
      <c r="P29" s="226">
        <f>EOMONTH(O29,E29)</f>
        <v>47330</v>
      </c>
      <c r="Q29" t="str" cm="1">
        <f t="array" ref="Q29:OE29">IF(((EOMONTH(O29,-1)+1)&lt;=_xlfn.ANCHORARRAY($Q$2))*(_xlfn.ANCHORARRAY($Q$2)&lt;P29)," ","")</f>
        <v/>
      </c>
      <c r="R29" t="str">
        <v/>
      </c>
      <c r="S29" t="str">
        <v/>
      </c>
      <c r="T29" t="str">
        <v/>
      </c>
      <c r="U29" t="str">
        <v/>
      </c>
      <c r="V29" t="str">
        <v/>
      </c>
      <c r="W29" t="str">
        <v/>
      </c>
      <c r="X29" t="str">
        <v/>
      </c>
      <c r="Y29" t="str">
        <v/>
      </c>
      <c r="Z29" t="str">
        <v/>
      </c>
      <c r="AA29" t="str">
        <v/>
      </c>
      <c r="AB29" t="str">
        <v/>
      </c>
      <c r="AC29" t="str">
        <v/>
      </c>
      <c r="AD29" t="str">
        <v/>
      </c>
      <c r="AE29" t="str">
        <v/>
      </c>
      <c r="AF29" t="str">
        <v/>
      </c>
      <c r="AG29" t="str">
        <v/>
      </c>
      <c r="AH29" t="str">
        <v/>
      </c>
      <c r="AI29" t="str">
        <v/>
      </c>
      <c r="AJ29" t="str">
        <v/>
      </c>
      <c r="AK29" t="str">
        <v/>
      </c>
      <c r="AL29" t="str">
        <v/>
      </c>
      <c r="AM29" t="str">
        <v/>
      </c>
      <c r="AN29" t="str">
        <v/>
      </c>
      <c r="AO29" t="str">
        <v/>
      </c>
      <c r="AP29" t="str">
        <v/>
      </c>
      <c r="AQ29" t="str">
        <v/>
      </c>
      <c r="AR29" t="str">
        <v/>
      </c>
      <c r="AS29" t="str">
        <v/>
      </c>
      <c r="AT29" t="str">
        <v/>
      </c>
      <c r="AU29" t="str">
        <v/>
      </c>
      <c r="AV29" t="str">
        <v/>
      </c>
      <c r="AW29" t="str">
        <v/>
      </c>
      <c r="AX29" t="str">
        <v/>
      </c>
      <c r="AY29" t="str">
        <v xml:space="preserve"> </v>
      </c>
      <c r="AZ29" t="str">
        <v xml:space="preserve"> </v>
      </c>
      <c r="BA29" t="str">
        <v xml:space="preserve"> </v>
      </c>
      <c r="BB29" t="str">
        <v xml:space="preserve"> </v>
      </c>
      <c r="BC29" t="str">
        <v/>
      </c>
      <c r="BD29" t="str">
        <v/>
      </c>
      <c r="BE29" t="str">
        <v/>
      </c>
      <c r="BF29" t="str">
        <v/>
      </c>
      <c r="BG29" t="str">
        <v/>
      </c>
      <c r="BH29" t="str">
        <v/>
      </c>
      <c r="BI29" t="str">
        <v/>
      </c>
      <c r="BJ29" t="str">
        <v/>
      </c>
      <c r="BK29" t="str">
        <v/>
      </c>
      <c r="BL29" t="str">
        <v/>
      </c>
      <c r="BM29" t="str">
        <v/>
      </c>
      <c r="BN29" t="str">
        <v/>
      </c>
      <c r="BO29" t="str">
        <v/>
      </c>
      <c r="BP29" t="str">
        <v/>
      </c>
      <c r="BQ29" t="str">
        <v/>
      </c>
      <c r="BR29" t="str">
        <v/>
      </c>
      <c r="BS29" t="str">
        <v/>
      </c>
      <c r="BT29" t="str">
        <v/>
      </c>
      <c r="BU29" t="str">
        <v/>
      </c>
      <c r="BV29" t="str">
        <v/>
      </c>
      <c r="BW29" t="str">
        <v/>
      </c>
      <c r="BX29" t="str">
        <v/>
      </c>
      <c r="BY29" t="str">
        <v/>
      </c>
      <c r="BZ29" t="str">
        <v/>
      </c>
      <c r="CA29" t="str">
        <v/>
      </c>
      <c r="CB29" t="str">
        <v/>
      </c>
      <c r="CC29" t="str">
        <v/>
      </c>
      <c r="CD29" t="str">
        <v/>
      </c>
      <c r="CE29" t="str">
        <v/>
      </c>
      <c r="CF29" t="str">
        <v/>
      </c>
      <c r="CG29" t="str">
        <v/>
      </c>
      <c r="CH29" t="str">
        <v/>
      </c>
      <c r="CI29" t="str">
        <v/>
      </c>
      <c r="CJ29" t="str">
        <v/>
      </c>
      <c r="CK29" t="str">
        <v/>
      </c>
      <c r="CL29" t="str">
        <v/>
      </c>
      <c r="CM29" t="str">
        <v/>
      </c>
      <c r="CN29" t="str">
        <v/>
      </c>
      <c r="CO29" t="str">
        <v/>
      </c>
      <c r="CP29" t="str">
        <v/>
      </c>
      <c r="CQ29" t="str">
        <v/>
      </c>
      <c r="CR29" t="str">
        <v/>
      </c>
      <c r="CS29" t="str">
        <v/>
      </c>
      <c r="CT29" t="str">
        <v/>
      </c>
      <c r="CU29" t="str">
        <v/>
      </c>
      <c r="CV29" t="str">
        <v/>
      </c>
      <c r="CW29" t="str">
        <v/>
      </c>
      <c r="CX29" t="str">
        <v/>
      </c>
      <c r="CY29" t="str">
        <v/>
      </c>
      <c r="CZ29" t="str">
        <v/>
      </c>
      <c r="DA29" t="str">
        <v/>
      </c>
      <c r="DB29" t="str">
        <v/>
      </c>
      <c r="DC29" t="str">
        <v/>
      </c>
      <c r="DD29" t="str">
        <v/>
      </c>
      <c r="DE29" t="str">
        <v/>
      </c>
      <c r="DF29" t="str">
        <v/>
      </c>
      <c r="DG29" t="str">
        <v/>
      </c>
      <c r="DH29" t="str">
        <v/>
      </c>
      <c r="DI29" t="str">
        <v/>
      </c>
      <c r="DJ29" t="str">
        <v/>
      </c>
      <c r="DK29" t="str">
        <v/>
      </c>
      <c r="DL29" t="str">
        <v/>
      </c>
      <c r="DM29" t="str">
        <v/>
      </c>
      <c r="DN29" t="str">
        <v/>
      </c>
      <c r="DO29" t="str">
        <v/>
      </c>
      <c r="DP29" t="str">
        <v/>
      </c>
      <c r="DQ29" t="str">
        <v/>
      </c>
      <c r="DR29" t="str">
        <v/>
      </c>
      <c r="DS29" t="str">
        <v/>
      </c>
      <c r="DT29" t="str">
        <v/>
      </c>
      <c r="DU29" t="str">
        <v/>
      </c>
      <c r="DV29" t="str">
        <v/>
      </c>
      <c r="DW29" t="str">
        <v/>
      </c>
      <c r="DX29" t="str">
        <v/>
      </c>
      <c r="DY29" t="str">
        <v/>
      </c>
      <c r="DZ29" t="str">
        <v/>
      </c>
      <c r="EA29" t="str">
        <v/>
      </c>
      <c r="EB29" t="str">
        <v/>
      </c>
      <c r="EC29" t="str">
        <v/>
      </c>
      <c r="ED29" t="str">
        <v/>
      </c>
      <c r="EE29" t="str">
        <v/>
      </c>
      <c r="EF29" t="str">
        <v/>
      </c>
      <c r="EG29" t="str">
        <v/>
      </c>
      <c r="EH29" t="str">
        <v/>
      </c>
      <c r="EI29" t="str">
        <v/>
      </c>
      <c r="EJ29" t="str">
        <v/>
      </c>
      <c r="EK29" t="str">
        <v/>
      </c>
      <c r="EL29" t="str">
        <v/>
      </c>
      <c r="EM29" t="str">
        <v/>
      </c>
      <c r="EN29" t="str">
        <v/>
      </c>
      <c r="EO29" t="str">
        <v/>
      </c>
      <c r="EP29" t="str">
        <v/>
      </c>
      <c r="EQ29" t="str">
        <v/>
      </c>
      <c r="ER29" t="str">
        <v/>
      </c>
      <c r="ES29" t="str">
        <v/>
      </c>
      <c r="ET29" t="str">
        <v/>
      </c>
      <c r="EU29" t="str">
        <v/>
      </c>
      <c r="EV29" t="str">
        <v/>
      </c>
      <c r="EW29" t="str">
        <v/>
      </c>
      <c r="EX29" t="str">
        <v/>
      </c>
      <c r="EY29" t="str">
        <v/>
      </c>
      <c r="EZ29" t="str">
        <v/>
      </c>
      <c r="FA29" t="str">
        <v/>
      </c>
      <c r="FB29" t="str">
        <v/>
      </c>
      <c r="FC29" t="str">
        <v/>
      </c>
      <c r="FD29" t="str">
        <v/>
      </c>
      <c r="FE29" t="str">
        <v/>
      </c>
      <c r="FF29" t="str">
        <v/>
      </c>
      <c r="FG29" t="str">
        <v/>
      </c>
      <c r="FH29" t="str">
        <v/>
      </c>
      <c r="FI29" t="str">
        <v/>
      </c>
      <c r="FJ29" t="str">
        <v/>
      </c>
      <c r="FK29" t="str">
        <v/>
      </c>
      <c r="FL29" t="str">
        <v/>
      </c>
      <c r="FM29" t="str">
        <v/>
      </c>
      <c r="FN29" t="str">
        <v/>
      </c>
      <c r="FO29" t="str">
        <v/>
      </c>
      <c r="FP29" t="str">
        <v/>
      </c>
      <c r="FQ29" t="str">
        <v/>
      </c>
      <c r="FR29" t="str">
        <v/>
      </c>
      <c r="FS29" t="str">
        <v/>
      </c>
      <c r="FT29" t="str">
        <v/>
      </c>
      <c r="FU29" t="str">
        <v/>
      </c>
      <c r="FV29" t="str">
        <v/>
      </c>
      <c r="FW29" t="str">
        <v/>
      </c>
      <c r="FX29" t="str">
        <v/>
      </c>
      <c r="FY29" t="str">
        <v/>
      </c>
      <c r="FZ29" t="str">
        <v/>
      </c>
      <c r="GA29" t="str">
        <v/>
      </c>
      <c r="GB29" t="str">
        <v/>
      </c>
      <c r="GC29" t="str">
        <v/>
      </c>
      <c r="GD29" t="str">
        <v/>
      </c>
      <c r="GE29" t="str">
        <v/>
      </c>
      <c r="GF29" t="str">
        <v/>
      </c>
      <c r="GG29" t="str">
        <v/>
      </c>
      <c r="GH29" t="str">
        <v/>
      </c>
      <c r="GI29" t="str">
        <v/>
      </c>
      <c r="GJ29" t="str">
        <v/>
      </c>
      <c r="GK29" t="str">
        <v/>
      </c>
      <c r="GL29" t="str">
        <v/>
      </c>
      <c r="GM29" t="str">
        <v/>
      </c>
      <c r="GN29" t="str">
        <v/>
      </c>
      <c r="GO29" t="str">
        <v/>
      </c>
      <c r="GP29" t="str">
        <v/>
      </c>
      <c r="GQ29" t="str">
        <v/>
      </c>
      <c r="GR29" t="str">
        <v/>
      </c>
      <c r="GS29" t="str">
        <v/>
      </c>
      <c r="GT29" t="str">
        <v/>
      </c>
      <c r="GU29" t="str">
        <v/>
      </c>
      <c r="GV29" t="str">
        <v/>
      </c>
      <c r="GW29" t="str">
        <v/>
      </c>
      <c r="GX29" t="str">
        <v/>
      </c>
      <c r="GY29" t="str">
        <v/>
      </c>
      <c r="GZ29" t="str">
        <v/>
      </c>
      <c r="HA29" t="str">
        <v/>
      </c>
      <c r="HB29" t="str">
        <v/>
      </c>
      <c r="HC29" t="str">
        <v/>
      </c>
      <c r="HD29" t="str">
        <v/>
      </c>
      <c r="HE29" t="str">
        <v/>
      </c>
      <c r="HF29" t="str">
        <v/>
      </c>
      <c r="HG29" t="str">
        <v/>
      </c>
      <c r="HH29" t="str">
        <v/>
      </c>
      <c r="HI29" t="str">
        <v/>
      </c>
      <c r="HJ29" t="str">
        <v/>
      </c>
      <c r="HK29" t="str">
        <v/>
      </c>
      <c r="HL29" t="str">
        <v/>
      </c>
      <c r="HM29" t="str">
        <v/>
      </c>
      <c r="HN29" t="str">
        <v/>
      </c>
      <c r="HO29" t="str">
        <v/>
      </c>
      <c r="HP29" t="str">
        <v/>
      </c>
      <c r="HQ29" t="str">
        <v/>
      </c>
      <c r="HR29" t="str">
        <v/>
      </c>
      <c r="HS29" t="str">
        <v/>
      </c>
      <c r="HT29" t="str">
        <v/>
      </c>
      <c r="HU29" t="str">
        <v/>
      </c>
      <c r="HV29" t="str">
        <v/>
      </c>
      <c r="HW29" t="str">
        <v/>
      </c>
      <c r="HX29" t="str">
        <v/>
      </c>
      <c r="HY29" t="str">
        <v/>
      </c>
      <c r="HZ29" t="str">
        <v/>
      </c>
      <c r="IA29" t="str">
        <v/>
      </c>
      <c r="IB29" t="str">
        <v/>
      </c>
      <c r="IC29" t="str">
        <v/>
      </c>
      <c r="ID29" t="str">
        <v/>
      </c>
      <c r="IE29" t="str">
        <v/>
      </c>
      <c r="IF29" t="str">
        <v/>
      </c>
      <c r="IG29" t="str">
        <v/>
      </c>
      <c r="IH29" t="str">
        <v/>
      </c>
      <c r="II29" t="str">
        <v/>
      </c>
      <c r="IJ29" t="str">
        <v/>
      </c>
      <c r="IK29" t="str">
        <v/>
      </c>
      <c r="IL29" t="str">
        <v/>
      </c>
      <c r="IM29" t="str">
        <v/>
      </c>
      <c r="IN29" t="str">
        <v/>
      </c>
      <c r="IO29" t="str">
        <v/>
      </c>
      <c r="IP29" t="str">
        <v/>
      </c>
      <c r="IQ29" t="str">
        <v/>
      </c>
      <c r="IR29" t="str">
        <v/>
      </c>
      <c r="IS29" t="str">
        <v/>
      </c>
      <c r="IT29" t="str">
        <v/>
      </c>
      <c r="IU29" t="str">
        <v/>
      </c>
      <c r="IV29" t="str">
        <v/>
      </c>
      <c r="IW29" t="str">
        <v/>
      </c>
      <c r="IX29" t="str">
        <v/>
      </c>
      <c r="IY29" t="str">
        <v/>
      </c>
      <c r="IZ29" t="str">
        <v/>
      </c>
      <c r="JA29" t="str">
        <v/>
      </c>
      <c r="JB29" t="str">
        <v/>
      </c>
      <c r="JC29" t="str">
        <v/>
      </c>
      <c r="JD29" t="str">
        <v/>
      </c>
      <c r="JE29" t="str">
        <v/>
      </c>
      <c r="JF29" t="str">
        <v/>
      </c>
      <c r="JG29" t="str">
        <v/>
      </c>
      <c r="JH29" t="str">
        <v/>
      </c>
      <c r="JI29" t="str">
        <v/>
      </c>
      <c r="JJ29" t="str">
        <v/>
      </c>
      <c r="JK29" t="str">
        <v/>
      </c>
      <c r="JL29" t="str">
        <v/>
      </c>
      <c r="JM29" t="str">
        <v/>
      </c>
      <c r="JN29" t="str">
        <v/>
      </c>
      <c r="JO29" t="str">
        <v/>
      </c>
      <c r="JP29" t="str">
        <v/>
      </c>
      <c r="JQ29" t="str">
        <v/>
      </c>
      <c r="JR29" t="str">
        <v/>
      </c>
      <c r="JS29" t="str">
        <v/>
      </c>
      <c r="JT29" t="str">
        <v/>
      </c>
      <c r="JU29" t="str">
        <v/>
      </c>
      <c r="JV29" t="str">
        <v/>
      </c>
      <c r="JW29" t="str">
        <v/>
      </c>
      <c r="JX29" t="str">
        <v/>
      </c>
      <c r="JY29" t="str">
        <v/>
      </c>
      <c r="JZ29" t="str">
        <v/>
      </c>
      <c r="KA29" t="str">
        <v/>
      </c>
      <c r="KB29" t="str">
        <v/>
      </c>
      <c r="KC29" t="str">
        <v/>
      </c>
      <c r="KD29" t="str">
        <v/>
      </c>
      <c r="KE29" t="str">
        <v/>
      </c>
      <c r="KF29" t="str">
        <v/>
      </c>
      <c r="KG29" t="str">
        <v/>
      </c>
      <c r="KH29" t="str">
        <v/>
      </c>
      <c r="KI29" t="str">
        <v/>
      </c>
      <c r="KJ29" t="str">
        <v/>
      </c>
      <c r="KK29" t="str">
        <v/>
      </c>
      <c r="KL29" t="str">
        <v/>
      </c>
      <c r="KM29" t="str">
        <v/>
      </c>
      <c r="KN29" t="str">
        <v/>
      </c>
      <c r="KO29" t="str">
        <v/>
      </c>
      <c r="KP29" t="str">
        <v/>
      </c>
      <c r="KQ29" t="str">
        <v/>
      </c>
      <c r="KR29" t="str">
        <v/>
      </c>
      <c r="KS29" t="str">
        <v/>
      </c>
      <c r="KT29" t="str">
        <v/>
      </c>
      <c r="KU29" t="str">
        <v/>
      </c>
      <c r="KV29" t="str">
        <v/>
      </c>
      <c r="KW29" t="str">
        <v/>
      </c>
      <c r="KX29" t="str">
        <v/>
      </c>
      <c r="KY29" t="str">
        <v/>
      </c>
      <c r="KZ29" t="str">
        <v/>
      </c>
      <c r="LA29" t="str">
        <v/>
      </c>
      <c r="LB29" t="str">
        <v/>
      </c>
      <c r="LC29" t="str">
        <v/>
      </c>
      <c r="LD29" t="str">
        <v/>
      </c>
      <c r="LE29" t="str">
        <v/>
      </c>
      <c r="LF29" t="str">
        <v/>
      </c>
      <c r="LG29" t="str">
        <v/>
      </c>
      <c r="LH29" t="str">
        <v/>
      </c>
      <c r="LI29" t="str">
        <v/>
      </c>
      <c r="LJ29" t="str">
        <v/>
      </c>
      <c r="LK29" t="str">
        <v/>
      </c>
      <c r="LL29" t="str">
        <v/>
      </c>
      <c r="LM29" t="str">
        <v/>
      </c>
      <c r="LN29" t="str">
        <v/>
      </c>
      <c r="LO29" t="str">
        <v/>
      </c>
      <c r="LP29" t="str">
        <v/>
      </c>
      <c r="LQ29" t="str">
        <v/>
      </c>
      <c r="LR29" t="str">
        <v/>
      </c>
      <c r="LS29" t="str">
        <v/>
      </c>
      <c r="LT29" t="str">
        <v/>
      </c>
      <c r="LU29" t="str">
        <v/>
      </c>
      <c r="LV29" t="str">
        <v/>
      </c>
      <c r="LW29" t="str">
        <v/>
      </c>
      <c r="LX29" t="str">
        <v/>
      </c>
      <c r="LY29" t="str">
        <v/>
      </c>
      <c r="LZ29" t="str">
        <v/>
      </c>
      <c r="MA29" t="str">
        <v/>
      </c>
      <c r="MB29" t="str">
        <v/>
      </c>
      <c r="MC29" t="str">
        <v/>
      </c>
      <c r="MD29" t="str">
        <v/>
      </c>
      <c r="ME29" t="str">
        <v/>
      </c>
      <c r="MF29" t="str">
        <v/>
      </c>
      <c r="MG29" t="str">
        <v/>
      </c>
      <c r="MH29" t="str">
        <v/>
      </c>
      <c r="MI29" t="str">
        <v/>
      </c>
      <c r="MJ29" t="str">
        <v/>
      </c>
      <c r="MK29" t="str">
        <v/>
      </c>
      <c r="ML29" t="str">
        <v/>
      </c>
      <c r="MM29" t="str">
        <v/>
      </c>
      <c r="MN29" t="str">
        <v/>
      </c>
      <c r="MO29" t="str">
        <v/>
      </c>
      <c r="MP29" t="str">
        <v/>
      </c>
      <c r="MQ29" t="str">
        <v/>
      </c>
      <c r="MR29" t="str">
        <v/>
      </c>
      <c r="MS29" t="str">
        <v/>
      </c>
      <c r="MT29" t="str">
        <v/>
      </c>
      <c r="MU29" t="str">
        <v/>
      </c>
      <c r="MV29" t="str">
        <v/>
      </c>
      <c r="MW29" t="str">
        <v/>
      </c>
      <c r="MX29" t="str">
        <v/>
      </c>
      <c r="MY29" t="str">
        <v/>
      </c>
      <c r="MZ29" t="str">
        <v/>
      </c>
      <c r="NA29" t="str">
        <v/>
      </c>
      <c r="NB29" t="str">
        <v/>
      </c>
      <c r="NC29" t="str">
        <v/>
      </c>
      <c r="ND29" t="str">
        <v/>
      </c>
      <c r="NE29" t="str">
        <v/>
      </c>
      <c r="NF29" t="str">
        <v/>
      </c>
      <c r="NG29" t="str">
        <v/>
      </c>
      <c r="NH29" t="str">
        <v/>
      </c>
      <c r="NI29" t="str">
        <v/>
      </c>
      <c r="NJ29" t="str">
        <v/>
      </c>
      <c r="NK29" t="str">
        <v/>
      </c>
      <c r="NL29" t="str">
        <v/>
      </c>
      <c r="NM29" t="str">
        <v/>
      </c>
      <c r="NN29" t="str">
        <v/>
      </c>
      <c r="NO29" t="str">
        <v/>
      </c>
      <c r="NP29" t="str">
        <v/>
      </c>
      <c r="NQ29" t="str">
        <v/>
      </c>
      <c r="NR29" t="str">
        <v/>
      </c>
      <c r="NS29" t="str">
        <v/>
      </c>
      <c r="NT29" t="str">
        <v/>
      </c>
      <c r="NU29" t="str">
        <v/>
      </c>
      <c r="NV29" t="str">
        <v/>
      </c>
      <c r="NW29" t="str">
        <v/>
      </c>
      <c r="NX29" t="str">
        <v/>
      </c>
      <c r="NY29" t="str">
        <v/>
      </c>
      <c r="NZ29" t="str">
        <v/>
      </c>
      <c r="OA29" t="str">
        <v/>
      </c>
      <c r="OB29" t="str">
        <v/>
      </c>
      <c r="OC29" t="str">
        <v/>
      </c>
      <c r="OD29" t="str">
        <v/>
      </c>
      <c r="OE29" t="str">
        <v/>
      </c>
    </row>
    <row r="30" spans="1:395" outlineLevel="1" x14ac:dyDescent="0.3">
      <c r="A30" s="16"/>
      <c r="C30" s="16"/>
      <c r="D30" s="21" t="s">
        <v>235</v>
      </c>
      <c r="E30" s="215">
        <v>3</v>
      </c>
      <c r="F30" s="257" t="s">
        <v>398</v>
      </c>
      <c r="G30" s="88"/>
      <c r="H30" s="88"/>
      <c r="I30" s="263"/>
      <c r="J30" s="264"/>
      <c r="K30" s="76"/>
      <c r="L30" s="66"/>
      <c r="M30" s="77"/>
      <c r="N30" t="s">
        <v>235</v>
      </c>
      <c r="O30" s="9">
        <f>P29+1</f>
        <v>47331</v>
      </c>
      <c r="P30" s="226">
        <f>EOMONTH(O30,E30)</f>
        <v>47452</v>
      </c>
      <c r="Q30" t="str" cm="1">
        <f t="array" ref="Q30:OE30">IF(((EOMONTH(O30,-1)+1)&lt;=_xlfn.ANCHORARRAY($Q$2))*(_xlfn.ANCHORARRAY($Q$2)&lt;P30)," ","")</f>
        <v/>
      </c>
      <c r="R30" t="str">
        <v/>
      </c>
      <c r="S30" t="str">
        <v/>
      </c>
      <c r="T30" t="str">
        <v/>
      </c>
      <c r="U30" t="str">
        <v/>
      </c>
      <c r="V30" t="str">
        <v/>
      </c>
      <c r="W30" t="str">
        <v/>
      </c>
      <c r="X30" t="str">
        <v/>
      </c>
      <c r="Y30" t="str">
        <v/>
      </c>
      <c r="Z30" t="str">
        <v/>
      </c>
      <c r="AA30" t="str">
        <v/>
      </c>
      <c r="AB30" t="str">
        <v/>
      </c>
      <c r="AC30" t="str">
        <v/>
      </c>
      <c r="AD30" t="str">
        <v/>
      </c>
      <c r="AE30" t="str">
        <v/>
      </c>
      <c r="AF30" t="str">
        <v/>
      </c>
      <c r="AG30" t="str">
        <v/>
      </c>
      <c r="AH30" t="str">
        <v/>
      </c>
      <c r="AI30" t="str">
        <v/>
      </c>
      <c r="AJ30" t="str">
        <v/>
      </c>
      <c r="AK30" t="str">
        <v/>
      </c>
      <c r="AL30" t="str">
        <v/>
      </c>
      <c r="AM30" t="str">
        <v/>
      </c>
      <c r="AN30" t="str">
        <v/>
      </c>
      <c r="AO30" t="str">
        <v/>
      </c>
      <c r="AP30" t="str">
        <v/>
      </c>
      <c r="AQ30" t="str">
        <v/>
      </c>
      <c r="AR30" t="str">
        <v/>
      </c>
      <c r="AS30" t="str">
        <v/>
      </c>
      <c r="AT30" t="str">
        <v/>
      </c>
      <c r="AU30" t="str">
        <v/>
      </c>
      <c r="AV30" t="str">
        <v/>
      </c>
      <c r="AW30" t="str">
        <v/>
      </c>
      <c r="AX30" t="str">
        <v/>
      </c>
      <c r="AY30" t="str">
        <v/>
      </c>
      <c r="AZ30" t="str">
        <v/>
      </c>
      <c r="BA30" t="str">
        <v/>
      </c>
      <c r="BB30" t="str">
        <v/>
      </c>
      <c r="BC30" t="str">
        <v xml:space="preserve"> </v>
      </c>
      <c r="BD30" t="str">
        <v xml:space="preserve"> </v>
      </c>
      <c r="BE30" t="str">
        <v xml:space="preserve"> </v>
      </c>
      <c r="BF30" t="str">
        <v xml:space="preserve"> </v>
      </c>
      <c r="BG30" t="str">
        <v/>
      </c>
      <c r="BH30" t="str">
        <v/>
      </c>
      <c r="BI30" t="str">
        <v/>
      </c>
      <c r="BJ30" t="str">
        <v/>
      </c>
      <c r="BK30" t="str">
        <v/>
      </c>
      <c r="BL30" t="str">
        <v/>
      </c>
      <c r="BM30" t="str">
        <v/>
      </c>
      <c r="BN30" t="str">
        <v/>
      </c>
      <c r="BO30" t="str">
        <v/>
      </c>
      <c r="BP30" t="str">
        <v/>
      </c>
      <c r="BQ30" t="str">
        <v/>
      </c>
      <c r="BR30" t="str">
        <v/>
      </c>
      <c r="BS30" t="str">
        <v/>
      </c>
      <c r="BT30" t="str">
        <v/>
      </c>
      <c r="BU30" t="str">
        <v/>
      </c>
      <c r="BV30" t="str">
        <v/>
      </c>
      <c r="BW30" t="str">
        <v/>
      </c>
      <c r="BX30" t="str">
        <v/>
      </c>
      <c r="BY30" t="str">
        <v/>
      </c>
      <c r="BZ30" t="str">
        <v/>
      </c>
      <c r="CA30" t="str">
        <v/>
      </c>
      <c r="CB30" t="str">
        <v/>
      </c>
      <c r="CC30" t="str">
        <v/>
      </c>
      <c r="CD30" t="str">
        <v/>
      </c>
      <c r="CE30" t="str">
        <v/>
      </c>
      <c r="CF30" t="str">
        <v/>
      </c>
      <c r="CG30" t="str">
        <v/>
      </c>
      <c r="CH30" t="str">
        <v/>
      </c>
      <c r="CI30" t="str">
        <v/>
      </c>
      <c r="CJ30" t="str">
        <v/>
      </c>
      <c r="CK30" t="str">
        <v/>
      </c>
      <c r="CL30" t="str">
        <v/>
      </c>
      <c r="CM30" t="str">
        <v/>
      </c>
      <c r="CN30" t="str">
        <v/>
      </c>
      <c r="CO30" t="str">
        <v/>
      </c>
      <c r="CP30" t="str">
        <v/>
      </c>
      <c r="CQ30" t="str">
        <v/>
      </c>
      <c r="CR30" t="str">
        <v/>
      </c>
      <c r="CS30" t="str">
        <v/>
      </c>
      <c r="CT30" t="str">
        <v/>
      </c>
      <c r="CU30" t="str">
        <v/>
      </c>
      <c r="CV30" t="str">
        <v/>
      </c>
      <c r="CW30" t="str">
        <v/>
      </c>
      <c r="CX30" t="str">
        <v/>
      </c>
      <c r="CY30" t="str">
        <v/>
      </c>
      <c r="CZ30" t="str">
        <v/>
      </c>
      <c r="DA30" t="str">
        <v/>
      </c>
      <c r="DB30" t="str">
        <v/>
      </c>
      <c r="DC30" t="str">
        <v/>
      </c>
      <c r="DD30" t="str">
        <v/>
      </c>
      <c r="DE30" t="str">
        <v/>
      </c>
      <c r="DF30" t="str">
        <v/>
      </c>
      <c r="DG30" t="str">
        <v/>
      </c>
      <c r="DH30" t="str">
        <v/>
      </c>
      <c r="DI30" t="str">
        <v/>
      </c>
      <c r="DJ30" t="str">
        <v/>
      </c>
      <c r="DK30" t="str">
        <v/>
      </c>
      <c r="DL30" t="str">
        <v/>
      </c>
      <c r="DM30" t="str">
        <v/>
      </c>
      <c r="DN30" t="str">
        <v/>
      </c>
      <c r="DO30" t="str">
        <v/>
      </c>
      <c r="DP30" t="str">
        <v/>
      </c>
      <c r="DQ30" t="str">
        <v/>
      </c>
      <c r="DR30" t="str">
        <v/>
      </c>
      <c r="DS30" t="str">
        <v/>
      </c>
      <c r="DT30" t="str">
        <v/>
      </c>
      <c r="DU30" t="str">
        <v/>
      </c>
      <c r="DV30" t="str">
        <v/>
      </c>
      <c r="DW30" t="str">
        <v/>
      </c>
      <c r="DX30" t="str">
        <v/>
      </c>
      <c r="DY30" t="str">
        <v/>
      </c>
      <c r="DZ30" t="str">
        <v/>
      </c>
      <c r="EA30" t="str">
        <v/>
      </c>
      <c r="EB30" t="str">
        <v/>
      </c>
      <c r="EC30" t="str">
        <v/>
      </c>
      <c r="ED30" t="str">
        <v/>
      </c>
      <c r="EE30" t="str">
        <v/>
      </c>
      <c r="EF30" t="str">
        <v/>
      </c>
      <c r="EG30" t="str">
        <v/>
      </c>
      <c r="EH30" t="str">
        <v/>
      </c>
      <c r="EI30" t="str">
        <v/>
      </c>
      <c r="EJ30" t="str">
        <v/>
      </c>
      <c r="EK30" t="str">
        <v/>
      </c>
      <c r="EL30" t="str">
        <v/>
      </c>
      <c r="EM30" t="str">
        <v/>
      </c>
      <c r="EN30" t="str">
        <v/>
      </c>
      <c r="EO30" t="str">
        <v/>
      </c>
      <c r="EP30" t="str">
        <v/>
      </c>
      <c r="EQ30" t="str">
        <v/>
      </c>
      <c r="ER30" t="str">
        <v/>
      </c>
      <c r="ES30" t="str">
        <v/>
      </c>
      <c r="ET30" t="str">
        <v/>
      </c>
      <c r="EU30" t="str">
        <v/>
      </c>
      <c r="EV30" t="str">
        <v/>
      </c>
      <c r="EW30" t="str">
        <v/>
      </c>
      <c r="EX30" t="str">
        <v/>
      </c>
      <c r="EY30" t="str">
        <v/>
      </c>
      <c r="EZ30" t="str">
        <v/>
      </c>
      <c r="FA30" t="str">
        <v/>
      </c>
      <c r="FB30" t="str">
        <v/>
      </c>
      <c r="FC30" t="str">
        <v/>
      </c>
      <c r="FD30" t="str">
        <v/>
      </c>
      <c r="FE30" t="str">
        <v/>
      </c>
      <c r="FF30" t="str">
        <v/>
      </c>
      <c r="FG30" t="str">
        <v/>
      </c>
      <c r="FH30" t="str">
        <v/>
      </c>
      <c r="FI30" t="str">
        <v/>
      </c>
      <c r="FJ30" t="str">
        <v/>
      </c>
      <c r="FK30" t="str">
        <v/>
      </c>
      <c r="FL30" t="str">
        <v/>
      </c>
      <c r="FM30" t="str">
        <v/>
      </c>
      <c r="FN30" t="str">
        <v/>
      </c>
      <c r="FO30" t="str">
        <v/>
      </c>
      <c r="FP30" t="str">
        <v/>
      </c>
      <c r="FQ30" t="str">
        <v/>
      </c>
      <c r="FR30" t="str">
        <v/>
      </c>
      <c r="FS30" t="str">
        <v/>
      </c>
      <c r="FT30" t="str">
        <v/>
      </c>
      <c r="FU30" t="str">
        <v/>
      </c>
      <c r="FV30" t="str">
        <v/>
      </c>
      <c r="FW30" t="str">
        <v/>
      </c>
      <c r="FX30" t="str">
        <v/>
      </c>
      <c r="FY30" t="str">
        <v/>
      </c>
      <c r="FZ30" t="str">
        <v/>
      </c>
      <c r="GA30" t="str">
        <v/>
      </c>
      <c r="GB30" t="str">
        <v/>
      </c>
      <c r="GC30" t="str">
        <v/>
      </c>
      <c r="GD30" t="str">
        <v/>
      </c>
      <c r="GE30" t="str">
        <v/>
      </c>
      <c r="GF30" t="str">
        <v/>
      </c>
      <c r="GG30" t="str">
        <v/>
      </c>
      <c r="GH30" t="str">
        <v/>
      </c>
      <c r="GI30" t="str">
        <v/>
      </c>
      <c r="GJ30" t="str">
        <v/>
      </c>
      <c r="GK30" t="str">
        <v/>
      </c>
      <c r="GL30" t="str">
        <v/>
      </c>
      <c r="GM30" t="str">
        <v/>
      </c>
      <c r="GN30" t="str">
        <v/>
      </c>
      <c r="GO30" t="str">
        <v/>
      </c>
      <c r="GP30" t="str">
        <v/>
      </c>
      <c r="GQ30" t="str">
        <v/>
      </c>
      <c r="GR30" t="str">
        <v/>
      </c>
      <c r="GS30" t="str">
        <v/>
      </c>
      <c r="GT30" t="str">
        <v/>
      </c>
      <c r="GU30" t="str">
        <v/>
      </c>
      <c r="GV30" t="str">
        <v/>
      </c>
      <c r="GW30" t="str">
        <v/>
      </c>
      <c r="GX30" t="str">
        <v/>
      </c>
      <c r="GY30" t="str">
        <v/>
      </c>
      <c r="GZ30" t="str">
        <v/>
      </c>
      <c r="HA30" t="str">
        <v/>
      </c>
      <c r="HB30" t="str">
        <v/>
      </c>
      <c r="HC30" t="str">
        <v/>
      </c>
      <c r="HD30" t="str">
        <v/>
      </c>
      <c r="HE30" t="str">
        <v/>
      </c>
      <c r="HF30" t="str">
        <v/>
      </c>
      <c r="HG30" t="str">
        <v/>
      </c>
      <c r="HH30" t="str">
        <v/>
      </c>
      <c r="HI30" t="str">
        <v/>
      </c>
      <c r="HJ30" t="str">
        <v/>
      </c>
      <c r="HK30" t="str">
        <v/>
      </c>
      <c r="HL30" t="str">
        <v/>
      </c>
      <c r="HM30" t="str">
        <v/>
      </c>
      <c r="HN30" t="str">
        <v/>
      </c>
      <c r="HO30" t="str">
        <v/>
      </c>
      <c r="HP30" t="str">
        <v/>
      </c>
      <c r="HQ30" t="str">
        <v/>
      </c>
      <c r="HR30" t="str">
        <v/>
      </c>
      <c r="HS30" t="str">
        <v/>
      </c>
      <c r="HT30" t="str">
        <v/>
      </c>
      <c r="HU30" t="str">
        <v/>
      </c>
      <c r="HV30" t="str">
        <v/>
      </c>
      <c r="HW30" t="str">
        <v/>
      </c>
      <c r="HX30" t="str">
        <v/>
      </c>
      <c r="HY30" t="str">
        <v/>
      </c>
      <c r="HZ30" t="str">
        <v/>
      </c>
      <c r="IA30" t="str">
        <v/>
      </c>
      <c r="IB30" t="str">
        <v/>
      </c>
      <c r="IC30" t="str">
        <v/>
      </c>
      <c r="ID30" t="str">
        <v/>
      </c>
      <c r="IE30" t="str">
        <v/>
      </c>
      <c r="IF30" t="str">
        <v/>
      </c>
      <c r="IG30" t="str">
        <v/>
      </c>
      <c r="IH30" t="str">
        <v/>
      </c>
      <c r="II30" t="str">
        <v/>
      </c>
      <c r="IJ30" t="str">
        <v/>
      </c>
      <c r="IK30" t="str">
        <v/>
      </c>
      <c r="IL30" t="str">
        <v/>
      </c>
      <c r="IM30" t="str">
        <v/>
      </c>
      <c r="IN30" t="str">
        <v/>
      </c>
      <c r="IO30" t="str">
        <v/>
      </c>
      <c r="IP30" t="str">
        <v/>
      </c>
      <c r="IQ30" t="str">
        <v/>
      </c>
      <c r="IR30" t="str">
        <v/>
      </c>
      <c r="IS30" t="str">
        <v/>
      </c>
      <c r="IT30" t="str">
        <v/>
      </c>
      <c r="IU30" t="str">
        <v/>
      </c>
      <c r="IV30" t="str">
        <v/>
      </c>
      <c r="IW30" t="str">
        <v/>
      </c>
      <c r="IX30" t="str">
        <v/>
      </c>
      <c r="IY30" t="str">
        <v/>
      </c>
      <c r="IZ30" t="str">
        <v/>
      </c>
      <c r="JA30" t="str">
        <v/>
      </c>
      <c r="JB30" t="str">
        <v/>
      </c>
      <c r="JC30" t="str">
        <v/>
      </c>
      <c r="JD30" t="str">
        <v/>
      </c>
      <c r="JE30" t="str">
        <v/>
      </c>
      <c r="JF30" t="str">
        <v/>
      </c>
      <c r="JG30" t="str">
        <v/>
      </c>
      <c r="JH30" t="str">
        <v/>
      </c>
      <c r="JI30" t="str">
        <v/>
      </c>
      <c r="JJ30" t="str">
        <v/>
      </c>
      <c r="JK30" t="str">
        <v/>
      </c>
      <c r="JL30" t="str">
        <v/>
      </c>
      <c r="JM30" t="str">
        <v/>
      </c>
      <c r="JN30" t="str">
        <v/>
      </c>
      <c r="JO30" t="str">
        <v/>
      </c>
      <c r="JP30" t="str">
        <v/>
      </c>
      <c r="JQ30" t="str">
        <v/>
      </c>
      <c r="JR30" t="str">
        <v/>
      </c>
      <c r="JS30" t="str">
        <v/>
      </c>
      <c r="JT30" t="str">
        <v/>
      </c>
      <c r="JU30" t="str">
        <v/>
      </c>
      <c r="JV30" t="str">
        <v/>
      </c>
      <c r="JW30" t="str">
        <v/>
      </c>
      <c r="JX30" t="str">
        <v/>
      </c>
      <c r="JY30" t="str">
        <v/>
      </c>
      <c r="JZ30" t="str">
        <v/>
      </c>
      <c r="KA30" t="str">
        <v/>
      </c>
      <c r="KB30" t="str">
        <v/>
      </c>
      <c r="KC30" t="str">
        <v/>
      </c>
      <c r="KD30" t="str">
        <v/>
      </c>
      <c r="KE30" t="str">
        <v/>
      </c>
      <c r="KF30" t="str">
        <v/>
      </c>
      <c r="KG30" t="str">
        <v/>
      </c>
      <c r="KH30" t="str">
        <v/>
      </c>
      <c r="KI30" t="str">
        <v/>
      </c>
      <c r="KJ30" t="str">
        <v/>
      </c>
      <c r="KK30" t="str">
        <v/>
      </c>
      <c r="KL30" t="str">
        <v/>
      </c>
      <c r="KM30" t="str">
        <v/>
      </c>
      <c r="KN30" t="str">
        <v/>
      </c>
      <c r="KO30" t="str">
        <v/>
      </c>
      <c r="KP30" t="str">
        <v/>
      </c>
      <c r="KQ30" t="str">
        <v/>
      </c>
      <c r="KR30" t="str">
        <v/>
      </c>
      <c r="KS30" t="str">
        <v/>
      </c>
      <c r="KT30" t="str">
        <v/>
      </c>
      <c r="KU30" t="str">
        <v/>
      </c>
      <c r="KV30" t="str">
        <v/>
      </c>
      <c r="KW30" t="str">
        <v/>
      </c>
      <c r="KX30" t="str">
        <v/>
      </c>
      <c r="KY30" t="str">
        <v/>
      </c>
      <c r="KZ30" t="str">
        <v/>
      </c>
      <c r="LA30" t="str">
        <v/>
      </c>
      <c r="LB30" t="str">
        <v/>
      </c>
      <c r="LC30" t="str">
        <v/>
      </c>
      <c r="LD30" t="str">
        <v/>
      </c>
      <c r="LE30" t="str">
        <v/>
      </c>
      <c r="LF30" t="str">
        <v/>
      </c>
      <c r="LG30" t="str">
        <v/>
      </c>
      <c r="LH30" t="str">
        <v/>
      </c>
      <c r="LI30" t="str">
        <v/>
      </c>
      <c r="LJ30" t="str">
        <v/>
      </c>
      <c r="LK30" t="str">
        <v/>
      </c>
      <c r="LL30" t="str">
        <v/>
      </c>
      <c r="LM30" t="str">
        <v/>
      </c>
      <c r="LN30" t="str">
        <v/>
      </c>
      <c r="LO30" t="str">
        <v/>
      </c>
      <c r="LP30" t="str">
        <v/>
      </c>
      <c r="LQ30" t="str">
        <v/>
      </c>
      <c r="LR30" t="str">
        <v/>
      </c>
      <c r="LS30" t="str">
        <v/>
      </c>
      <c r="LT30" t="str">
        <v/>
      </c>
      <c r="LU30" t="str">
        <v/>
      </c>
      <c r="LV30" t="str">
        <v/>
      </c>
      <c r="LW30" t="str">
        <v/>
      </c>
      <c r="LX30" t="str">
        <v/>
      </c>
      <c r="LY30" t="str">
        <v/>
      </c>
      <c r="LZ30" t="str">
        <v/>
      </c>
      <c r="MA30" t="str">
        <v/>
      </c>
      <c r="MB30" t="str">
        <v/>
      </c>
      <c r="MC30" t="str">
        <v/>
      </c>
      <c r="MD30" t="str">
        <v/>
      </c>
      <c r="ME30" t="str">
        <v/>
      </c>
      <c r="MF30" t="str">
        <v/>
      </c>
      <c r="MG30" t="str">
        <v/>
      </c>
      <c r="MH30" t="str">
        <v/>
      </c>
      <c r="MI30" t="str">
        <v/>
      </c>
      <c r="MJ30" t="str">
        <v/>
      </c>
      <c r="MK30" t="str">
        <v/>
      </c>
      <c r="ML30" t="str">
        <v/>
      </c>
      <c r="MM30" t="str">
        <v/>
      </c>
      <c r="MN30" t="str">
        <v/>
      </c>
      <c r="MO30" t="str">
        <v/>
      </c>
      <c r="MP30" t="str">
        <v/>
      </c>
      <c r="MQ30" t="str">
        <v/>
      </c>
      <c r="MR30" t="str">
        <v/>
      </c>
      <c r="MS30" t="str">
        <v/>
      </c>
      <c r="MT30" t="str">
        <v/>
      </c>
      <c r="MU30" t="str">
        <v/>
      </c>
      <c r="MV30" t="str">
        <v/>
      </c>
      <c r="MW30" t="str">
        <v/>
      </c>
      <c r="MX30" t="str">
        <v/>
      </c>
      <c r="MY30" t="str">
        <v/>
      </c>
      <c r="MZ30" t="str">
        <v/>
      </c>
      <c r="NA30" t="str">
        <v/>
      </c>
      <c r="NB30" t="str">
        <v/>
      </c>
      <c r="NC30" t="str">
        <v/>
      </c>
      <c r="ND30" t="str">
        <v/>
      </c>
      <c r="NE30" t="str">
        <v/>
      </c>
      <c r="NF30" t="str">
        <v/>
      </c>
      <c r="NG30" t="str">
        <v/>
      </c>
      <c r="NH30" t="str">
        <v/>
      </c>
      <c r="NI30" t="str">
        <v/>
      </c>
      <c r="NJ30" t="str">
        <v/>
      </c>
      <c r="NK30" t="str">
        <v/>
      </c>
      <c r="NL30" t="str">
        <v/>
      </c>
      <c r="NM30" t="str">
        <v/>
      </c>
      <c r="NN30" t="str">
        <v/>
      </c>
      <c r="NO30" t="str">
        <v/>
      </c>
      <c r="NP30" t="str">
        <v/>
      </c>
      <c r="NQ30" t="str">
        <v/>
      </c>
      <c r="NR30" t="str">
        <v/>
      </c>
      <c r="NS30" t="str">
        <v/>
      </c>
      <c r="NT30" t="str">
        <v/>
      </c>
      <c r="NU30" t="str">
        <v/>
      </c>
      <c r="NV30" t="str">
        <v/>
      </c>
      <c r="NW30" t="str">
        <v/>
      </c>
      <c r="NX30" t="str">
        <v/>
      </c>
      <c r="NY30" t="str">
        <v/>
      </c>
      <c r="NZ30" t="str">
        <v/>
      </c>
      <c r="OA30" t="str">
        <v/>
      </c>
      <c r="OB30" t="str">
        <v/>
      </c>
      <c r="OC30" t="str">
        <v/>
      </c>
      <c r="OD30" t="str">
        <v/>
      </c>
      <c r="OE30" t="str">
        <v/>
      </c>
    </row>
    <row r="31" spans="1:395" outlineLevel="1" x14ac:dyDescent="0.3">
      <c r="A31" s="16"/>
      <c r="C31" s="16"/>
      <c r="D31" s="21" t="s">
        <v>229</v>
      </c>
      <c r="E31" s="215">
        <v>3</v>
      </c>
      <c r="F31" s="257" t="s">
        <v>398</v>
      </c>
      <c r="G31" s="88"/>
      <c r="H31" s="88"/>
      <c r="I31" s="263"/>
      <c r="J31" s="264"/>
      <c r="K31" s="76"/>
      <c r="L31" s="66"/>
      <c r="M31" s="77"/>
      <c r="N31" t="s">
        <v>229</v>
      </c>
      <c r="O31" s="9">
        <f>P29+1</f>
        <v>47331</v>
      </c>
      <c r="P31" s="226">
        <f>EOMONTH(O31,E31)</f>
        <v>47452</v>
      </c>
      <c r="Q31" t="str" cm="1">
        <f t="array" ref="Q31:OE31">IF(((EOMONTH(O31,-1)+1)&lt;=_xlfn.ANCHORARRAY($Q$2))*(_xlfn.ANCHORARRAY($Q$2)&lt;P31)," ","")</f>
        <v/>
      </c>
      <c r="R31" t="str">
        <v/>
      </c>
      <c r="S31" t="str">
        <v/>
      </c>
      <c r="T31" t="str">
        <v/>
      </c>
      <c r="U31" t="str">
        <v/>
      </c>
      <c r="V31" t="str">
        <v/>
      </c>
      <c r="W31" t="str">
        <v/>
      </c>
      <c r="X31" t="str">
        <v/>
      </c>
      <c r="Y31" t="str">
        <v/>
      </c>
      <c r="Z31" t="str">
        <v/>
      </c>
      <c r="AA31" t="str">
        <v/>
      </c>
      <c r="AB31" t="str">
        <v/>
      </c>
      <c r="AC31" t="str">
        <v/>
      </c>
      <c r="AD31" t="str">
        <v/>
      </c>
      <c r="AE31" t="str">
        <v/>
      </c>
      <c r="AF31" t="str">
        <v/>
      </c>
      <c r="AG31" t="str">
        <v/>
      </c>
      <c r="AH31" t="str">
        <v/>
      </c>
      <c r="AI31" t="str">
        <v/>
      </c>
      <c r="AJ31" t="str">
        <v/>
      </c>
      <c r="AK31" t="str">
        <v/>
      </c>
      <c r="AL31" t="str">
        <v/>
      </c>
      <c r="AM31" t="str">
        <v/>
      </c>
      <c r="AN31" t="str">
        <v/>
      </c>
      <c r="AO31" t="str">
        <v/>
      </c>
      <c r="AP31" t="str">
        <v/>
      </c>
      <c r="AQ31" t="str">
        <v/>
      </c>
      <c r="AR31" t="str">
        <v/>
      </c>
      <c r="AS31" t="str">
        <v/>
      </c>
      <c r="AT31" t="str">
        <v/>
      </c>
      <c r="AU31" t="str">
        <v/>
      </c>
      <c r="AV31" t="str">
        <v/>
      </c>
      <c r="AW31" t="str">
        <v/>
      </c>
      <c r="AX31" t="str">
        <v/>
      </c>
      <c r="AY31" t="str">
        <v/>
      </c>
      <c r="AZ31" t="str">
        <v/>
      </c>
      <c r="BA31" t="str">
        <v/>
      </c>
      <c r="BB31" t="str">
        <v/>
      </c>
      <c r="BC31" t="str">
        <v xml:space="preserve"> </v>
      </c>
      <c r="BD31" t="str">
        <v xml:space="preserve"> </v>
      </c>
      <c r="BE31" t="str">
        <v xml:space="preserve"> </v>
      </c>
      <c r="BF31" t="str">
        <v xml:space="preserve"> </v>
      </c>
      <c r="BG31" t="str">
        <v/>
      </c>
      <c r="BH31" t="str">
        <v/>
      </c>
      <c r="BI31" t="str">
        <v/>
      </c>
      <c r="BJ31" t="str">
        <v/>
      </c>
      <c r="BK31" t="str">
        <v/>
      </c>
      <c r="BL31" t="str">
        <v/>
      </c>
      <c r="BM31" t="str">
        <v/>
      </c>
      <c r="BN31" t="str">
        <v/>
      </c>
      <c r="BO31" t="str">
        <v/>
      </c>
      <c r="BP31" t="str">
        <v/>
      </c>
      <c r="BQ31" t="str">
        <v/>
      </c>
      <c r="BR31" t="str">
        <v/>
      </c>
      <c r="BS31" t="str">
        <v/>
      </c>
      <c r="BT31" t="str">
        <v/>
      </c>
      <c r="BU31" t="str">
        <v/>
      </c>
      <c r="BV31" t="str">
        <v/>
      </c>
      <c r="BW31" t="str">
        <v/>
      </c>
      <c r="BX31" t="str">
        <v/>
      </c>
      <c r="BY31" t="str">
        <v/>
      </c>
      <c r="BZ31" t="str">
        <v/>
      </c>
      <c r="CA31" t="str">
        <v/>
      </c>
      <c r="CB31" t="str">
        <v/>
      </c>
      <c r="CC31" t="str">
        <v/>
      </c>
      <c r="CD31" t="str">
        <v/>
      </c>
      <c r="CE31" t="str">
        <v/>
      </c>
      <c r="CF31" t="str">
        <v/>
      </c>
      <c r="CG31" t="str">
        <v/>
      </c>
      <c r="CH31" t="str">
        <v/>
      </c>
      <c r="CI31" t="str">
        <v/>
      </c>
      <c r="CJ31" t="str">
        <v/>
      </c>
      <c r="CK31" t="str">
        <v/>
      </c>
      <c r="CL31" t="str">
        <v/>
      </c>
      <c r="CM31" t="str">
        <v/>
      </c>
      <c r="CN31" t="str">
        <v/>
      </c>
      <c r="CO31" t="str">
        <v/>
      </c>
      <c r="CP31" t="str">
        <v/>
      </c>
      <c r="CQ31" t="str">
        <v/>
      </c>
      <c r="CR31" t="str">
        <v/>
      </c>
      <c r="CS31" t="str">
        <v/>
      </c>
      <c r="CT31" t="str">
        <v/>
      </c>
      <c r="CU31" t="str">
        <v/>
      </c>
      <c r="CV31" t="str">
        <v/>
      </c>
      <c r="CW31" t="str">
        <v/>
      </c>
      <c r="CX31" t="str">
        <v/>
      </c>
      <c r="CY31" t="str">
        <v/>
      </c>
      <c r="CZ31" t="str">
        <v/>
      </c>
      <c r="DA31" t="str">
        <v/>
      </c>
      <c r="DB31" t="str">
        <v/>
      </c>
      <c r="DC31" t="str">
        <v/>
      </c>
      <c r="DD31" t="str">
        <v/>
      </c>
      <c r="DE31" t="str">
        <v/>
      </c>
      <c r="DF31" t="str">
        <v/>
      </c>
      <c r="DG31" t="str">
        <v/>
      </c>
      <c r="DH31" t="str">
        <v/>
      </c>
      <c r="DI31" t="str">
        <v/>
      </c>
      <c r="DJ31" t="str">
        <v/>
      </c>
      <c r="DK31" t="str">
        <v/>
      </c>
      <c r="DL31" t="str">
        <v/>
      </c>
      <c r="DM31" t="str">
        <v/>
      </c>
      <c r="DN31" t="str">
        <v/>
      </c>
      <c r="DO31" t="str">
        <v/>
      </c>
      <c r="DP31" t="str">
        <v/>
      </c>
      <c r="DQ31" t="str">
        <v/>
      </c>
      <c r="DR31" t="str">
        <v/>
      </c>
      <c r="DS31" t="str">
        <v/>
      </c>
      <c r="DT31" t="str">
        <v/>
      </c>
      <c r="DU31" t="str">
        <v/>
      </c>
      <c r="DV31" t="str">
        <v/>
      </c>
      <c r="DW31" t="str">
        <v/>
      </c>
      <c r="DX31" t="str">
        <v/>
      </c>
      <c r="DY31" t="str">
        <v/>
      </c>
      <c r="DZ31" t="str">
        <v/>
      </c>
      <c r="EA31" t="str">
        <v/>
      </c>
      <c r="EB31" t="str">
        <v/>
      </c>
      <c r="EC31" t="str">
        <v/>
      </c>
      <c r="ED31" t="str">
        <v/>
      </c>
      <c r="EE31" t="str">
        <v/>
      </c>
      <c r="EF31" t="str">
        <v/>
      </c>
      <c r="EG31" t="str">
        <v/>
      </c>
      <c r="EH31" t="str">
        <v/>
      </c>
      <c r="EI31" t="str">
        <v/>
      </c>
      <c r="EJ31" t="str">
        <v/>
      </c>
      <c r="EK31" t="str">
        <v/>
      </c>
      <c r="EL31" t="str">
        <v/>
      </c>
      <c r="EM31" t="str">
        <v/>
      </c>
      <c r="EN31" t="str">
        <v/>
      </c>
      <c r="EO31" t="str">
        <v/>
      </c>
      <c r="EP31" t="str">
        <v/>
      </c>
      <c r="EQ31" t="str">
        <v/>
      </c>
      <c r="ER31" t="str">
        <v/>
      </c>
      <c r="ES31" t="str">
        <v/>
      </c>
      <c r="ET31" t="str">
        <v/>
      </c>
      <c r="EU31" t="str">
        <v/>
      </c>
      <c r="EV31" t="str">
        <v/>
      </c>
      <c r="EW31" t="str">
        <v/>
      </c>
      <c r="EX31" t="str">
        <v/>
      </c>
      <c r="EY31" t="str">
        <v/>
      </c>
      <c r="EZ31" t="str">
        <v/>
      </c>
      <c r="FA31" t="str">
        <v/>
      </c>
      <c r="FB31" t="str">
        <v/>
      </c>
      <c r="FC31" t="str">
        <v/>
      </c>
      <c r="FD31" t="str">
        <v/>
      </c>
      <c r="FE31" t="str">
        <v/>
      </c>
      <c r="FF31" t="str">
        <v/>
      </c>
      <c r="FG31" t="str">
        <v/>
      </c>
      <c r="FH31" t="str">
        <v/>
      </c>
      <c r="FI31" t="str">
        <v/>
      </c>
      <c r="FJ31" t="str">
        <v/>
      </c>
      <c r="FK31" t="str">
        <v/>
      </c>
      <c r="FL31" t="str">
        <v/>
      </c>
      <c r="FM31" t="str">
        <v/>
      </c>
      <c r="FN31" t="str">
        <v/>
      </c>
      <c r="FO31" t="str">
        <v/>
      </c>
      <c r="FP31" t="str">
        <v/>
      </c>
      <c r="FQ31" t="str">
        <v/>
      </c>
      <c r="FR31" t="str">
        <v/>
      </c>
      <c r="FS31" t="str">
        <v/>
      </c>
      <c r="FT31" t="str">
        <v/>
      </c>
      <c r="FU31" t="str">
        <v/>
      </c>
      <c r="FV31" t="str">
        <v/>
      </c>
      <c r="FW31" t="str">
        <v/>
      </c>
      <c r="FX31" t="str">
        <v/>
      </c>
      <c r="FY31" t="str">
        <v/>
      </c>
      <c r="FZ31" t="str">
        <v/>
      </c>
      <c r="GA31" t="str">
        <v/>
      </c>
      <c r="GB31" t="str">
        <v/>
      </c>
      <c r="GC31" t="str">
        <v/>
      </c>
      <c r="GD31" t="str">
        <v/>
      </c>
      <c r="GE31" t="str">
        <v/>
      </c>
      <c r="GF31" t="str">
        <v/>
      </c>
      <c r="GG31" t="str">
        <v/>
      </c>
      <c r="GH31" t="str">
        <v/>
      </c>
      <c r="GI31" t="str">
        <v/>
      </c>
      <c r="GJ31" t="str">
        <v/>
      </c>
      <c r="GK31" t="str">
        <v/>
      </c>
      <c r="GL31" t="str">
        <v/>
      </c>
      <c r="GM31" t="str">
        <v/>
      </c>
      <c r="GN31" t="str">
        <v/>
      </c>
      <c r="GO31" t="str">
        <v/>
      </c>
      <c r="GP31" t="str">
        <v/>
      </c>
      <c r="GQ31" t="str">
        <v/>
      </c>
      <c r="GR31" t="str">
        <v/>
      </c>
      <c r="GS31" t="str">
        <v/>
      </c>
      <c r="GT31" t="str">
        <v/>
      </c>
      <c r="GU31" t="str">
        <v/>
      </c>
      <c r="GV31" t="str">
        <v/>
      </c>
      <c r="GW31" t="str">
        <v/>
      </c>
      <c r="GX31" t="str">
        <v/>
      </c>
      <c r="GY31" t="str">
        <v/>
      </c>
      <c r="GZ31" t="str">
        <v/>
      </c>
      <c r="HA31" t="str">
        <v/>
      </c>
      <c r="HB31" t="str">
        <v/>
      </c>
      <c r="HC31" t="str">
        <v/>
      </c>
      <c r="HD31" t="str">
        <v/>
      </c>
      <c r="HE31" t="str">
        <v/>
      </c>
      <c r="HF31" t="str">
        <v/>
      </c>
      <c r="HG31" t="str">
        <v/>
      </c>
      <c r="HH31" t="str">
        <v/>
      </c>
      <c r="HI31" t="str">
        <v/>
      </c>
      <c r="HJ31" t="str">
        <v/>
      </c>
      <c r="HK31" t="str">
        <v/>
      </c>
      <c r="HL31" t="str">
        <v/>
      </c>
      <c r="HM31" t="str">
        <v/>
      </c>
      <c r="HN31" t="str">
        <v/>
      </c>
      <c r="HO31" t="str">
        <v/>
      </c>
      <c r="HP31" t="str">
        <v/>
      </c>
      <c r="HQ31" t="str">
        <v/>
      </c>
      <c r="HR31" t="str">
        <v/>
      </c>
      <c r="HS31" t="str">
        <v/>
      </c>
      <c r="HT31" t="str">
        <v/>
      </c>
      <c r="HU31" t="str">
        <v/>
      </c>
      <c r="HV31" t="str">
        <v/>
      </c>
      <c r="HW31" t="str">
        <v/>
      </c>
      <c r="HX31" t="str">
        <v/>
      </c>
      <c r="HY31" t="str">
        <v/>
      </c>
      <c r="HZ31" t="str">
        <v/>
      </c>
      <c r="IA31" t="str">
        <v/>
      </c>
      <c r="IB31" t="str">
        <v/>
      </c>
      <c r="IC31" t="str">
        <v/>
      </c>
      <c r="ID31" t="str">
        <v/>
      </c>
      <c r="IE31" t="str">
        <v/>
      </c>
      <c r="IF31" t="str">
        <v/>
      </c>
      <c r="IG31" t="str">
        <v/>
      </c>
      <c r="IH31" t="str">
        <v/>
      </c>
      <c r="II31" t="str">
        <v/>
      </c>
      <c r="IJ31" t="str">
        <v/>
      </c>
      <c r="IK31" t="str">
        <v/>
      </c>
      <c r="IL31" t="str">
        <v/>
      </c>
      <c r="IM31" t="str">
        <v/>
      </c>
      <c r="IN31" t="str">
        <v/>
      </c>
      <c r="IO31" t="str">
        <v/>
      </c>
      <c r="IP31" t="str">
        <v/>
      </c>
      <c r="IQ31" t="str">
        <v/>
      </c>
      <c r="IR31" t="str">
        <v/>
      </c>
      <c r="IS31" t="str">
        <v/>
      </c>
      <c r="IT31" t="str">
        <v/>
      </c>
      <c r="IU31" t="str">
        <v/>
      </c>
      <c r="IV31" t="str">
        <v/>
      </c>
      <c r="IW31" t="str">
        <v/>
      </c>
      <c r="IX31" t="str">
        <v/>
      </c>
      <c r="IY31" t="str">
        <v/>
      </c>
      <c r="IZ31" t="str">
        <v/>
      </c>
      <c r="JA31" t="str">
        <v/>
      </c>
      <c r="JB31" t="str">
        <v/>
      </c>
      <c r="JC31" t="str">
        <v/>
      </c>
      <c r="JD31" t="str">
        <v/>
      </c>
      <c r="JE31" t="str">
        <v/>
      </c>
      <c r="JF31" t="str">
        <v/>
      </c>
      <c r="JG31" t="str">
        <v/>
      </c>
      <c r="JH31" t="str">
        <v/>
      </c>
      <c r="JI31" t="str">
        <v/>
      </c>
      <c r="JJ31" t="str">
        <v/>
      </c>
      <c r="JK31" t="str">
        <v/>
      </c>
      <c r="JL31" t="str">
        <v/>
      </c>
      <c r="JM31" t="str">
        <v/>
      </c>
      <c r="JN31" t="str">
        <v/>
      </c>
      <c r="JO31" t="str">
        <v/>
      </c>
      <c r="JP31" t="str">
        <v/>
      </c>
      <c r="JQ31" t="str">
        <v/>
      </c>
      <c r="JR31" t="str">
        <v/>
      </c>
      <c r="JS31" t="str">
        <v/>
      </c>
      <c r="JT31" t="str">
        <v/>
      </c>
      <c r="JU31" t="str">
        <v/>
      </c>
      <c r="JV31" t="str">
        <v/>
      </c>
      <c r="JW31" t="str">
        <v/>
      </c>
      <c r="JX31" t="str">
        <v/>
      </c>
      <c r="JY31" t="str">
        <v/>
      </c>
      <c r="JZ31" t="str">
        <v/>
      </c>
      <c r="KA31" t="str">
        <v/>
      </c>
      <c r="KB31" t="str">
        <v/>
      </c>
      <c r="KC31" t="str">
        <v/>
      </c>
      <c r="KD31" t="str">
        <v/>
      </c>
      <c r="KE31" t="str">
        <v/>
      </c>
      <c r="KF31" t="str">
        <v/>
      </c>
      <c r="KG31" t="str">
        <v/>
      </c>
      <c r="KH31" t="str">
        <v/>
      </c>
      <c r="KI31" t="str">
        <v/>
      </c>
      <c r="KJ31" t="str">
        <v/>
      </c>
      <c r="KK31" t="str">
        <v/>
      </c>
      <c r="KL31" t="str">
        <v/>
      </c>
      <c r="KM31" t="str">
        <v/>
      </c>
      <c r="KN31" t="str">
        <v/>
      </c>
      <c r="KO31" t="str">
        <v/>
      </c>
      <c r="KP31" t="str">
        <v/>
      </c>
      <c r="KQ31" t="str">
        <v/>
      </c>
      <c r="KR31" t="str">
        <v/>
      </c>
      <c r="KS31" t="str">
        <v/>
      </c>
      <c r="KT31" t="str">
        <v/>
      </c>
      <c r="KU31" t="str">
        <v/>
      </c>
      <c r="KV31" t="str">
        <v/>
      </c>
      <c r="KW31" t="str">
        <v/>
      </c>
      <c r="KX31" t="str">
        <v/>
      </c>
      <c r="KY31" t="str">
        <v/>
      </c>
      <c r="KZ31" t="str">
        <v/>
      </c>
      <c r="LA31" t="str">
        <v/>
      </c>
      <c r="LB31" t="str">
        <v/>
      </c>
      <c r="LC31" t="str">
        <v/>
      </c>
      <c r="LD31" t="str">
        <v/>
      </c>
      <c r="LE31" t="str">
        <v/>
      </c>
      <c r="LF31" t="str">
        <v/>
      </c>
      <c r="LG31" t="str">
        <v/>
      </c>
      <c r="LH31" t="str">
        <v/>
      </c>
      <c r="LI31" t="str">
        <v/>
      </c>
      <c r="LJ31" t="str">
        <v/>
      </c>
      <c r="LK31" t="str">
        <v/>
      </c>
      <c r="LL31" t="str">
        <v/>
      </c>
      <c r="LM31" t="str">
        <v/>
      </c>
      <c r="LN31" t="str">
        <v/>
      </c>
      <c r="LO31" t="str">
        <v/>
      </c>
      <c r="LP31" t="str">
        <v/>
      </c>
      <c r="LQ31" t="str">
        <v/>
      </c>
      <c r="LR31" t="str">
        <v/>
      </c>
      <c r="LS31" t="str">
        <v/>
      </c>
      <c r="LT31" t="str">
        <v/>
      </c>
      <c r="LU31" t="str">
        <v/>
      </c>
      <c r="LV31" t="str">
        <v/>
      </c>
      <c r="LW31" t="str">
        <v/>
      </c>
      <c r="LX31" t="str">
        <v/>
      </c>
      <c r="LY31" t="str">
        <v/>
      </c>
      <c r="LZ31" t="str">
        <v/>
      </c>
      <c r="MA31" t="str">
        <v/>
      </c>
      <c r="MB31" t="str">
        <v/>
      </c>
      <c r="MC31" t="str">
        <v/>
      </c>
      <c r="MD31" t="str">
        <v/>
      </c>
      <c r="ME31" t="str">
        <v/>
      </c>
      <c r="MF31" t="str">
        <v/>
      </c>
      <c r="MG31" t="str">
        <v/>
      </c>
      <c r="MH31" t="str">
        <v/>
      </c>
      <c r="MI31" t="str">
        <v/>
      </c>
      <c r="MJ31" t="str">
        <v/>
      </c>
      <c r="MK31" t="str">
        <v/>
      </c>
      <c r="ML31" t="str">
        <v/>
      </c>
      <c r="MM31" t="str">
        <v/>
      </c>
      <c r="MN31" t="str">
        <v/>
      </c>
      <c r="MO31" t="str">
        <v/>
      </c>
      <c r="MP31" t="str">
        <v/>
      </c>
      <c r="MQ31" t="str">
        <v/>
      </c>
      <c r="MR31" t="str">
        <v/>
      </c>
      <c r="MS31" t="str">
        <v/>
      </c>
      <c r="MT31" t="str">
        <v/>
      </c>
      <c r="MU31" t="str">
        <v/>
      </c>
      <c r="MV31" t="str">
        <v/>
      </c>
      <c r="MW31" t="str">
        <v/>
      </c>
      <c r="MX31" t="str">
        <v/>
      </c>
      <c r="MY31" t="str">
        <v/>
      </c>
      <c r="MZ31" t="str">
        <v/>
      </c>
      <c r="NA31" t="str">
        <v/>
      </c>
      <c r="NB31" t="str">
        <v/>
      </c>
      <c r="NC31" t="str">
        <v/>
      </c>
      <c r="ND31" t="str">
        <v/>
      </c>
      <c r="NE31" t="str">
        <v/>
      </c>
      <c r="NF31" t="str">
        <v/>
      </c>
      <c r="NG31" t="str">
        <v/>
      </c>
      <c r="NH31" t="str">
        <v/>
      </c>
      <c r="NI31" t="str">
        <v/>
      </c>
      <c r="NJ31" t="str">
        <v/>
      </c>
      <c r="NK31" t="str">
        <v/>
      </c>
      <c r="NL31" t="str">
        <v/>
      </c>
      <c r="NM31" t="str">
        <v/>
      </c>
      <c r="NN31" t="str">
        <v/>
      </c>
      <c r="NO31" t="str">
        <v/>
      </c>
      <c r="NP31" t="str">
        <v/>
      </c>
      <c r="NQ31" t="str">
        <v/>
      </c>
      <c r="NR31" t="str">
        <v/>
      </c>
      <c r="NS31" t="str">
        <v/>
      </c>
      <c r="NT31" t="str">
        <v/>
      </c>
      <c r="NU31" t="str">
        <v/>
      </c>
      <c r="NV31" t="str">
        <v/>
      </c>
      <c r="NW31" t="str">
        <v/>
      </c>
      <c r="NX31" t="str">
        <v/>
      </c>
      <c r="NY31" t="str">
        <v/>
      </c>
      <c r="NZ31" t="str">
        <v/>
      </c>
      <c r="OA31" t="str">
        <v/>
      </c>
      <c r="OB31" t="str">
        <v/>
      </c>
      <c r="OC31" t="str">
        <v/>
      </c>
      <c r="OD31" t="str">
        <v/>
      </c>
      <c r="OE31" t="str">
        <v/>
      </c>
    </row>
    <row r="32" spans="1:395" outlineLevel="1" x14ac:dyDescent="0.3">
      <c r="A32" s="16"/>
      <c r="D32" s="133" t="s">
        <v>339</v>
      </c>
      <c r="E32" s="215">
        <v>7</v>
      </c>
      <c r="F32" s="257" t="s">
        <v>408</v>
      </c>
      <c r="G32" s="88"/>
      <c r="H32" s="88"/>
      <c r="I32" s="263"/>
      <c r="J32" s="264"/>
      <c r="K32" s="76"/>
      <c r="L32" s="66"/>
      <c r="M32" s="77"/>
      <c r="N32" t="s">
        <v>338</v>
      </c>
      <c r="O32" s="9">
        <f>P21+1</f>
        <v>47088</v>
      </c>
      <c r="P32" s="226">
        <f>O32+E32*E70</f>
        <v>47193</v>
      </c>
      <c r="Q32" t="str" cm="1">
        <f t="array" ref="Q32:OE32">IF(((EOMONTH(O32,-1)+1)&lt;=_xlfn.ANCHORARRAY($Q$2))*(_xlfn.ANCHORARRAY($Q$2)&lt;P32)," ","")</f>
        <v/>
      </c>
      <c r="R32" t="str">
        <v/>
      </c>
      <c r="S32" t="str">
        <v/>
      </c>
      <c r="T32" t="str">
        <v/>
      </c>
      <c r="U32" t="str">
        <v/>
      </c>
      <c r="V32" t="str">
        <v/>
      </c>
      <c r="W32" t="str">
        <v/>
      </c>
      <c r="X32" t="str">
        <v/>
      </c>
      <c r="Y32" t="str">
        <v/>
      </c>
      <c r="Z32" t="str">
        <v/>
      </c>
      <c r="AA32" t="str">
        <v/>
      </c>
      <c r="AB32" t="str">
        <v/>
      </c>
      <c r="AC32" t="str">
        <v/>
      </c>
      <c r="AD32" t="str">
        <v/>
      </c>
      <c r="AE32" t="str">
        <v/>
      </c>
      <c r="AF32" t="str">
        <v/>
      </c>
      <c r="AG32" t="str">
        <v/>
      </c>
      <c r="AH32" t="str">
        <v/>
      </c>
      <c r="AI32" t="str">
        <v/>
      </c>
      <c r="AJ32" t="str">
        <v/>
      </c>
      <c r="AK32" t="str">
        <v/>
      </c>
      <c r="AL32" t="str">
        <v/>
      </c>
      <c r="AM32" t="str">
        <v/>
      </c>
      <c r="AN32" t="str">
        <v/>
      </c>
      <c r="AO32" t="str">
        <v/>
      </c>
      <c r="AP32" t="str">
        <v/>
      </c>
      <c r="AQ32" t="str">
        <v/>
      </c>
      <c r="AR32" t="str">
        <v/>
      </c>
      <c r="AS32" t="str">
        <v/>
      </c>
      <c r="AT32" t="str">
        <v/>
      </c>
      <c r="AU32" t="str">
        <v xml:space="preserve"> </v>
      </c>
      <c r="AV32" t="str">
        <v xml:space="preserve"> </v>
      </c>
      <c r="AW32" t="str">
        <v xml:space="preserve"> </v>
      </c>
      <c r="AX32" t="str">
        <v xml:space="preserve"> </v>
      </c>
      <c r="AY32" t="str">
        <v/>
      </c>
      <c r="AZ32" t="str">
        <v/>
      </c>
      <c r="BA32" t="str">
        <v/>
      </c>
      <c r="BB32" t="str">
        <v/>
      </c>
      <c r="BC32" t="str">
        <v/>
      </c>
      <c r="BD32" t="str">
        <v/>
      </c>
      <c r="BE32" t="str">
        <v/>
      </c>
      <c r="BF32" t="str">
        <v/>
      </c>
      <c r="BG32" t="str">
        <v/>
      </c>
      <c r="BH32" t="str">
        <v/>
      </c>
      <c r="BI32" t="str">
        <v/>
      </c>
      <c r="BJ32" t="str">
        <v/>
      </c>
      <c r="BK32" t="str">
        <v/>
      </c>
      <c r="BL32" t="str">
        <v/>
      </c>
      <c r="BM32" t="str">
        <v/>
      </c>
      <c r="BN32" t="str">
        <v/>
      </c>
      <c r="BO32" t="str">
        <v/>
      </c>
      <c r="BP32" t="str">
        <v/>
      </c>
      <c r="BQ32" t="str">
        <v/>
      </c>
      <c r="BR32" t="str">
        <v/>
      </c>
      <c r="BS32" t="str">
        <v/>
      </c>
      <c r="BT32" t="str">
        <v/>
      </c>
      <c r="BU32" t="str">
        <v/>
      </c>
      <c r="BV32" t="str">
        <v/>
      </c>
      <c r="BW32" t="str">
        <v/>
      </c>
      <c r="BX32" t="str">
        <v/>
      </c>
      <c r="BY32" t="str">
        <v/>
      </c>
      <c r="BZ32" t="str">
        <v/>
      </c>
      <c r="CA32" t="str">
        <v/>
      </c>
      <c r="CB32" t="str">
        <v/>
      </c>
      <c r="CC32" t="str">
        <v/>
      </c>
      <c r="CD32" t="str">
        <v/>
      </c>
      <c r="CE32" t="str">
        <v/>
      </c>
      <c r="CF32" t="str">
        <v/>
      </c>
      <c r="CG32" t="str">
        <v/>
      </c>
      <c r="CH32" t="str">
        <v/>
      </c>
      <c r="CI32" t="str">
        <v/>
      </c>
      <c r="CJ32" t="str">
        <v/>
      </c>
      <c r="CK32" t="str">
        <v/>
      </c>
      <c r="CL32" t="str">
        <v/>
      </c>
      <c r="CM32" t="str">
        <v/>
      </c>
      <c r="CN32" t="str">
        <v/>
      </c>
      <c r="CO32" t="str">
        <v/>
      </c>
      <c r="CP32" t="str">
        <v/>
      </c>
      <c r="CQ32" t="str">
        <v/>
      </c>
      <c r="CR32" t="str">
        <v/>
      </c>
      <c r="CS32" t="str">
        <v/>
      </c>
      <c r="CT32" t="str">
        <v/>
      </c>
      <c r="CU32" t="str">
        <v/>
      </c>
      <c r="CV32" t="str">
        <v/>
      </c>
      <c r="CW32" t="str">
        <v/>
      </c>
      <c r="CX32" t="str">
        <v/>
      </c>
      <c r="CY32" t="str">
        <v/>
      </c>
      <c r="CZ32" t="str">
        <v/>
      </c>
      <c r="DA32" t="str">
        <v/>
      </c>
      <c r="DB32" t="str">
        <v/>
      </c>
      <c r="DC32" t="str">
        <v/>
      </c>
      <c r="DD32" t="str">
        <v/>
      </c>
      <c r="DE32" t="str">
        <v/>
      </c>
      <c r="DF32" t="str">
        <v/>
      </c>
      <c r="DG32" t="str">
        <v/>
      </c>
      <c r="DH32" t="str">
        <v/>
      </c>
      <c r="DI32" t="str">
        <v/>
      </c>
      <c r="DJ32" t="str">
        <v/>
      </c>
      <c r="DK32" t="str">
        <v/>
      </c>
      <c r="DL32" t="str">
        <v/>
      </c>
      <c r="DM32" t="str">
        <v/>
      </c>
      <c r="DN32" t="str">
        <v/>
      </c>
      <c r="DO32" t="str">
        <v/>
      </c>
      <c r="DP32" t="str">
        <v/>
      </c>
      <c r="DQ32" t="str">
        <v/>
      </c>
      <c r="DR32" t="str">
        <v/>
      </c>
      <c r="DS32" t="str">
        <v/>
      </c>
      <c r="DT32" t="str">
        <v/>
      </c>
      <c r="DU32" t="str">
        <v/>
      </c>
      <c r="DV32" t="str">
        <v/>
      </c>
      <c r="DW32" t="str">
        <v/>
      </c>
      <c r="DX32" t="str">
        <v/>
      </c>
      <c r="DY32" t="str">
        <v/>
      </c>
      <c r="DZ32" t="str">
        <v/>
      </c>
      <c r="EA32" t="str">
        <v/>
      </c>
      <c r="EB32" t="str">
        <v/>
      </c>
      <c r="EC32" t="str">
        <v/>
      </c>
      <c r="ED32" t="str">
        <v/>
      </c>
      <c r="EE32" t="str">
        <v/>
      </c>
      <c r="EF32" t="str">
        <v/>
      </c>
      <c r="EG32" t="str">
        <v/>
      </c>
      <c r="EH32" t="str">
        <v/>
      </c>
      <c r="EI32" t="str">
        <v/>
      </c>
      <c r="EJ32" t="str">
        <v/>
      </c>
      <c r="EK32" t="str">
        <v/>
      </c>
      <c r="EL32" t="str">
        <v/>
      </c>
      <c r="EM32" t="str">
        <v/>
      </c>
      <c r="EN32" t="str">
        <v/>
      </c>
      <c r="EO32" t="str">
        <v/>
      </c>
      <c r="EP32" t="str">
        <v/>
      </c>
      <c r="EQ32" t="str">
        <v/>
      </c>
      <c r="ER32" t="str">
        <v/>
      </c>
      <c r="ES32" t="str">
        <v/>
      </c>
      <c r="ET32" t="str">
        <v/>
      </c>
      <c r="EU32" t="str">
        <v/>
      </c>
      <c r="EV32" t="str">
        <v/>
      </c>
      <c r="EW32" t="str">
        <v/>
      </c>
      <c r="EX32" t="str">
        <v/>
      </c>
      <c r="EY32" t="str">
        <v/>
      </c>
      <c r="EZ32" t="str">
        <v/>
      </c>
      <c r="FA32" t="str">
        <v/>
      </c>
      <c r="FB32" t="str">
        <v/>
      </c>
      <c r="FC32" t="str">
        <v/>
      </c>
      <c r="FD32" t="str">
        <v/>
      </c>
      <c r="FE32" t="str">
        <v/>
      </c>
      <c r="FF32" t="str">
        <v/>
      </c>
      <c r="FG32" t="str">
        <v/>
      </c>
      <c r="FH32" t="str">
        <v/>
      </c>
      <c r="FI32" t="str">
        <v/>
      </c>
      <c r="FJ32" t="str">
        <v/>
      </c>
      <c r="FK32" t="str">
        <v/>
      </c>
      <c r="FL32" t="str">
        <v/>
      </c>
      <c r="FM32" t="str">
        <v/>
      </c>
      <c r="FN32" t="str">
        <v/>
      </c>
      <c r="FO32" t="str">
        <v/>
      </c>
      <c r="FP32" t="str">
        <v/>
      </c>
      <c r="FQ32" t="str">
        <v/>
      </c>
      <c r="FR32" t="str">
        <v/>
      </c>
      <c r="FS32" t="str">
        <v/>
      </c>
      <c r="FT32" t="str">
        <v/>
      </c>
      <c r="FU32" t="str">
        <v/>
      </c>
      <c r="FV32" t="str">
        <v/>
      </c>
      <c r="FW32" t="str">
        <v/>
      </c>
      <c r="FX32" t="str">
        <v/>
      </c>
      <c r="FY32" t="str">
        <v/>
      </c>
      <c r="FZ32" t="str">
        <v/>
      </c>
      <c r="GA32" t="str">
        <v/>
      </c>
      <c r="GB32" t="str">
        <v/>
      </c>
      <c r="GC32" t="str">
        <v/>
      </c>
      <c r="GD32" t="str">
        <v/>
      </c>
      <c r="GE32" t="str">
        <v/>
      </c>
      <c r="GF32" t="str">
        <v/>
      </c>
      <c r="GG32" t="str">
        <v/>
      </c>
      <c r="GH32" t="str">
        <v/>
      </c>
      <c r="GI32" t="str">
        <v/>
      </c>
      <c r="GJ32" t="str">
        <v/>
      </c>
      <c r="GK32" t="str">
        <v/>
      </c>
      <c r="GL32" t="str">
        <v/>
      </c>
      <c r="GM32" t="str">
        <v/>
      </c>
      <c r="GN32" t="str">
        <v/>
      </c>
      <c r="GO32" t="str">
        <v/>
      </c>
      <c r="GP32" t="str">
        <v/>
      </c>
      <c r="GQ32" t="str">
        <v/>
      </c>
      <c r="GR32" t="str">
        <v/>
      </c>
      <c r="GS32" t="str">
        <v/>
      </c>
      <c r="GT32" t="str">
        <v/>
      </c>
      <c r="GU32" t="str">
        <v/>
      </c>
      <c r="GV32" t="str">
        <v/>
      </c>
      <c r="GW32" t="str">
        <v/>
      </c>
      <c r="GX32" t="str">
        <v/>
      </c>
      <c r="GY32" t="str">
        <v/>
      </c>
      <c r="GZ32" t="str">
        <v/>
      </c>
      <c r="HA32" t="str">
        <v/>
      </c>
      <c r="HB32" t="str">
        <v/>
      </c>
      <c r="HC32" t="str">
        <v/>
      </c>
      <c r="HD32" t="str">
        <v/>
      </c>
      <c r="HE32" t="str">
        <v/>
      </c>
      <c r="HF32" t="str">
        <v/>
      </c>
      <c r="HG32" t="str">
        <v/>
      </c>
      <c r="HH32" t="str">
        <v/>
      </c>
      <c r="HI32" t="str">
        <v/>
      </c>
      <c r="HJ32" t="str">
        <v/>
      </c>
      <c r="HK32" t="str">
        <v/>
      </c>
      <c r="HL32" t="str">
        <v/>
      </c>
      <c r="HM32" t="str">
        <v/>
      </c>
      <c r="HN32" t="str">
        <v/>
      </c>
      <c r="HO32" t="str">
        <v/>
      </c>
      <c r="HP32" t="str">
        <v/>
      </c>
      <c r="HQ32" t="str">
        <v/>
      </c>
      <c r="HR32" t="str">
        <v/>
      </c>
      <c r="HS32" t="str">
        <v/>
      </c>
      <c r="HT32" t="str">
        <v/>
      </c>
      <c r="HU32" t="str">
        <v/>
      </c>
      <c r="HV32" t="str">
        <v/>
      </c>
      <c r="HW32" t="str">
        <v/>
      </c>
      <c r="HX32" t="str">
        <v/>
      </c>
      <c r="HY32" t="str">
        <v/>
      </c>
      <c r="HZ32" t="str">
        <v/>
      </c>
      <c r="IA32" t="str">
        <v/>
      </c>
      <c r="IB32" t="str">
        <v/>
      </c>
      <c r="IC32" t="str">
        <v/>
      </c>
      <c r="ID32" t="str">
        <v/>
      </c>
      <c r="IE32" t="str">
        <v/>
      </c>
      <c r="IF32" t="str">
        <v/>
      </c>
      <c r="IG32" t="str">
        <v/>
      </c>
      <c r="IH32" t="str">
        <v/>
      </c>
      <c r="II32" t="str">
        <v/>
      </c>
      <c r="IJ32" t="str">
        <v/>
      </c>
      <c r="IK32" t="str">
        <v/>
      </c>
      <c r="IL32" t="str">
        <v/>
      </c>
      <c r="IM32" t="str">
        <v/>
      </c>
      <c r="IN32" t="str">
        <v/>
      </c>
      <c r="IO32" t="str">
        <v/>
      </c>
      <c r="IP32" t="str">
        <v/>
      </c>
      <c r="IQ32" t="str">
        <v/>
      </c>
      <c r="IR32" t="str">
        <v/>
      </c>
      <c r="IS32" t="str">
        <v/>
      </c>
      <c r="IT32" t="str">
        <v/>
      </c>
      <c r="IU32" t="str">
        <v/>
      </c>
      <c r="IV32" t="str">
        <v/>
      </c>
      <c r="IW32" t="str">
        <v/>
      </c>
      <c r="IX32" t="str">
        <v/>
      </c>
      <c r="IY32" t="str">
        <v/>
      </c>
      <c r="IZ32" t="str">
        <v/>
      </c>
      <c r="JA32" t="str">
        <v/>
      </c>
      <c r="JB32" t="str">
        <v/>
      </c>
      <c r="JC32" t="str">
        <v/>
      </c>
      <c r="JD32" t="str">
        <v/>
      </c>
      <c r="JE32" t="str">
        <v/>
      </c>
      <c r="JF32" t="str">
        <v/>
      </c>
      <c r="JG32" t="str">
        <v/>
      </c>
      <c r="JH32" t="str">
        <v/>
      </c>
      <c r="JI32" t="str">
        <v/>
      </c>
      <c r="JJ32" t="str">
        <v/>
      </c>
      <c r="JK32" t="str">
        <v/>
      </c>
      <c r="JL32" t="str">
        <v/>
      </c>
      <c r="JM32" t="str">
        <v/>
      </c>
      <c r="JN32" t="str">
        <v/>
      </c>
      <c r="JO32" t="str">
        <v/>
      </c>
      <c r="JP32" t="str">
        <v/>
      </c>
      <c r="JQ32" t="str">
        <v/>
      </c>
      <c r="JR32" t="str">
        <v/>
      </c>
      <c r="JS32" t="str">
        <v/>
      </c>
      <c r="JT32" t="str">
        <v/>
      </c>
      <c r="JU32" t="str">
        <v/>
      </c>
      <c r="JV32" t="str">
        <v/>
      </c>
      <c r="JW32" t="str">
        <v/>
      </c>
      <c r="JX32" t="str">
        <v/>
      </c>
      <c r="JY32" t="str">
        <v/>
      </c>
      <c r="JZ32" t="str">
        <v/>
      </c>
      <c r="KA32" t="str">
        <v/>
      </c>
      <c r="KB32" t="str">
        <v/>
      </c>
      <c r="KC32" t="str">
        <v/>
      </c>
      <c r="KD32" t="str">
        <v/>
      </c>
      <c r="KE32" t="str">
        <v/>
      </c>
      <c r="KF32" t="str">
        <v/>
      </c>
      <c r="KG32" t="str">
        <v/>
      </c>
      <c r="KH32" t="str">
        <v/>
      </c>
      <c r="KI32" t="str">
        <v/>
      </c>
      <c r="KJ32" t="str">
        <v/>
      </c>
      <c r="KK32" t="str">
        <v/>
      </c>
      <c r="KL32" t="str">
        <v/>
      </c>
      <c r="KM32" t="str">
        <v/>
      </c>
      <c r="KN32" t="str">
        <v/>
      </c>
      <c r="KO32" t="str">
        <v/>
      </c>
      <c r="KP32" t="str">
        <v/>
      </c>
      <c r="KQ32" t="str">
        <v/>
      </c>
      <c r="KR32" t="str">
        <v/>
      </c>
      <c r="KS32" t="str">
        <v/>
      </c>
      <c r="KT32" t="str">
        <v/>
      </c>
      <c r="KU32" t="str">
        <v/>
      </c>
      <c r="KV32" t="str">
        <v/>
      </c>
      <c r="KW32" t="str">
        <v/>
      </c>
      <c r="KX32" t="str">
        <v/>
      </c>
      <c r="KY32" t="str">
        <v/>
      </c>
      <c r="KZ32" t="str">
        <v/>
      </c>
      <c r="LA32" t="str">
        <v/>
      </c>
      <c r="LB32" t="str">
        <v/>
      </c>
      <c r="LC32" t="str">
        <v/>
      </c>
      <c r="LD32" t="str">
        <v/>
      </c>
      <c r="LE32" t="str">
        <v/>
      </c>
      <c r="LF32" t="str">
        <v/>
      </c>
      <c r="LG32" t="str">
        <v/>
      </c>
      <c r="LH32" t="str">
        <v/>
      </c>
      <c r="LI32" t="str">
        <v/>
      </c>
      <c r="LJ32" t="str">
        <v/>
      </c>
      <c r="LK32" t="str">
        <v/>
      </c>
      <c r="LL32" t="str">
        <v/>
      </c>
      <c r="LM32" t="str">
        <v/>
      </c>
      <c r="LN32" t="str">
        <v/>
      </c>
      <c r="LO32" t="str">
        <v/>
      </c>
      <c r="LP32" t="str">
        <v/>
      </c>
      <c r="LQ32" t="str">
        <v/>
      </c>
      <c r="LR32" t="str">
        <v/>
      </c>
      <c r="LS32" t="str">
        <v/>
      </c>
      <c r="LT32" t="str">
        <v/>
      </c>
      <c r="LU32" t="str">
        <v/>
      </c>
      <c r="LV32" t="str">
        <v/>
      </c>
      <c r="LW32" t="str">
        <v/>
      </c>
      <c r="LX32" t="str">
        <v/>
      </c>
      <c r="LY32" t="str">
        <v/>
      </c>
      <c r="LZ32" t="str">
        <v/>
      </c>
      <c r="MA32" t="str">
        <v/>
      </c>
      <c r="MB32" t="str">
        <v/>
      </c>
      <c r="MC32" t="str">
        <v/>
      </c>
      <c r="MD32" t="str">
        <v/>
      </c>
      <c r="ME32" t="str">
        <v/>
      </c>
      <c r="MF32" t="str">
        <v/>
      </c>
      <c r="MG32" t="str">
        <v/>
      </c>
      <c r="MH32" t="str">
        <v/>
      </c>
      <c r="MI32" t="str">
        <v/>
      </c>
      <c r="MJ32" t="str">
        <v/>
      </c>
      <c r="MK32" t="str">
        <v/>
      </c>
      <c r="ML32" t="str">
        <v/>
      </c>
      <c r="MM32" t="str">
        <v/>
      </c>
      <c r="MN32" t="str">
        <v/>
      </c>
      <c r="MO32" t="str">
        <v/>
      </c>
      <c r="MP32" t="str">
        <v/>
      </c>
      <c r="MQ32" t="str">
        <v/>
      </c>
      <c r="MR32" t="str">
        <v/>
      </c>
      <c r="MS32" t="str">
        <v/>
      </c>
      <c r="MT32" t="str">
        <v/>
      </c>
      <c r="MU32" t="str">
        <v/>
      </c>
      <c r="MV32" t="str">
        <v/>
      </c>
      <c r="MW32" t="str">
        <v/>
      </c>
      <c r="MX32" t="str">
        <v/>
      </c>
      <c r="MY32" t="str">
        <v/>
      </c>
      <c r="MZ32" t="str">
        <v/>
      </c>
      <c r="NA32" t="str">
        <v/>
      </c>
      <c r="NB32" t="str">
        <v/>
      </c>
      <c r="NC32" t="str">
        <v/>
      </c>
      <c r="ND32" t="str">
        <v/>
      </c>
      <c r="NE32" t="str">
        <v/>
      </c>
      <c r="NF32" t="str">
        <v/>
      </c>
      <c r="NG32" t="str">
        <v/>
      </c>
      <c r="NH32" t="str">
        <v/>
      </c>
      <c r="NI32" t="str">
        <v/>
      </c>
      <c r="NJ32" t="str">
        <v/>
      </c>
      <c r="NK32" t="str">
        <v/>
      </c>
      <c r="NL32" t="str">
        <v/>
      </c>
      <c r="NM32" t="str">
        <v/>
      </c>
      <c r="NN32" t="str">
        <v/>
      </c>
      <c r="NO32" t="str">
        <v/>
      </c>
      <c r="NP32" t="str">
        <v/>
      </c>
      <c r="NQ32" t="str">
        <v/>
      </c>
      <c r="NR32" t="str">
        <v/>
      </c>
      <c r="NS32" t="str">
        <v/>
      </c>
      <c r="NT32" t="str">
        <v/>
      </c>
      <c r="NU32" t="str">
        <v/>
      </c>
      <c r="NV32" t="str">
        <v/>
      </c>
      <c r="NW32" t="str">
        <v/>
      </c>
      <c r="NX32" t="str">
        <v/>
      </c>
      <c r="NY32" t="str">
        <v/>
      </c>
      <c r="NZ32" t="str">
        <v/>
      </c>
      <c r="OA32" t="str">
        <v/>
      </c>
      <c r="OB32" t="str">
        <v/>
      </c>
      <c r="OC32" t="str">
        <v/>
      </c>
      <c r="OD32" t="str">
        <v/>
      </c>
      <c r="OE32" t="str">
        <v/>
      </c>
    </row>
    <row r="33" spans="1:395" outlineLevel="1" x14ac:dyDescent="0.3">
      <c r="A33" s="16"/>
      <c r="D33" s="133" t="s">
        <v>424</v>
      </c>
      <c r="E33" s="215">
        <v>36</v>
      </c>
      <c r="F33" s="257" t="s">
        <v>408</v>
      </c>
      <c r="G33" s="88"/>
      <c r="H33" s="88"/>
      <c r="I33" s="263"/>
      <c r="J33" s="264"/>
      <c r="K33" s="76"/>
      <c r="L33" s="66"/>
      <c r="M33" s="77"/>
      <c r="N33" t="s">
        <v>423</v>
      </c>
      <c r="O33" s="9">
        <f>O32+E32</f>
        <v>47095</v>
      </c>
      <c r="P33" s="226">
        <f>P34-E34</f>
        <v>47222</v>
      </c>
      <c r="Q33" t="str" cm="1">
        <f t="array" ref="Q33:OE33">IF(((EOMONTH(O33,-1)+1)&lt;=_xlfn.ANCHORARRAY($Q$2))*(_xlfn.ANCHORARRAY($Q$2)&lt;P33)," ","")</f>
        <v/>
      </c>
      <c r="R33" t="str">
        <v/>
      </c>
      <c r="S33" t="str">
        <v/>
      </c>
      <c r="T33" t="str">
        <v/>
      </c>
      <c r="U33" t="str">
        <v/>
      </c>
      <c r="V33" t="str">
        <v/>
      </c>
      <c r="W33" t="str">
        <v/>
      </c>
      <c r="X33" t="str">
        <v/>
      </c>
      <c r="Y33" t="str">
        <v/>
      </c>
      <c r="Z33" t="str">
        <v/>
      </c>
      <c r="AA33" t="str">
        <v/>
      </c>
      <c r="AB33" t="str">
        <v/>
      </c>
      <c r="AC33" t="str">
        <v/>
      </c>
      <c r="AD33" t="str">
        <v/>
      </c>
      <c r="AE33" t="str">
        <v/>
      </c>
      <c r="AF33" t="str">
        <v/>
      </c>
      <c r="AG33" t="str">
        <v/>
      </c>
      <c r="AH33" t="str">
        <v/>
      </c>
      <c r="AI33" t="str">
        <v/>
      </c>
      <c r="AJ33" t="str">
        <v/>
      </c>
      <c r="AK33" t="str">
        <v/>
      </c>
      <c r="AL33" t="str">
        <v/>
      </c>
      <c r="AM33" t="str">
        <v/>
      </c>
      <c r="AN33" t="str">
        <v/>
      </c>
      <c r="AO33" t="str">
        <v/>
      </c>
      <c r="AP33" t="str">
        <v/>
      </c>
      <c r="AQ33" t="str">
        <v/>
      </c>
      <c r="AR33" t="str">
        <v/>
      </c>
      <c r="AS33" t="str">
        <v/>
      </c>
      <c r="AT33" t="str">
        <v/>
      </c>
      <c r="AU33" t="str">
        <v xml:space="preserve"> </v>
      </c>
      <c r="AV33" t="str">
        <v xml:space="preserve"> </v>
      </c>
      <c r="AW33" t="str">
        <v xml:space="preserve"> </v>
      </c>
      <c r="AX33" t="str">
        <v xml:space="preserve"> </v>
      </c>
      <c r="AY33" t="str">
        <v xml:space="preserve"> </v>
      </c>
      <c r="AZ33" t="str">
        <v/>
      </c>
      <c r="BA33" t="str">
        <v/>
      </c>
      <c r="BB33" t="str">
        <v/>
      </c>
      <c r="BC33" t="str">
        <v/>
      </c>
      <c r="BD33" t="str">
        <v/>
      </c>
      <c r="BE33" t="str">
        <v/>
      </c>
      <c r="BF33" t="str">
        <v/>
      </c>
      <c r="BG33" t="str">
        <v/>
      </c>
      <c r="BH33" t="str">
        <v/>
      </c>
      <c r="BI33" t="str">
        <v/>
      </c>
      <c r="BJ33" t="str">
        <v/>
      </c>
      <c r="BK33" t="str">
        <v/>
      </c>
      <c r="BL33" t="str">
        <v/>
      </c>
      <c r="BM33" t="str">
        <v/>
      </c>
      <c r="BN33" t="str">
        <v/>
      </c>
      <c r="BO33" t="str">
        <v/>
      </c>
      <c r="BP33" t="str">
        <v/>
      </c>
      <c r="BQ33" t="str">
        <v/>
      </c>
      <c r="BR33" t="str">
        <v/>
      </c>
      <c r="BS33" t="str">
        <v/>
      </c>
      <c r="BT33" t="str">
        <v/>
      </c>
      <c r="BU33" t="str">
        <v/>
      </c>
      <c r="BV33" t="str">
        <v/>
      </c>
      <c r="BW33" t="str">
        <v/>
      </c>
      <c r="BX33" t="str">
        <v/>
      </c>
      <c r="BY33" t="str">
        <v/>
      </c>
      <c r="BZ33" t="str">
        <v/>
      </c>
      <c r="CA33" t="str">
        <v/>
      </c>
      <c r="CB33" t="str">
        <v/>
      </c>
      <c r="CC33" t="str">
        <v/>
      </c>
      <c r="CD33" t="str">
        <v/>
      </c>
      <c r="CE33" t="str">
        <v/>
      </c>
      <c r="CF33" t="str">
        <v/>
      </c>
      <c r="CG33" t="str">
        <v/>
      </c>
      <c r="CH33" t="str">
        <v/>
      </c>
      <c r="CI33" t="str">
        <v/>
      </c>
      <c r="CJ33" t="str">
        <v/>
      </c>
      <c r="CK33" t="str">
        <v/>
      </c>
      <c r="CL33" t="str">
        <v/>
      </c>
      <c r="CM33" t="str">
        <v/>
      </c>
      <c r="CN33" t="str">
        <v/>
      </c>
      <c r="CO33" t="str">
        <v/>
      </c>
      <c r="CP33" t="str">
        <v/>
      </c>
      <c r="CQ33" t="str">
        <v/>
      </c>
      <c r="CR33" t="str">
        <v/>
      </c>
      <c r="CS33" t="str">
        <v/>
      </c>
      <c r="CT33" t="str">
        <v/>
      </c>
      <c r="CU33" t="str">
        <v/>
      </c>
      <c r="CV33" t="str">
        <v/>
      </c>
      <c r="CW33" t="str">
        <v/>
      </c>
      <c r="CX33" t="str">
        <v/>
      </c>
      <c r="CY33" t="str">
        <v/>
      </c>
      <c r="CZ33" t="str">
        <v/>
      </c>
      <c r="DA33" t="str">
        <v/>
      </c>
      <c r="DB33" t="str">
        <v/>
      </c>
      <c r="DC33" t="str">
        <v/>
      </c>
      <c r="DD33" t="str">
        <v/>
      </c>
      <c r="DE33" t="str">
        <v/>
      </c>
      <c r="DF33" t="str">
        <v/>
      </c>
      <c r="DG33" t="str">
        <v/>
      </c>
      <c r="DH33" t="str">
        <v/>
      </c>
      <c r="DI33" t="str">
        <v/>
      </c>
      <c r="DJ33" t="str">
        <v/>
      </c>
      <c r="DK33" t="str">
        <v/>
      </c>
      <c r="DL33" t="str">
        <v/>
      </c>
      <c r="DM33" t="str">
        <v/>
      </c>
      <c r="DN33" t="str">
        <v/>
      </c>
      <c r="DO33" t="str">
        <v/>
      </c>
      <c r="DP33" t="str">
        <v/>
      </c>
      <c r="DQ33" t="str">
        <v/>
      </c>
      <c r="DR33" t="str">
        <v/>
      </c>
      <c r="DS33" t="str">
        <v/>
      </c>
      <c r="DT33" t="str">
        <v/>
      </c>
      <c r="DU33" t="str">
        <v/>
      </c>
      <c r="DV33" t="str">
        <v/>
      </c>
      <c r="DW33" t="str">
        <v/>
      </c>
      <c r="DX33" t="str">
        <v/>
      </c>
      <c r="DY33" t="str">
        <v/>
      </c>
      <c r="DZ33" t="str">
        <v/>
      </c>
      <c r="EA33" t="str">
        <v/>
      </c>
      <c r="EB33" t="str">
        <v/>
      </c>
      <c r="EC33" t="str">
        <v/>
      </c>
      <c r="ED33" t="str">
        <v/>
      </c>
      <c r="EE33" t="str">
        <v/>
      </c>
      <c r="EF33" t="str">
        <v/>
      </c>
      <c r="EG33" t="str">
        <v/>
      </c>
      <c r="EH33" t="str">
        <v/>
      </c>
      <c r="EI33" t="str">
        <v/>
      </c>
      <c r="EJ33" t="str">
        <v/>
      </c>
      <c r="EK33" t="str">
        <v/>
      </c>
      <c r="EL33" t="str">
        <v/>
      </c>
      <c r="EM33" t="str">
        <v/>
      </c>
      <c r="EN33" t="str">
        <v/>
      </c>
      <c r="EO33" t="str">
        <v/>
      </c>
      <c r="EP33" t="str">
        <v/>
      </c>
      <c r="EQ33" t="str">
        <v/>
      </c>
      <c r="ER33" t="str">
        <v/>
      </c>
      <c r="ES33" t="str">
        <v/>
      </c>
      <c r="ET33" t="str">
        <v/>
      </c>
      <c r="EU33" t="str">
        <v/>
      </c>
      <c r="EV33" t="str">
        <v/>
      </c>
      <c r="EW33" t="str">
        <v/>
      </c>
      <c r="EX33" t="str">
        <v/>
      </c>
      <c r="EY33" t="str">
        <v/>
      </c>
      <c r="EZ33" t="str">
        <v/>
      </c>
      <c r="FA33" t="str">
        <v/>
      </c>
      <c r="FB33" t="str">
        <v/>
      </c>
      <c r="FC33" t="str">
        <v/>
      </c>
      <c r="FD33" t="str">
        <v/>
      </c>
      <c r="FE33" t="str">
        <v/>
      </c>
      <c r="FF33" t="str">
        <v/>
      </c>
      <c r="FG33" t="str">
        <v/>
      </c>
      <c r="FH33" t="str">
        <v/>
      </c>
      <c r="FI33" t="str">
        <v/>
      </c>
      <c r="FJ33" t="str">
        <v/>
      </c>
      <c r="FK33" t="str">
        <v/>
      </c>
      <c r="FL33" t="str">
        <v/>
      </c>
      <c r="FM33" t="str">
        <v/>
      </c>
      <c r="FN33" t="str">
        <v/>
      </c>
      <c r="FO33" t="str">
        <v/>
      </c>
      <c r="FP33" t="str">
        <v/>
      </c>
      <c r="FQ33" t="str">
        <v/>
      </c>
      <c r="FR33" t="str">
        <v/>
      </c>
      <c r="FS33" t="str">
        <v/>
      </c>
      <c r="FT33" t="str">
        <v/>
      </c>
      <c r="FU33" t="str">
        <v/>
      </c>
      <c r="FV33" t="str">
        <v/>
      </c>
      <c r="FW33" t="str">
        <v/>
      </c>
      <c r="FX33" t="str">
        <v/>
      </c>
      <c r="FY33" t="str">
        <v/>
      </c>
      <c r="FZ33" t="str">
        <v/>
      </c>
      <c r="GA33" t="str">
        <v/>
      </c>
      <c r="GB33" t="str">
        <v/>
      </c>
      <c r="GC33" t="str">
        <v/>
      </c>
      <c r="GD33" t="str">
        <v/>
      </c>
      <c r="GE33" t="str">
        <v/>
      </c>
      <c r="GF33" t="str">
        <v/>
      </c>
      <c r="GG33" t="str">
        <v/>
      </c>
      <c r="GH33" t="str">
        <v/>
      </c>
      <c r="GI33" t="str">
        <v/>
      </c>
      <c r="GJ33" t="str">
        <v/>
      </c>
      <c r="GK33" t="str">
        <v/>
      </c>
      <c r="GL33" t="str">
        <v/>
      </c>
      <c r="GM33" t="str">
        <v/>
      </c>
      <c r="GN33" t="str">
        <v/>
      </c>
      <c r="GO33" t="str">
        <v/>
      </c>
      <c r="GP33" t="str">
        <v/>
      </c>
      <c r="GQ33" t="str">
        <v/>
      </c>
      <c r="GR33" t="str">
        <v/>
      </c>
      <c r="GS33" t="str">
        <v/>
      </c>
      <c r="GT33" t="str">
        <v/>
      </c>
      <c r="GU33" t="str">
        <v/>
      </c>
      <c r="GV33" t="str">
        <v/>
      </c>
      <c r="GW33" t="str">
        <v/>
      </c>
      <c r="GX33" t="str">
        <v/>
      </c>
      <c r="GY33" t="str">
        <v/>
      </c>
      <c r="GZ33" t="str">
        <v/>
      </c>
      <c r="HA33" t="str">
        <v/>
      </c>
      <c r="HB33" t="str">
        <v/>
      </c>
      <c r="HC33" t="str">
        <v/>
      </c>
      <c r="HD33" t="str">
        <v/>
      </c>
      <c r="HE33" t="str">
        <v/>
      </c>
      <c r="HF33" t="str">
        <v/>
      </c>
      <c r="HG33" t="str">
        <v/>
      </c>
      <c r="HH33" t="str">
        <v/>
      </c>
      <c r="HI33" t="str">
        <v/>
      </c>
      <c r="HJ33" t="str">
        <v/>
      </c>
      <c r="HK33" t="str">
        <v/>
      </c>
      <c r="HL33" t="str">
        <v/>
      </c>
      <c r="HM33" t="str">
        <v/>
      </c>
      <c r="HN33" t="str">
        <v/>
      </c>
      <c r="HO33" t="str">
        <v/>
      </c>
      <c r="HP33" t="str">
        <v/>
      </c>
      <c r="HQ33" t="str">
        <v/>
      </c>
      <c r="HR33" t="str">
        <v/>
      </c>
      <c r="HS33" t="str">
        <v/>
      </c>
      <c r="HT33" t="str">
        <v/>
      </c>
      <c r="HU33" t="str">
        <v/>
      </c>
      <c r="HV33" t="str">
        <v/>
      </c>
      <c r="HW33" t="str">
        <v/>
      </c>
      <c r="HX33" t="str">
        <v/>
      </c>
      <c r="HY33" t="str">
        <v/>
      </c>
      <c r="HZ33" t="str">
        <v/>
      </c>
      <c r="IA33" t="str">
        <v/>
      </c>
      <c r="IB33" t="str">
        <v/>
      </c>
      <c r="IC33" t="str">
        <v/>
      </c>
      <c r="ID33" t="str">
        <v/>
      </c>
      <c r="IE33" t="str">
        <v/>
      </c>
      <c r="IF33" t="str">
        <v/>
      </c>
      <c r="IG33" t="str">
        <v/>
      </c>
      <c r="IH33" t="str">
        <v/>
      </c>
      <c r="II33" t="str">
        <v/>
      </c>
      <c r="IJ33" t="str">
        <v/>
      </c>
      <c r="IK33" t="str">
        <v/>
      </c>
      <c r="IL33" t="str">
        <v/>
      </c>
      <c r="IM33" t="str">
        <v/>
      </c>
      <c r="IN33" t="str">
        <v/>
      </c>
      <c r="IO33" t="str">
        <v/>
      </c>
      <c r="IP33" t="str">
        <v/>
      </c>
      <c r="IQ33" t="str">
        <v/>
      </c>
      <c r="IR33" t="str">
        <v/>
      </c>
      <c r="IS33" t="str">
        <v/>
      </c>
      <c r="IT33" t="str">
        <v/>
      </c>
      <c r="IU33" t="str">
        <v/>
      </c>
      <c r="IV33" t="str">
        <v/>
      </c>
      <c r="IW33" t="str">
        <v/>
      </c>
      <c r="IX33" t="str">
        <v/>
      </c>
      <c r="IY33" t="str">
        <v/>
      </c>
      <c r="IZ33" t="str">
        <v/>
      </c>
      <c r="JA33" t="str">
        <v/>
      </c>
      <c r="JB33" t="str">
        <v/>
      </c>
      <c r="JC33" t="str">
        <v/>
      </c>
      <c r="JD33" t="str">
        <v/>
      </c>
      <c r="JE33" t="str">
        <v/>
      </c>
      <c r="JF33" t="str">
        <v/>
      </c>
      <c r="JG33" t="str">
        <v/>
      </c>
      <c r="JH33" t="str">
        <v/>
      </c>
      <c r="JI33" t="str">
        <v/>
      </c>
      <c r="JJ33" t="str">
        <v/>
      </c>
      <c r="JK33" t="str">
        <v/>
      </c>
      <c r="JL33" t="str">
        <v/>
      </c>
      <c r="JM33" t="str">
        <v/>
      </c>
      <c r="JN33" t="str">
        <v/>
      </c>
      <c r="JO33" t="str">
        <v/>
      </c>
      <c r="JP33" t="str">
        <v/>
      </c>
      <c r="JQ33" t="str">
        <v/>
      </c>
      <c r="JR33" t="str">
        <v/>
      </c>
      <c r="JS33" t="str">
        <v/>
      </c>
      <c r="JT33" t="str">
        <v/>
      </c>
      <c r="JU33" t="str">
        <v/>
      </c>
      <c r="JV33" t="str">
        <v/>
      </c>
      <c r="JW33" t="str">
        <v/>
      </c>
      <c r="JX33" t="str">
        <v/>
      </c>
      <c r="JY33" t="str">
        <v/>
      </c>
      <c r="JZ33" t="str">
        <v/>
      </c>
      <c r="KA33" t="str">
        <v/>
      </c>
      <c r="KB33" t="str">
        <v/>
      </c>
      <c r="KC33" t="str">
        <v/>
      </c>
      <c r="KD33" t="str">
        <v/>
      </c>
      <c r="KE33" t="str">
        <v/>
      </c>
      <c r="KF33" t="str">
        <v/>
      </c>
      <c r="KG33" t="str">
        <v/>
      </c>
      <c r="KH33" t="str">
        <v/>
      </c>
      <c r="KI33" t="str">
        <v/>
      </c>
      <c r="KJ33" t="str">
        <v/>
      </c>
      <c r="KK33" t="str">
        <v/>
      </c>
      <c r="KL33" t="str">
        <v/>
      </c>
      <c r="KM33" t="str">
        <v/>
      </c>
      <c r="KN33" t="str">
        <v/>
      </c>
      <c r="KO33" t="str">
        <v/>
      </c>
      <c r="KP33" t="str">
        <v/>
      </c>
      <c r="KQ33" t="str">
        <v/>
      </c>
      <c r="KR33" t="str">
        <v/>
      </c>
      <c r="KS33" t="str">
        <v/>
      </c>
      <c r="KT33" t="str">
        <v/>
      </c>
      <c r="KU33" t="str">
        <v/>
      </c>
      <c r="KV33" t="str">
        <v/>
      </c>
      <c r="KW33" t="str">
        <v/>
      </c>
      <c r="KX33" t="str">
        <v/>
      </c>
      <c r="KY33" t="str">
        <v/>
      </c>
      <c r="KZ33" t="str">
        <v/>
      </c>
      <c r="LA33" t="str">
        <v/>
      </c>
      <c r="LB33" t="str">
        <v/>
      </c>
      <c r="LC33" t="str">
        <v/>
      </c>
      <c r="LD33" t="str">
        <v/>
      </c>
      <c r="LE33" t="str">
        <v/>
      </c>
      <c r="LF33" t="str">
        <v/>
      </c>
      <c r="LG33" t="str">
        <v/>
      </c>
      <c r="LH33" t="str">
        <v/>
      </c>
      <c r="LI33" t="str">
        <v/>
      </c>
      <c r="LJ33" t="str">
        <v/>
      </c>
      <c r="LK33" t="str">
        <v/>
      </c>
      <c r="LL33" t="str">
        <v/>
      </c>
      <c r="LM33" t="str">
        <v/>
      </c>
      <c r="LN33" t="str">
        <v/>
      </c>
      <c r="LO33" t="str">
        <v/>
      </c>
      <c r="LP33" t="str">
        <v/>
      </c>
      <c r="LQ33" t="str">
        <v/>
      </c>
      <c r="LR33" t="str">
        <v/>
      </c>
      <c r="LS33" t="str">
        <v/>
      </c>
      <c r="LT33" t="str">
        <v/>
      </c>
      <c r="LU33" t="str">
        <v/>
      </c>
      <c r="LV33" t="str">
        <v/>
      </c>
      <c r="LW33" t="str">
        <v/>
      </c>
      <c r="LX33" t="str">
        <v/>
      </c>
      <c r="LY33" t="str">
        <v/>
      </c>
      <c r="LZ33" t="str">
        <v/>
      </c>
      <c r="MA33" t="str">
        <v/>
      </c>
      <c r="MB33" t="str">
        <v/>
      </c>
      <c r="MC33" t="str">
        <v/>
      </c>
      <c r="MD33" t="str">
        <v/>
      </c>
      <c r="ME33" t="str">
        <v/>
      </c>
      <c r="MF33" t="str">
        <v/>
      </c>
      <c r="MG33" t="str">
        <v/>
      </c>
      <c r="MH33" t="str">
        <v/>
      </c>
      <c r="MI33" t="str">
        <v/>
      </c>
      <c r="MJ33" t="str">
        <v/>
      </c>
      <c r="MK33" t="str">
        <v/>
      </c>
      <c r="ML33" t="str">
        <v/>
      </c>
      <c r="MM33" t="str">
        <v/>
      </c>
      <c r="MN33" t="str">
        <v/>
      </c>
      <c r="MO33" t="str">
        <v/>
      </c>
      <c r="MP33" t="str">
        <v/>
      </c>
      <c r="MQ33" t="str">
        <v/>
      </c>
      <c r="MR33" t="str">
        <v/>
      </c>
      <c r="MS33" t="str">
        <v/>
      </c>
      <c r="MT33" t="str">
        <v/>
      </c>
      <c r="MU33" t="str">
        <v/>
      </c>
      <c r="MV33" t="str">
        <v/>
      </c>
      <c r="MW33" t="str">
        <v/>
      </c>
      <c r="MX33" t="str">
        <v/>
      </c>
      <c r="MY33" t="str">
        <v/>
      </c>
      <c r="MZ33" t="str">
        <v/>
      </c>
      <c r="NA33" t="str">
        <v/>
      </c>
      <c r="NB33" t="str">
        <v/>
      </c>
      <c r="NC33" t="str">
        <v/>
      </c>
      <c r="ND33" t="str">
        <v/>
      </c>
      <c r="NE33" t="str">
        <v/>
      </c>
      <c r="NF33" t="str">
        <v/>
      </c>
      <c r="NG33" t="str">
        <v/>
      </c>
      <c r="NH33" t="str">
        <v/>
      </c>
      <c r="NI33" t="str">
        <v/>
      </c>
      <c r="NJ33" t="str">
        <v/>
      </c>
      <c r="NK33" t="str">
        <v/>
      </c>
      <c r="NL33" t="str">
        <v/>
      </c>
      <c r="NM33" t="str">
        <v/>
      </c>
      <c r="NN33" t="str">
        <v/>
      </c>
      <c r="NO33" t="str">
        <v/>
      </c>
      <c r="NP33" t="str">
        <v/>
      </c>
      <c r="NQ33" t="str">
        <v/>
      </c>
      <c r="NR33" t="str">
        <v/>
      </c>
      <c r="NS33" t="str">
        <v/>
      </c>
      <c r="NT33" t="str">
        <v/>
      </c>
      <c r="NU33" t="str">
        <v/>
      </c>
      <c r="NV33" t="str">
        <v/>
      </c>
      <c r="NW33" t="str">
        <v/>
      </c>
      <c r="NX33" t="str">
        <v/>
      </c>
      <c r="NY33" t="str">
        <v/>
      </c>
      <c r="NZ33" t="str">
        <v/>
      </c>
      <c r="OA33" t="str">
        <v/>
      </c>
      <c r="OB33" t="str">
        <v/>
      </c>
      <c r="OC33" t="str">
        <v/>
      </c>
      <c r="OD33" t="str">
        <v/>
      </c>
      <c r="OE33" t="str">
        <v/>
      </c>
    </row>
    <row r="34" spans="1:395" outlineLevel="1" x14ac:dyDescent="0.3">
      <c r="A34" s="16"/>
      <c r="C34" s="16"/>
      <c r="D34" s="133" t="s">
        <v>341</v>
      </c>
      <c r="E34" s="215">
        <v>7</v>
      </c>
      <c r="F34" s="257" t="s">
        <v>337</v>
      </c>
      <c r="G34" s="88"/>
      <c r="H34" s="88"/>
      <c r="I34" s="263"/>
      <c r="J34" s="264"/>
      <c r="K34" s="76"/>
      <c r="L34" s="66"/>
      <c r="M34" s="77"/>
      <c r="N34" s="87" t="s">
        <v>344</v>
      </c>
      <c r="O34" s="9">
        <f>O33+E33</f>
        <v>47131</v>
      </c>
      <c r="P34" s="226">
        <f>O34+E34*(E70-1)</f>
        <v>47229</v>
      </c>
      <c r="Q34" t="str" cm="1">
        <f t="array" ref="Q34:OE34">IF(((EOMONTH(O34,-1)+1)&lt;=_xlfn.ANCHORARRAY($Q$2))*(_xlfn.ANCHORARRAY($Q$2)&lt;P34)," ","")</f>
        <v/>
      </c>
      <c r="R34" t="str">
        <v/>
      </c>
      <c r="S34" t="str">
        <v/>
      </c>
      <c r="T34" t="str">
        <v/>
      </c>
      <c r="U34" t="str">
        <v/>
      </c>
      <c r="V34" t="str">
        <v/>
      </c>
      <c r="W34" t="str">
        <v/>
      </c>
      <c r="X34" t="str">
        <v/>
      </c>
      <c r="Y34" t="str">
        <v/>
      </c>
      <c r="Z34" t="str">
        <v/>
      </c>
      <c r="AA34" t="str">
        <v/>
      </c>
      <c r="AB34" t="str">
        <v/>
      </c>
      <c r="AC34" t="str">
        <v/>
      </c>
      <c r="AD34" t="str">
        <v/>
      </c>
      <c r="AE34" t="str">
        <v/>
      </c>
      <c r="AF34" t="str">
        <v/>
      </c>
      <c r="AG34" t="str">
        <v/>
      </c>
      <c r="AH34" t="str">
        <v/>
      </c>
      <c r="AI34" t="str">
        <v/>
      </c>
      <c r="AJ34" t="str">
        <v/>
      </c>
      <c r="AK34" t="str">
        <v/>
      </c>
      <c r="AL34" t="str">
        <v/>
      </c>
      <c r="AM34" t="str">
        <v/>
      </c>
      <c r="AN34" t="str">
        <v/>
      </c>
      <c r="AO34" t="str">
        <v/>
      </c>
      <c r="AP34" t="str">
        <v/>
      </c>
      <c r="AQ34" t="str">
        <v/>
      </c>
      <c r="AR34" t="str">
        <v/>
      </c>
      <c r="AS34" t="str">
        <v/>
      </c>
      <c r="AT34" t="str">
        <v/>
      </c>
      <c r="AU34" t="str">
        <v/>
      </c>
      <c r="AV34" t="str">
        <v xml:space="preserve"> </v>
      </c>
      <c r="AW34" t="str">
        <v xml:space="preserve"> </v>
      </c>
      <c r="AX34" t="str">
        <v xml:space="preserve"> </v>
      </c>
      <c r="AY34" t="str">
        <v xml:space="preserve"> </v>
      </c>
      <c r="AZ34" t="str">
        <v/>
      </c>
      <c r="BA34" t="str">
        <v/>
      </c>
      <c r="BB34" t="str">
        <v/>
      </c>
      <c r="BC34" t="str">
        <v/>
      </c>
      <c r="BD34" t="str">
        <v/>
      </c>
      <c r="BE34" t="str">
        <v/>
      </c>
      <c r="BF34" t="str">
        <v/>
      </c>
      <c r="BG34" t="str">
        <v/>
      </c>
      <c r="BH34" t="str">
        <v/>
      </c>
      <c r="BI34" t="str">
        <v/>
      </c>
      <c r="BJ34" t="str">
        <v/>
      </c>
      <c r="BK34" t="str">
        <v/>
      </c>
      <c r="BL34" t="str">
        <v/>
      </c>
      <c r="BM34" t="str">
        <v/>
      </c>
      <c r="BN34" t="str">
        <v/>
      </c>
      <c r="BO34" t="str">
        <v/>
      </c>
      <c r="BP34" t="str">
        <v/>
      </c>
      <c r="BQ34" t="str">
        <v/>
      </c>
      <c r="BR34" t="str">
        <v/>
      </c>
      <c r="BS34" t="str">
        <v/>
      </c>
      <c r="BT34" t="str">
        <v/>
      </c>
      <c r="BU34" t="str">
        <v/>
      </c>
      <c r="BV34" t="str">
        <v/>
      </c>
      <c r="BW34" t="str">
        <v/>
      </c>
      <c r="BX34" t="str">
        <v/>
      </c>
      <c r="BY34" t="str">
        <v/>
      </c>
      <c r="BZ34" t="str">
        <v/>
      </c>
      <c r="CA34" t="str">
        <v/>
      </c>
      <c r="CB34" t="str">
        <v/>
      </c>
      <c r="CC34" t="str">
        <v/>
      </c>
      <c r="CD34" t="str">
        <v/>
      </c>
      <c r="CE34" t="str">
        <v/>
      </c>
      <c r="CF34" t="str">
        <v/>
      </c>
      <c r="CG34" t="str">
        <v/>
      </c>
      <c r="CH34" t="str">
        <v/>
      </c>
      <c r="CI34" t="str">
        <v/>
      </c>
      <c r="CJ34" t="str">
        <v/>
      </c>
      <c r="CK34" t="str">
        <v/>
      </c>
      <c r="CL34" t="str">
        <v/>
      </c>
      <c r="CM34" t="str">
        <v/>
      </c>
      <c r="CN34" t="str">
        <v/>
      </c>
      <c r="CO34" t="str">
        <v/>
      </c>
      <c r="CP34" t="str">
        <v/>
      </c>
      <c r="CQ34" t="str">
        <v/>
      </c>
      <c r="CR34" t="str">
        <v/>
      </c>
      <c r="CS34" t="str">
        <v/>
      </c>
      <c r="CT34" t="str">
        <v/>
      </c>
      <c r="CU34" t="str">
        <v/>
      </c>
      <c r="CV34" t="str">
        <v/>
      </c>
      <c r="CW34" t="str">
        <v/>
      </c>
      <c r="CX34" t="str">
        <v/>
      </c>
      <c r="CY34" t="str">
        <v/>
      </c>
      <c r="CZ34" t="str">
        <v/>
      </c>
      <c r="DA34" t="str">
        <v/>
      </c>
      <c r="DB34" t="str">
        <v/>
      </c>
      <c r="DC34" t="str">
        <v/>
      </c>
      <c r="DD34" t="str">
        <v/>
      </c>
      <c r="DE34" t="str">
        <v/>
      </c>
      <c r="DF34" t="str">
        <v/>
      </c>
      <c r="DG34" t="str">
        <v/>
      </c>
      <c r="DH34" t="str">
        <v/>
      </c>
      <c r="DI34" t="str">
        <v/>
      </c>
      <c r="DJ34" t="str">
        <v/>
      </c>
      <c r="DK34" t="str">
        <v/>
      </c>
      <c r="DL34" t="str">
        <v/>
      </c>
      <c r="DM34" t="str">
        <v/>
      </c>
      <c r="DN34" t="str">
        <v/>
      </c>
      <c r="DO34" t="str">
        <v/>
      </c>
      <c r="DP34" t="str">
        <v/>
      </c>
      <c r="DQ34" t="str">
        <v/>
      </c>
      <c r="DR34" t="str">
        <v/>
      </c>
      <c r="DS34" t="str">
        <v/>
      </c>
      <c r="DT34" t="str">
        <v/>
      </c>
      <c r="DU34" t="str">
        <v/>
      </c>
      <c r="DV34" t="str">
        <v/>
      </c>
      <c r="DW34" t="str">
        <v/>
      </c>
      <c r="DX34" t="str">
        <v/>
      </c>
      <c r="DY34" t="str">
        <v/>
      </c>
      <c r="DZ34" t="str">
        <v/>
      </c>
      <c r="EA34" t="str">
        <v/>
      </c>
      <c r="EB34" t="str">
        <v/>
      </c>
      <c r="EC34" t="str">
        <v/>
      </c>
      <c r="ED34" t="str">
        <v/>
      </c>
      <c r="EE34" t="str">
        <v/>
      </c>
      <c r="EF34" t="str">
        <v/>
      </c>
      <c r="EG34" t="str">
        <v/>
      </c>
      <c r="EH34" t="str">
        <v/>
      </c>
      <c r="EI34" t="str">
        <v/>
      </c>
      <c r="EJ34" t="str">
        <v/>
      </c>
      <c r="EK34" t="str">
        <v/>
      </c>
      <c r="EL34" t="str">
        <v/>
      </c>
      <c r="EM34" t="str">
        <v/>
      </c>
      <c r="EN34" t="str">
        <v/>
      </c>
      <c r="EO34" t="str">
        <v/>
      </c>
      <c r="EP34" t="str">
        <v/>
      </c>
      <c r="EQ34" t="str">
        <v/>
      </c>
      <c r="ER34" t="str">
        <v/>
      </c>
      <c r="ES34" t="str">
        <v/>
      </c>
      <c r="ET34" t="str">
        <v/>
      </c>
      <c r="EU34" t="str">
        <v/>
      </c>
      <c r="EV34" t="str">
        <v/>
      </c>
      <c r="EW34" t="str">
        <v/>
      </c>
      <c r="EX34" t="str">
        <v/>
      </c>
      <c r="EY34" t="str">
        <v/>
      </c>
      <c r="EZ34" t="str">
        <v/>
      </c>
      <c r="FA34" t="str">
        <v/>
      </c>
      <c r="FB34" t="str">
        <v/>
      </c>
      <c r="FC34" t="str">
        <v/>
      </c>
      <c r="FD34" t="str">
        <v/>
      </c>
      <c r="FE34" t="str">
        <v/>
      </c>
      <c r="FF34" t="str">
        <v/>
      </c>
      <c r="FG34" t="str">
        <v/>
      </c>
      <c r="FH34" t="str">
        <v/>
      </c>
      <c r="FI34" t="str">
        <v/>
      </c>
      <c r="FJ34" t="str">
        <v/>
      </c>
      <c r="FK34" t="str">
        <v/>
      </c>
      <c r="FL34" t="str">
        <v/>
      </c>
      <c r="FM34" t="str">
        <v/>
      </c>
      <c r="FN34" t="str">
        <v/>
      </c>
      <c r="FO34" t="str">
        <v/>
      </c>
      <c r="FP34" t="str">
        <v/>
      </c>
      <c r="FQ34" t="str">
        <v/>
      </c>
      <c r="FR34" t="str">
        <v/>
      </c>
      <c r="FS34" t="str">
        <v/>
      </c>
      <c r="FT34" t="str">
        <v/>
      </c>
      <c r="FU34" t="str">
        <v/>
      </c>
      <c r="FV34" t="str">
        <v/>
      </c>
      <c r="FW34" t="str">
        <v/>
      </c>
      <c r="FX34" t="str">
        <v/>
      </c>
      <c r="FY34" t="str">
        <v/>
      </c>
      <c r="FZ34" t="str">
        <v/>
      </c>
      <c r="GA34" t="str">
        <v/>
      </c>
      <c r="GB34" t="str">
        <v/>
      </c>
      <c r="GC34" t="str">
        <v/>
      </c>
      <c r="GD34" t="str">
        <v/>
      </c>
      <c r="GE34" t="str">
        <v/>
      </c>
      <c r="GF34" t="str">
        <v/>
      </c>
      <c r="GG34" t="str">
        <v/>
      </c>
      <c r="GH34" t="str">
        <v/>
      </c>
      <c r="GI34" t="str">
        <v/>
      </c>
      <c r="GJ34" t="str">
        <v/>
      </c>
      <c r="GK34" t="str">
        <v/>
      </c>
      <c r="GL34" t="str">
        <v/>
      </c>
      <c r="GM34" t="str">
        <v/>
      </c>
      <c r="GN34" t="str">
        <v/>
      </c>
      <c r="GO34" t="str">
        <v/>
      </c>
      <c r="GP34" t="str">
        <v/>
      </c>
      <c r="GQ34" t="str">
        <v/>
      </c>
      <c r="GR34" t="str">
        <v/>
      </c>
      <c r="GS34" t="str">
        <v/>
      </c>
      <c r="GT34" t="str">
        <v/>
      </c>
      <c r="GU34" t="str">
        <v/>
      </c>
      <c r="GV34" t="str">
        <v/>
      </c>
      <c r="GW34" t="str">
        <v/>
      </c>
      <c r="GX34" t="str">
        <v/>
      </c>
      <c r="GY34" t="str">
        <v/>
      </c>
      <c r="GZ34" t="str">
        <v/>
      </c>
      <c r="HA34" t="str">
        <v/>
      </c>
      <c r="HB34" t="str">
        <v/>
      </c>
      <c r="HC34" t="str">
        <v/>
      </c>
      <c r="HD34" t="str">
        <v/>
      </c>
      <c r="HE34" t="str">
        <v/>
      </c>
      <c r="HF34" t="str">
        <v/>
      </c>
      <c r="HG34" t="str">
        <v/>
      </c>
      <c r="HH34" t="str">
        <v/>
      </c>
      <c r="HI34" t="str">
        <v/>
      </c>
      <c r="HJ34" t="str">
        <v/>
      </c>
      <c r="HK34" t="str">
        <v/>
      </c>
      <c r="HL34" t="str">
        <v/>
      </c>
      <c r="HM34" t="str">
        <v/>
      </c>
      <c r="HN34" t="str">
        <v/>
      </c>
      <c r="HO34" t="str">
        <v/>
      </c>
      <c r="HP34" t="str">
        <v/>
      </c>
      <c r="HQ34" t="str">
        <v/>
      </c>
      <c r="HR34" t="str">
        <v/>
      </c>
      <c r="HS34" t="str">
        <v/>
      </c>
      <c r="HT34" t="str">
        <v/>
      </c>
      <c r="HU34" t="str">
        <v/>
      </c>
      <c r="HV34" t="str">
        <v/>
      </c>
      <c r="HW34" t="str">
        <v/>
      </c>
      <c r="HX34" t="str">
        <v/>
      </c>
      <c r="HY34" t="str">
        <v/>
      </c>
      <c r="HZ34" t="str">
        <v/>
      </c>
      <c r="IA34" t="str">
        <v/>
      </c>
      <c r="IB34" t="str">
        <v/>
      </c>
      <c r="IC34" t="str">
        <v/>
      </c>
      <c r="ID34" t="str">
        <v/>
      </c>
      <c r="IE34" t="str">
        <v/>
      </c>
      <c r="IF34" t="str">
        <v/>
      </c>
      <c r="IG34" t="str">
        <v/>
      </c>
      <c r="IH34" t="str">
        <v/>
      </c>
      <c r="II34" t="str">
        <v/>
      </c>
      <c r="IJ34" t="str">
        <v/>
      </c>
      <c r="IK34" t="str">
        <v/>
      </c>
      <c r="IL34" t="str">
        <v/>
      </c>
      <c r="IM34" t="str">
        <v/>
      </c>
      <c r="IN34" t="str">
        <v/>
      </c>
      <c r="IO34" t="str">
        <v/>
      </c>
      <c r="IP34" t="str">
        <v/>
      </c>
      <c r="IQ34" t="str">
        <v/>
      </c>
      <c r="IR34" t="str">
        <v/>
      </c>
      <c r="IS34" t="str">
        <v/>
      </c>
      <c r="IT34" t="str">
        <v/>
      </c>
      <c r="IU34" t="str">
        <v/>
      </c>
      <c r="IV34" t="str">
        <v/>
      </c>
      <c r="IW34" t="str">
        <v/>
      </c>
      <c r="IX34" t="str">
        <v/>
      </c>
      <c r="IY34" t="str">
        <v/>
      </c>
      <c r="IZ34" t="str">
        <v/>
      </c>
      <c r="JA34" t="str">
        <v/>
      </c>
      <c r="JB34" t="str">
        <v/>
      </c>
      <c r="JC34" t="str">
        <v/>
      </c>
      <c r="JD34" t="str">
        <v/>
      </c>
      <c r="JE34" t="str">
        <v/>
      </c>
      <c r="JF34" t="str">
        <v/>
      </c>
      <c r="JG34" t="str">
        <v/>
      </c>
      <c r="JH34" t="str">
        <v/>
      </c>
      <c r="JI34" t="str">
        <v/>
      </c>
      <c r="JJ34" t="str">
        <v/>
      </c>
      <c r="JK34" t="str">
        <v/>
      </c>
      <c r="JL34" t="str">
        <v/>
      </c>
      <c r="JM34" t="str">
        <v/>
      </c>
      <c r="JN34" t="str">
        <v/>
      </c>
      <c r="JO34" t="str">
        <v/>
      </c>
      <c r="JP34" t="str">
        <v/>
      </c>
      <c r="JQ34" t="str">
        <v/>
      </c>
      <c r="JR34" t="str">
        <v/>
      </c>
      <c r="JS34" t="str">
        <v/>
      </c>
      <c r="JT34" t="str">
        <v/>
      </c>
      <c r="JU34" t="str">
        <v/>
      </c>
      <c r="JV34" t="str">
        <v/>
      </c>
      <c r="JW34" t="str">
        <v/>
      </c>
      <c r="JX34" t="str">
        <v/>
      </c>
      <c r="JY34" t="str">
        <v/>
      </c>
      <c r="JZ34" t="str">
        <v/>
      </c>
      <c r="KA34" t="str">
        <v/>
      </c>
      <c r="KB34" t="str">
        <v/>
      </c>
      <c r="KC34" t="str">
        <v/>
      </c>
      <c r="KD34" t="str">
        <v/>
      </c>
      <c r="KE34" t="str">
        <v/>
      </c>
      <c r="KF34" t="str">
        <v/>
      </c>
      <c r="KG34" t="str">
        <v/>
      </c>
      <c r="KH34" t="str">
        <v/>
      </c>
      <c r="KI34" t="str">
        <v/>
      </c>
      <c r="KJ34" t="str">
        <v/>
      </c>
      <c r="KK34" t="str">
        <v/>
      </c>
      <c r="KL34" t="str">
        <v/>
      </c>
      <c r="KM34" t="str">
        <v/>
      </c>
      <c r="KN34" t="str">
        <v/>
      </c>
      <c r="KO34" t="str">
        <v/>
      </c>
      <c r="KP34" t="str">
        <v/>
      </c>
      <c r="KQ34" t="str">
        <v/>
      </c>
      <c r="KR34" t="str">
        <v/>
      </c>
      <c r="KS34" t="str">
        <v/>
      </c>
      <c r="KT34" t="str">
        <v/>
      </c>
      <c r="KU34" t="str">
        <v/>
      </c>
      <c r="KV34" t="str">
        <v/>
      </c>
      <c r="KW34" t="str">
        <v/>
      </c>
      <c r="KX34" t="str">
        <v/>
      </c>
      <c r="KY34" t="str">
        <v/>
      </c>
      <c r="KZ34" t="str">
        <v/>
      </c>
      <c r="LA34" t="str">
        <v/>
      </c>
      <c r="LB34" t="str">
        <v/>
      </c>
      <c r="LC34" t="str">
        <v/>
      </c>
      <c r="LD34" t="str">
        <v/>
      </c>
      <c r="LE34" t="str">
        <v/>
      </c>
      <c r="LF34" t="str">
        <v/>
      </c>
      <c r="LG34" t="str">
        <v/>
      </c>
      <c r="LH34" t="str">
        <v/>
      </c>
      <c r="LI34" t="str">
        <v/>
      </c>
      <c r="LJ34" t="str">
        <v/>
      </c>
      <c r="LK34" t="str">
        <v/>
      </c>
      <c r="LL34" t="str">
        <v/>
      </c>
      <c r="LM34" t="str">
        <v/>
      </c>
      <c r="LN34" t="str">
        <v/>
      </c>
      <c r="LO34" t="str">
        <v/>
      </c>
      <c r="LP34" t="str">
        <v/>
      </c>
      <c r="LQ34" t="str">
        <v/>
      </c>
      <c r="LR34" t="str">
        <v/>
      </c>
      <c r="LS34" t="str">
        <v/>
      </c>
      <c r="LT34" t="str">
        <v/>
      </c>
      <c r="LU34" t="str">
        <v/>
      </c>
      <c r="LV34" t="str">
        <v/>
      </c>
      <c r="LW34" t="str">
        <v/>
      </c>
      <c r="LX34" t="str">
        <v/>
      </c>
      <c r="LY34" t="str">
        <v/>
      </c>
      <c r="LZ34" t="str">
        <v/>
      </c>
      <c r="MA34" t="str">
        <v/>
      </c>
      <c r="MB34" t="str">
        <v/>
      </c>
      <c r="MC34" t="str">
        <v/>
      </c>
      <c r="MD34" t="str">
        <v/>
      </c>
      <c r="ME34" t="str">
        <v/>
      </c>
      <c r="MF34" t="str">
        <v/>
      </c>
      <c r="MG34" t="str">
        <v/>
      </c>
      <c r="MH34" t="str">
        <v/>
      </c>
      <c r="MI34" t="str">
        <v/>
      </c>
      <c r="MJ34" t="str">
        <v/>
      </c>
      <c r="MK34" t="str">
        <v/>
      </c>
      <c r="ML34" t="str">
        <v/>
      </c>
      <c r="MM34" t="str">
        <v/>
      </c>
      <c r="MN34" t="str">
        <v/>
      </c>
      <c r="MO34" t="str">
        <v/>
      </c>
      <c r="MP34" t="str">
        <v/>
      </c>
      <c r="MQ34" t="str">
        <v/>
      </c>
      <c r="MR34" t="str">
        <v/>
      </c>
      <c r="MS34" t="str">
        <v/>
      </c>
      <c r="MT34" t="str">
        <v/>
      </c>
      <c r="MU34" t="str">
        <v/>
      </c>
      <c r="MV34" t="str">
        <v/>
      </c>
      <c r="MW34" t="str">
        <v/>
      </c>
      <c r="MX34" t="str">
        <v/>
      </c>
      <c r="MY34" t="str">
        <v/>
      </c>
      <c r="MZ34" t="str">
        <v/>
      </c>
      <c r="NA34" t="str">
        <v/>
      </c>
      <c r="NB34" t="str">
        <v/>
      </c>
      <c r="NC34" t="str">
        <v/>
      </c>
      <c r="ND34" t="str">
        <v/>
      </c>
      <c r="NE34" t="str">
        <v/>
      </c>
      <c r="NF34" t="str">
        <v/>
      </c>
      <c r="NG34" t="str">
        <v/>
      </c>
      <c r="NH34" t="str">
        <v/>
      </c>
      <c r="NI34" t="str">
        <v/>
      </c>
      <c r="NJ34" t="str">
        <v/>
      </c>
      <c r="NK34" t="str">
        <v/>
      </c>
      <c r="NL34" t="str">
        <v/>
      </c>
      <c r="NM34" t="str">
        <v/>
      </c>
      <c r="NN34" t="str">
        <v/>
      </c>
      <c r="NO34" t="str">
        <v/>
      </c>
      <c r="NP34" t="str">
        <v/>
      </c>
      <c r="NQ34" t="str">
        <v/>
      </c>
      <c r="NR34" t="str">
        <v/>
      </c>
      <c r="NS34" t="str">
        <v/>
      </c>
      <c r="NT34" t="str">
        <v/>
      </c>
      <c r="NU34" t="str">
        <v/>
      </c>
      <c r="NV34" t="str">
        <v/>
      </c>
      <c r="NW34" t="str">
        <v/>
      </c>
      <c r="NX34" t="str">
        <v/>
      </c>
      <c r="NY34" t="str">
        <v/>
      </c>
      <c r="NZ34" t="str">
        <v/>
      </c>
      <c r="OA34" t="str">
        <v/>
      </c>
      <c r="OB34" t="str">
        <v/>
      </c>
      <c r="OC34" t="str">
        <v/>
      </c>
      <c r="OD34" t="str">
        <v/>
      </c>
      <c r="OE34" t="str">
        <v/>
      </c>
    </row>
    <row r="35" spans="1:395" outlineLevel="1" x14ac:dyDescent="0.3">
      <c r="A35" s="16"/>
      <c r="C35" s="16"/>
      <c r="D35"/>
      <c r="G35" s="88"/>
      <c r="H35" s="88"/>
      <c r="I35" s="263"/>
      <c r="J35" s="264"/>
      <c r="K35" s="76"/>
      <c r="L35" s="66"/>
      <c r="M35" s="77"/>
      <c r="N35" s="223" t="s">
        <v>345</v>
      </c>
      <c r="O35" s="252">
        <f>O34</f>
        <v>47131</v>
      </c>
      <c r="P35" s="251">
        <f>E5</f>
        <v>57710</v>
      </c>
      <c r="Q35" s="254" t="str" cm="1">
        <f t="array" ref="Q35:OE35">_xlfn.BYCOL(_xlfn.ANCHORARRAY(Q2),   _xlfn.LAMBDA(_xlpm.m,   IF( SUM(--((O34 + E34*(_xlfn.SEQUENCE(E70)-1)) &lt;= EOMONTH(_xlpm.m,0)))=0, "", SUM(--((O34 + E34*(_xlfn.SEQUENCE(E70)-1)) &lt;= EOMONTH(_xlpm.m,0))))))</f>
        <v/>
      </c>
      <c r="R35" s="247" t="str">
        <v/>
      </c>
      <c r="S35" s="247" t="str">
        <v/>
      </c>
      <c r="T35" s="247" t="str">
        <v/>
      </c>
      <c r="U35" s="247" t="str">
        <v/>
      </c>
      <c r="V35" s="247" t="str">
        <v/>
      </c>
      <c r="W35" s="247" t="str">
        <v/>
      </c>
      <c r="X35" s="247" t="str">
        <v/>
      </c>
      <c r="Y35" s="247" t="str">
        <v/>
      </c>
      <c r="Z35" s="247" t="str">
        <v/>
      </c>
      <c r="AA35" s="247" t="str">
        <v/>
      </c>
      <c r="AB35" s="247" t="str">
        <v/>
      </c>
      <c r="AC35" s="247" t="str">
        <v/>
      </c>
      <c r="AD35" s="247" t="str">
        <v/>
      </c>
      <c r="AE35" s="247" t="str">
        <v/>
      </c>
      <c r="AF35" s="247" t="str">
        <v/>
      </c>
      <c r="AG35" s="247" t="str">
        <v/>
      </c>
      <c r="AH35" s="247" t="str">
        <v/>
      </c>
      <c r="AI35" s="247" t="str">
        <v/>
      </c>
      <c r="AJ35" s="247" t="str">
        <v/>
      </c>
      <c r="AK35" s="247" t="str">
        <v/>
      </c>
      <c r="AL35" s="247" t="str">
        <v/>
      </c>
      <c r="AM35" s="247" t="str">
        <v/>
      </c>
      <c r="AN35" s="247" t="str">
        <v/>
      </c>
      <c r="AO35" s="247" t="str">
        <v/>
      </c>
      <c r="AP35" s="247" t="str">
        <v/>
      </c>
      <c r="AQ35" s="247" t="str">
        <v/>
      </c>
      <c r="AR35" s="247" t="str">
        <v/>
      </c>
      <c r="AS35" s="247" t="str">
        <v/>
      </c>
      <c r="AT35" s="247" t="str">
        <v/>
      </c>
      <c r="AU35" s="247" t="str">
        <v/>
      </c>
      <c r="AV35" s="247">
        <v>3</v>
      </c>
      <c r="AW35" s="247">
        <v>7</v>
      </c>
      <c r="AX35" s="247">
        <v>12</v>
      </c>
      <c r="AY35" s="247">
        <v>15</v>
      </c>
      <c r="AZ35" s="247">
        <v>15</v>
      </c>
      <c r="BA35" s="247">
        <v>15</v>
      </c>
      <c r="BB35" s="247">
        <v>15</v>
      </c>
      <c r="BC35" s="247">
        <v>15</v>
      </c>
      <c r="BD35" s="247">
        <v>15</v>
      </c>
      <c r="BE35" s="247">
        <v>15</v>
      </c>
      <c r="BF35" s="247">
        <v>15</v>
      </c>
      <c r="BG35" s="247">
        <v>15</v>
      </c>
      <c r="BH35" s="247">
        <v>15</v>
      </c>
      <c r="BI35" s="247">
        <v>15</v>
      </c>
      <c r="BJ35" s="247">
        <v>15</v>
      </c>
      <c r="BK35" s="247">
        <v>15</v>
      </c>
      <c r="BL35" s="247">
        <v>15</v>
      </c>
      <c r="BM35" s="247">
        <v>15</v>
      </c>
      <c r="BN35" s="247">
        <v>15</v>
      </c>
      <c r="BO35" s="247">
        <v>15</v>
      </c>
      <c r="BP35" s="247">
        <v>15</v>
      </c>
      <c r="BQ35" s="247">
        <v>15</v>
      </c>
      <c r="BR35" s="247">
        <v>15</v>
      </c>
      <c r="BS35" s="247">
        <v>15</v>
      </c>
      <c r="BT35" s="247">
        <v>15</v>
      </c>
      <c r="BU35" s="247">
        <v>15</v>
      </c>
      <c r="BV35" s="247">
        <v>15</v>
      </c>
      <c r="BW35" s="247">
        <v>15</v>
      </c>
      <c r="BX35" s="247">
        <v>15</v>
      </c>
      <c r="BY35" s="247">
        <v>15</v>
      </c>
      <c r="BZ35" s="247">
        <v>15</v>
      </c>
      <c r="CA35" s="247">
        <v>15</v>
      </c>
      <c r="CB35" s="247">
        <v>15</v>
      </c>
      <c r="CC35" s="247">
        <v>15</v>
      </c>
      <c r="CD35" s="247">
        <v>15</v>
      </c>
      <c r="CE35" s="247">
        <v>15</v>
      </c>
      <c r="CF35" s="247">
        <v>15</v>
      </c>
      <c r="CG35" s="247">
        <v>15</v>
      </c>
      <c r="CH35" s="247">
        <v>15</v>
      </c>
      <c r="CI35" s="247">
        <v>15</v>
      </c>
      <c r="CJ35" s="247">
        <v>15</v>
      </c>
      <c r="CK35" s="247">
        <v>15</v>
      </c>
      <c r="CL35" s="247">
        <v>15</v>
      </c>
      <c r="CM35" s="247">
        <v>15</v>
      </c>
      <c r="CN35" s="247">
        <v>15</v>
      </c>
      <c r="CO35" s="247">
        <v>15</v>
      </c>
      <c r="CP35" s="247">
        <v>15</v>
      </c>
      <c r="CQ35" s="247">
        <v>15</v>
      </c>
      <c r="CR35" s="247">
        <v>15</v>
      </c>
      <c r="CS35" s="247">
        <v>15</v>
      </c>
      <c r="CT35" s="247">
        <v>15</v>
      </c>
      <c r="CU35" s="247">
        <v>15</v>
      </c>
      <c r="CV35" s="247">
        <v>15</v>
      </c>
      <c r="CW35" s="247">
        <v>15</v>
      </c>
      <c r="CX35" s="247">
        <v>15</v>
      </c>
      <c r="CY35" s="247">
        <v>15</v>
      </c>
      <c r="CZ35" s="247">
        <v>15</v>
      </c>
      <c r="DA35" s="247">
        <v>15</v>
      </c>
      <c r="DB35" s="247">
        <v>15</v>
      </c>
      <c r="DC35" s="247">
        <v>15</v>
      </c>
      <c r="DD35" s="247">
        <v>15</v>
      </c>
      <c r="DE35" s="247">
        <v>15</v>
      </c>
      <c r="DF35" s="247">
        <v>15</v>
      </c>
      <c r="DG35" s="247">
        <v>15</v>
      </c>
      <c r="DH35" s="247">
        <v>15</v>
      </c>
      <c r="DI35" s="247">
        <v>15</v>
      </c>
      <c r="DJ35" s="247">
        <v>15</v>
      </c>
      <c r="DK35" s="247">
        <v>15</v>
      </c>
      <c r="DL35" s="247">
        <v>15</v>
      </c>
      <c r="DM35" s="247">
        <v>15</v>
      </c>
      <c r="DN35" s="247">
        <v>15</v>
      </c>
      <c r="DO35" s="247">
        <v>15</v>
      </c>
      <c r="DP35" s="247">
        <v>15</v>
      </c>
      <c r="DQ35" s="247">
        <v>15</v>
      </c>
      <c r="DR35" s="247">
        <v>15</v>
      </c>
      <c r="DS35" s="247">
        <v>15</v>
      </c>
      <c r="DT35" s="247">
        <v>15</v>
      </c>
      <c r="DU35" s="247">
        <v>15</v>
      </c>
      <c r="DV35" s="247">
        <v>15</v>
      </c>
      <c r="DW35" s="247">
        <v>15</v>
      </c>
      <c r="DX35" s="247">
        <v>15</v>
      </c>
      <c r="DY35" s="247">
        <v>15</v>
      </c>
      <c r="DZ35" s="247">
        <v>15</v>
      </c>
      <c r="EA35" s="247">
        <v>15</v>
      </c>
      <c r="EB35" s="247">
        <v>15</v>
      </c>
      <c r="EC35" s="247">
        <v>15</v>
      </c>
      <c r="ED35" s="247">
        <v>15</v>
      </c>
      <c r="EE35" s="247">
        <v>15</v>
      </c>
      <c r="EF35" s="247">
        <v>15</v>
      </c>
      <c r="EG35" s="247">
        <v>15</v>
      </c>
      <c r="EH35" s="247">
        <v>15</v>
      </c>
      <c r="EI35" s="247">
        <v>15</v>
      </c>
      <c r="EJ35" s="247">
        <v>15</v>
      </c>
      <c r="EK35" s="247">
        <v>15</v>
      </c>
      <c r="EL35" s="247">
        <v>15</v>
      </c>
      <c r="EM35" s="247">
        <v>15</v>
      </c>
      <c r="EN35" s="247">
        <v>15</v>
      </c>
      <c r="EO35" s="247">
        <v>15</v>
      </c>
      <c r="EP35" s="247">
        <v>15</v>
      </c>
      <c r="EQ35" s="247">
        <v>15</v>
      </c>
      <c r="ER35" s="247">
        <v>15</v>
      </c>
      <c r="ES35" s="247">
        <v>15</v>
      </c>
      <c r="ET35" s="247">
        <v>15</v>
      </c>
      <c r="EU35" s="247">
        <v>15</v>
      </c>
      <c r="EV35" s="247">
        <v>15</v>
      </c>
      <c r="EW35" s="247">
        <v>15</v>
      </c>
      <c r="EX35" s="247">
        <v>15</v>
      </c>
      <c r="EY35" s="247">
        <v>15</v>
      </c>
      <c r="EZ35" s="247">
        <v>15</v>
      </c>
      <c r="FA35" s="247">
        <v>15</v>
      </c>
      <c r="FB35" s="247">
        <v>15</v>
      </c>
      <c r="FC35" s="247">
        <v>15</v>
      </c>
      <c r="FD35" s="247">
        <v>15</v>
      </c>
      <c r="FE35" s="247">
        <v>15</v>
      </c>
      <c r="FF35" s="247">
        <v>15</v>
      </c>
      <c r="FG35" s="247">
        <v>15</v>
      </c>
      <c r="FH35" s="247">
        <v>15</v>
      </c>
      <c r="FI35" s="247">
        <v>15</v>
      </c>
      <c r="FJ35" s="247">
        <v>15</v>
      </c>
      <c r="FK35" s="247">
        <v>15</v>
      </c>
      <c r="FL35" s="247">
        <v>15</v>
      </c>
      <c r="FM35" s="247">
        <v>15</v>
      </c>
      <c r="FN35" s="247">
        <v>15</v>
      </c>
      <c r="FO35" s="247">
        <v>15</v>
      </c>
      <c r="FP35" s="247">
        <v>15</v>
      </c>
      <c r="FQ35" s="247">
        <v>15</v>
      </c>
      <c r="FR35" s="247">
        <v>15</v>
      </c>
      <c r="FS35" s="247">
        <v>15</v>
      </c>
      <c r="FT35" s="247">
        <v>15</v>
      </c>
      <c r="FU35" s="247">
        <v>15</v>
      </c>
      <c r="FV35" s="247">
        <v>15</v>
      </c>
      <c r="FW35" s="247">
        <v>15</v>
      </c>
      <c r="FX35" s="247">
        <v>15</v>
      </c>
      <c r="FY35" s="247">
        <v>15</v>
      </c>
      <c r="FZ35" s="247">
        <v>15</v>
      </c>
      <c r="GA35" s="247">
        <v>15</v>
      </c>
      <c r="GB35" s="247">
        <v>15</v>
      </c>
      <c r="GC35" s="247">
        <v>15</v>
      </c>
      <c r="GD35" s="247">
        <v>15</v>
      </c>
      <c r="GE35" s="247">
        <v>15</v>
      </c>
      <c r="GF35" s="247">
        <v>15</v>
      </c>
      <c r="GG35" s="247">
        <v>15</v>
      </c>
      <c r="GH35" s="247">
        <v>15</v>
      </c>
      <c r="GI35" s="247">
        <v>15</v>
      </c>
      <c r="GJ35" s="247">
        <v>15</v>
      </c>
      <c r="GK35" s="247">
        <v>15</v>
      </c>
      <c r="GL35" s="247">
        <v>15</v>
      </c>
      <c r="GM35" s="247">
        <v>15</v>
      </c>
      <c r="GN35" s="247">
        <v>15</v>
      </c>
      <c r="GO35" s="247">
        <v>15</v>
      </c>
      <c r="GP35" s="247">
        <v>15</v>
      </c>
      <c r="GQ35" s="247">
        <v>15</v>
      </c>
      <c r="GR35" s="247">
        <v>15</v>
      </c>
      <c r="GS35" s="247">
        <v>15</v>
      </c>
      <c r="GT35" s="247">
        <v>15</v>
      </c>
      <c r="GU35" s="247">
        <v>15</v>
      </c>
      <c r="GV35" s="247">
        <v>15</v>
      </c>
      <c r="GW35" s="247">
        <v>15</v>
      </c>
      <c r="GX35" s="247">
        <v>15</v>
      </c>
      <c r="GY35" s="247">
        <v>15</v>
      </c>
      <c r="GZ35" s="247">
        <v>15</v>
      </c>
      <c r="HA35" s="247">
        <v>15</v>
      </c>
      <c r="HB35" s="247">
        <v>15</v>
      </c>
      <c r="HC35" s="247">
        <v>15</v>
      </c>
      <c r="HD35" s="247">
        <v>15</v>
      </c>
      <c r="HE35" s="247">
        <v>15</v>
      </c>
      <c r="HF35" s="247">
        <v>15</v>
      </c>
      <c r="HG35" s="247">
        <v>15</v>
      </c>
      <c r="HH35" s="247">
        <v>15</v>
      </c>
      <c r="HI35" s="247">
        <v>15</v>
      </c>
      <c r="HJ35" s="247">
        <v>15</v>
      </c>
      <c r="HK35" s="247">
        <v>15</v>
      </c>
      <c r="HL35" s="247">
        <v>15</v>
      </c>
      <c r="HM35" s="247">
        <v>15</v>
      </c>
      <c r="HN35" s="247">
        <v>15</v>
      </c>
      <c r="HO35" s="247">
        <v>15</v>
      </c>
      <c r="HP35" s="247">
        <v>15</v>
      </c>
      <c r="HQ35" s="247">
        <v>15</v>
      </c>
      <c r="HR35" s="247">
        <v>15</v>
      </c>
      <c r="HS35" s="247">
        <v>15</v>
      </c>
      <c r="HT35" s="247">
        <v>15</v>
      </c>
      <c r="HU35" s="247">
        <v>15</v>
      </c>
      <c r="HV35" s="247">
        <v>15</v>
      </c>
      <c r="HW35" s="247">
        <v>15</v>
      </c>
      <c r="HX35" s="247">
        <v>15</v>
      </c>
      <c r="HY35" s="247">
        <v>15</v>
      </c>
      <c r="HZ35" s="247">
        <v>15</v>
      </c>
      <c r="IA35" s="247">
        <v>15</v>
      </c>
      <c r="IB35" s="247">
        <v>15</v>
      </c>
      <c r="IC35" s="247">
        <v>15</v>
      </c>
      <c r="ID35" s="247">
        <v>15</v>
      </c>
      <c r="IE35" s="247">
        <v>15</v>
      </c>
      <c r="IF35" s="247">
        <v>15</v>
      </c>
      <c r="IG35" s="247">
        <v>15</v>
      </c>
      <c r="IH35" s="247">
        <v>15</v>
      </c>
      <c r="II35" s="247">
        <v>15</v>
      </c>
      <c r="IJ35" s="247">
        <v>15</v>
      </c>
      <c r="IK35" s="247">
        <v>15</v>
      </c>
      <c r="IL35" s="247">
        <v>15</v>
      </c>
      <c r="IM35" s="247">
        <v>15</v>
      </c>
      <c r="IN35" s="247">
        <v>15</v>
      </c>
      <c r="IO35" s="247">
        <v>15</v>
      </c>
      <c r="IP35" s="247">
        <v>15</v>
      </c>
      <c r="IQ35" s="247">
        <v>15</v>
      </c>
      <c r="IR35" s="247">
        <v>15</v>
      </c>
      <c r="IS35" s="247">
        <v>15</v>
      </c>
      <c r="IT35" s="247">
        <v>15</v>
      </c>
      <c r="IU35" s="247">
        <v>15</v>
      </c>
      <c r="IV35" s="247">
        <v>15</v>
      </c>
      <c r="IW35" s="247">
        <v>15</v>
      </c>
      <c r="IX35" s="247">
        <v>15</v>
      </c>
      <c r="IY35" s="247">
        <v>15</v>
      </c>
      <c r="IZ35" s="247">
        <v>15</v>
      </c>
      <c r="JA35" s="247">
        <v>15</v>
      </c>
      <c r="JB35" s="247">
        <v>15</v>
      </c>
      <c r="JC35" s="247">
        <v>15</v>
      </c>
      <c r="JD35" s="247">
        <v>15</v>
      </c>
      <c r="JE35" s="247">
        <v>15</v>
      </c>
      <c r="JF35" s="247">
        <v>15</v>
      </c>
      <c r="JG35" s="247">
        <v>15</v>
      </c>
      <c r="JH35" s="247">
        <v>15</v>
      </c>
      <c r="JI35" s="247">
        <v>15</v>
      </c>
      <c r="JJ35" s="247">
        <v>15</v>
      </c>
      <c r="JK35" s="247">
        <v>15</v>
      </c>
      <c r="JL35" s="247">
        <v>15</v>
      </c>
      <c r="JM35" s="247">
        <v>15</v>
      </c>
      <c r="JN35" s="247">
        <v>15</v>
      </c>
      <c r="JO35" s="247">
        <v>15</v>
      </c>
      <c r="JP35" s="247">
        <v>15</v>
      </c>
      <c r="JQ35" s="247">
        <v>15</v>
      </c>
      <c r="JR35" s="247">
        <v>15</v>
      </c>
      <c r="JS35" s="247">
        <v>15</v>
      </c>
      <c r="JT35" s="247">
        <v>15</v>
      </c>
      <c r="JU35" s="247">
        <v>15</v>
      </c>
      <c r="JV35" s="247">
        <v>15</v>
      </c>
      <c r="JW35" s="247">
        <v>15</v>
      </c>
      <c r="JX35" s="247">
        <v>15</v>
      </c>
      <c r="JY35" s="247">
        <v>15</v>
      </c>
      <c r="JZ35" s="247">
        <v>15</v>
      </c>
      <c r="KA35" s="247">
        <v>15</v>
      </c>
      <c r="KB35" s="247">
        <v>15</v>
      </c>
      <c r="KC35" s="247">
        <v>15</v>
      </c>
      <c r="KD35" s="247">
        <v>15</v>
      </c>
      <c r="KE35" s="247">
        <v>15</v>
      </c>
      <c r="KF35" s="247">
        <v>15</v>
      </c>
      <c r="KG35" s="247">
        <v>15</v>
      </c>
      <c r="KH35" s="247">
        <v>15</v>
      </c>
      <c r="KI35" s="247">
        <v>15</v>
      </c>
      <c r="KJ35" s="247">
        <v>15</v>
      </c>
      <c r="KK35" s="247">
        <v>15</v>
      </c>
      <c r="KL35" s="247">
        <v>15</v>
      </c>
      <c r="KM35" s="247">
        <v>15</v>
      </c>
      <c r="KN35" s="247">
        <v>15</v>
      </c>
      <c r="KO35" s="247">
        <v>15</v>
      </c>
      <c r="KP35" s="247">
        <v>15</v>
      </c>
      <c r="KQ35" s="247">
        <v>15</v>
      </c>
      <c r="KR35" s="247">
        <v>15</v>
      </c>
      <c r="KS35" s="247">
        <v>15</v>
      </c>
      <c r="KT35" s="247">
        <v>15</v>
      </c>
      <c r="KU35" s="247">
        <v>15</v>
      </c>
      <c r="KV35" s="247">
        <v>15</v>
      </c>
      <c r="KW35" s="247">
        <v>15</v>
      </c>
      <c r="KX35" s="247">
        <v>15</v>
      </c>
      <c r="KY35" s="247">
        <v>15</v>
      </c>
      <c r="KZ35" s="247">
        <v>15</v>
      </c>
      <c r="LA35" s="247">
        <v>15</v>
      </c>
      <c r="LB35" s="247">
        <v>15</v>
      </c>
      <c r="LC35" s="247">
        <v>15</v>
      </c>
      <c r="LD35" s="247">
        <v>15</v>
      </c>
      <c r="LE35" s="247">
        <v>15</v>
      </c>
      <c r="LF35" s="247">
        <v>15</v>
      </c>
      <c r="LG35" s="247">
        <v>15</v>
      </c>
      <c r="LH35" s="247">
        <v>15</v>
      </c>
      <c r="LI35" s="247">
        <v>15</v>
      </c>
      <c r="LJ35" s="247">
        <v>15</v>
      </c>
      <c r="LK35" s="247">
        <v>15</v>
      </c>
      <c r="LL35" s="247">
        <v>15</v>
      </c>
      <c r="LM35" s="247">
        <v>15</v>
      </c>
      <c r="LN35" s="247">
        <v>15</v>
      </c>
      <c r="LO35" s="247">
        <v>15</v>
      </c>
      <c r="LP35" s="247">
        <v>15</v>
      </c>
      <c r="LQ35" s="247">
        <v>15</v>
      </c>
      <c r="LR35" s="247">
        <v>15</v>
      </c>
      <c r="LS35" s="247">
        <v>15</v>
      </c>
      <c r="LT35" s="247">
        <v>15</v>
      </c>
      <c r="LU35" s="247">
        <v>15</v>
      </c>
      <c r="LV35" s="247">
        <v>15</v>
      </c>
      <c r="LW35" s="247">
        <v>15</v>
      </c>
      <c r="LX35" s="247">
        <v>15</v>
      </c>
      <c r="LY35" s="247">
        <v>15</v>
      </c>
      <c r="LZ35" s="247">
        <v>15</v>
      </c>
      <c r="MA35" s="247">
        <v>15</v>
      </c>
      <c r="MB35" s="247">
        <v>15</v>
      </c>
      <c r="MC35" s="247">
        <v>15</v>
      </c>
      <c r="MD35" s="247">
        <v>15</v>
      </c>
      <c r="ME35" s="247">
        <v>15</v>
      </c>
      <c r="MF35" s="247">
        <v>15</v>
      </c>
      <c r="MG35" s="247">
        <v>15</v>
      </c>
      <c r="MH35" s="247">
        <v>15</v>
      </c>
      <c r="MI35" s="247">
        <v>15</v>
      </c>
      <c r="MJ35" s="247">
        <v>15</v>
      </c>
      <c r="MK35" s="247">
        <v>15</v>
      </c>
      <c r="ML35" s="247">
        <v>15</v>
      </c>
      <c r="MM35" s="247">
        <v>15</v>
      </c>
      <c r="MN35" s="247">
        <v>15</v>
      </c>
      <c r="MO35" s="247">
        <v>15</v>
      </c>
      <c r="MP35" s="247">
        <v>15</v>
      </c>
      <c r="MQ35" s="247">
        <v>15</v>
      </c>
      <c r="MR35" s="247">
        <v>15</v>
      </c>
      <c r="MS35" s="247">
        <v>15</v>
      </c>
      <c r="MT35" s="247">
        <v>15</v>
      </c>
      <c r="MU35" s="247">
        <v>15</v>
      </c>
      <c r="MV35" s="247">
        <v>15</v>
      </c>
      <c r="MW35" s="247">
        <v>15</v>
      </c>
      <c r="MX35" s="247">
        <v>15</v>
      </c>
      <c r="MY35" s="247">
        <v>15</v>
      </c>
      <c r="MZ35" s="247">
        <v>15</v>
      </c>
      <c r="NA35" s="247">
        <v>15</v>
      </c>
      <c r="NB35" s="247">
        <v>15</v>
      </c>
      <c r="NC35" s="247">
        <v>15</v>
      </c>
      <c r="ND35" s="247">
        <v>15</v>
      </c>
      <c r="NE35" s="247">
        <v>15</v>
      </c>
      <c r="NF35" s="247">
        <v>15</v>
      </c>
      <c r="NG35" s="247">
        <v>15</v>
      </c>
      <c r="NH35" s="247">
        <v>15</v>
      </c>
      <c r="NI35" s="247">
        <v>15</v>
      </c>
      <c r="NJ35" s="247">
        <v>15</v>
      </c>
      <c r="NK35" s="247">
        <v>15</v>
      </c>
      <c r="NL35" s="247">
        <v>15</v>
      </c>
      <c r="NM35" s="247">
        <v>15</v>
      </c>
      <c r="NN35" s="247">
        <v>15</v>
      </c>
      <c r="NO35" s="247">
        <v>15</v>
      </c>
      <c r="NP35" s="247">
        <v>15</v>
      </c>
      <c r="NQ35" s="247">
        <v>15</v>
      </c>
      <c r="NR35" s="247">
        <v>15</v>
      </c>
      <c r="NS35" s="247">
        <v>15</v>
      </c>
      <c r="NT35" s="247">
        <v>15</v>
      </c>
      <c r="NU35" s="247">
        <v>15</v>
      </c>
      <c r="NV35" s="247">
        <v>15</v>
      </c>
      <c r="NW35" s="247">
        <v>15</v>
      </c>
      <c r="NX35" s="247">
        <v>15</v>
      </c>
      <c r="NY35" s="247">
        <v>15</v>
      </c>
      <c r="NZ35" s="247">
        <v>15</v>
      </c>
      <c r="OA35" s="247">
        <v>15</v>
      </c>
      <c r="OB35" s="247">
        <v>15</v>
      </c>
      <c r="OC35" s="247">
        <v>15</v>
      </c>
      <c r="OD35" s="247">
        <v>15</v>
      </c>
      <c r="OE35" s="247">
        <v>15</v>
      </c>
    </row>
    <row r="36" spans="1:395" ht="14.4" thickBot="1" x14ac:dyDescent="0.35">
      <c r="A36" s="185"/>
      <c r="B36" s="185" t="s">
        <v>241</v>
      </c>
      <c r="C36" s="218"/>
      <c r="D36" s="186"/>
      <c r="E36" s="219"/>
      <c r="F36" s="259"/>
      <c r="G36" s="220"/>
      <c r="H36" s="220"/>
      <c r="I36" s="265"/>
      <c r="J36" s="266"/>
      <c r="K36" s="157"/>
      <c r="L36" s="156"/>
      <c r="M36" s="156"/>
      <c r="N36" s="156"/>
      <c r="O36" s="156"/>
      <c r="P36" s="156"/>
      <c r="Q36" s="253"/>
      <c r="R36" s="189"/>
      <c r="S36" s="189"/>
      <c r="T36" s="189"/>
      <c r="U36" s="189"/>
      <c r="V36" s="189"/>
      <c r="W36" s="189"/>
      <c r="X36" s="189"/>
      <c r="Y36" s="189"/>
      <c r="Z36" s="189"/>
      <c r="AA36" s="189"/>
      <c r="AB36" s="189"/>
      <c r="AC36" s="189"/>
      <c r="AD36" s="189"/>
      <c r="AE36" s="189"/>
      <c r="AF36" s="189"/>
      <c r="AG36" s="189"/>
      <c r="AH36" s="189"/>
      <c r="AI36" s="189"/>
      <c r="AJ36" s="189"/>
      <c r="AK36" s="189"/>
      <c r="AL36" s="189"/>
      <c r="AM36" s="189"/>
      <c r="AN36" s="189"/>
      <c r="AO36" s="189"/>
      <c r="AP36" s="189"/>
      <c r="AQ36" s="189"/>
      <c r="AR36" s="189"/>
      <c r="AS36" s="189"/>
      <c r="AT36" s="189"/>
      <c r="AU36" s="189"/>
      <c r="AV36" s="189"/>
      <c r="AW36" s="189"/>
      <c r="AX36" s="189"/>
      <c r="AY36" s="189"/>
      <c r="AZ36" s="189"/>
      <c r="BA36" s="189"/>
      <c r="BB36" s="189"/>
      <c r="BC36" s="189"/>
      <c r="BD36" s="189"/>
      <c r="BE36" s="189"/>
      <c r="BF36" s="189"/>
      <c r="BG36" s="189"/>
      <c r="BH36" s="189"/>
      <c r="BI36" s="189"/>
      <c r="BJ36" s="189"/>
      <c r="BK36" s="189"/>
      <c r="BL36" s="189"/>
      <c r="BM36" s="189"/>
      <c r="BN36" s="189"/>
      <c r="BO36" s="189"/>
      <c r="BP36" s="189"/>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c r="DA36" s="189"/>
      <c r="DB36" s="189"/>
      <c r="DC36" s="189"/>
      <c r="DD36" s="189"/>
      <c r="DE36" s="189"/>
      <c r="DF36" s="189"/>
      <c r="DG36" s="189"/>
      <c r="DH36" s="189"/>
      <c r="DI36" s="189"/>
      <c r="DJ36" s="189"/>
      <c r="DK36" s="189"/>
      <c r="DL36" s="189"/>
      <c r="DM36" s="189"/>
      <c r="DN36" s="189"/>
      <c r="DO36" s="189"/>
      <c r="DP36" s="189"/>
      <c r="DQ36" s="189"/>
      <c r="DR36" s="189"/>
      <c r="DS36" s="189"/>
      <c r="DT36" s="189"/>
      <c r="DU36" s="189"/>
      <c r="DV36" s="189"/>
      <c r="DW36" s="189"/>
      <c r="DX36" s="189"/>
      <c r="DY36" s="189"/>
      <c r="DZ36" s="189"/>
      <c r="EA36" s="189"/>
      <c r="EB36" s="189"/>
      <c r="EC36" s="189"/>
      <c r="ED36" s="189"/>
      <c r="EE36" s="189"/>
      <c r="EF36" s="189"/>
      <c r="EG36" s="189"/>
      <c r="EH36" s="189"/>
      <c r="EI36" s="189"/>
      <c r="EJ36" s="189"/>
      <c r="EK36" s="189"/>
      <c r="EL36" s="189"/>
      <c r="EM36" s="189"/>
      <c r="EN36" s="189"/>
      <c r="EO36" s="189"/>
      <c r="EP36" s="189"/>
      <c r="EQ36" s="189"/>
      <c r="ER36" s="189"/>
      <c r="ES36" s="189"/>
      <c r="ET36" s="189"/>
      <c r="EU36" s="189"/>
      <c r="EV36" s="189"/>
      <c r="EW36" s="189"/>
      <c r="EX36" s="189"/>
      <c r="EY36" s="189"/>
      <c r="EZ36" s="189"/>
      <c r="FA36" s="189"/>
      <c r="FB36" s="189"/>
      <c r="FC36" s="189"/>
      <c r="FD36" s="189"/>
      <c r="FE36" s="189"/>
      <c r="FF36" s="189"/>
      <c r="FG36" s="189"/>
      <c r="FH36" s="189"/>
      <c r="FI36" s="189"/>
      <c r="FJ36" s="189"/>
      <c r="FK36" s="189"/>
      <c r="FL36" s="189"/>
      <c r="FM36" s="189"/>
      <c r="FN36" s="189"/>
      <c r="FO36" s="189"/>
      <c r="FP36" s="189"/>
      <c r="FQ36" s="189"/>
      <c r="FR36" s="189"/>
      <c r="FS36" s="189"/>
      <c r="FT36" s="189"/>
      <c r="FU36" s="189"/>
      <c r="FV36" s="189"/>
      <c r="FW36" s="189"/>
      <c r="FX36" s="189"/>
      <c r="FY36" s="189"/>
      <c r="FZ36" s="189"/>
      <c r="GA36" s="189"/>
      <c r="GB36" s="189"/>
      <c r="GC36" s="189"/>
      <c r="GD36" s="189"/>
      <c r="GE36" s="189"/>
      <c r="GF36" s="189"/>
      <c r="GG36" s="189"/>
      <c r="GH36" s="189"/>
      <c r="GI36" s="189"/>
      <c r="GJ36" s="189"/>
      <c r="GK36" s="189"/>
      <c r="GL36" s="189"/>
      <c r="GM36" s="189"/>
      <c r="GN36" s="189"/>
      <c r="GO36" s="189"/>
      <c r="GP36" s="189"/>
      <c r="GQ36" s="189"/>
      <c r="GR36" s="189"/>
      <c r="GS36" s="189"/>
      <c r="GT36" s="189"/>
      <c r="GU36" s="189"/>
      <c r="GV36" s="189"/>
      <c r="GW36" s="189"/>
      <c r="GX36" s="189"/>
      <c r="GY36" s="189"/>
      <c r="GZ36" s="189"/>
      <c r="HA36" s="189"/>
      <c r="HB36" s="189"/>
      <c r="HC36" s="189"/>
      <c r="HD36" s="189"/>
      <c r="HE36" s="189"/>
      <c r="HF36" s="189"/>
      <c r="HG36" s="189"/>
      <c r="HH36" s="189"/>
      <c r="HI36" s="189"/>
      <c r="HJ36" s="189"/>
      <c r="HK36" s="189"/>
      <c r="HL36" s="189"/>
      <c r="HM36" s="189"/>
      <c r="HN36" s="189"/>
      <c r="HO36" s="189"/>
      <c r="HP36" s="189"/>
      <c r="HQ36" s="189"/>
      <c r="HR36" s="189"/>
      <c r="HS36" s="189"/>
      <c r="HT36" s="189"/>
      <c r="HU36" s="189"/>
      <c r="HV36" s="189"/>
      <c r="HW36" s="189"/>
      <c r="HX36" s="189"/>
      <c r="HY36" s="189"/>
      <c r="HZ36" s="189"/>
      <c r="IA36" s="189"/>
      <c r="IB36" s="189"/>
      <c r="IC36" s="189"/>
      <c r="ID36" s="189"/>
      <c r="IE36" s="189"/>
      <c r="IF36" s="189"/>
      <c r="IG36" s="189"/>
      <c r="IH36" s="189"/>
      <c r="II36" s="189"/>
      <c r="IJ36" s="189"/>
      <c r="IK36" s="189"/>
      <c r="IL36" s="189"/>
      <c r="IM36" s="189"/>
      <c r="IN36" s="189"/>
      <c r="IO36" s="189"/>
      <c r="IP36" s="189"/>
      <c r="IQ36" s="189"/>
      <c r="IR36" s="189"/>
      <c r="IS36" s="189"/>
      <c r="IT36" s="189"/>
      <c r="IU36" s="189"/>
      <c r="IV36" s="189"/>
      <c r="IW36" s="189"/>
      <c r="IX36" s="189"/>
      <c r="IY36" s="189"/>
      <c r="IZ36" s="189"/>
      <c r="JA36" s="189"/>
      <c r="JB36" s="189"/>
      <c r="JC36" s="189"/>
      <c r="JD36" s="189"/>
      <c r="JE36" s="189"/>
      <c r="JF36" s="189"/>
      <c r="JG36" s="189"/>
      <c r="JH36" s="189"/>
      <c r="JI36" s="189"/>
      <c r="JJ36" s="189"/>
      <c r="JK36" s="189"/>
      <c r="JL36" s="189"/>
      <c r="JM36" s="189"/>
      <c r="JN36" s="189"/>
      <c r="JO36" s="189"/>
      <c r="JP36" s="189"/>
      <c r="JQ36" s="189"/>
      <c r="JR36" s="189"/>
      <c r="JS36" s="189"/>
      <c r="JT36" s="189"/>
      <c r="JU36" s="189"/>
      <c r="JV36" s="189"/>
      <c r="JW36" s="189"/>
      <c r="JX36" s="189"/>
      <c r="JY36" s="189"/>
      <c r="JZ36" s="189"/>
      <c r="KA36" s="189"/>
      <c r="KB36" s="189"/>
      <c r="KC36" s="189"/>
      <c r="KD36" s="189"/>
      <c r="KE36" s="189"/>
      <c r="KF36" s="189"/>
      <c r="KG36" s="189"/>
      <c r="KH36" s="189"/>
      <c r="KI36" s="189"/>
      <c r="KJ36" s="189"/>
      <c r="KK36" s="189"/>
      <c r="KL36" s="189"/>
      <c r="KM36" s="189"/>
      <c r="KN36" s="189"/>
      <c r="KO36" s="189"/>
      <c r="KP36" s="189"/>
      <c r="KQ36" s="189"/>
      <c r="KR36" s="189"/>
      <c r="KS36" s="189"/>
      <c r="KT36" s="189"/>
      <c r="KU36" s="189"/>
      <c r="KV36" s="189"/>
      <c r="KW36" s="189"/>
      <c r="KX36" s="189"/>
      <c r="KY36" s="189"/>
      <c r="KZ36" s="189"/>
      <c r="LA36" s="189"/>
      <c r="LB36" s="189"/>
      <c r="LC36" s="189"/>
      <c r="LD36" s="189"/>
      <c r="LE36" s="189"/>
      <c r="LF36" s="189"/>
      <c r="LG36" s="189"/>
      <c r="LH36" s="189"/>
      <c r="LI36" s="189"/>
      <c r="LJ36" s="189"/>
      <c r="LK36" s="189"/>
      <c r="LL36" s="189"/>
      <c r="LM36" s="189"/>
      <c r="LN36" s="189"/>
      <c r="LO36" s="189"/>
      <c r="LP36" s="189"/>
      <c r="LQ36" s="189"/>
      <c r="LR36" s="189"/>
      <c r="LS36" s="189"/>
      <c r="LT36" s="189"/>
      <c r="LU36" s="189"/>
      <c r="LV36" s="189"/>
      <c r="LW36" s="189"/>
      <c r="LX36" s="189"/>
      <c r="LY36" s="189"/>
      <c r="LZ36" s="189"/>
      <c r="MA36" s="189"/>
      <c r="MB36" s="189"/>
      <c r="MC36" s="189"/>
      <c r="MD36" s="189"/>
      <c r="ME36" s="189"/>
      <c r="MF36" s="189"/>
      <c r="MG36" s="189"/>
      <c r="MH36" s="189"/>
      <c r="MI36" s="189"/>
      <c r="MJ36" s="189"/>
      <c r="MK36" s="189"/>
      <c r="ML36" s="189"/>
      <c r="MM36" s="189"/>
      <c r="MN36" s="189"/>
      <c r="MO36" s="189"/>
      <c r="MP36" s="189"/>
      <c r="MQ36" s="189"/>
      <c r="MR36" s="189"/>
      <c r="MS36" s="189"/>
      <c r="MT36" s="189"/>
      <c r="MU36" s="189"/>
      <c r="MV36" s="189"/>
      <c r="MW36" s="189"/>
      <c r="MX36" s="189"/>
      <c r="MY36" s="189"/>
      <c r="MZ36" s="189"/>
      <c r="NA36" s="189"/>
      <c r="NB36" s="189"/>
      <c r="NC36" s="189"/>
      <c r="ND36" s="189"/>
      <c r="NE36" s="189"/>
      <c r="NF36" s="189"/>
      <c r="NG36" s="189"/>
      <c r="NH36" s="189"/>
      <c r="NI36" s="189"/>
      <c r="NJ36" s="189"/>
      <c r="NK36" s="189"/>
      <c r="NL36" s="189"/>
      <c r="NM36" s="189"/>
      <c r="NN36" s="189"/>
      <c r="NO36" s="189"/>
      <c r="NP36" s="189"/>
      <c r="NQ36" s="189"/>
      <c r="NR36" s="189"/>
      <c r="NS36" s="189"/>
      <c r="NT36" s="189"/>
      <c r="NU36" s="189"/>
      <c r="NV36" s="189"/>
      <c r="NW36" s="189"/>
      <c r="NX36" s="189"/>
      <c r="NY36" s="189"/>
      <c r="NZ36" s="189"/>
      <c r="OA36" s="189"/>
      <c r="OB36" s="189"/>
      <c r="OC36" s="189"/>
      <c r="OD36" s="189"/>
      <c r="OE36" s="189"/>
    </row>
    <row r="37" spans="1:395" x14ac:dyDescent="0.3">
      <c r="A37" s="16"/>
      <c r="C37" s="16"/>
      <c r="D37" s="133"/>
      <c r="E37" s="123"/>
      <c r="F37" s="11"/>
      <c r="G37" s="88"/>
      <c r="H37" s="88"/>
      <c r="I37" s="263"/>
      <c r="J37" s="264"/>
      <c r="K37" s="76"/>
      <c r="L37" s="66"/>
      <c r="M37" s="66"/>
      <c r="N37" s="66"/>
      <c r="O37" s="66"/>
      <c r="P37" s="66"/>
      <c r="Q37" s="66"/>
    </row>
    <row r="38" spans="1:395" collapsed="1" x14ac:dyDescent="0.3">
      <c r="A38" s="16"/>
      <c r="B38" s="128" t="s">
        <v>21</v>
      </c>
      <c r="C38" s="16"/>
      <c r="D38" s="133"/>
      <c r="E38" s="123"/>
      <c r="F38" s="11"/>
      <c r="G38" s="88"/>
      <c r="H38" s="88"/>
      <c r="I38" s="263"/>
      <c r="J38" s="264"/>
      <c r="K38" s="76"/>
      <c r="L38" s="66"/>
      <c r="M38" s="66"/>
      <c r="N38" s="66"/>
      <c r="O38" s="66"/>
      <c r="P38" s="66"/>
      <c r="Q38" s="66"/>
    </row>
    <row r="39" spans="1:395" hidden="1" outlineLevel="1" x14ac:dyDescent="0.3">
      <c r="A39" s="16"/>
      <c r="C39" s="16" t="s">
        <v>224</v>
      </c>
      <c r="D39" s="133"/>
      <c r="E39" s="250" t="s">
        <v>407</v>
      </c>
      <c r="F39" s="11"/>
      <c r="G39" s="88"/>
      <c r="H39" s="88"/>
      <c r="I39" s="263"/>
      <c r="J39" s="264"/>
      <c r="K39" s="76"/>
      <c r="L39" s="66"/>
      <c r="M39" s="66"/>
      <c r="N39" s="66"/>
      <c r="O39" s="66"/>
      <c r="P39" s="66"/>
      <c r="Q39" s="66"/>
    </row>
    <row r="40" spans="1:395" hidden="1" outlineLevel="1" x14ac:dyDescent="0.3">
      <c r="A40" s="16"/>
      <c r="C40" s="16"/>
      <c r="D40" s="133" t="s">
        <v>406</v>
      </c>
      <c r="E40" s="192">
        <v>10000</v>
      </c>
      <c r="F40" s="260" t="s">
        <v>81</v>
      </c>
      <c r="G40" s="88"/>
      <c r="H40" s="88"/>
      <c r="I40" s="263"/>
      <c r="J40" s="264"/>
      <c r="K40" s="76"/>
      <c r="L40" s="66"/>
      <c r="M40" s="66"/>
      <c r="N40" s="66"/>
      <c r="O40" s="66"/>
      <c r="P40" s="66"/>
      <c r="Q40" s="66"/>
    </row>
    <row r="41" spans="1:395" hidden="1" outlineLevel="1" x14ac:dyDescent="0.3">
      <c r="A41" s="16"/>
      <c r="C41" s="16"/>
      <c r="D41" s="133" t="s">
        <v>399</v>
      </c>
      <c r="E41" s="192">
        <v>20000</v>
      </c>
      <c r="F41" s="260" t="s">
        <v>81</v>
      </c>
      <c r="G41" s="88"/>
      <c r="H41" s="88"/>
      <c r="I41" s="263"/>
      <c r="J41" s="264"/>
      <c r="K41" s="76"/>
      <c r="L41" s="66"/>
      <c r="M41" s="66"/>
      <c r="N41" s="66"/>
      <c r="O41" s="66"/>
      <c r="P41" s="66"/>
      <c r="Q41" s="66"/>
    </row>
    <row r="42" spans="1:395" hidden="1" outlineLevel="1" x14ac:dyDescent="0.3">
      <c r="A42" s="16"/>
      <c r="C42" s="16"/>
      <c r="D42" s="133" t="s">
        <v>400</v>
      </c>
      <c r="E42" s="192">
        <v>30000</v>
      </c>
      <c r="F42" s="260" t="s">
        <v>81</v>
      </c>
      <c r="G42" s="88"/>
      <c r="H42" s="88"/>
      <c r="I42" s="263"/>
      <c r="J42" s="264"/>
      <c r="K42" s="76"/>
      <c r="L42" s="66"/>
      <c r="M42" s="66"/>
      <c r="N42" s="66"/>
      <c r="O42" s="66"/>
      <c r="P42" s="66"/>
      <c r="Q42" s="66"/>
    </row>
    <row r="43" spans="1:395" hidden="1" outlineLevel="1" x14ac:dyDescent="0.3">
      <c r="A43" s="16"/>
      <c r="C43" s="16"/>
      <c r="D43" s="21" t="s">
        <v>401</v>
      </c>
      <c r="E43" s="192">
        <v>40000</v>
      </c>
      <c r="F43" s="260" t="s">
        <v>81</v>
      </c>
      <c r="G43" s="88"/>
      <c r="H43" s="88"/>
      <c r="I43" s="263"/>
      <c r="J43" s="264"/>
      <c r="K43" s="76"/>
      <c r="L43" s="66"/>
      <c r="M43" s="66"/>
      <c r="N43" s="66"/>
      <c r="O43" s="66"/>
      <c r="P43" s="66"/>
      <c r="Q43" s="66"/>
    </row>
    <row r="44" spans="1:395" hidden="1" outlineLevel="1" x14ac:dyDescent="0.3">
      <c r="A44" s="16"/>
      <c r="C44" s="16"/>
      <c r="D44" s="21" t="s">
        <v>402</v>
      </c>
      <c r="E44" s="192">
        <v>50000</v>
      </c>
      <c r="F44" s="260" t="s">
        <v>81</v>
      </c>
      <c r="G44" s="88"/>
      <c r="H44" s="88"/>
      <c r="I44" s="263"/>
      <c r="J44" s="264"/>
      <c r="K44" s="76"/>
      <c r="L44" s="66"/>
      <c r="M44" s="66"/>
      <c r="N44" s="66"/>
      <c r="O44" s="66"/>
      <c r="P44" s="66"/>
      <c r="Q44" s="66"/>
    </row>
    <row r="45" spans="1:395" hidden="1" outlineLevel="1" x14ac:dyDescent="0.3">
      <c r="A45" s="16"/>
      <c r="C45" s="16"/>
      <c r="D45" s="21" t="s">
        <v>403</v>
      </c>
      <c r="E45" s="192">
        <v>60000</v>
      </c>
      <c r="F45" s="260" t="s">
        <v>81</v>
      </c>
      <c r="G45" s="88"/>
      <c r="H45" s="88"/>
      <c r="I45" s="263"/>
      <c r="J45" s="264"/>
      <c r="K45" s="76"/>
      <c r="L45" s="66"/>
      <c r="M45" s="66"/>
      <c r="N45" s="66"/>
      <c r="O45" s="66"/>
      <c r="P45" s="66"/>
      <c r="Q45" s="66"/>
    </row>
    <row r="46" spans="1:395" hidden="1" outlineLevel="1" x14ac:dyDescent="0.3">
      <c r="A46" s="16"/>
      <c r="C46" s="16"/>
      <c r="D46" s="21" t="s">
        <v>404</v>
      </c>
      <c r="E46" s="192">
        <v>70000</v>
      </c>
      <c r="F46" s="260" t="s">
        <v>81</v>
      </c>
      <c r="G46" s="88"/>
      <c r="H46" s="88"/>
      <c r="I46" s="263"/>
      <c r="J46" s="264"/>
      <c r="K46" s="76"/>
      <c r="L46" s="66"/>
      <c r="M46" s="66"/>
      <c r="N46" s="66"/>
      <c r="O46" s="66"/>
      <c r="P46" s="66"/>
      <c r="Q46" s="66"/>
    </row>
    <row r="47" spans="1:395" hidden="1" outlineLevel="1" x14ac:dyDescent="0.3">
      <c r="A47" s="16"/>
      <c r="C47" s="16"/>
      <c r="D47" s="21" t="s">
        <v>226</v>
      </c>
      <c r="E47" s="192">
        <v>80000</v>
      </c>
      <c r="F47" s="260" t="s">
        <v>81</v>
      </c>
      <c r="G47" s="88"/>
      <c r="H47" s="88"/>
      <c r="I47" s="263"/>
      <c r="J47" s="264"/>
      <c r="K47" s="76"/>
      <c r="L47" s="66"/>
      <c r="M47" s="66"/>
      <c r="N47" s="66"/>
      <c r="O47" s="66"/>
      <c r="P47" s="66"/>
      <c r="Q47" s="66"/>
    </row>
    <row r="48" spans="1:395" hidden="1" outlineLevel="1" x14ac:dyDescent="0.3">
      <c r="A48" s="16"/>
      <c r="C48" s="16"/>
      <c r="D48" s="133" t="s">
        <v>405</v>
      </c>
      <c r="E48" s="192">
        <v>90000</v>
      </c>
      <c r="F48" s="260" t="s">
        <v>81</v>
      </c>
      <c r="G48" s="88"/>
      <c r="H48" s="88"/>
      <c r="I48" s="263"/>
      <c r="J48" s="264"/>
      <c r="K48" s="76"/>
      <c r="L48" s="66"/>
      <c r="M48" s="66"/>
      <c r="N48" s="66"/>
      <c r="O48" s="66"/>
      <c r="P48" s="66"/>
      <c r="Q48" s="66"/>
    </row>
    <row r="49" spans="1:17" hidden="1" outlineLevel="1" x14ac:dyDescent="0.3">
      <c r="A49" s="16"/>
      <c r="C49" s="16"/>
      <c r="D49" s="133"/>
      <c r="E49" s="123"/>
      <c r="F49" s="11"/>
      <c r="G49" s="88"/>
      <c r="H49" s="88"/>
      <c r="I49" s="263"/>
      <c r="J49" s="264"/>
      <c r="K49" s="76"/>
      <c r="L49" s="66"/>
      <c r="M49" s="66"/>
      <c r="N49" s="66"/>
      <c r="O49" s="66"/>
      <c r="P49" s="66"/>
      <c r="Q49" s="66"/>
    </row>
    <row r="50" spans="1:17" hidden="1" outlineLevel="1" x14ac:dyDescent="0.3">
      <c r="A50" s="16"/>
      <c r="C50" s="16" t="s">
        <v>411</v>
      </c>
      <c r="D50" s="133"/>
      <c r="E50" s="123"/>
      <c r="F50" s="11"/>
      <c r="G50" s="88"/>
      <c r="H50" s="88"/>
      <c r="I50" s="263"/>
      <c r="J50" s="264"/>
      <c r="K50" s="76"/>
      <c r="L50" s="66"/>
      <c r="M50" s="66"/>
      <c r="N50" s="66"/>
      <c r="O50" s="66"/>
      <c r="P50" s="66"/>
      <c r="Q50" s="66"/>
    </row>
    <row r="51" spans="1:17" hidden="1" outlineLevel="1" x14ac:dyDescent="0.3">
      <c r="A51" s="16"/>
      <c r="C51" s="16"/>
      <c r="D51" s="133" t="s">
        <v>231</v>
      </c>
      <c r="E51" s="192"/>
      <c r="F51" s="260" t="s">
        <v>81</v>
      </c>
      <c r="G51" s="88"/>
      <c r="H51" s="88"/>
      <c r="I51" s="263"/>
      <c r="J51" s="264"/>
      <c r="K51" s="76"/>
      <c r="L51" s="66"/>
      <c r="M51" s="66"/>
      <c r="N51" s="66"/>
      <c r="O51" s="66"/>
      <c r="P51" s="66"/>
      <c r="Q51" s="66"/>
    </row>
    <row r="52" spans="1:17" hidden="1" outlineLevel="1" x14ac:dyDescent="0.3">
      <c r="A52" s="16"/>
      <c r="C52" s="16"/>
      <c r="D52" s="133" t="s">
        <v>228</v>
      </c>
      <c r="E52" s="192"/>
      <c r="F52" s="260" t="s">
        <v>81</v>
      </c>
      <c r="G52" s="88"/>
      <c r="H52" s="88"/>
      <c r="I52" s="263"/>
      <c r="J52" s="264"/>
      <c r="K52" s="76"/>
      <c r="L52" s="66"/>
      <c r="M52" s="66"/>
      <c r="N52" s="66"/>
      <c r="O52" s="66"/>
      <c r="P52" s="66"/>
      <c r="Q52" s="66"/>
    </row>
    <row r="53" spans="1:17" hidden="1" outlineLevel="1" x14ac:dyDescent="0.3">
      <c r="A53" s="16"/>
      <c r="C53" s="16"/>
      <c r="D53" s="133" t="s">
        <v>430</v>
      </c>
      <c r="E53" s="192"/>
      <c r="F53" s="260" t="s">
        <v>81</v>
      </c>
      <c r="G53" s="88"/>
      <c r="H53" s="88"/>
      <c r="I53" s="263"/>
      <c r="J53" s="264"/>
      <c r="K53" s="76"/>
      <c r="L53" s="66"/>
      <c r="M53" s="66"/>
      <c r="N53" s="66"/>
      <c r="O53" s="66"/>
      <c r="P53" s="66"/>
      <c r="Q53" s="66"/>
    </row>
    <row r="54" spans="1:17" hidden="1" outlineLevel="1" x14ac:dyDescent="0.3">
      <c r="A54" s="16"/>
      <c r="C54" s="16"/>
      <c r="D54" s="133" t="s">
        <v>237</v>
      </c>
      <c r="E54" s="192"/>
      <c r="F54" s="260" t="s">
        <v>81</v>
      </c>
      <c r="G54" s="88"/>
      <c r="H54" s="88"/>
      <c r="I54" s="263"/>
      <c r="J54" s="264"/>
      <c r="K54" s="76"/>
      <c r="L54" s="66"/>
      <c r="M54" s="66"/>
      <c r="N54" s="66"/>
      <c r="O54" s="66"/>
      <c r="P54" s="66"/>
      <c r="Q54" s="66"/>
    </row>
    <row r="55" spans="1:17" hidden="1" outlineLevel="1" x14ac:dyDescent="0.3">
      <c r="A55" s="16"/>
      <c r="C55" s="16"/>
      <c r="D55" s="133" t="s">
        <v>230</v>
      </c>
      <c r="E55" s="192"/>
      <c r="F55" s="260" t="s">
        <v>81</v>
      </c>
      <c r="G55" s="88"/>
      <c r="H55" s="88"/>
      <c r="I55" s="263"/>
      <c r="J55" s="264"/>
      <c r="K55" s="76"/>
      <c r="L55" s="66"/>
      <c r="M55" s="66"/>
      <c r="N55" s="66"/>
      <c r="O55" s="66"/>
      <c r="P55" s="66"/>
      <c r="Q55" s="66"/>
    </row>
    <row r="56" spans="1:17" hidden="1" outlineLevel="1" x14ac:dyDescent="0.3">
      <c r="A56" s="16"/>
      <c r="C56" s="16"/>
      <c r="D56" s="133" t="s">
        <v>236</v>
      </c>
      <c r="E56" s="192"/>
      <c r="F56" s="260" t="s">
        <v>81</v>
      </c>
      <c r="G56" s="88"/>
      <c r="H56" s="88"/>
      <c r="I56" s="263"/>
      <c r="J56" s="264"/>
      <c r="K56" s="76"/>
      <c r="L56" s="66"/>
      <c r="M56" s="66"/>
      <c r="N56" s="66"/>
      <c r="O56" s="66"/>
      <c r="P56" s="66"/>
      <c r="Q56" s="66"/>
    </row>
    <row r="57" spans="1:17" hidden="1" outlineLevel="1" x14ac:dyDescent="0.3">
      <c r="A57" s="16"/>
      <c r="C57" s="16"/>
      <c r="D57" s="21" t="s">
        <v>235</v>
      </c>
      <c r="E57" s="192"/>
      <c r="F57" s="260" t="s">
        <v>81</v>
      </c>
      <c r="G57" s="88"/>
      <c r="H57" s="88"/>
      <c r="I57" s="263"/>
      <c r="J57" s="264"/>
      <c r="K57" s="76"/>
      <c r="L57" s="66"/>
      <c r="M57" s="66"/>
      <c r="N57" s="66"/>
      <c r="O57" s="66"/>
      <c r="P57" s="66"/>
      <c r="Q57" s="66"/>
    </row>
    <row r="58" spans="1:17" hidden="1" outlineLevel="1" x14ac:dyDescent="0.3">
      <c r="A58" s="16"/>
      <c r="C58" s="16"/>
      <c r="D58" s="133" t="s">
        <v>229</v>
      </c>
      <c r="E58" s="192"/>
      <c r="F58" s="260" t="s">
        <v>81</v>
      </c>
      <c r="G58" s="88"/>
      <c r="H58" s="88"/>
      <c r="I58" s="263"/>
      <c r="J58" s="264"/>
      <c r="K58" s="76"/>
      <c r="L58" s="66"/>
      <c r="M58" s="66"/>
      <c r="N58" s="66"/>
      <c r="O58" s="66"/>
      <c r="P58" s="66"/>
      <c r="Q58" s="66"/>
    </row>
    <row r="59" spans="1:17" hidden="1" outlineLevel="1" x14ac:dyDescent="0.3">
      <c r="A59" s="16"/>
      <c r="C59" s="16"/>
      <c r="D59" s="133" t="s">
        <v>232</v>
      </c>
      <c r="E59" s="192"/>
      <c r="F59" s="260" t="s">
        <v>81</v>
      </c>
      <c r="G59" s="88"/>
      <c r="H59" s="88"/>
      <c r="I59" s="263"/>
      <c r="J59" s="264"/>
      <c r="K59" s="76"/>
      <c r="L59" s="66"/>
      <c r="M59" s="66"/>
      <c r="N59" s="66"/>
      <c r="O59" s="66"/>
      <c r="P59" s="66"/>
      <c r="Q59" s="66"/>
    </row>
    <row r="60" spans="1:17" hidden="1" outlineLevel="1" x14ac:dyDescent="0.3">
      <c r="A60" s="16"/>
      <c r="B60" s="16"/>
      <c r="C60" s="16"/>
      <c r="D60" s="133"/>
      <c r="E60" s="123"/>
      <c r="F60" s="11"/>
      <c r="G60" s="88"/>
      <c r="H60" s="88"/>
      <c r="I60" s="263"/>
      <c r="J60" s="264"/>
      <c r="K60" s="76"/>
      <c r="L60" s="66"/>
      <c r="M60" s="66"/>
      <c r="N60" s="66"/>
      <c r="O60" s="66"/>
      <c r="P60" s="66"/>
      <c r="Q60" s="66"/>
    </row>
    <row r="61" spans="1:17" hidden="1" outlineLevel="1" x14ac:dyDescent="0.3">
      <c r="A61" s="16"/>
      <c r="B61" s="16"/>
      <c r="C61" s="16"/>
      <c r="D61" s="21" t="s">
        <v>238</v>
      </c>
      <c r="E61" s="192"/>
      <c r="F61" s="260" t="s">
        <v>81</v>
      </c>
      <c r="G61" s="88"/>
      <c r="H61" s="88"/>
      <c r="I61" s="263"/>
      <c r="J61" s="264"/>
      <c r="K61" s="76"/>
      <c r="L61" s="66"/>
      <c r="M61" s="66"/>
      <c r="N61" s="66"/>
      <c r="O61" s="66"/>
      <c r="P61" s="66"/>
      <c r="Q61" s="66"/>
    </row>
    <row r="62" spans="1:17" x14ac:dyDescent="0.3">
      <c r="A62" s="16"/>
      <c r="B62" s="16" t="s">
        <v>239</v>
      </c>
      <c r="C62" s="16"/>
      <c r="E62" s="123"/>
      <c r="F62" s="11"/>
      <c r="G62" s="88"/>
      <c r="H62" s="88"/>
      <c r="I62" s="263"/>
      <c r="J62" s="264"/>
      <c r="K62" s="76"/>
      <c r="L62" s="66"/>
      <c r="M62" s="66"/>
      <c r="N62" s="66"/>
      <c r="O62" s="66"/>
      <c r="P62" s="66"/>
      <c r="Q62" s="66"/>
    </row>
    <row r="63" spans="1:17" x14ac:dyDescent="0.3">
      <c r="A63" s="16"/>
      <c r="B63" s="16"/>
      <c r="C63" s="16"/>
      <c r="E63" s="123"/>
      <c r="F63" s="11"/>
      <c r="G63" s="88"/>
      <c r="H63" s="88"/>
      <c r="I63" s="263"/>
      <c r="J63" s="264"/>
      <c r="K63" s="76"/>
      <c r="L63" s="66"/>
      <c r="M63" s="66"/>
      <c r="N63" s="66"/>
      <c r="O63" s="66"/>
      <c r="P63" s="66"/>
      <c r="Q63" s="66"/>
    </row>
    <row r="64" spans="1:17" x14ac:dyDescent="0.3">
      <c r="B64" s="128" t="s">
        <v>18</v>
      </c>
      <c r="D64" s="133"/>
      <c r="E64" s="7"/>
      <c r="I64" s="22"/>
      <c r="J64" s="71"/>
      <c r="K64" s="76"/>
      <c r="L64" s="66"/>
      <c r="M64" s="66"/>
      <c r="N64" s="66"/>
      <c r="O64" s="66"/>
      <c r="P64" s="66"/>
      <c r="Q64" s="66"/>
    </row>
    <row r="65" spans="3:17" outlineLevel="1" x14ac:dyDescent="0.3">
      <c r="C65" s="128" t="s">
        <v>146</v>
      </c>
      <c r="D65" s="133"/>
      <c r="E65" s="7"/>
      <c r="I65" s="22"/>
      <c r="J65" s="71"/>
      <c r="K65" s="76"/>
      <c r="L65" s="66"/>
      <c r="M65" s="66"/>
      <c r="N65" s="66"/>
      <c r="O65" s="66"/>
      <c r="P65" s="66"/>
      <c r="Q65" s="66"/>
    </row>
    <row r="66" spans="3:17" outlineLevel="1" x14ac:dyDescent="0.3">
      <c r="D66" s="133" t="s">
        <v>437</v>
      </c>
      <c r="E66" s="12">
        <v>180.6</v>
      </c>
      <c r="F66" s="257" t="s">
        <v>29</v>
      </c>
      <c r="I66" s="22"/>
      <c r="J66" s="71"/>
      <c r="K66" s="76"/>
      <c r="L66" s="66"/>
      <c r="M66" s="66"/>
      <c r="N66" s="66"/>
      <c r="O66" s="66"/>
      <c r="P66" s="66"/>
      <c r="Q66" s="66"/>
    </row>
    <row r="67" spans="3:17" outlineLevel="1" x14ac:dyDescent="0.3">
      <c r="D67" s="133" t="s">
        <v>438</v>
      </c>
      <c r="E67" s="12">
        <v>90.3</v>
      </c>
      <c r="F67" s="257" t="s">
        <v>436</v>
      </c>
      <c r="I67" s="22"/>
      <c r="J67" s="71"/>
      <c r="K67" s="76"/>
      <c r="L67" s="66"/>
      <c r="M67" s="66"/>
      <c r="N67" s="66"/>
      <c r="O67" s="66"/>
      <c r="P67" s="66"/>
      <c r="Q67" s="66"/>
    </row>
    <row r="68" spans="3:17" outlineLevel="1" x14ac:dyDescent="0.3">
      <c r="D68" s="133"/>
      <c r="E68" s="170"/>
      <c r="F68" s="11"/>
      <c r="I68" s="22"/>
      <c r="J68" s="71"/>
      <c r="K68" s="76"/>
      <c r="L68" s="66"/>
      <c r="M68" s="66"/>
      <c r="N68" s="66"/>
      <c r="O68" s="66"/>
      <c r="P68" s="66"/>
      <c r="Q68" s="66"/>
    </row>
    <row r="69" spans="3:17" outlineLevel="1" x14ac:dyDescent="0.3">
      <c r="D69" s="133" t="s">
        <v>32</v>
      </c>
      <c r="E69" s="12">
        <v>6.2</v>
      </c>
      <c r="F69" s="257" t="s">
        <v>436</v>
      </c>
      <c r="I69" s="22"/>
      <c r="J69" s="71"/>
      <c r="K69" s="76"/>
      <c r="L69" s="66"/>
      <c r="M69" s="66"/>
      <c r="N69" s="66"/>
      <c r="O69" s="66"/>
      <c r="P69" s="66"/>
      <c r="Q69" s="66"/>
    </row>
    <row r="70" spans="3:17" outlineLevel="1" x14ac:dyDescent="0.3">
      <c r="D70" s="133" t="s">
        <v>33</v>
      </c>
      <c r="E70" s="12">
        <f>ROUNDUP(E67/E69,0)</f>
        <v>15</v>
      </c>
      <c r="F70" s="257" t="s">
        <v>34</v>
      </c>
      <c r="I70" s="22"/>
      <c r="J70" s="71"/>
      <c r="K70" s="76"/>
      <c r="L70" s="66"/>
      <c r="M70" s="66"/>
      <c r="N70" s="66"/>
      <c r="O70" s="66"/>
      <c r="P70" s="66"/>
      <c r="Q70" s="66"/>
    </row>
    <row r="71" spans="3:17" outlineLevel="1" x14ac:dyDescent="0.3">
      <c r="D71" s="133"/>
      <c r="I71" s="22"/>
      <c r="J71" s="71"/>
      <c r="K71" s="76"/>
      <c r="L71" s="66"/>
      <c r="M71" s="66"/>
      <c r="N71" s="66"/>
      <c r="O71" s="66"/>
      <c r="P71" s="66"/>
      <c r="Q71" s="66"/>
    </row>
    <row r="72" spans="3:17" outlineLevel="1" x14ac:dyDescent="0.3">
      <c r="D72" s="133" t="s">
        <v>35</v>
      </c>
      <c r="E72" s="14">
        <v>0.36271325902684531</v>
      </c>
      <c r="F72" s="257" t="s">
        <v>31</v>
      </c>
      <c r="I72" s="22"/>
      <c r="J72" s="71"/>
      <c r="K72" s="76"/>
      <c r="L72" s="66"/>
      <c r="M72" s="66"/>
      <c r="N72" s="66"/>
      <c r="O72" s="66"/>
      <c r="P72" s="66"/>
      <c r="Q72" s="66"/>
    </row>
    <row r="73" spans="3:17" outlineLevel="1" x14ac:dyDescent="0.3">
      <c r="D73" s="133" t="s">
        <v>140</v>
      </c>
      <c r="E73" s="14">
        <v>0.9</v>
      </c>
      <c r="F73" s="257" t="s">
        <v>31</v>
      </c>
      <c r="I73" s="22"/>
      <c r="J73" s="71"/>
      <c r="K73" s="76"/>
      <c r="L73" s="66"/>
      <c r="M73" s="66"/>
      <c r="N73" s="66"/>
      <c r="O73" s="66"/>
      <c r="P73" s="66"/>
      <c r="Q73" s="66"/>
    </row>
    <row r="74" spans="3:17" outlineLevel="1" x14ac:dyDescent="0.3">
      <c r="D74" s="133" t="s">
        <v>141</v>
      </c>
      <c r="E74" s="14">
        <f>E72*E73</f>
        <v>0.32644193312416081</v>
      </c>
      <c r="F74" s="257" t="s">
        <v>31</v>
      </c>
      <c r="I74" s="22"/>
      <c r="J74" s="71"/>
      <c r="K74" s="76"/>
      <c r="L74" s="66"/>
      <c r="M74" s="66"/>
      <c r="N74" s="66"/>
      <c r="O74" s="66"/>
      <c r="P74" s="66"/>
      <c r="Q74" s="66"/>
    </row>
    <row r="75" spans="3:17" outlineLevel="1" x14ac:dyDescent="0.3">
      <c r="D75" s="133"/>
      <c r="I75" s="22"/>
      <c r="J75" s="71"/>
      <c r="K75" s="76"/>
      <c r="L75" s="66"/>
      <c r="M75" s="66"/>
      <c r="N75" s="66"/>
      <c r="O75" s="66"/>
      <c r="P75" s="66"/>
      <c r="Q75" s="66"/>
    </row>
    <row r="76" spans="3:17" outlineLevel="1" x14ac:dyDescent="0.3">
      <c r="D76" s="133" t="s">
        <v>142</v>
      </c>
      <c r="E76" s="92">
        <f>E69*E70*8760*E72</f>
        <v>295495.23786399036</v>
      </c>
      <c r="F76" s="257" t="s">
        <v>14</v>
      </c>
      <c r="I76" s="22"/>
      <c r="J76" s="71"/>
      <c r="K76" s="76"/>
      <c r="L76" s="66"/>
      <c r="M76" s="66"/>
      <c r="N76" s="66"/>
      <c r="O76" s="66"/>
      <c r="P76" s="66"/>
      <c r="Q76" s="66"/>
    </row>
    <row r="77" spans="3:17" outlineLevel="1" x14ac:dyDescent="0.3">
      <c r="D77" s="133" t="s">
        <v>143</v>
      </c>
      <c r="E77" s="92">
        <f>E69*E70*8760*E74</f>
        <v>265945.71407759131</v>
      </c>
      <c r="F77" s="257" t="s">
        <v>14</v>
      </c>
      <c r="I77" s="22"/>
      <c r="J77" s="71"/>
      <c r="K77" s="76"/>
      <c r="L77" s="66"/>
      <c r="M77" s="66"/>
      <c r="N77" s="66"/>
      <c r="O77" s="66"/>
      <c r="P77" s="66"/>
      <c r="Q77" s="66"/>
    </row>
    <row r="78" spans="3:17" outlineLevel="1" x14ac:dyDescent="0.3">
      <c r="D78" s="133"/>
      <c r="I78" s="22"/>
      <c r="J78" s="71"/>
      <c r="K78" s="76"/>
      <c r="L78" s="66"/>
      <c r="M78" s="66"/>
      <c r="N78" s="66"/>
      <c r="O78" s="66"/>
      <c r="P78" s="66"/>
      <c r="Q78" s="66"/>
    </row>
    <row r="79" spans="3:17" outlineLevel="1" x14ac:dyDescent="0.3">
      <c r="C79" s="128" t="s">
        <v>145</v>
      </c>
      <c r="D79" s="133"/>
      <c r="E79" s="15"/>
      <c r="F79" s="11"/>
      <c r="I79" s="22"/>
      <c r="J79" s="71"/>
      <c r="K79" s="76"/>
      <c r="L79" s="66"/>
      <c r="M79" s="66"/>
      <c r="N79" s="66"/>
      <c r="O79" s="66"/>
      <c r="P79" s="66"/>
      <c r="Q79" s="66"/>
    </row>
    <row r="80" spans="3:17" outlineLevel="1" x14ac:dyDescent="0.3">
      <c r="D80" s="133" t="s">
        <v>36</v>
      </c>
      <c r="E80" s="14">
        <v>0.14943303749247056</v>
      </c>
      <c r="F80" s="257" t="s">
        <v>31</v>
      </c>
      <c r="I80" s="22"/>
      <c r="J80" s="71"/>
      <c r="K80" s="76"/>
      <c r="L80" s="66"/>
      <c r="M80" s="66"/>
      <c r="N80" s="66"/>
      <c r="O80" s="66"/>
      <c r="P80" s="66"/>
      <c r="Q80" s="66"/>
    </row>
    <row r="81" spans="2:17" outlineLevel="1" x14ac:dyDescent="0.3">
      <c r="D81" s="133" t="s">
        <v>37</v>
      </c>
      <c r="E81" s="14">
        <v>9.0790852640398323E-2</v>
      </c>
      <c r="F81" s="257" t="s">
        <v>31</v>
      </c>
      <c r="I81" s="22"/>
      <c r="J81" s="71"/>
      <c r="K81" s="76"/>
      <c r="L81" s="66"/>
      <c r="M81" s="66"/>
      <c r="N81" s="66"/>
      <c r="O81" s="66"/>
      <c r="P81" s="66"/>
      <c r="Q81" s="66"/>
    </row>
    <row r="82" spans="2:17" outlineLevel="1" x14ac:dyDescent="0.3">
      <c r="D82" s="133" t="s">
        <v>38</v>
      </c>
      <c r="E82" s="14">
        <v>4.7475631425133447E-2</v>
      </c>
      <c r="F82" s="257" t="s">
        <v>31</v>
      </c>
      <c r="I82" s="22"/>
      <c r="J82" s="71"/>
      <c r="K82" s="76"/>
      <c r="L82" s="66"/>
      <c r="M82" s="66"/>
      <c r="N82" s="66"/>
      <c r="O82" s="66"/>
      <c r="P82" s="66"/>
      <c r="Q82" s="66"/>
    </row>
    <row r="83" spans="2:17" outlineLevel="1" x14ac:dyDescent="0.3">
      <c r="D83" s="133" t="s">
        <v>39</v>
      </c>
      <c r="E83" s="14">
        <v>7.7293669922446517E-2</v>
      </c>
      <c r="F83" s="257" t="s">
        <v>31</v>
      </c>
      <c r="I83" s="22"/>
      <c r="J83" s="71"/>
      <c r="K83" s="76"/>
      <c r="L83" s="66"/>
      <c r="M83" s="66"/>
      <c r="N83" s="66"/>
      <c r="O83" s="66"/>
      <c r="P83" s="66"/>
      <c r="Q83" s="66"/>
    </row>
    <row r="84" spans="2:17" outlineLevel="1" x14ac:dyDescent="0.3">
      <c r="D84" s="133" t="s">
        <v>40</v>
      </c>
      <c r="E84" s="14">
        <v>6.9752354013231821E-2</v>
      </c>
      <c r="F84" s="257" t="s">
        <v>31</v>
      </c>
      <c r="I84" s="22"/>
      <c r="J84" s="71"/>
      <c r="K84" s="76"/>
      <c r="L84" s="66"/>
      <c r="M84" s="66"/>
      <c r="N84" s="66"/>
      <c r="O84" s="66"/>
      <c r="P84" s="66"/>
      <c r="Q84" s="66"/>
    </row>
    <row r="85" spans="2:17" outlineLevel="1" x14ac:dyDescent="0.3">
      <c r="D85" s="133" t="s">
        <v>41</v>
      </c>
      <c r="E85" s="14">
        <v>8.5518764512428111E-2</v>
      </c>
      <c r="F85" s="257" t="s">
        <v>31</v>
      </c>
      <c r="I85" s="22"/>
      <c r="J85" s="71"/>
      <c r="K85" s="76"/>
      <c r="L85" s="66"/>
      <c r="M85" s="66"/>
      <c r="N85" s="66"/>
      <c r="O85" s="66"/>
      <c r="P85" s="66"/>
      <c r="Q85" s="66"/>
    </row>
    <row r="86" spans="2:17" outlineLevel="1" x14ac:dyDescent="0.3">
      <c r="D86" s="133" t="s">
        <v>42</v>
      </c>
      <c r="E86" s="14">
        <v>9.3960635898245312E-2</v>
      </c>
      <c r="F86" s="257" t="s">
        <v>31</v>
      </c>
      <c r="I86" s="22"/>
      <c r="J86" s="71"/>
      <c r="K86" s="76"/>
      <c r="L86" s="66"/>
      <c r="M86" s="66"/>
      <c r="N86" s="66"/>
      <c r="O86" s="66"/>
      <c r="P86" s="66"/>
      <c r="Q86" s="66"/>
    </row>
    <row r="87" spans="2:17" outlineLevel="1" x14ac:dyDescent="0.3">
      <c r="D87" s="133" t="s">
        <v>43</v>
      </c>
      <c r="E87" s="14">
        <v>7.6935613906988026E-2</v>
      </c>
      <c r="F87" s="257" t="s">
        <v>31</v>
      </c>
      <c r="I87" s="22"/>
      <c r="J87" s="71"/>
      <c r="K87" s="76"/>
      <c r="L87" s="66"/>
      <c r="M87" s="66"/>
      <c r="N87" s="66"/>
      <c r="O87" s="66"/>
      <c r="P87" s="66"/>
      <c r="Q87" s="66"/>
    </row>
    <row r="88" spans="2:17" outlineLevel="1" x14ac:dyDescent="0.3">
      <c r="D88" s="133" t="s">
        <v>44</v>
      </c>
      <c r="E88" s="14">
        <v>4.4893940837694241E-2</v>
      </c>
      <c r="F88" s="257" t="s">
        <v>31</v>
      </c>
      <c r="I88" s="22"/>
      <c r="J88" s="71"/>
      <c r="K88" s="76"/>
      <c r="L88" s="66"/>
      <c r="M88" s="66"/>
      <c r="N88" s="66"/>
      <c r="O88" s="66"/>
      <c r="P88" s="66"/>
      <c r="Q88" s="66"/>
    </row>
    <row r="89" spans="2:17" outlineLevel="1" x14ac:dyDescent="0.3">
      <c r="D89" s="133" t="s">
        <v>45</v>
      </c>
      <c r="E89" s="27">
        <v>6.632477998090984E-2</v>
      </c>
      <c r="F89" s="261" t="s">
        <v>31</v>
      </c>
      <c r="I89" s="22"/>
      <c r="J89" s="71"/>
      <c r="K89" s="76"/>
      <c r="L89" s="66"/>
      <c r="M89" s="66"/>
      <c r="N89" s="66"/>
      <c r="O89" s="66"/>
      <c r="P89" s="66"/>
      <c r="Q89" s="66"/>
    </row>
    <row r="90" spans="2:17" outlineLevel="1" x14ac:dyDescent="0.3">
      <c r="D90" s="133" t="s">
        <v>46</v>
      </c>
      <c r="E90" s="27">
        <v>9.3288763217102874E-2</v>
      </c>
      <c r="F90" s="261" t="s">
        <v>31</v>
      </c>
      <c r="I90" s="22"/>
      <c r="J90" s="71"/>
      <c r="K90" s="76"/>
      <c r="L90" s="66"/>
      <c r="M90" s="66"/>
      <c r="N90" s="66"/>
      <c r="O90" s="66"/>
      <c r="P90" s="66"/>
      <c r="Q90" s="66"/>
    </row>
    <row r="91" spans="2:17" outlineLevel="1" x14ac:dyDescent="0.3">
      <c r="D91" s="133" t="s">
        <v>47</v>
      </c>
      <c r="E91" s="27">
        <v>0.10433195615295086</v>
      </c>
      <c r="F91" s="261" t="s">
        <v>31</v>
      </c>
      <c r="I91" s="22"/>
      <c r="J91" s="71"/>
      <c r="K91" s="76"/>
      <c r="L91" s="66"/>
      <c r="M91" s="66"/>
      <c r="N91" s="66"/>
      <c r="O91" s="66"/>
      <c r="P91" s="66"/>
      <c r="Q91" s="66"/>
    </row>
    <row r="92" spans="2:17" x14ac:dyDescent="0.3">
      <c r="B92" s="128" t="s">
        <v>243</v>
      </c>
      <c r="D92" s="133"/>
      <c r="E92" s="145"/>
      <c r="F92" s="88"/>
      <c r="I92" s="22"/>
      <c r="J92" s="71"/>
      <c r="K92" s="76"/>
      <c r="L92" s="66"/>
      <c r="M92" s="66"/>
      <c r="N92" s="66"/>
      <c r="O92" s="66"/>
      <c r="P92" s="66"/>
      <c r="Q92" s="66"/>
    </row>
    <row r="93" spans="2:17" x14ac:dyDescent="0.3">
      <c r="D93" s="133"/>
      <c r="I93" s="22"/>
      <c r="J93" s="71"/>
      <c r="K93" s="76"/>
      <c r="L93" s="66"/>
      <c r="M93" s="66"/>
      <c r="N93" s="66"/>
      <c r="O93" s="66"/>
      <c r="P93" s="66"/>
      <c r="Q93" s="66"/>
    </row>
    <row r="94" spans="2:17" collapsed="1" x14ac:dyDescent="0.3">
      <c r="B94" s="128" t="s">
        <v>20</v>
      </c>
      <c r="C94" s="21"/>
      <c r="D94" s="133"/>
      <c r="I94" s="22"/>
      <c r="J94" s="71"/>
      <c r="K94" s="76"/>
      <c r="L94" s="66"/>
      <c r="M94" s="66"/>
      <c r="N94" s="66"/>
      <c r="O94" s="66"/>
      <c r="P94" s="66"/>
      <c r="Q94" s="66"/>
    </row>
    <row r="95" spans="2:17" hidden="1" outlineLevel="1" x14ac:dyDescent="0.3">
      <c r="D95" s="133" t="s">
        <v>130</v>
      </c>
      <c r="E95" s="83">
        <v>63.05</v>
      </c>
      <c r="F95" s="257" t="s">
        <v>15</v>
      </c>
      <c r="I95" s="22"/>
      <c r="J95" s="71"/>
      <c r="K95" s="76"/>
      <c r="L95" s="66"/>
      <c r="M95" s="66"/>
      <c r="N95" s="66"/>
      <c r="O95" s="66"/>
      <c r="P95" s="66"/>
      <c r="Q95" s="66"/>
    </row>
    <row r="96" spans="2:17" hidden="1" outlineLevel="1" x14ac:dyDescent="0.3">
      <c r="D96" s="133" t="s">
        <v>131</v>
      </c>
      <c r="E96" s="26">
        <v>10</v>
      </c>
      <c r="F96" s="257" t="s">
        <v>132</v>
      </c>
      <c r="I96" s="22"/>
      <c r="J96" s="71"/>
      <c r="K96" s="76"/>
      <c r="L96" s="66"/>
      <c r="M96" s="66"/>
      <c r="N96" s="66"/>
      <c r="O96" s="66"/>
      <c r="P96" s="66"/>
      <c r="Q96" s="66"/>
    </row>
    <row r="97" spans="2:17" hidden="1" outlineLevel="1" x14ac:dyDescent="0.3">
      <c r="D97" s="133" t="s">
        <v>128</v>
      </c>
      <c r="E97" s="83">
        <v>0</v>
      </c>
      <c r="F97" s="257" t="s">
        <v>15</v>
      </c>
      <c r="I97" s="22"/>
      <c r="J97" s="71"/>
      <c r="K97" s="76"/>
      <c r="L97" s="66"/>
      <c r="M97" s="66"/>
      <c r="N97" s="66"/>
      <c r="O97" s="66"/>
      <c r="P97" s="66"/>
      <c r="Q97" s="66"/>
    </row>
    <row r="98" spans="2:17" hidden="1" outlineLevel="1" x14ac:dyDescent="0.3">
      <c r="D98" s="133" t="s">
        <v>129</v>
      </c>
      <c r="E98" s="26">
        <v>5</v>
      </c>
      <c r="F98" s="257" t="s">
        <v>132</v>
      </c>
      <c r="I98" s="22"/>
      <c r="J98" s="71"/>
      <c r="K98" s="76"/>
      <c r="L98" s="66"/>
      <c r="M98" s="66"/>
      <c r="N98" s="66"/>
      <c r="O98" s="66"/>
      <c r="P98" s="66"/>
      <c r="Q98" s="66"/>
    </row>
    <row r="99" spans="2:17" hidden="1" outlineLevel="1" x14ac:dyDescent="0.3">
      <c r="D99" s="133" t="s">
        <v>3</v>
      </c>
      <c r="E99" s="83">
        <v>65</v>
      </c>
      <c r="F99" s="257" t="s">
        <v>15</v>
      </c>
      <c r="I99" s="22"/>
      <c r="J99" s="71"/>
      <c r="K99" s="76"/>
      <c r="L99" s="66"/>
      <c r="M99" s="66"/>
      <c r="N99" s="66"/>
      <c r="O99" s="66"/>
      <c r="P99" s="66"/>
      <c r="Q99" s="66"/>
    </row>
    <row r="100" spans="2:17" hidden="1" outlineLevel="1" x14ac:dyDescent="0.3">
      <c r="D100" s="133" t="s">
        <v>126</v>
      </c>
      <c r="E100" s="28">
        <v>0.97</v>
      </c>
      <c r="F100" s="257" t="s">
        <v>31</v>
      </c>
      <c r="I100" s="22"/>
      <c r="J100" s="71"/>
      <c r="K100" s="76"/>
      <c r="L100" s="66"/>
      <c r="M100" s="66"/>
      <c r="N100" s="66"/>
      <c r="O100" s="66"/>
      <c r="P100" s="66"/>
      <c r="Q100" s="66"/>
    </row>
    <row r="101" spans="2:17" x14ac:dyDescent="0.3">
      <c r="B101" s="128" t="s">
        <v>242</v>
      </c>
      <c r="D101" s="133"/>
      <c r="E101" s="7"/>
      <c r="I101" s="22"/>
      <c r="J101" s="71"/>
      <c r="K101" s="76"/>
      <c r="L101" s="66"/>
      <c r="M101" s="66"/>
      <c r="N101" s="66"/>
      <c r="O101" s="66"/>
      <c r="P101" s="66"/>
      <c r="Q101" s="66"/>
    </row>
    <row r="102" spans="2:17" x14ac:dyDescent="0.3">
      <c r="D102" s="133"/>
      <c r="E102" s="7"/>
      <c r="I102" s="22"/>
      <c r="J102" s="71"/>
      <c r="K102" s="76"/>
      <c r="L102" s="66"/>
      <c r="M102" s="66"/>
      <c r="N102" s="66"/>
      <c r="O102" s="66"/>
      <c r="P102" s="66"/>
      <c r="Q102" s="66"/>
    </row>
    <row r="103" spans="2:17" collapsed="1" x14ac:dyDescent="0.3">
      <c r="B103" s="128" t="s">
        <v>22</v>
      </c>
      <c r="D103" s="133"/>
      <c r="E103" s="7"/>
      <c r="I103" s="22"/>
      <c r="J103" s="71"/>
      <c r="K103" s="76"/>
      <c r="L103" s="66"/>
      <c r="M103" s="66"/>
      <c r="N103" s="66"/>
      <c r="O103" s="66"/>
      <c r="P103" s="66"/>
      <c r="Q103" s="66"/>
    </row>
    <row r="104" spans="2:17" hidden="1" outlineLevel="1" x14ac:dyDescent="0.3">
      <c r="D104" s="133"/>
      <c r="E104" s="7"/>
      <c r="I104" s="22"/>
      <c r="J104" s="71"/>
      <c r="K104" s="76"/>
      <c r="L104" s="66"/>
      <c r="M104" s="66"/>
      <c r="N104" s="66"/>
      <c r="O104" s="66"/>
      <c r="P104" s="66"/>
      <c r="Q104" s="66"/>
    </row>
    <row r="105" spans="2:17" hidden="1" outlineLevel="1" x14ac:dyDescent="0.3">
      <c r="D105" s="133"/>
      <c r="E105" s="7"/>
      <c r="I105" s="22"/>
      <c r="J105" s="71"/>
      <c r="K105" s="76"/>
      <c r="L105" s="66"/>
      <c r="M105" s="66"/>
      <c r="N105" s="66"/>
      <c r="O105" s="66"/>
      <c r="P105" s="66"/>
      <c r="Q105" s="66"/>
    </row>
    <row r="106" spans="2:17" x14ac:dyDescent="0.3">
      <c r="B106" s="128" t="s">
        <v>249</v>
      </c>
      <c r="D106" s="133"/>
      <c r="E106" s="7"/>
      <c r="I106" s="22"/>
      <c r="J106" s="71"/>
      <c r="K106" s="76"/>
      <c r="L106" s="66"/>
      <c r="M106" s="66"/>
      <c r="N106" s="66"/>
      <c r="O106" s="66"/>
      <c r="P106" s="66"/>
      <c r="Q106" s="66"/>
    </row>
    <row r="107" spans="2:17" x14ac:dyDescent="0.3">
      <c r="D107" s="133"/>
      <c r="E107" s="7"/>
      <c r="I107" s="22"/>
      <c r="J107" s="71"/>
      <c r="K107" s="76"/>
      <c r="L107" s="66"/>
      <c r="M107" s="66"/>
      <c r="N107" s="66"/>
      <c r="O107" s="66"/>
      <c r="P107" s="66"/>
      <c r="Q107" s="66"/>
    </row>
    <row r="108" spans="2:17" collapsed="1" x14ac:dyDescent="0.3">
      <c r="B108" s="128" t="s">
        <v>23</v>
      </c>
      <c r="D108" s="133"/>
      <c r="E108" s="7"/>
      <c r="I108" s="22"/>
      <c r="J108" s="71"/>
      <c r="K108" s="76"/>
      <c r="L108" s="66"/>
      <c r="M108" s="66"/>
      <c r="N108" s="66"/>
      <c r="O108" s="66"/>
      <c r="P108" s="66"/>
      <c r="Q108" s="66"/>
    </row>
    <row r="109" spans="2:17" hidden="1" outlineLevel="1" x14ac:dyDescent="0.3">
      <c r="D109" s="133"/>
      <c r="E109" s="7"/>
      <c r="I109" s="22"/>
      <c r="J109" s="71"/>
      <c r="K109" s="76"/>
      <c r="L109" s="66"/>
      <c r="M109" s="66"/>
      <c r="N109" s="66"/>
      <c r="O109" s="66"/>
      <c r="P109" s="66"/>
      <c r="Q109" s="66"/>
    </row>
    <row r="110" spans="2:17" hidden="1" outlineLevel="1" x14ac:dyDescent="0.3">
      <c r="D110" s="133"/>
      <c r="E110" s="7"/>
      <c r="I110" s="22"/>
      <c r="J110" s="71"/>
      <c r="K110" s="76"/>
      <c r="L110" s="66"/>
      <c r="M110" s="66"/>
      <c r="N110" s="66"/>
      <c r="O110" s="66"/>
      <c r="P110" s="66"/>
      <c r="Q110" s="66"/>
    </row>
    <row r="111" spans="2:17" hidden="1" outlineLevel="1" x14ac:dyDescent="0.3">
      <c r="D111" s="133"/>
      <c r="E111" s="7"/>
      <c r="I111" s="22"/>
      <c r="J111" s="71"/>
      <c r="K111" s="76"/>
      <c r="L111" s="66"/>
      <c r="M111" s="66"/>
      <c r="N111" s="66"/>
      <c r="O111" s="66"/>
      <c r="P111" s="66"/>
      <c r="Q111" s="66"/>
    </row>
    <row r="112" spans="2:17" hidden="1" outlineLevel="1" x14ac:dyDescent="0.3">
      <c r="D112" s="133" t="s">
        <v>431</v>
      </c>
      <c r="E112" s="14">
        <v>0.13500000000000001</v>
      </c>
      <c r="F112" s="257" t="s">
        <v>31</v>
      </c>
      <c r="I112" s="22"/>
      <c r="J112" s="71"/>
      <c r="K112" s="76"/>
      <c r="L112" s="66"/>
      <c r="M112" s="66"/>
      <c r="N112" s="66"/>
      <c r="O112" s="66"/>
      <c r="P112" s="66"/>
      <c r="Q112" s="66"/>
    </row>
    <row r="113" spans="2:395" hidden="1" outlineLevel="1" x14ac:dyDescent="0.3">
      <c r="D113" s="133" t="s">
        <v>432</v>
      </c>
      <c r="E113" s="7"/>
      <c r="I113" s="22"/>
      <c r="J113" s="71"/>
      <c r="K113" s="76"/>
      <c r="L113" s="66"/>
      <c r="M113" s="66"/>
      <c r="N113" s="66"/>
      <c r="O113" s="66"/>
      <c r="P113" s="66"/>
      <c r="Q113" s="66"/>
    </row>
    <row r="114" spans="2:395" hidden="1" outlineLevel="1" x14ac:dyDescent="0.3">
      <c r="D114" s="133"/>
      <c r="E114" s="7"/>
      <c r="I114" s="22"/>
      <c r="J114" s="71"/>
      <c r="K114" s="76"/>
      <c r="L114" s="66"/>
      <c r="M114" s="66"/>
      <c r="N114" s="66"/>
      <c r="O114" s="66"/>
      <c r="P114" s="66"/>
      <c r="Q114" s="66"/>
    </row>
    <row r="115" spans="2:395" hidden="1" outlineLevel="1" x14ac:dyDescent="0.3">
      <c r="D115" s="133"/>
      <c r="E115" s="7"/>
      <c r="I115" s="22"/>
      <c r="J115" s="71"/>
      <c r="K115" s="76"/>
      <c r="L115" s="66"/>
      <c r="M115" s="66"/>
      <c r="N115" s="66"/>
      <c r="O115" s="66"/>
      <c r="P115" s="66"/>
      <c r="Q115" s="66"/>
    </row>
    <row r="116" spans="2:395" x14ac:dyDescent="0.3">
      <c r="B116" s="128" t="s">
        <v>248</v>
      </c>
      <c r="D116" s="133"/>
      <c r="E116" s="7"/>
      <c r="I116" s="22"/>
      <c r="J116" s="71"/>
      <c r="K116" s="76"/>
      <c r="L116" s="66"/>
      <c r="M116" s="66"/>
      <c r="N116" s="66"/>
      <c r="O116" s="66"/>
      <c r="P116" s="66"/>
      <c r="Q116" s="66"/>
    </row>
    <row r="117" spans="2:395" x14ac:dyDescent="0.3">
      <c r="D117" s="133"/>
      <c r="E117" s="7"/>
      <c r="I117" s="22"/>
      <c r="J117" s="71"/>
      <c r="K117" s="76"/>
      <c r="L117" s="66"/>
      <c r="M117" s="66"/>
      <c r="N117" s="66"/>
      <c r="O117" s="66"/>
      <c r="P117" s="66"/>
      <c r="Q117" s="66"/>
    </row>
    <row r="118" spans="2:395" x14ac:dyDescent="0.3">
      <c r="D118" s="133"/>
      <c r="E118" s="7"/>
      <c r="I118" s="22"/>
      <c r="J118" s="71"/>
      <c r="K118" s="76"/>
      <c r="L118" s="66"/>
      <c r="M118" s="66"/>
      <c r="N118" s="66"/>
      <c r="O118" s="66"/>
      <c r="P118" s="66"/>
      <c r="Q118" s="66"/>
    </row>
    <row r="119" spans="2:395" x14ac:dyDescent="0.3">
      <c r="B119" s="128" t="s">
        <v>25</v>
      </c>
      <c r="D119" s="133"/>
      <c r="E119" s="7"/>
      <c r="I119" s="22"/>
      <c r="J119" s="71"/>
      <c r="K119" s="76"/>
      <c r="L119" s="66"/>
      <c r="M119" s="66"/>
      <c r="N119" s="66"/>
      <c r="O119" s="66"/>
      <c r="P119" s="66"/>
      <c r="Q119" s="66"/>
    </row>
    <row r="120" spans="2:395" hidden="1" outlineLevel="1" x14ac:dyDescent="0.3">
      <c r="D120" s="133"/>
      <c r="E120" s="7"/>
      <c r="I120" s="22"/>
      <c r="J120" s="71"/>
      <c r="K120" s="76"/>
      <c r="L120" s="66"/>
      <c r="M120" s="66"/>
      <c r="N120" s="66"/>
      <c r="O120" s="66"/>
      <c r="P120" s="66"/>
      <c r="Q120" s="66"/>
    </row>
    <row r="121" spans="2:395" outlineLevel="1" x14ac:dyDescent="0.3">
      <c r="D121" s="133"/>
      <c r="E121" s="7"/>
      <c r="I121" s="22"/>
      <c r="J121" s="71"/>
      <c r="K121" s="76"/>
      <c r="L121" s="66"/>
      <c r="M121" s="66"/>
      <c r="N121" s="66"/>
      <c r="O121" s="66"/>
      <c r="P121" s="66"/>
      <c r="Q121" s="66"/>
    </row>
    <row r="122" spans="2:395" x14ac:dyDescent="0.3">
      <c r="B122" s="128" t="s">
        <v>246</v>
      </c>
      <c r="D122" s="133"/>
      <c r="E122" s="7"/>
      <c r="I122" s="22"/>
      <c r="J122" s="71"/>
      <c r="K122" s="76"/>
      <c r="L122" s="66"/>
      <c r="M122" s="66"/>
      <c r="N122" s="66"/>
      <c r="O122" s="66"/>
      <c r="P122" s="66"/>
      <c r="Q122" s="66"/>
    </row>
    <row r="123" spans="2:395" x14ac:dyDescent="0.3">
      <c r="D123" s="133"/>
      <c r="E123" s="7"/>
      <c r="I123" s="22"/>
      <c r="J123" s="71"/>
      <c r="K123" s="76"/>
      <c r="L123" s="66"/>
      <c r="M123" s="66"/>
      <c r="N123" s="66"/>
      <c r="O123" s="66"/>
      <c r="P123" s="66"/>
      <c r="Q123" s="287" cm="1">
        <f t="array" ref="Q123:OE123">_xlfn.LET( _xlpm.MonthlyValues,_xlfn.ANCHORARRAY(Q152),
      _xlpm.TimeRulerChoice,    $O$1,
      _xlpm.TimeRulerMonthly,_xlfn.ANCHORARRAY(   $Q$2),
      _xlpm.TimeRulerYearly,_xlfn.ANCHORARRAY(    $Q$3),
      _xlpm.TimeRulerQuarterly,_xlfn.ANCHORARRAY( $Q$4),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556816.62958764553</v>
      </c>
      <c r="AW123">
        <v>789376.97198795353</v>
      </c>
      <c r="AX123">
        <v>707613.83215596073</v>
      </c>
      <c r="AY123">
        <v>1440056.4124531434</v>
      </c>
      <c r="AZ123">
        <v>1299554.3461869673</v>
      </c>
      <c r="BA123">
        <v>1593297.9420534465</v>
      </c>
      <c r="BB123">
        <v>1750578.2346627689</v>
      </c>
      <c r="BC123">
        <v>1433385.4798710085</v>
      </c>
      <c r="BD123">
        <v>836417.87805496564</v>
      </c>
      <c r="BE123">
        <v>1235695.300946191</v>
      </c>
      <c r="BF123">
        <v>1738060.5917069868</v>
      </c>
      <c r="BG123">
        <v>1943806.0404246042</v>
      </c>
      <c r="BH123">
        <v>2784083.1479382282</v>
      </c>
      <c r="BI123">
        <v>1691522.0828313294</v>
      </c>
      <c r="BJ123">
        <v>884517.29019495111</v>
      </c>
      <c r="BK123">
        <v>1440056.4124531434</v>
      </c>
      <c r="BL123">
        <v>1299554.3461869673</v>
      </c>
      <c r="BM123">
        <v>1593297.9420534465</v>
      </c>
      <c r="BN123">
        <v>1750578.2346627689</v>
      </c>
      <c r="BO123">
        <v>1433385.4798710085</v>
      </c>
      <c r="BP123">
        <v>836417.87805496564</v>
      </c>
      <c r="BQ123">
        <v>1235695.300946191</v>
      </c>
      <c r="BR123">
        <v>1738060.5917069868</v>
      </c>
      <c r="BS123">
        <v>1943806.0404246042</v>
      </c>
      <c r="BT123">
        <v>2784083.1479382282</v>
      </c>
      <c r="BU123">
        <v>1691522.0828313294</v>
      </c>
      <c r="BV123">
        <v>884517.29019495111</v>
      </c>
      <c r="BW123">
        <v>1440056.4124531434</v>
      </c>
      <c r="BX123">
        <v>1299554.3461869673</v>
      </c>
      <c r="BY123">
        <v>1593297.9420534465</v>
      </c>
      <c r="BZ123">
        <v>1750578.2346627689</v>
      </c>
      <c r="CA123">
        <v>1433385.4798710085</v>
      </c>
      <c r="CB123">
        <v>836417.87805496564</v>
      </c>
      <c r="CC123">
        <v>1235695.300946191</v>
      </c>
      <c r="CD123">
        <v>1738060.5917069868</v>
      </c>
      <c r="CE123">
        <v>1943806.0404246042</v>
      </c>
      <c r="CF123">
        <v>2784083.1479382282</v>
      </c>
      <c r="CG123">
        <v>1691522.0828313294</v>
      </c>
      <c r="CH123">
        <v>884517.29019495111</v>
      </c>
      <c r="CI123">
        <v>1440056.4124531434</v>
      </c>
      <c r="CJ123">
        <v>1299554.3461869673</v>
      </c>
      <c r="CK123">
        <v>1593297.9420534465</v>
      </c>
      <c r="CL123">
        <v>1750578.2346627689</v>
      </c>
      <c r="CM123">
        <v>1433385.4798710085</v>
      </c>
      <c r="CN123">
        <v>836417.87805496564</v>
      </c>
      <c r="CO123">
        <v>1235695.300946191</v>
      </c>
      <c r="CP123">
        <v>1738060.5917069868</v>
      </c>
      <c r="CQ123">
        <v>1943806.0404246042</v>
      </c>
      <c r="CR123">
        <v>2784083.1479382282</v>
      </c>
      <c r="CS123">
        <v>1691522.0828313294</v>
      </c>
      <c r="CT123">
        <v>884517.29019495111</v>
      </c>
      <c r="CU123">
        <v>1440056.4124531434</v>
      </c>
      <c r="CV123">
        <v>1299554.3461869673</v>
      </c>
      <c r="CW123">
        <v>1593297.9420534465</v>
      </c>
      <c r="CX123">
        <v>1750578.2346627689</v>
      </c>
      <c r="CY123">
        <v>1433385.4798710085</v>
      </c>
      <c r="CZ123">
        <v>836417.87805496564</v>
      </c>
      <c r="DA123">
        <v>1235695.300946191</v>
      </c>
      <c r="DB123">
        <v>1738060.5917069868</v>
      </c>
      <c r="DC123">
        <v>1943806.0404246042</v>
      </c>
      <c r="DD123">
        <v>2784083.1479382282</v>
      </c>
      <c r="DE123">
        <v>1691522.0828313294</v>
      </c>
      <c r="DF123">
        <v>884517.29019495111</v>
      </c>
      <c r="DG123">
        <v>1440056.4124531434</v>
      </c>
      <c r="DH123">
        <v>1299554.3461869673</v>
      </c>
      <c r="DI123">
        <v>1593297.9420534465</v>
      </c>
      <c r="DJ123">
        <v>1750578.2346627689</v>
      </c>
      <c r="DK123">
        <v>1433385.4798710085</v>
      </c>
      <c r="DL123">
        <v>836417.87805496564</v>
      </c>
      <c r="DM123">
        <v>1235695.300946191</v>
      </c>
      <c r="DN123">
        <v>1738060.5917069868</v>
      </c>
      <c r="DO123">
        <v>1943806.0404246042</v>
      </c>
      <c r="DP123">
        <v>2784083.1479382282</v>
      </c>
      <c r="DQ123">
        <v>1691522.0828313294</v>
      </c>
      <c r="DR123">
        <v>884517.29019495111</v>
      </c>
      <c r="DS123">
        <v>1440056.4124531434</v>
      </c>
      <c r="DT123">
        <v>1299554.3461869673</v>
      </c>
      <c r="DU123">
        <v>1593297.9420534465</v>
      </c>
      <c r="DV123">
        <v>1750578.2346627689</v>
      </c>
      <c r="DW123">
        <v>1433385.4798710085</v>
      </c>
      <c r="DX123">
        <v>836417.87805496564</v>
      </c>
      <c r="DY123">
        <v>1235695.300946191</v>
      </c>
      <c r="DZ123">
        <v>1738060.5917069868</v>
      </c>
      <c r="EA123">
        <v>1943806.0404246042</v>
      </c>
      <c r="EB123">
        <v>2784083.1479382282</v>
      </c>
      <c r="EC123">
        <v>1691522.0828313294</v>
      </c>
      <c r="ED123">
        <v>884517.29019495111</v>
      </c>
      <c r="EE123">
        <v>1440056.4124531434</v>
      </c>
      <c r="EF123">
        <v>1299554.3461869673</v>
      </c>
      <c r="EG123">
        <v>1593297.9420534465</v>
      </c>
      <c r="EH123">
        <v>1750578.2346627689</v>
      </c>
      <c r="EI123">
        <v>1433385.4798710085</v>
      </c>
      <c r="EJ123">
        <v>836417.87805496564</v>
      </c>
      <c r="EK123">
        <v>1235695.300946191</v>
      </c>
      <c r="EL123">
        <v>1738060.5917069868</v>
      </c>
      <c r="EM123">
        <v>1943806.0404246042</v>
      </c>
      <c r="EN123">
        <v>2784083.1479382282</v>
      </c>
      <c r="EO123">
        <v>1691522.0828313294</v>
      </c>
      <c r="EP123">
        <v>884517.29019495111</v>
      </c>
      <c r="EQ123">
        <v>1440056.4124531434</v>
      </c>
      <c r="ER123">
        <v>1299554.3461869673</v>
      </c>
      <c r="ES123">
        <v>1593297.9420534465</v>
      </c>
      <c r="ET123">
        <v>1750578.2346627689</v>
      </c>
      <c r="EU123">
        <v>1433385.4798710085</v>
      </c>
      <c r="EV123">
        <v>836417.87805496564</v>
      </c>
      <c r="EW123">
        <v>1235695.300946191</v>
      </c>
      <c r="EX123">
        <v>1738060.5917069868</v>
      </c>
      <c r="EY123">
        <v>1943806.0404246042</v>
      </c>
      <c r="EZ123">
        <v>2784083.1479382282</v>
      </c>
      <c r="FA123">
        <v>1691522.0828313294</v>
      </c>
      <c r="FB123">
        <v>884517.29019495111</v>
      </c>
      <c r="FC123">
        <v>1440056.4124531434</v>
      </c>
      <c r="FD123">
        <v>1299554.3461869673</v>
      </c>
      <c r="FE123">
        <v>1593297.9420534465</v>
      </c>
      <c r="FF123">
        <v>1750578.2346627689</v>
      </c>
      <c r="FG123">
        <v>1433385.4798710085</v>
      </c>
      <c r="FH123">
        <v>836417.87805496564</v>
      </c>
      <c r="FI123">
        <v>1235695.300946191</v>
      </c>
      <c r="FJ123">
        <v>1738060.5917069868</v>
      </c>
      <c r="FK123">
        <v>1943806.0404246042</v>
      </c>
      <c r="FL123">
        <v>2784083.1479382282</v>
      </c>
      <c r="FM123">
        <v>1691522.0828313294</v>
      </c>
      <c r="FN123">
        <v>884517.29019495111</v>
      </c>
      <c r="FO123">
        <v>1440056.4124531434</v>
      </c>
      <c r="FP123">
        <v>1299554.3461869673</v>
      </c>
      <c r="FQ123">
        <v>1593297.9420534465</v>
      </c>
      <c r="FR123">
        <v>1750578.2346627689</v>
      </c>
      <c r="FS123">
        <v>1433385.4798710085</v>
      </c>
      <c r="FT123">
        <v>836417.87805496564</v>
      </c>
      <c r="FU123">
        <v>1235695.300946191</v>
      </c>
      <c r="FV123">
        <v>1738060.5917069868</v>
      </c>
      <c r="FW123">
        <v>1943806.0404246042</v>
      </c>
      <c r="FX123">
        <v>2784083.1479382282</v>
      </c>
      <c r="FY123">
        <v>1691522.0828313294</v>
      </c>
      <c r="FZ123">
        <v>884517.29019495111</v>
      </c>
      <c r="GA123">
        <v>1440056.4124531434</v>
      </c>
      <c r="GB123">
        <v>1299554.3461869673</v>
      </c>
      <c r="GC123">
        <v>1593297.9420534465</v>
      </c>
      <c r="GD123">
        <v>1750578.2346627689</v>
      </c>
      <c r="GE123">
        <v>1433385.4798710085</v>
      </c>
      <c r="GF123">
        <v>836417.87805496564</v>
      </c>
      <c r="GG123">
        <v>1235695.300946191</v>
      </c>
      <c r="GH123">
        <v>1738060.5917069868</v>
      </c>
      <c r="GI123">
        <v>1943806.0404246042</v>
      </c>
      <c r="GJ123">
        <v>2784083.1479382282</v>
      </c>
      <c r="GK123">
        <v>1691522.0828313294</v>
      </c>
      <c r="GL123">
        <v>884517.29019495111</v>
      </c>
      <c r="GM123">
        <v>1440056.4124531434</v>
      </c>
      <c r="GN123">
        <v>1299554.3461869673</v>
      </c>
      <c r="GO123">
        <v>1593297.9420534465</v>
      </c>
      <c r="GP123">
        <v>1750578.2346627689</v>
      </c>
      <c r="GQ123">
        <v>1433385.4798710085</v>
      </c>
      <c r="GR123">
        <v>836417.87805496564</v>
      </c>
      <c r="GS123">
        <v>1235695.300946191</v>
      </c>
      <c r="GT123">
        <v>1738060.5917069868</v>
      </c>
      <c r="GU123">
        <v>1943806.0404246042</v>
      </c>
      <c r="GV123">
        <v>2784083.1479382282</v>
      </c>
      <c r="GW123">
        <v>1691522.0828313294</v>
      </c>
      <c r="GX123">
        <v>884517.29019495111</v>
      </c>
      <c r="GY123">
        <v>1440056.4124531434</v>
      </c>
      <c r="GZ123">
        <v>1299554.3461869673</v>
      </c>
      <c r="HA123">
        <v>1593297.9420534465</v>
      </c>
      <c r="HB123">
        <v>1750578.2346627689</v>
      </c>
      <c r="HC123">
        <v>1433385.4798710085</v>
      </c>
      <c r="HD123">
        <v>836417.87805496564</v>
      </c>
      <c r="HE123">
        <v>1235695.300946191</v>
      </c>
      <c r="HF123">
        <v>1738060.5917069868</v>
      </c>
      <c r="HG123">
        <v>1943806.0404246042</v>
      </c>
      <c r="HH123">
        <v>2784083.1479382282</v>
      </c>
      <c r="HI123">
        <v>1691522.0828313294</v>
      </c>
      <c r="HJ123">
        <v>884517.29019495111</v>
      </c>
      <c r="HK123">
        <v>1440056.4124531434</v>
      </c>
      <c r="HL123">
        <v>1299554.3461869673</v>
      </c>
      <c r="HM123">
        <v>1593297.9420534465</v>
      </c>
      <c r="HN123">
        <v>1750578.2346627689</v>
      </c>
      <c r="HO123">
        <v>1433385.4798710085</v>
      </c>
      <c r="HP123">
        <v>836417.87805496564</v>
      </c>
      <c r="HQ123">
        <v>1235695.300946191</v>
      </c>
      <c r="HR123">
        <v>1738060.5917069868</v>
      </c>
      <c r="HS123">
        <v>1943806.0404246042</v>
      </c>
      <c r="HT123">
        <v>2784083.1479382282</v>
      </c>
      <c r="HU123">
        <v>1691522.0828313294</v>
      </c>
      <c r="HV123">
        <v>884517.29019495111</v>
      </c>
      <c r="HW123">
        <v>1440056.4124531434</v>
      </c>
      <c r="HX123">
        <v>1299554.3461869673</v>
      </c>
      <c r="HY123">
        <v>1593297.9420534465</v>
      </c>
      <c r="HZ123">
        <v>1750578.2346627689</v>
      </c>
      <c r="IA123">
        <v>1433385.4798710085</v>
      </c>
      <c r="IB123">
        <v>836417.87805496564</v>
      </c>
      <c r="IC123">
        <v>1235695.300946191</v>
      </c>
      <c r="ID123">
        <v>1738060.5917069868</v>
      </c>
      <c r="IE123">
        <v>1943806.0404246042</v>
      </c>
      <c r="IF123">
        <v>2784083.1479382282</v>
      </c>
      <c r="IG123">
        <v>1691522.0828313294</v>
      </c>
      <c r="IH123">
        <v>884517.29019495111</v>
      </c>
      <c r="II123">
        <v>1440056.4124531434</v>
      </c>
      <c r="IJ123">
        <v>1299554.3461869673</v>
      </c>
      <c r="IK123">
        <v>1593297.9420534465</v>
      </c>
      <c r="IL123">
        <v>1750578.2346627689</v>
      </c>
      <c r="IM123">
        <v>1433385.4798710085</v>
      </c>
      <c r="IN123">
        <v>836417.87805496564</v>
      </c>
      <c r="IO123">
        <v>1235695.300946191</v>
      </c>
      <c r="IP123">
        <v>1738060.5917069868</v>
      </c>
      <c r="IQ123">
        <v>1943806.0404246042</v>
      </c>
      <c r="IR123">
        <v>2784083.1479382282</v>
      </c>
      <c r="IS123">
        <v>1691522.0828313294</v>
      </c>
      <c r="IT123">
        <v>884517.29019495111</v>
      </c>
      <c r="IU123">
        <v>1440056.4124531434</v>
      </c>
      <c r="IV123">
        <v>1299554.3461869673</v>
      </c>
      <c r="IW123">
        <v>1593297.9420534465</v>
      </c>
      <c r="IX123">
        <v>1750578.2346627689</v>
      </c>
      <c r="IY123">
        <v>1433385.4798710085</v>
      </c>
      <c r="IZ123">
        <v>836417.87805496564</v>
      </c>
      <c r="JA123">
        <v>1235695.300946191</v>
      </c>
      <c r="JB123">
        <v>1738060.5917069868</v>
      </c>
      <c r="JC123">
        <v>1943806.0404246042</v>
      </c>
      <c r="JD123">
        <v>2784083.1479382282</v>
      </c>
      <c r="JE123">
        <v>1691522.0828313294</v>
      </c>
      <c r="JF123">
        <v>884517.29019495111</v>
      </c>
      <c r="JG123">
        <v>1440056.4124531434</v>
      </c>
      <c r="JH123">
        <v>1299554.3461869673</v>
      </c>
      <c r="JI123">
        <v>1593297.9420534465</v>
      </c>
      <c r="JJ123">
        <v>1750578.2346627689</v>
      </c>
      <c r="JK123">
        <v>1433385.4798710085</v>
      </c>
      <c r="JL123">
        <v>836417.87805496564</v>
      </c>
      <c r="JM123">
        <v>1235695.300946191</v>
      </c>
      <c r="JN123">
        <v>1738060.5917069868</v>
      </c>
      <c r="JO123">
        <v>1943806.0404246042</v>
      </c>
      <c r="JP123">
        <v>2784083.1479382282</v>
      </c>
      <c r="JQ123">
        <v>1691522.0828313294</v>
      </c>
      <c r="JR123">
        <v>884517.29019495111</v>
      </c>
      <c r="JS123">
        <v>1440056.4124531434</v>
      </c>
      <c r="JT123">
        <v>1299554.3461869673</v>
      </c>
      <c r="JU123">
        <v>1593297.9420534465</v>
      </c>
      <c r="JV123">
        <v>1750578.2346627689</v>
      </c>
      <c r="JW123">
        <v>1433385.4798710085</v>
      </c>
      <c r="JX123">
        <v>836417.87805496564</v>
      </c>
      <c r="JY123">
        <v>1235695.300946191</v>
      </c>
      <c r="JZ123">
        <v>1738060.5917069868</v>
      </c>
      <c r="KA123">
        <v>1943806.0404246042</v>
      </c>
      <c r="KB123">
        <v>2784083.1479382282</v>
      </c>
      <c r="KC123">
        <v>1691522.0828313294</v>
      </c>
      <c r="KD123">
        <v>884517.29019495111</v>
      </c>
      <c r="KE123">
        <v>1440056.4124531434</v>
      </c>
      <c r="KF123">
        <v>1299554.3461869673</v>
      </c>
      <c r="KG123">
        <v>1593297.9420534465</v>
      </c>
      <c r="KH123">
        <v>1750578.2346627689</v>
      </c>
      <c r="KI123">
        <v>1433385.4798710085</v>
      </c>
      <c r="KJ123">
        <v>836417.87805496564</v>
      </c>
      <c r="KK123">
        <v>1235695.300946191</v>
      </c>
      <c r="KL123">
        <v>1738060.5917069868</v>
      </c>
      <c r="KM123">
        <v>1943806.0404246042</v>
      </c>
      <c r="KN123">
        <v>2784083.1479382282</v>
      </c>
      <c r="KO123">
        <v>1691522.0828313294</v>
      </c>
      <c r="KP123">
        <v>884517.29019495111</v>
      </c>
      <c r="KQ123">
        <v>1440056.4124531434</v>
      </c>
      <c r="KR123">
        <v>1299554.3461869673</v>
      </c>
      <c r="KS123">
        <v>1593297.9420534465</v>
      </c>
      <c r="KT123">
        <v>1750578.2346627689</v>
      </c>
      <c r="KU123">
        <v>1433385.4798710085</v>
      </c>
      <c r="KV123">
        <v>836417.87805496564</v>
      </c>
      <c r="KW123">
        <v>1235695.300946191</v>
      </c>
      <c r="KX123">
        <v>1738060.5917069868</v>
      </c>
      <c r="KY123">
        <v>1943806.0404246042</v>
      </c>
      <c r="KZ123">
        <v>2784083.1479382282</v>
      </c>
      <c r="LA123">
        <v>1691522.0828313294</v>
      </c>
      <c r="LB123">
        <v>884517.29019495111</v>
      </c>
      <c r="LC123">
        <v>1440056.4124531434</v>
      </c>
      <c r="LD123">
        <v>1299554.3461869673</v>
      </c>
      <c r="LE123">
        <v>1593297.9420534465</v>
      </c>
      <c r="LF123">
        <v>1750578.2346627689</v>
      </c>
      <c r="LG123">
        <v>1433385.4798710085</v>
      </c>
      <c r="LH123">
        <v>836417.87805496564</v>
      </c>
      <c r="LI123">
        <v>1235695.300946191</v>
      </c>
      <c r="LJ123">
        <v>1738060.5917069868</v>
      </c>
      <c r="LK123">
        <v>1943806.0404246042</v>
      </c>
      <c r="LL123">
        <v>2784083.1479382282</v>
      </c>
      <c r="LM123">
        <v>1691522.0828313294</v>
      </c>
      <c r="LN123">
        <v>884517.29019495111</v>
      </c>
      <c r="LO123">
        <v>1440056.4124531434</v>
      </c>
      <c r="LP123">
        <v>1299554.3461869673</v>
      </c>
      <c r="LQ123">
        <v>1593297.9420534465</v>
      </c>
      <c r="LR123">
        <v>1750578.2346627689</v>
      </c>
      <c r="LS123">
        <v>1433385.4798710085</v>
      </c>
      <c r="LT123">
        <v>836417.87805496564</v>
      </c>
      <c r="LU123">
        <v>1235695.300946191</v>
      </c>
      <c r="LV123">
        <v>1738060.5917069868</v>
      </c>
      <c r="LW123">
        <v>1943806.0404246042</v>
      </c>
      <c r="LX123">
        <v>2784083.1479382282</v>
      </c>
      <c r="LY123">
        <v>1691522.0828313294</v>
      </c>
      <c r="LZ123">
        <v>884517.29019495111</v>
      </c>
      <c r="MA123">
        <v>1440056.4124531434</v>
      </c>
      <c r="MB123">
        <v>1299554.3461869673</v>
      </c>
      <c r="MC123">
        <v>1593297.9420534465</v>
      </c>
      <c r="MD123">
        <v>1750578.2346627689</v>
      </c>
      <c r="ME123">
        <v>1433385.4798710085</v>
      </c>
      <c r="MF123">
        <v>836417.87805496564</v>
      </c>
      <c r="MG123">
        <v>1235695.300946191</v>
      </c>
      <c r="MH123">
        <v>1738060.5917069868</v>
      </c>
      <c r="MI123">
        <v>1943806.0404246042</v>
      </c>
      <c r="MJ123">
        <v>2784083.1479382282</v>
      </c>
      <c r="MK123">
        <v>1691522.0828313294</v>
      </c>
      <c r="ML123">
        <v>884517.29019495111</v>
      </c>
      <c r="MM123">
        <v>1440056.4124531434</v>
      </c>
      <c r="MN123">
        <v>1299554.3461869673</v>
      </c>
      <c r="MO123">
        <v>1593297.9420534465</v>
      </c>
      <c r="MP123">
        <v>1750578.2346627689</v>
      </c>
      <c r="MQ123">
        <v>1433385.4798710085</v>
      </c>
      <c r="MR123">
        <v>836417.87805496564</v>
      </c>
      <c r="MS123">
        <v>1235695.300946191</v>
      </c>
      <c r="MT123">
        <v>1738060.5917069868</v>
      </c>
      <c r="MU123">
        <v>1943806.0404246042</v>
      </c>
      <c r="MV123">
        <v>2784083.1479382282</v>
      </c>
      <c r="MW123">
        <v>1691522.0828313294</v>
      </c>
      <c r="MX123">
        <v>884517.29019495111</v>
      </c>
      <c r="MY123">
        <v>1440056.4124531434</v>
      </c>
      <c r="MZ123">
        <v>1299554.3461869673</v>
      </c>
      <c r="NA123">
        <v>1593297.9420534465</v>
      </c>
      <c r="NB123">
        <v>1750578.2346627689</v>
      </c>
      <c r="NC123">
        <v>1433385.4798710085</v>
      </c>
      <c r="ND123">
        <v>836417.87805496564</v>
      </c>
      <c r="NE123">
        <v>1235695.300946191</v>
      </c>
      <c r="NF123">
        <v>1738060.5917069868</v>
      </c>
      <c r="NG123">
        <v>1943806.0404246042</v>
      </c>
      <c r="NH123">
        <v>2784083.1479382282</v>
      </c>
      <c r="NI123">
        <v>1691522.0828313294</v>
      </c>
      <c r="NJ123">
        <v>884517.29019495111</v>
      </c>
      <c r="NK123">
        <v>1440056.4124531434</v>
      </c>
      <c r="NL123">
        <v>1299554.3461869673</v>
      </c>
      <c r="NM123">
        <v>1593297.9420534465</v>
      </c>
      <c r="NN123">
        <v>1750578.2346627689</v>
      </c>
      <c r="NO123">
        <v>1433385.4798710085</v>
      </c>
      <c r="NP123">
        <v>836417.87805496564</v>
      </c>
      <c r="NQ123">
        <v>1235695.300946191</v>
      </c>
      <c r="NR123">
        <v>1738060.5917069868</v>
      </c>
      <c r="NS123">
        <v>1943806.0404246042</v>
      </c>
      <c r="NT123">
        <v>2784083.1479382282</v>
      </c>
      <c r="NU123">
        <v>1691522.0828313294</v>
      </c>
      <c r="NV123">
        <v>884517.29019495111</v>
      </c>
      <c r="NW123">
        <v>1440056.4124531434</v>
      </c>
      <c r="NX123">
        <v>1299554.3461869673</v>
      </c>
      <c r="NY123">
        <v>1593297.9420534465</v>
      </c>
      <c r="NZ123">
        <v>1750578.2346627689</v>
      </c>
      <c r="OA123">
        <v>1433385.4798710085</v>
      </c>
      <c r="OB123">
        <v>836417.87805496564</v>
      </c>
      <c r="OC123">
        <v>1235695.300946191</v>
      </c>
      <c r="OD123">
        <v>1738060.5917069868</v>
      </c>
      <c r="OE123">
        <v>1943806.0404246042</v>
      </c>
    </row>
    <row r="124" spans="2:395" collapsed="1" x14ac:dyDescent="0.3">
      <c r="B124" s="128" t="s">
        <v>244</v>
      </c>
      <c r="D124" s="133"/>
      <c r="E124" s="7"/>
      <c r="I124" s="22"/>
      <c r="J124" s="71"/>
      <c r="K124" s="76"/>
      <c r="L124" s="66"/>
      <c r="M124" s="66"/>
      <c r="N124" s="66"/>
      <c r="O124" s="66"/>
      <c r="P124" s="66"/>
      <c r="Q124" s="66"/>
    </row>
    <row r="125" spans="2:395" hidden="1" outlineLevel="1" x14ac:dyDescent="0.3">
      <c r="D125" s="133" t="s">
        <v>314</v>
      </c>
      <c r="E125" s="171">
        <v>46235</v>
      </c>
      <c r="F125" s="262" t="s">
        <v>292</v>
      </c>
      <c r="I125" s="22"/>
      <c r="J125" s="71"/>
      <c r="K125" s="76"/>
      <c r="L125" s="66"/>
      <c r="M125" s="66"/>
      <c r="N125" s="66"/>
      <c r="O125" s="66"/>
      <c r="P125" s="66"/>
      <c r="Q125" s="66"/>
    </row>
    <row r="126" spans="2:395" hidden="1" outlineLevel="1" x14ac:dyDescent="0.3">
      <c r="D126" s="133" t="s">
        <v>315</v>
      </c>
      <c r="E126" s="192">
        <v>0</v>
      </c>
      <c r="F126" s="260" t="s">
        <v>81</v>
      </c>
      <c r="I126" s="22"/>
      <c r="J126" s="71"/>
      <c r="K126" s="76"/>
      <c r="L126" s="66"/>
      <c r="M126" s="66"/>
      <c r="N126" s="66"/>
      <c r="O126" s="66"/>
      <c r="P126" s="66"/>
      <c r="Q126" s="66"/>
    </row>
    <row r="127" spans="2:395" hidden="1" outlineLevel="1" x14ac:dyDescent="0.3">
      <c r="D127" s="133"/>
      <c r="E127" s="7"/>
      <c r="I127" s="22"/>
      <c r="J127" s="71"/>
      <c r="K127" s="76"/>
      <c r="L127" s="66"/>
      <c r="M127" s="66"/>
      <c r="N127" s="66"/>
      <c r="O127" s="66"/>
      <c r="P127" s="66"/>
      <c r="Q127" s="66"/>
    </row>
    <row r="128" spans="2:395" hidden="1" outlineLevel="1" x14ac:dyDescent="0.3">
      <c r="D128" s="133" t="s">
        <v>275</v>
      </c>
      <c r="E128" s="14">
        <v>0.5</v>
      </c>
      <c r="F128" s="257" t="s">
        <v>31</v>
      </c>
      <c r="I128" s="22"/>
      <c r="J128" s="71"/>
      <c r="K128" s="76"/>
      <c r="L128" s="66"/>
      <c r="M128" s="66"/>
      <c r="N128" s="66"/>
      <c r="O128" s="66"/>
      <c r="P128" s="66"/>
      <c r="Q128" s="66"/>
    </row>
    <row r="129" spans="1:395" hidden="1" outlineLevel="1" x14ac:dyDescent="0.3">
      <c r="D129" s="133" t="s">
        <v>285</v>
      </c>
      <c r="E129" s="14">
        <f>100%-E128</f>
        <v>0.5</v>
      </c>
      <c r="F129" s="257" t="s">
        <v>31</v>
      </c>
      <c r="I129" s="22"/>
      <c r="J129" s="71"/>
      <c r="K129" s="76"/>
      <c r="L129" s="66"/>
      <c r="M129" s="66"/>
      <c r="N129" s="66"/>
      <c r="O129" s="66"/>
      <c r="P129" s="66"/>
      <c r="Q129" s="66"/>
    </row>
    <row r="130" spans="1:395" hidden="1" outlineLevel="1" x14ac:dyDescent="0.3">
      <c r="D130"/>
      <c r="E130" s="7"/>
      <c r="I130" s="22"/>
      <c r="J130" s="71"/>
      <c r="K130" s="76"/>
      <c r="L130" s="66"/>
      <c r="M130" s="66"/>
      <c r="N130" s="66"/>
      <c r="O130" s="66"/>
      <c r="P130" s="66"/>
      <c r="Q130" s="66"/>
    </row>
    <row r="131" spans="1:395" hidden="1" outlineLevel="1" x14ac:dyDescent="0.3">
      <c r="D131" s="133" t="s">
        <v>286</v>
      </c>
      <c r="E131" s="171">
        <v>46296</v>
      </c>
      <c r="F131" s="262" t="s">
        <v>292</v>
      </c>
      <c r="I131" s="22"/>
      <c r="J131" s="71"/>
      <c r="K131" s="76"/>
      <c r="L131" s="66"/>
      <c r="M131" s="66"/>
      <c r="N131" s="66"/>
      <c r="O131" s="66"/>
      <c r="P131" s="66"/>
      <c r="Q131" s="66"/>
    </row>
    <row r="132" spans="1:395" hidden="1" outlineLevel="1" x14ac:dyDescent="0.3">
      <c r="D132" s="133" t="s">
        <v>287</v>
      </c>
      <c r="E132" s="192">
        <v>10000000</v>
      </c>
      <c r="F132" s="260" t="s">
        <v>81</v>
      </c>
      <c r="I132" s="22"/>
      <c r="J132" s="71"/>
      <c r="K132" s="76"/>
      <c r="L132" s="66"/>
      <c r="M132" s="66"/>
      <c r="N132" s="66"/>
      <c r="O132" s="66"/>
      <c r="P132" s="66"/>
      <c r="Q132" s="66"/>
    </row>
    <row r="133" spans="1:395" ht="14.4" thickBot="1" x14ac:dyDescent="0.35">
      <c r="A133" s="185"/>
      <c r="B133" s="185" t="s">
        <v>245</v>
      </c>
      <c r="C133" s="185"/>
      <c r="D133" s="186"/>
      <c r="E133" s="187"/>
      <c r="F133" s="189"/>
      <c r="G133" s="189"/>
      <c r="H133" s="189"/>
      <c r="I133" s="146"/>
      <c r="J133" s="146"/>
      <c r="K133" s="157"/>
      <c r="L133" s="156"/>
      <c r="M133" s="156"/>
      <c r="N133" s="156"/>
      <c r="O133" s="156"/>
      <c r="P133" s="156"/>
      <c r="Q133" s="156"/>
      <c r="R133" s="189"/>
      <c r="S133" s="189"/>
      <c r="T133" s="189"/>
      <c r="U133" s="189"/>
      <c r="V133" s="189"/>
      <c r="W133" s="189"/>
      <c r="X133" s="189"/>
      <c r="Y133" s="189"/>
      <c r="Z133" s="189"/>
      <c r="AA133" s="189"/>
      <c r="AB133" s="189"/>
      <c r="AC133" s="189"/>
      <c r="AD133" s="189"/>
      <c r="AE133" s="189"/>
      <c r="AF133" s="189"/>
      <c r="AG133" s="189"/>
      <c r="AH133" s="189"/>
      <c r="AI133" s="189"/>
      <c r="AJ133" s="189"/>
      <c r="AK133" s="189"/>
      <c r="AL133" s="189"/>
      <c r="AM133" s="189"/>
      <c r="AN133" s="189"/>
      <c r="AO133" s="189"/>
      <c r="AP133" s="189"/>
      <c r="AQ133" s="189"/>
      <c r="AR133" s="189"/>
      <c r="AS133" s="189"/>
      <c r="AT133" s="189"/>
      <c r="AU133" s="189"/>
      <c r="AV133" s="189"/>
      <c r="AW133" s="189"/>
      <c r="AX133" s="189"/>
      <c r="AY133" s="189"/>
      <c r="AZ133" s="189"/>
      <c r="BA133" s="189"/>
      <c r="BB133" s="189"/>
      <c r="BC133" s="189"/>
      <c r="BD133" s="189"/>
      <c r="BE133" s="189"/>
      <c r="BF133" s="189"/>
      <c r="BG133" s="189"/>
      <c r="BH133" s="189"/>
      <c r="BI133" s="189"/>
      <c r="BJ133" s="189"/>
      <c r="BK133" s="189"/>
      <c r="BL133" s="189"/>
      <c r="BM133" s="189"/>
      <c r="BN133" s="189"/>
      <c r="BO133" s="189"/>
      <c r="BP133" s="189"/>
      <c r="BQ133" s="189"/>
      <c r="BR133" s="189"/>
      <c r="BS133" s="189"/>
      <c r="BT133" s="189"/>
      <c r="BU133" s="189"/>
      <c r="BV133" s="189"/>
      <c r="BW133" s="189"/>
      <c r="BX133" s="189"/>
      <c r="BY133" s="189"/>
      <c r="BZ133" s="189"/>
      <c r="CA133" s="189"/>
      <c r="CB133" s="189"/>
      <c r="CC133" s="189"/>
      <c r="CD133" s="189"/>
      <c r="CE133" s="189"/>
      <c r="CF133" s="189"/>
      <c r="CG133" s="189"/>
      <c r="CH133" s="189"/>
      <c r="CI133" s="189"/>
      <c r="CJ133" s="189"/>
      <c r="CK133" s="189"/>
      <c r="CL133" s="189"/>
      <c r="CM133" s="189"/>
      <c r="CN133" s="189"/>
      <c r="CO133" s="189"/>
      <c r="CP133" s="189"/>
      <c r="CQ133" s="189"/>
      <c r="CR133" s="189"/>
      <c r="CS133" s="189"/>
      <c r="CT133" s="189"/>
      <c r="CU133" s="189"/>
      <c r="CV133" s="189"/>
      <c r="CW133" s="189"/>
      <c r="CX133" s="189"/>
      <c r="CY133" s="189"/>
      <c r="CZ133" s="189"/>
      <c r="DA133" s="189"/>
      <c r="DB133" s="189"/>
      <c r="DC133" s="189"/>
      <c r="DD133" s="189"/>
      <c r="DE133" s="189"/>
      <c r="DF133" s="189"/>
      <c r="DG133" s="189"/>
      <c r="DH133" s="189"/>
      <c r="DI133" s="189"/>
      <c r="DJ133" s="189"/>
      <c r="DK133" s="189"/>
      <c r="DL133" s="189"/>
      <c r="DM133" s="189"/>
      <c r="DN133" s="189"/>
      <c r="DO133" s="189"/>
      <c r="DP133" s="189"/>
      <c r="DQ133" s="189"/>
      <c r="DR133" s="189"/>
      <c r="DS133" s="189"/>
      <c r="DT133" s="189"/>
      <c r="DU133" s="189"/>
      <c r="DV133" s="189"/>
      <c r="DW133" s="189"/>
      <c r="DX133" s="189"/>
      <c r="DY133" s="189"/>
      <c r="DZ133" s="189"/>
      <c r="EA133" s="189"/>
      <c r="EB133" s="189"/>
      <c r="EC133" s="189"/>
      <c r="ED133" s="189"/>
      <c r="EE133" s="189"/>
      <c r="EF133" s="189"/>
      <c r="EG133" s="189"/>
      <c r="EH133" s="189"/>
      <c r="EI133" s="189"/>
      <c r="EJ133" s="189"/>
      <c r="EK133" s="189"/>
      <c r="EL133" s="189"/>
      <c r="EM133" s="189"/>
      <c r="EN133" s="189"/>
      <c r="EO133" s="189"/>
      <c r="EP133" s="189"/>
      <c r="EQ133" s="189"/>
      <c r="ER133" s="189"/>
      <c r="ES133" s="189"/>
      <c r="ET133" s="189"/>
      <c r="EU133" s="189"/>
      <c r="EV133" s="189"/>
      <c r="EW133" s="189"/>
      <c r="EX133" s="189"/>
      <c r="EY133" s="189"/>
      <c r="EZ133" s="189"/>
      <c r="FA133" s="189"/>
      <c r="FB133" s="189"/>
      <c r="FC133" s="189"/>
      <c r="FD133" s="189"/>
      <c r="FE133" s="189"/>
      <c r="FF133" s="189"/>
      <c r="FG133" s="189"/>
      <c r="FH133" s="189"/>
      <c r="FI133" s="189"/>
      <c r="FJ133" s="189"/>
      <c r="FK133" s="189"/>
      <c r="FL133" s="189"/>
      <c r="FM133" s="189"/>
      <c r="FN133" s="189"/>
      <c r="FO133" s="189"/>
      <c r="FP133" s="189"/>
      <c r="FQ133" s="189"/>
      <c r="FR133" s="189"/>
      <c r="FS133" s="189"/>
      <c r="FT133" s="189"/>
      <c r="FU133" s="189"/>
      <c r="FV133" s="189"/>
      <c r="FW133" s="189"/>
      <c r="FX133" s="189"/>
      <c r="FY133" s="189"/>
      <c r="FZ133" s="189"/>
      <c r="GA133" s="189"/>
      <c r="GB133" s="189"/>
      <c r="GC133" s="189"/>
      <c r="GD133" s="189"/>
      <c r="GE133" s="189"/>
      <c r="GF133" s="189"/>
      <c r="GG133" s="189"/>
      <c r="GH133" s="189"/>
      <c r="GI133" s="189"/>
      <c r="GJ133" s="189"/>
      <c r="GK133" s="189"/>
      <c r="GL133" s="189"/>
      <c r="GM133" s="189"/>
      <c r="GN133" s="189"/>
      <c r="GO133" s="189"/>
      <c r="GP133" s="189"/>
      <c r="GQ133" s="189"/>
      <c r="GR133" s="189"/>
      <c r="GS133" s="189"/>
      <c r="GT133" s="189"/>
      <c r="GU133" s="189"/>
      <c r="GV133" s="189"/>
      <c r="GW133" s="189"/>
      <c r="GX133" s="189"/>
      <c r="GY133" s="189"/>
      <c r="GZ133" s="189"/>
      <c r="HA133" s="189"/>
      <c r="HB133" s="189"/>
      <c r="HC133" s="189"/>
      <c r="HD133" s="189"/>
      <c r="HE133" s="189"/>
      <c r="HF133" s="189"/>
      <c r="HG133" s="189"/>
      <c r="HH133" s="189"/>
      <c r="HI133" s="189"/>
      <c r="HJ133" s="189"/>
      <c r="HK133" s="189"/>
      <c r="HL133" s="189"/>
      <c r="HM133" s="189"/>
      <c r="HN133" s="189"/>
      <c r="HO133" s="189"/>
      <c r="HP133" s="189"/>
      <c r="HQ133" s="189"/>
      <c r="HR133" s="189"/>
      <c r="HS133" s="189"/>
      <c r="HT133" s="189"/>
      <c r="HU133" s="189"/>
      <c r="HV133" s="189"/>
      <c r="HW133" s="189"/>
      <c r="HX133" s="189"/>
      <c r="HY133" s="189"/>
      <c r="HZ133" s="189"/>
      <c r="IA133" s="189"/>
      <c r="IB133" s="189"/>
      <c r="IC133" s="189"/>
      <c r="ID133" s="189"/>
      <c r="IE133" s="189"/>
      <c r="IF133" s="189"/>
      <c r="IG133" s="189"/>
      <c r="IH133" s="189"/>
      <c r="II133" s="189"/>
      <c r="IJ133" s="189"/>
      <c r="IK133" s="189"/>
      <c r="IL133" s="189"/>
      <c r="IM133" s="189"/>
      <c r="IN133" s="189"/>
      <c r="IO133" s="189"/>
      <c r="IP133" s="189"/>
      <c r="IQ133" s="189"/>
      <c r="IR133" s="189"/>
      <c r="IS133" s="189"/>
      <c r="IT133" s="189"/>
      <c r="IU133" s="189"/>
      <c r="IV133" s="189"/>
      <c r="IW133" s="189"/>
      <c r="IX133" s="189"/>
      <c r="IY133" s="189"/>
      <c r="IZ133" s="189"/>
      <c r="JA133" s="189"/>
      <c r="JB133" s="189"/>
      <c r="JC133" s="189"/>
      <c r="JD133" s="189"/>
      <c r="JE133" s="189"/>
      <c r="JF133" s="189"/>
      <c r="JG133" s="189"/>
      <c r="JH133" s="189"/>
      <c r="JI133" s="189"/>
      <c r="JJ133" s="189"/>
      <c r="JK133" s="189"/>
      <c r="JL133" s="189"/>
      <c r="JM133" s="189"/>
      <c r="JN133" s="189"/>
      <c r="JO133" s="189"/>
      <c r="JP133" s="189"/>
      <c r="JQ133" s="189"/>
      <c r="JR133" s="189"/>
      <c r="JS133" s="189"/>
      <c r="JT133" s="189"/>
      <c r="JU133" s="189"/>
      <c r="JV133" s="189"/>
      <c r="JW133" s="189"/>
      <c r="JX133" s="189"/>
      <c r="JY133" s="189"/>
      <c r="JZ133" s="189"/>
      <c r="KA133" s="189"/>
      <c r="KB133" s="189"/>
      <c r="KC133" s="189"/>
      <c r="KD133" s="189"/>
      <c r="KE133" s="189"/>
      <c r="KF133" s="189"/>
      <c r="KG133" s="189"/>
      <c r="KH133" s="189"/>
      <c r="KI133" s="189"/>
      <c r="KJ133" s="189"/>
      <c r="KK133" s="189"/>
      <c r="KL133" s="189"/>
      <c r="KM133" s="189"/>
      <c r="KN133" s="189"/>
      <c r="KO133" s="189"/>
      <c r="KP133" s="189"/>
      <c r="KQ133" s="189"/>
      <c r="KR133" s="189"/>
      <c r="KS133" s="189"/>
      <c r="KT133" s="189"/>
      <c r="KU133" s="189"/>
      <c r="KV133" s="189"/>
      <c r="KW133" s="189"/>
      <c r="KX133" s="189"/>
      <c r="KY133" s="189"/>
      <c r="KZ133" s="189"/>
      <c r="LA133" s="189"/>
      <c r="LB133" s="189"/>
      <c r="LC133" s="189"/>
      <c r="LD133" s="189"/>
      <c r="LE133" s="189"/>
      <c r="LF133" s="189"/>
      <c r="LG133" s="189"/>
      <c r="LH133" s="189"/>
      <c r="LI133" s="189"/>
      <c r="LJ133" s="189"/>
      <c r="LK133" s="189"/>
      <c r="LL133" s="189"/>
      <c r="LM133" s="189"/>
      <c r="LN133" s="189"/>
      <c r="LO133" s="189"/>
      <c r="LP133" s="189"/>
      <c r="LQ133" s="189"/>
      <c r="LR133" s="189"/>
      <c r="LS133" s="189"/>
      <c r="LT133" s="189"/>
      <c r="LU133" s="189"/>
      <c r="LV133" s="189"/>
      <c r="LW133" s="189"/>
      <c r="LX133" s="189"/>
      <c r="LY133" s="189"/>
      <c r="LZ133" s="189"/>
      <c r="MA133" s="189"/>
      <c r="MB133" s="189"/>
      <c r="MC133" s="189"/>
      <c r="MD133" s="189"/>
      <c r="ME133" s="189"/>
      <c r="MF133" s="189"/>
      <c r="MG133" s="189"/>
      <c r="MH133" s="189"/>
      <c r="MI133" s="189"/>
      <c r="MJ133" s="189"/>
      <c r="MK133" s="189"/>
      <c r="ML133" s="189"/>
      <c r="MM133" s="189"/>
      <c r="MN133" s="189"/>
      <c r="MO133" s="189"/>
      <c r="MP133" s="189"/>
      <c r="MQ133" s="189"/>
      <c r="MR133" s="189"/>
      <c r="MS133" s="189"/>
      <c r="MT133" s="189"/>
      <c r="MU133" s="189"/>
      <c r="MV133" s="189"/>
      <c r="MW133" s="189"/>
      <c r="MX133" s="189"/>
      <c r="MY133" s="189"/>
      <c r="MZ133" s="189"/>
      <c r="NA133" s="189"/>
      <c r="NB133" s="189"/>
      <c r="NC133" s="189"/>
      <c r="ND133" s="189"/>
      <c r="NE133" s="189"/>
      <c r="NF133" s="189"/>
      <c r="NG133" s="189"/>
      <c r="NH133" s="189"/>
      <c r="NI133" s="189"/>
      <c r="NJ133" s="189"/>
      <c r="NK133" s="189"/>
      <c r="NL133" s="189"/>
      <c r="NM133" s="189"/>
      <c r="NN133" s="189"/>
      <c r="NO133" s="189"/>
      <c r="NP133" s="189"/>
      <c r="NQ133" s="189"/>
      <c r="NR133" s="189"/>
      <c r="NS133" s="189"/>
      <c r="NT133" s="189"/>
      <c r="NU133" s="189"/>
      <c r="NV133" s="189"/>
      <c r="NW133" s="189"/>
      <c r="NX133" s="189"/>
      <c r="NY133" s="189"/>
      <c r="NZ133" s="189"/>
      <c r="OA133" s="189"/>
      <c r="OB133" s="189"/>
      <c r="OC133" s="189"/>
      <c r="OD133" s="189"/>
      <c r="OE133" s="189"/>
    </row>
    <row r="134" spans="1:395" x14ac:dyDescent="0.3">
      <c r="D134" s="133"/>
      <c r="E134" s="7"/>
      <c r="K134" s="76"/>
      <c r="L134" s="66"/>
      <c r="M134" s="126" t="s">
        <v>412</v>
      </c>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B134" s="66"/>
      <c r="JC134" s="66"/>
      <c r="JD134" s="66"/>
      <c r="JE134" s="66"/>
      <c r="JF134" s="66"/>
      <c r="JG134" s="66"/>
      <c r="JH134" s="66"/>
      <c r="JI134" s="66"/>
      <c r="JJ134" s="66"/>
      <c r="JK134" s="66"/>
      <c r="JL134" s="66"/>
      <c r="JM134" s="66"/>
      <c r="JN134" s="66"/>
      <c r="JO134" s="66"/>
      <c r="JP134" s="66"/>
      <c r="JQ134" s="66"/>
      <c r="JR134" s="66"/>
      <c r="JS134" s="66"/>
      <c r="JT134" s="66"/>
      <c r="JU134" s="66"/>
      <c r="JV134" s="66"/>
      <c r="JW134" s="66"/>
      <c r="JX134" s="66"/>
      <c r="JY134" s="66"/>
      <c r="JZ134" s="66"/>
      <c r="KA134" s="66"/>
      <c r="KB134" s="66"/>
      <c r="KC134" s="66"/>
      <c r="KD134" s="66"/>
      <c r="KE134" s="66"/>
      <c r="KF134" s="66"/>
      <c r="KG134" s="66"/>
      <c r="KH134" s="66"/>
      <c r="KI134" s="66"/>
      <c r="KJ134" s="66"/>
      <c r="KK134" s="66"/>
      <c r="KL134" s="66"/>
      <c r="KM134" s="66"/>
      <c r="KN134" s="66"/>
      <c r="KO134" s="66"/>
      <c r="KP134" s="66"/>
      <c r="KQ134" s="66"/>
      <c r="KR134" s="66"/>
      <c r="KS134" s="66"/>
      <c r="KT134" s="66"/>
      <c r="KU134" s="66"/>
      <c r="KV134" s="66"/>
      <c r="KW134" s="66"/>
      <c r="KX134" s="66"/>
      <c r="KY134" s="66"/>
      <c r="KZ134" s="66"/>
      <c r="LA134" s="66"/>
      <c r="LB134" s="66"/>
      <c r="LC134" s="66"/>
      <c r="LD134" s="66"/>
      <c r="LE134" s="66"/>
      <c r="LF134" s="66"/>
      <c r="LG134" s="66"/>
      <c r="LH134" s="66"/>
      <c r="LI134" s="66"/>
      <c r="LJ134" s="66"/>
      <c r="LK134" s="66"/>
      <c r="LL134" s="66"/>
      <c r="LM134" s="66"/>
      <c r="LN134" s="66"/>
      <c r="LO134" s="66"/>
      <c r="LP134" s="66"/>
      <c r="LQ134" s="66"/>
      <c r="LR134" s="66"/>
      <c r="LS134" s="66"/>
      <c r="LT134" s="66"/>
      <c r="LU134" s="66"/>
      <c r="LV134" s="66"/>
      <c r="LW134" s="66"/>
      <c r="LX134" s="66"/>
      <c r="LY134" s="66"/>
      <c r="LZ134" s="66"/>
      <c r="MA134" s="66"/>
      <c r="MB134" s="66"/>
      <c r="MC134" s="66"/>
      <c r="MD134" s="66"/>
      <c r="ME134" s="66"/>
      <c r="MF134" s="66"/>
      <c r="MG134" s="66"/>
      <c r="MH134" s="66"/>
      <c r="MI134" s="66"/>
      <c r="MJ134" s="66"/>
      <c r="MK134" s="66"/>
      <c r="ML134" s="66"/>
      <c r="MM134" s="66"/>
      <c r="MN134" s="66"/>
      <c r="MO134" s="66"/>
      <c r="MP134" s="66"/>
      <c r="MQ134" s="66"/>
      <c r="MR134" s="66"/>
      <c r="MS134" s="66"/>
      <c r="MT134" s="66"/>
      <c r="MU134" s="66"/>
      <c r="MV134" s="66"/>
      <c r="MW134" s="66"/>
      <c r="MX134" s="66"/>
      <c r="MY134" s="66"/>
      <c r="MZ134" s="66"/>
      <c r="NA134" s="66"/>
      <c r="NB134" s="66"/>
      <c r="NC134" s="66"/>
      <c r="ND134" s="66"/>
      <c r="NE134" s="66"/>
      <c r="NF134" s="66"/>
      <c r="NG134" s="66"/>
      <c r="NH134" s="66"/>
      <c r="NI134" s="66"/>
      <c r="NJ134" s="66"/>
      <c r="NK134" s="66"/>
      <c r="NL134" s="66"/>
      <c r="NM134" s="66"/>
      <c r="NN134" s="66"/>
      <c r="NO134" s="66"/>
      <c r="NP134" s="66"/>
      <c r="NQ134" s="66"/>
      <c r="NR134" s="66"/>
      <c r="NS134" s="66"/>
      <c r="NT134" s="66"/>
      <c r="NU134" s="66"/>
      <c r="NV134" s="66"/>
      <c r="NW134" s="66"/>
      <c r="NX134" s="66"/>
      <c r="NY134" s="66"/>
      <c r="NZ134" s="66"/>
      <c r="OA134" s="66"/>
      <c r="OB134" s="66"/>
      <c r="OC134" s="66"/>
      <c r="OD134" s="66"/>
      <c r="OE134" s="66"/>
    </row>
    <row r="135" spans="1:395" x14ac:dyDescent="0.3">
      <c r="D135" s="133"/>
      <c r="E135" s="7"/>
      <c r="K135" s="76"/>
      <c r="L135" s="66"/>
      <c r="M135" s="12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B135" s="66"/>
      <c r="JC135" s="66"/>
      <c r="JD135" s="66"/>
      <c r="JE135" s="66"/>
      <c r="JF135" s="66"/>
      <c r="JG135" s="66"/>
      <c r="JH135" s="66"/>
      <c r="JI135" s="66"/>
      <c r="JJ135" s="66"/>
      <c r="JK135" s="66"/>
      <c r="JL135" s="66"/>
      <c r="JM135" s="66"/>
      <c r="JN135" s="66"/>
      <c r="JO135" s="66"/>
      <c r="JP135" s="66"/>
      <c r="JQ135" s="66"/>
      <c r="JR135" s="66"/>
      <c r="JS135" s="66"/>
      <c r="JT135" s="66"/>
      <c r="JU135" s="66"/>
      <c r="JV135" s="66"/>
      <c r="JW135" s="66"/>
      <c r="JX135" s="66"/>
      <c r="JY135" s="66"/>
      <c r="JZ135" s="66"/>
      <c r="KA135" s="66"/>
      <c r="KB135" s="66"/>
      <c r="KC135" s="66"/>
      <c r="KD135" s="66"/>
      <c r="KE135" s="66"/>
      <c r="KF135" s="66"/>
      <c r="KG135" s="66"/>
      <c r="KH135" s="66"/>
      <c r="KI135" s="66"/>
      <c r="KJ135" s="66"/>
      <c r="KK135" s="66"/>
      <c r="KL135" s="66"/>
      <c r="KM135" s="66"/>
      <c r="KN135" s="66"/>
      <c r="KO135" s="66"/>
      <c r="KP135" s="66"/>
      <c r="KQ135" s="66"/>
      <c r="KR135" s="66"/>
      <c r="KS135" s="66"/>
      <c r="KT135" s="66"/>
      <c r="KU135" s="66"/>
      <c r="KV135" s="66"/>
      <c r="KW135" s="66"/>
      <c r="KX135" s="66"/>
      <c r="KY135" s="66"/>
      <c r="KZ135" s="66"/>
      <c r="LA135" s="66"/>
      <c r="LB135" s="66"/>
      <c r="LC135" s="66"/>
      <c r="LD135" s="66"/>
      <c r="LE135" s="66"/>
      <c r="LF135" s="66"/>
      <c r="LG135" s="66"/>
      <c r="LH135" s="66"/>
      <c r="LI135" s="66"/>
      <c r="LJ135" s="66"/>
      <c r="LK135" s="66"/>
      <c r="LL135" s="66"/>
      <c r="LM135" s="66"/>
      <c r="LN135" s="66"/>
      <c r="LO135" s="66"/>
      <c r="LP135" s="66"/>
      <c r="LQ135" s="66"/>
      <c r="LR135" s="66"/>
      <c r="LS135" s="66"/>
      <c r="LT135" s="66"/>
      <c r="LU135" s="66"/>
      <c r="LV135" s="66"/>
      <c r="LW135" s="66"/>
      <c r="LX135" s="66"/>
      <c r="LY135" s="66"/>
      <c r="LZ135" s="66"/>
      <c r="MA135" s="66"/>
      <c r="MB135" s="66"/>
      <c r="MC135" s="66"/>
      <c r="MD135" s="66"/>
      <c r="ME135" s="66"/>
      <c r="MF135" s="66"/>
      <c r="MG135" s="66"/>
      <c r="MH135" s="66"/>
      <c r="MI135" s="66"/>
      <c r="MJ135" s="66"/>
      <c r="MK135" s="66"/>
      <c r="ML135" s="66"/>
      <c r="MM135" s="66"/>
      <c r="MN135" s="66"/>
      <c r="MO135" s="66"/>
      <c r="MP135" s="66"/>
      <c r="MQ135" s="66"/>
      <c r="MR135" s="66"/>
      <c r="MS135" s="66"/>
      <c r="MT135" s="66"/>
      <c r="MU135" s="66"/>
      <c r="MV135" s="66"/>
      <c r="MW135" s="66"/>
      <c r="MX135" s="66"/>
      <c r="MY135" s="66"/>
      <c r="MZ135" s="66"/>
      <c r="NA135" s="66"/>
      <c r="NB135" s="66"/>
      <c r="NC135" s="66"/>
      <c r="ND135" s="66"/>
      <c r="NE135" s="66"/>
      <c r="NF135" s="66"/>
      <c r="NG135" s="66"/>
      <c r="NH135" s="66"/>
      <c r="NI135" s="66"/>
      <c r="NJ135" s="66"/>
      <c r="NK135" s="66"/>
      <c r="NL135" s="66"/>
      <c r="NM135" s="66"/>
      <c r="NN135" s="66"/>
      <c r="NO135" s="66"/>
      <c r="NP135" s="66"/>
      <c r="NQ135" s="66"/>
      <c r="NR135" s="66"/>
      <c r="NS135" s="66"/>
      <c r="NT135" s="66"/>
      <c r="NU135" s="66"/>
      <c r="NV135" s="66"/>
      <c r="NW135" s="66"/>
      <c r="NX135" s="66"/>
      <c r="NY135" s="66"/>
      <c r="NZ135" s="66"/>
      <c r="OA135" s="66"/>
      <c r="OB135" s="66"/>
      <c r="OC135" s="66"/>
      <c r="OD135" s="66"/>
      <c r="OE135" s="66"/>
    </row>
    <row r="136" spans="1:395" x14ac:dyDescent="0.3">
      <c r="D136" s="133"/>
      <c r="E136" s="7"/>
      <c r="K136" s="76"/>
      <c r="L136" s="66"/>
      <c r="M136" s="77"/>
      <c r="N136" s="104" t="s">
        <v>0</v>
      </c>
      <c r="O136" s="105"/>
      <c r="P136" s="106"/>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5"/>
      <c r="BO136" s="105"/>
      <c r="BP136" s="105"/>
      <c r="BQ136" s="105"/>
      <c r="BR136" s="105"/>
      <c r="BS136" s="105"/>
      <c r="BT136" s="105"/>
      <c r="BU136" s="105"/>
      <c r="BV136" s="105"/>
      <c r="BW136" s="105"/>
      <c r="BX136" s="105"/>
      <c r="BY136" s="105"/>
      <c r="BZ136" s="105"/>
      <c r="CA136" s="105"/>
      <c r="CB136" s="105"/>
      <c r="CC136" s="105"/>
      <c r="CD136" s="105"/>
      <c r="CE136" s="105"/>
      <c r="CF136" s="105"/>
      <c r="CG136" s="105"/>
      <c r="CH136" s="105"/>
      <c r="CI136" s="105"/>
      <c r="CJ136" s="105"/>
      <c r="CK136" s="105"/>
      <c r="CL136" s="105"/>
      <c r="CM136" s="105"/>
      <c r="CN136" s="105"/>
      <c r="CO136" s="105"/>
      <c r="CP136" s="105"/>
      <c r="CQ136" s="105"/>
      <c r="CR136" s="105"/>
      <c r="CS136" s="105"/>
      <c r="CT136" s="105"/>
      <c r="CU136" s="105"/>
      <c r="CV136" s="105"/>
      <c r="CW136" s="105"/>
      <c r="CX136" s="105"/>
      <c r="CY136" s="105"/>
      <c r="CZ136" s="105"/>
      <c r="DA136" s="105"/>
      <c r="DB136" s="105"/>
      <c r="DC136" s="105"/>
      <c r="DD136" s="105"/>
      <c r="DE136" s="105"/>
      <c r="DF136" s="105"/>
      <c r="DG136" s="105"/>
      <c r="DH136" s="105"/>
      <c r="DI136" s="105"/>
      <c r="DJ136" s="105"/>
      <c r="DK136" s="105"/>
      <c r="DL136" s="105"/>
      <c r="DM136" s="105"/>
      <c r="DN136" s="105"/>
      <c r="DO136" s="105"/>
      <c r="DP136" s="105"/>
      <c r="DQ136" s="105"/>
      <c r="DR136" s="105"/>
      <c r="DS136" s="105"/>
      <c r="DT136" s="105"/>
      <c r="DU136" s="105"/>
      <c r="DV136" s="105"/>
      <c r="DW136" s="105"/>
      <c r="DX136" s="105"/>
      <c r="DY136" s="105"/>
      <c r="DZ136" s="105"/>
      <c r="EA136" s="105"/>
      <c r="EB136" s="105"/>
      <c r="EC136" s="105"/>
      <c r="ED136" s="105"/>
      <c r="EE136" s="105"/>
      <c r="EF136" s="105"/>
      <c r="EG136" s="105"/>
      <c r="EH136" s="105"/>
      <c r="EI136" s="105"/>
      <c r="EJ136" s="105"/>
      <c r="EK136" s="105"/>
      <c r="EL136" s="105"/>
      <c r="EM136" s="105"/>
      <c r="EN136" s="105"/>
      <c r="EO136" s="105"/>
      <c r="EP136" s="105"/>
      <c r="EQ136" s="105"/>
      <c r="ER136" s="105"/>
      <c r="ES136" s="105"/>
      <c r="ET136" s="105"/>
      <c r="EU136" s="105"/>
      <c r="EV136" s="105"/>
      <c r="EW136" s="105"/>
      <c r="EX136" s="105"/>
      <c r="EY136" s="105"/>
      <c r="EZ136" s="105"/>
      <c r="FA136" s="105"/>
      <c r="FB136" s="105"/>
      <c r="FC136" s="105"/>
      <c r="FD136" s="105"/>
      <c r="FE136" s="105"/>
      <c r="FF136" s="105"/>
      <c r="FG136" s="105"/>
      <c r="FH136" s="105"/>
      <c r="FI136" s="105"/>
      <c r="FJ136" s="105"/>
      <c r="FK136" s="105"/>
      <c r="FL136" s="105"/>
      <c r="FM136" s="105"/>
      <c r="FN136" s="105"/>
      <c r="FO136" s="105"/>
      <c r="FP136" s="105"/>
      <c r="FQ136" s="105"/>
      <c r="FR136" s="105"/>
      <c r="FS136" s="105"/>
      <c r="FT136" s="105"/>
      <c r="FU136" s="105"/>
      <c r="FV136" s="105"/>
      <c r="FW136" s="105"/>
      <c r="FX136" s="105"/>
      <c r="FY136" s="105"/>
      <c r="FZ136" s="105"/>
      <c r="GA136" s="105"/>
      <c r="GB136" s="105"/>
      <c r="GC136" s="105"/>
      <c r="GD136" s="105"/>
      <c r="GE136" s="105"/>
      <c r="GF136" s="105"/>
      <c r="GG136" s="105"/>
      <c r="GH136" s="105"/>
      <c r="GI136" s="105"/>
      <c r="GJ136" s="105"/>
      <c r="GK136" s="105"/>
      <c r="GL136" s="105"/>
      <c r="GM136" s="105"/>
      <c r="GN136" s="105"/>
      <c r="GO136" s="105"/>
      <c r="GP136" s="105"/>
      <c r="GQ136" s="105"/>
      <c r="GR136" s="105"/>
      <c r="GS136" s="105"/>
      <c r="GT136" s="105"/>
      <c r="GU136" s="105"/>
      <c r="GV136" s="105"/>
      <c r="GW136" s="105"/>
      <c r="GX136" s="105"/>
      <c r="GY136" s="105"/>
      <c r="GZ136" s="105"/>
      <c r="HA136" s="105"/>
      <c r="HB136" s="105"/>
      <c r="HC136" s="105"/>
      <c r="HD136" s="105"/>
      <c r="HE136" s="105"/>
      <c r="HF136" s="105"/>
      <c r="HG136" s="105"/>
      <c r="HH136" s="105"/>
      <c r="HI136" s="105"/>
      <c r="HJ136" s="105"/>
      <c r="HK136" s="105"/>
      <c r="HL136" s="105"/>
      <c r="HM136" s="105"/>
      <c r="HN136" s="105"/>
      <c r="HO136" s="105"/>
      <c r="HP136" s="105"/>
      <c r="HQ136" s="105"/>
      <c r="HR136" s="105"/>
      <c r="HS136" s="105"/>
      <c r="HT136" s="105"/>
      <c r="HU136" s="105"/>
      <c r="HV136" s="105"/>
      <c r="HW136" s="105"/>
      <c r="HX136" s="105"/>
      <c r="HY136" s="105"/>
      <c r="HZ136" s="105"/>
      <c r="IA136" s="105"/>
      <c r="IB136" s="105"/>
      <c r="IC136" s="105"/>
      <c r="ID136" s="105"/>
      <c r="IE136" s="105"/>
      <c r="IF136" s="105"/>
      <c r="IG136" s="105"/>
      <c r="IH136" s="105"/>
      <c r="II136" s="105"/>
      <c r="IJ136" s="105"/>
      <c r="IK136" s="105"/>
      <c r="IL136" s="105"/>
      <c r="IM136" s="105"/>
      <c r="IN136" s="105"/>
      <c r="IO136" s="105"/>
      <c r="IP136" s="105"/>
      <c r="IQ136" s="105"/>
      <c r="IR136" s="105"/>
      <c r="IS136" s="105"/>
      <c r="IT136" s="105"/>
      <c r="IU136" s="105"/>
      <c r="IV136" s="105"/>
      <c r="IW136" s="105"/>
      <c r="IX136" s="105"/>
      <c r="IY136" s="105"/>
      <c r="IZ136" s="105"/>
      <c r="JA136" s="105"/>
      <c r="JB136" s="105"/>
      <c r="JC136" s="105"/>
      <c r="JD136" s="105"/>
      <c r="JE136" s="105"/>
      <c r="JF136" s="105"/>
      <c r="JG136" s="105"/>
      <c r="JH136" s="105"/>
      <c r="JI136" s="105"/>
      <c r="JJ136" s="105"/>
      <c r="JK136" s="105"/>
      <c r="JL136" s="105"/>
      <c r="JM136" s="105"/>
      <c r="JN136" s="105"/>
      <c r="JO136" s="105"/>
      <c r="JP136" s="105"/>
      <c r="JQ136" s="105"/>
      <c r="JR136" s="105"/>
      <c r="JS136" s="105"/>
      <c r="JT136" s="105"/>
      <c r="JU136" s="105"/>
      <c r="JV136" s="105"/>
      <c r="JW136" s="105"/>
      <c r="JX136" s="105"/>
      <c r="JY136" s="105"/>
      <c r="JZ136" s="105"/>
      <c r="KA136" s="105"/>
      <c r="KB136" s="105"/>
      <c r="KC136" s="105"/>
      <c r="KD136" s="105"/>
      <c r="KE136" s="105"/>
      <c r="KF136" s="105"/>
      <c r="KG136" s="105"/>
      <c r="KH136" s="105"/>
      <c r="KI136" s="105"/>
      <c r="KJ136" s="105"/>
      <c r="KK136" s="105"/>
      <c r="KL136" s="105"/>
      <c r="KM136" s="105"/>
      <c r="KN136" s="105"/>
      <c r="KO136" s="105"/>
      <c r="KP136" s="105"/>
      <c r="KQ136" s="105"/>
      <c r="KR136" s="105"/>
      <c r="KS136" s="105"/>
      <c r="KT136" s="105"/>
      <c r="KU136" s="105"/>
      <c r="KV136" s="105"/>
      <c r="KW136" s="105"/>
      <c r="KX136" s="105"/>
      <c r="KY136" s="105"/>
      <c r="KZ136" s="105"/>
      <c r="LA136" s="105"/>
      <c r="LB136" s="105"/>
      <c r="LC136" s="105"/>
      <c r="LD136" s="105"/>
      <c r="LE136" s="105"/>
      <c r="LF136" s="105"/>
      <c r="LG136" s="105"/>
      <c r="LH136" s="105"/>
      <c r="LI136" s="105"/>
      <c r="LJ136" s="105"/>
      <c r="LK136" s="105"/>
      <c r="LL136" s="105"/>
      <c r="LM136" s="105"/>
      <c r="LN136" s="105"/>
      <c r="LO136" s="105"/>
      <c r="LP136" s="105"/>
      <c r="LQ136" s="105"/>
      <c r="LR136" s="105"/>
      <c r="LS136" s="105"/>
      <c r="LT136" s="105"/>
      <c r="LU136" s="105"/>
      <c r="LV136" s="105"/>
      <c r="LW136" s="105"/>
      <c r="LX136" s="105"/>
      <c r="LY136" s="105"/>
      <c r="LZ136" s="105"/>
      <c r="MA136" s="105"/>
      <c r="MB136" s="105"/>
      <c r="MC136" s="105"/>
      <c r="MD136" s="105"/>
      <c r="ME136" s="105"/>
      <c r="MF136" s="105"/>
      <c r="MG136" s="105"/>
      <c r="MH136" s="105"/>
      <c r="MI136" s="105"/>
      <c r="MJ136" s="105"/>
      <c r="MK136" s="105"/>
      <c r="ML136" s="105"/>
      <c r="MM136" s="105"/>
      <c r="MN136" s="105"/>
      <c r="MO136" s="105"/>
      <c r="MP136" s="105"/>
      <c r="MQ136" s="105"/>
      <c r="MR136" s="105"/>
      <c r="MS136" s="105"/>
      <c r="MT136" s="105"/>
      <c r="MU136" s="105"/>
      <c r="MV136" s="105"/>
      <c r="MW136" s="105"/>
      <c r="MX136" s="105"/>
      <c r="MY136" s="105"/>
      <c r="MZ136" s="105"/>
      <c r="NA136" s="105"/>
      <c r="NB136" s="105"/>
      <c r="NC136" s="105"/>
      <c r="ND136" s="105"/>
      <c r="NE136" s="105"/>
      <c r="NF136" s="105"/>
      <c r="NG136" s="105"/>
      <c r="NH136" s="105"/>
      <c r="NI136" s="105"/>
      <c r="NJ136" s="105"/>
      <c r="NK136" s="105"/>
      <c r="NL136" s="105"/>
      <c r="NM136" s="105"/>
      <c r="NN136" s="105"/>
      <c r="NO136" s="105"/>
      <c r="NP136" s="105"/>
      <c r="NQ136" s="105"/>
      <c r="NR136" s="105"/>
      <c r="NS136" s="105"/>
      <c r="NT136" s="105"/>
      <c r="NU136" s="105"/>
      <c r="NV136" s="105"/>
      <c r="NW136" s="105"/>
      <c r="NX136" s="105"/>
      <c r="NY136" s="105"/>
      <c r="NZ136" s="105"/>
      <c r="OA136" s="105"/>
      <c r="OB136" s="105"/>
      <c r="OC136" s="105"/>
      <c r="OD136" s="105"/>
      <c r="OE136" s="105"/>
    </row>
    <row r="137" spans="1:395" outlineLevel="1" x14ac:dyDescent="0.3">
      <c r="E137" s="7"/>
      <c r="K137" s="76"/>
      <c r="L137" s="66"/>
      <c r="M137" s="77"/>
      <c r="N137" s="30" t="s">
        <v>280</v>
      </c>
      <c r="O137" s="30"/>
      <c r="P137" s="32" t="s">
        <v>29</v>
      </c>
      <c r="Q137" s="30" cm="1">
        <f t="array" ref="Q137:OE137">IF(_xlfn.ANCHORARRAY(Q35)="",0,_xlfn.ANCHORARRAY(Q35)*E69)</f>
        <v>0</v>
      </c>
      <c r="R137" s="30">
        <v>0</v>
      </c>
      <c r="S137" s="30">
        <v>0</v>
      </c>
      <c r="T137" s="30">
        <v>0</v>
      </c>
      <c r="U137" s="30">
        <v>0</v>
      </c>
      <c r="V137" s="30">
        <v>0</v>
      </c>
      <c r="W137" s="30">
        <v>0</v>
      </c>
      <c r="X137" s="30">
        <v>0</v>
      </c>
      <c r="Y137" s="30">
        <v>0</v>
      </c>
      <c r="Z137" s="30">
        <v>0</v>
      </c>
      <c r="AA137" s="30">
        <v>0</v>
      </c>
      <c r="AB137" s="30">
        <v>0</v>
      </c>
      <c r="AC137" s="30">
        <v>0</v>
      </c>
      <c r="AD137" s="30">
        <v>0</v>
      </c>
      <c r="AE137" s="30">
        <v>0</v>
      </c>
      <c r="AF137" s="30">
        <v>0</v>
      </c>
      <c r="AG137" s="30">
        <v>0</v>
      </c>
      <c r="AH137" s="30">
        <v>0</v>
      </c>
      <c r="AI137" s="30">
        <v>0</v>
      </c>
      <c r="AJ137" s="30">
        <v>0</v>
      </c>
      <c r="AK137" s="30">
        <v>0</v>
      </c>
      <c r="AL137" s="30">
        <v>0</v>
      </c>
      <c r="AM137" s="30">
        <v>0</v>
      </c>
      <c r="AN137" s="30">
        <v>0</v>
      </c>
      <c r="AO137" s="30">
        <v>0</v>
      </c>
      <c r="AP137" s="30">
        <v>0</v>
      </c>
      <c r="AQ137" s="30">
        <v>0</v>
      </c>
      <c r="AR137" s="30">
        <v>0</v>
      </c>
      <c r="AS137" s="30">
        <v>0</v>
      </c>
      <c r="AT137" s="30">
        <v>0</v>
      </c>
      <c r="AU137" s="30">
        <v>0</v>
      </c>
      <c r="AV137" s="30">
        <v>18.600000000000001</v>
      </c>
      <c r="AW137" s="30">
        <v>43.4</v>
      </c>
      <c r="AX137" s="30">
        <v>74.400000000000006</v>
      </c>
      <c r="AY137" s="30">
        <v>93</v>
      </c>
      <c r="AZ137" s="30">
        <v>93</v>
      </c>
      <c r="BA137" s="30">
        <v>93</v>
      </c>
      <c r="BB137" s="30">
        <v>93</v>
      </c>
      <c r="BC137" s="30">
        <v>93</v>
      </c>
      <c r="BD137" s="30">
        <v>93</v>
      </c>
      <c r="BE137" s="30">
        <v>93</v>
      </c>
      <c r="BF137" s="30">
        <v>93</v>
      </c>
      <c r="BG137" s="30">
        <v>93</v>
      </c>
      <c r="BH137" s="30">
        <v>93</v>
      </c>
      <c r="BI137" s="30">
        <v>93</v>
      </c>
      <c r="BJ137" s="30">
        <v>93</v>
      </c>
      <c r="BK137" s="30">
        <v>93</v>
      </c>
      <c r="BL137" s="30">
        <v>93</v>
      </c>
      <c r="BM137" s="30">
        <v>93</v>
      </c>
      <c r="BN137" s="30">
        <v>93</v>
      </c>
      <c r="BO137" s="30">
        <v>93</v>
      </c>
      <c r="BP137" s="30">
        <v>93</v>
      </c>
      <c r="BQ137" s="30">
        <v>93</v>
      </c>
      <c r="BR137" s="30">
        <v>93</v>
      </c>
      <c r="BS137" s="30">
        <v>93</v>
      </c>
      <c r="BT137" s="30">
        <v>93</v>
      </c>
      <c r="BU137" s="30">
        <v>93</v>
      </c>
      <c r="BV137" s="30">
        <v>93</v>
      </c>
      <c r="BW137" s="30">
        <v>93</v>
      </c>
      <c r="BX137" s="30">
        <v>93</v>
      </c>
      <c r="BY137" s="30">
        <v>93</v>
      </c>
      <c r="BZ137" s="30">
        <v>93</v>
      </c>
      <c r="CA137" s="30">
        <v>93</v>
      </c>
      <c r="CB137" s="30">
        <v>93</v>
      </c>
      <c r="CC137" s="30">
        <v>93</v>
      </c>
      <c r="CD137" s="30">
        <v>93</v>
      </c>
      <c r="CE137" s="30">
        <v>93</v>
      </c>
      <c r="CF137" s="30">
        <v>93</v>
      </c>
      <c r="CG137" s="30">
        <v>93</v>
      </c>
      <c r="CH137" s="30">
        <v>93</v>
      </c>
      <c r="CI137" s="30">
        <v>93</v>
      </c>
      <c r="CJ137" s="30">
        <v>93</v>
      </c>
      <c r="CK137" s="30">
        <v>93</v>
      </c>
      <c r="CL137" s="30">
        <v>93</v>
      </c>
      <c r="CM137" s="30">
        <v>93</v>
      </c>
      <c r="CN137" s="30">
        <v>93</v>
      </c>
      <c r="CO137" s="30">
        <v>93</v>
      </c>
      <c r="CP137" s="30">
        <v>93</v>
      </c>
      <c r="CQ137" s="30">
        <v>93</v>
      </c>
      <c r="CR137" s="30">
        <v>93</v>
      </c>
      <c r="CS137" s="30">
        <v>93</v>
      </c>
      <c r="CT137" s="30">
        <v>93</v>
      </c>
      <c r="CU137" s="30">
        <v>93</v>
      </c>
      <c r="CV137" s="30">
        <v>93</v>
      </c>
      <c r="CW137" s="30">
        <v>93</v>
      </c>
      <c r="CX137" s="30">
        <v>93</v>
      </c>
      <c r="CY137" s="30">
        <v>93</v>
      </c>
      <c r="CZ137" s="30">
        <v>93</v>
      </c>
      <c r="DA137" s="30">
        <v>93</v>
      </c>
      <c r="DB137" s="30">
        <v>93</v>
      </c>
      <c r="DC137" s="30">
        <v>93</v>
      </c>
      <c r="DD137" s="30">
        <v>93</v>
      </c>
      <c r="DE137" s="30">
        <v>93</v>
      </c>
      <c r="DF137" s="30">
        <v>93</v>
      </c>
      <c r="DG137" s="30">
        <v>93</v>
      </c>
      <c r="DH137" s="30">
        <v>93</v>
      </c>
      <c r="DI137" s="30">
        <v>93</v>
      </c>
      <c r="DJ137" s="30">
        <v>93</v>
      </c>
      <c r="DK137" s="30">
        <v>93</v>
      </c>
      <c r="DL137" s="30">
        <v>93</v>
      </c>
      <c r="DM137" s="30">
        <v>93</v>
      </c>
      <c r="DN137" s="30">
        <v>93</v>
      </c>
      <c r="DO137" s="30">
        <v>93</v>
      </c>
      <c r="DP137" s="30">
        <v>93</v>
      </c>
      <c r="DQ137" s="30">
        <v>93</v>
      </c>
      <c r="DR137" s="30">
        <v>93</v>
      </c>
      <c r="DS137" s="30">
        <v>93</v>
      </c>
      <c r="DT137" s="30">
        <v>93</v>
      </c>
      <c r="DU137" s="30">
        <v>93</v>
      </c>
      <c r="DV137" s="30">
        <v>93</v>
      </c>
      <c r="DW137" s="30">
        <v>93</v>
      </c>
      <c r="DX137" s="30">
        <v>93</v>
      </c>
      <c r="DY137" s="30">
        <v>93</v>
      </c>
      <c r="DZ137" s="30">
        <v>93</v>
      </c>
      <c r="EA137" s="30">
        <v>93</v>
      </c>
      <c r="EB137" s="30">
        <v>93</v>
      </c>
      <c r="EC137" s="30">
        <v>93</v>
      </c>
      <c r="ED137" s="30">
        <v>93</v>
      </c>
      <c r="EE137" s="30">
        <v>93</v>
      </c>
      <c r="EF137" s="30">
        <v>93</v>
      </c>
      <c r="EG137" s="30">
        <v>93</v>
      </c>
      <c r="EH137" s="30">
        <v>93</v>
      </c>
      <c r="EI137" s="30">
        <v>93</v>
      </c>
      <c r="EJ137" s="30">
        <v>93</v>
      </c>
      <c r="EK137" s="30">
        <v>93</v>
      </c>
      <c r="EL137" s="30">
        <v>93</v>
      </c>
      <c r="EM137" s="30">
        <v>93</v>
      </c>
      <c r="EN137" s="30">
        <v>93</v>
      </c>
      <c r="EO137" s="30">
        <v>93</v>
      </c>
      <c r="EP137" s="30">
        <v>93</v>
      </c>
      <c r="EQ137" s="30">
        <v>93</v>
      </c>
      <c r="ER137" s="30">
        <v>93</v>
      </c>
      <c r="ES137" s="30">
        <v>93</v>
      </c>
      <c r="ET137" s="30">
        <v>93</v>
      </c>
      <c r="EU137" s="30">
        <v>93</v>
      </c>
      <c r="EV137" s="30">
        <v>93</v>
      </c>
      <c r="EW137" s="30">
        <v>93</v>
      </c>
      <c r="EX137" s="30">
        <v>93</v>
      </c>
      <c r="EY137" s="30">
        <v>93</v>
      </c>
      <c r="EZ137" s="30">
        <v>93</v>
      </c>
      <c r="FA137" s="30">
        <v>93</v>
      </c>
      <c r="FB137" s="30">
        <v>93</v>
      </c>
      <c r="FC137" s="30">
        <v>93</v>
      </c>
      <c r="FD137" s="30">
        <v>93</v>
      </c>
      <c r="FE137" s="30">
        <v>93</v>
      </c>
      <c r="FF137" s="30">
        <v>93</v>
      </c>
      <c r="FG137" s="30">
        <v>93</v>
      </c>
      <c r="FH137" s="30">
        <v>93</v>
      </c>
      <c r="FI137" s="30">
        <v>93</v>
      </c>
      <c r="FJ137" s="30">
        <v>93</v>
      </c>
      <c r="FK137" s="30">
        <v>93</v>
      </c>
      <c r="FL137" s="30">
        <v>93</v>
      </c>
      <c r="FM137" s="30">
        <v>93</v>
      </c>
      <c r="FN137" s="30">
        <v>93</v>
      </c>
      <c r="FO137" s="30">
        <v>93</v>
      </c>
      <c r="FP137" s="30">
        <v>93</v>
      </c>
      <c r="FQ137" s="30">
        <v>93</v>
      </c>
      <c r="FR137" s="30">
        <v>93</v>
      </c>
      <c r="FS137" s="30">
        <v>93</v>
      </c>
      <c r="FT137" s="30">
        <v>93</v>
      </c>
      <c r="FU137" s="30">
        <v>93</v>
      </c>
      <c r="FV137" s="30">
        <v>93</v>
      </c>
      <c r="FW137" s="30">
        <v>93</v>
      </c>
      <c r="FX137" s="30">
        <v>93</v>
      </c>
      <c r="FY137" s="30">
        <v>93</v>
      </c>
      <c r="FZ137" s="30">
        <v>93</v>
      </c>
      <c r="GA137" s="30">
        <v>93</v>
      </c>
      <c r="GB137" s="30">
        <v>93</v>
      </c>
      <c r="GC137" s="30">
        <v>93</v>
      </c>
      <c r="GD137" s="30">
        <v>93</v>
      </c>
      <c r="GE137" s="30">
        <v>93</v>
      </c>
      <c r="GF137" s="30">
        <v>93</v>
      </c>
      <c r="GG137" s="30">
        <v>93</v>
      </c>
      <c r="GH137" s="30">
        <v>93</v>
      </c>
      <c r="GI137" s="30">
        <v>93</v>
      </c>
      <c r="GJ137" s="30">
        <v>93</v>
      </c>
      <c r="GK137" s="30">
        <v>93</v>
      </c>
      <c r="GL137" s="30">
        <v>93</v>
      </c>
      <c r="GM137" s="30">
        <v>93</v>
      </c>
      <c r="GN137" s="30">
        <v>93</v>
      </c>
      <c r="GO137" s="30">
        <v>93</v>
      </c>
      <c r="GP137" s="30">
        <v>93</v>
      </c>
      <c r="GQ137" s="30">
        <v>93</v>
      </c>
      <c r="GR137" s="30">
        <v>93</v>
      </c>
      <c r="GS137" s="30">
        <v>93</v>
      </c>
      <c r="GT137" s="30">
        <v>93</v>
      </c>
      <c r="GU137" s="30">
        <v>93</v>
      </c>
      <c r="GV137" s="30">
        <v>93</v>
      </c>
      <c r="GW137" s="30">
        <v>93</v>
      </c>
      <c r="GX137" s="30">
        <v>93</v>
      </c>
      <c r="GY137" s="30">
        <v>93</v>
      </c>
      <c r="GZ137" s="30">
        <v>93</v>
      </c>
      <c r="HA137" s="30">
        <v>93</v>
      </c>
      <c r="HB137" s="30">
        <v>93</v>
      </c>
      <c r="HC137" s="30">
        <v>93</v>
      </c>
      <c r="HD137" s="30">
        <v>93</v>
      </c>
      <c r="HE137" s="30">
        <v>93</v>
      </c>
      <c r="HF137" s="30">
        <v>93</v>
      </c>
      <c r="HG137" s="30">
        <v>93</v>
      </c>
      <c r="HH137" s="30">
        <v>93</v>
      </c>
      <c r="HI137" s="30">
        <v>93</v>
      </c>
      <c r="HJ137" s="30">
        <v>93</v>
      </c>
      <c r="HK137" s="30">
        <v>93</v>
      </c>
      <c r="HL137" s="30">
        <v>93</v>
      </c>
      <c r="HM137" s="30">
        <v>93</v>
      </c>
      <c r="HN137" s="30">
        <v>93</v>
      </c>
      <c r="HO137" s="30">
        <v>93</v>
      </c>
      <c r="HP137" s="30">
        <v>93</v>
      </c>
      <c r="HQ137" s="30">
        <v>93</v>
      </c>
      <c r="HR137" s="30">
        <v>93</v>
      </c>
      <c r="HS137" s="30">
        <v>93</v>
      </c>
      <c r="HT137" s="30">
        <v>93</v>
      </c>
      <c r="HU137" s="30">
        <v>93</v>
      </c>
      <c r="HV137" s="30">
        <v>93</v>
      </c>
      <c r="HW137" s="30">
        <v>93</v>
      </c>
      <c r="HX137" s="30">
        <v>93</v>
      </c>
      <c r="HY137" s="30">
        <v>93</v>
      </c>
      <c r="HZ137" s="30">
        <v>93</v>
      </c>
      <c r="IA137" s="30">
        <v>93</v>
      </c>
      <c r="IB137" s="30">
        <v>93</v>
      </c>
      <c r="IC137" s="30">
        <v>93</v>
      </c>
      <c r="ID137" s="30">
        <v>93</v>
      </c>
      <c r="IE137" s="30">
        <v>93</v>
      </c>
      <c r="IF137" s="30">
        <v>93</v>
      </c>
      <c r="IG137" s="30">
        <v>93</v>
      </c>
      <c r="IH137" s="30">
        <v>93</v>
      </c>
      <c r="II137" s="30">
        <v>93</v>
      </c>
      <c r="IJ137" s="30">
        <v>93</v>
      </c>
      <c r="IK137" s="30">
        <v>93</v>
      </c>
      <c r="IL137" s="30">
        <v>93</v>
      </c>
      <c r="IM137" s="30">
        <v>93</v>
      </c>
      <c r="IN137" s="30">
        <v>93</v>
      </c>
      <c r="IO137" s="30">
        <v>93</v>
      </c>
      <c r="IP137" s="30">
        <v>93</v>
      </c>
      <c r="IQ137" s="30">
        <v>93</v>
      </c>
      <c r="IR137" s="30">
        <v>93</v>
      </c>
      <c r="IS137" s="30">
        <v>93</v>
      </c>
      <c r="IT137" s="30">
        <v>93</v>
      </c>
      <c r="IU137" s="30">
        <v>93</v>
      </c>
      <c r="IV137" s="30">
        <v>93</v>
      </c>
      <c r="IW137" s="30">
        <v>93</v>
      </c>
      <c r="IX137" s="30">
        <v>93</v>
      </c>
      <c r="IY137" s="30">
        <v>93</v>
      </c>
      <c r="IZ137" s="30">
        <v>93</v>
      </c>
      <c r="JA137" s="30">
        <v>93</v>
      </c>
      <c r="JB137" s="30">
        <v>93</v>
      </c>
      <c r="JC137" s="30">
        <v>93</v>
      </c>
      <c r="JD137" s="30">
        <v>93</v>
      </c>
      <c r="JE137" s="30">
        <v>93</v>
      </c>
      <c r="JF137" s="30">
        <v>93</v>
      </c>
      <c r="JG137" s="30">
        <v>93</v>
      </c>
      <c r="JH137" s="30">
        <v>93</v>
      </c>
      <c r="JI137" s="30">
        <v>93</v>
      </c>
      <c r="JJ137" s="30">
        <v>93</v>
      </c>
      <c r="JK137" s="30">
        <v>93</v>
      </c>
      <c r="JL137" s="30">
        <v>93</v>
      </c>
      <c r="JM137" s="30">
        <v>93</v>
      </c>
      <c r="JN137" s="30">
        <v>93</v>
      </c>
      <c r="JO137" s="30">
        <v>93</v>
      </c>
      <c r="JP137" s="30">
        <v>93</v>
      </c>
      <c r="JQ137" s="30">
        <v>93</v>
      </c>
      <c r="JR137" s="30">
        <v>93</v>
      </c>
      <c r="JS137" s="30">
        <v>93</v>
      </c>
      <c r="JT137" s="30">
        <v>93</v>
      </c>
      <c r="JU137" s="30">
        <v>93</v>
      </c>
      <c r="JV137" s="30">
        <v>93</v>
      </c>
      <c r="JW137" s="30">
        <v>93</v>
      </c>
      <c r="JX137" s="30">
        <v>93</v>
      </c>
      <c r="JY137" s="30">
        <v>93</v>
      </c>
      <c r="JZ137" s="30">
        <v>93</v>
      </c>
      <c r="KA137" s="30">
        <v>93</v>
      </c>
      <c r="KB137" s="30">
        <v>93</v>
      </c>
      <c r="KC137" s="30">
        <v>93</v>
      </c>
      <c r="KD137" s="30">
        <v>93</v>
      </c>
      <c r="KE137" s="30">
        <v>93</v>
      </c>
      <c r="KF137" s="30">
        <v>93</v>
      </c>
      <c r="KG137" s="30">
        <v>93</v>
      </c>
      <c r="KH137" s="30">
        <v>93</v>
      </c>
      <c r="KI137" s="30">
        <v>93</v>
      </c>
      <c r="KJ137" s="30">
        <v>93</v>
      </c>
      <c r="KK137" s="30">
        <v>93</v>
      </c>
      <c r="KL137" s="30">
        <v>93</v>
      </c>
      <c r="KM137" s="30">
        <v>93</v>
      </c>
      <c r="KN137" s="30">
        <v>93</v>
      </c>
      <c r="KO137" s="30">
        <v>93</v>
      </c>
      <c r="KP137" s="30">
        <v>93</v>
      </c>
      <c r="KQ137" s="30">
        <v>93</v>
      </c>
      <c r="KR137" s="30">
        <v>93</v>
      </c>
      <c r="KS137" s="30">
        <v>93</v>
      </c>
      <c r="KT137" s="30">
        <v>93</v>
      </c>
      <c r="KU137" s="30">
        <v>93</v>
      </c>
      <c r="KV137" s="30">
        <v>93</v>
      </c>
      <c r="KW137" s="30">
        <v>93</v>
      </c>
      <c r="KX137" s="30">
        <v>93</v>
      </c>
      <c r="KY137" s="30">
        <v>93</v>
      </c>
      <c r="KZ137" s="30">
        <v>93</v>
      </c>
      <c r="LA137" s="30">
        <v>93</v>
      </c>
      <c r="LB137" s="30">
        <v>93</v>
      </c>
      <c r="LC137" s="30">
        <v>93</v>
      </c>
      <c r="LD137" s="30">
        <v>93</v>
      </c>
      <c r="LE137" s="30">
        <v>93</v>
      </c>
      <c r="LF137" s="30">
        <v>93</v>
      </c>
      <c r="LG137" s="30">
        <v>93</v>
      </c>
      <c r="LH137" s="30">
        <v>93</v>
      </c>
      <c r="LI137" s="30">
        <v>93</v>
      </c>
      <c r="LJ137" s="30">
        <v>93</v>
      </c>
      <c r="LK137" s="30">
        <v>93</v>
      </c>
      <c r="LL137" s="30">
        <v>93</v>
      </c>
      <c r="LM137" s="30">
        <v>93</v>
      </c>
      <c r="LN137" s="30">
        <v>93</v>
      </c>
      <c r="LO137" s="30">
        <v>93</v>
      </c>
      <c r="LP137" s="30">
        <v>93</v>
      </c>
      <c r="LQ137" s="30">
        <v>93</v>
      </c>
      <c r="LR137" s="30">
        <v>93</v>
      </c>
      <c r="LS137" s="30">
        <v>93</v>
      </c>
      <c r="LT137" s="30">
        <v>93</v>
      </c>
      <c r="LU137" s="30">
        <v>93</v>
      </c>
      <c r="LV137" s="30">
        <v>93</v>
      </c>
      <c r="LW137" s="30">
        <v>93</v>
      </c>
      <c r="LX137" s="30">
        <v>93</v>
      </c>
      <c r="LY137" s="30">
        <v>93</v>
      </c>
      <c r="LZ137" s="30">
        <v>93</v>
      </c>
      <c r="MA137" s="30">
        <v>93</v>
      </c>
      <c r="MB137" s="30">
        <v>93</v>
      </c>
      <c r="MC137" s="30">
        <v>93</v>
      </c>
      <c r="MD137" s="30">
        <v>93</v>
      </c>
      <c r="ME137" s="30">
        <v>93</v>
      </c>
      <c r="MF137" s="30">
        <v>93</v>
      </c>
      <c r="MG137" s="30">
        <v>93</v>
      </c>
      <c r="MH137" s="30">
        <v>93</v>
      </c>
      <c r="MI137" s="30">
        <v>93</v>
      </c>
      <c r="MJ137" s="30">
        <v>93</v>
      </c>
      <c r="MK137" s="30">
        <v>93</v>
      </c>
      <c r="ML137" s="30">
        <v>93</v>
      </c>
      <c r="MM137" s="30">
        <v>93</v>
      </c>
      <c r="MN137" s="30">
        <v>93</v>
      </c>
      <c r="MO137" s="30">
        <v>93</v>
      </c>
      <c r="MP137" s="30">
        <v>93</v>
      </c>
      <c r="MQ137" s="30">
        <v>93</v>
      </c>
      <c r="MR137" s="30">
        <v>93</v>
      </c>
      <c r="MS137" s="30">
        <v>93</v>
      </c>
      <c r="MT137" s="30">
        <v>93</v>
      </c>
      <c r="MU137" s="30">
        <v>93</v>
      </c>
      <c r="MV137" s="30">
        <v>93</v>
      </c>
      <c r="MW137" s="30">
        <v>93</v>
      </c>
      <c r="MX137" s="30">
        <v>93</v>
      </c>
      <c r="MY137" s="30">
        <v>93</v>
      </c>
      <c r="MZ137" s="30">
        <v>93</v>
      </c>
      <c r="NA137" s="30">
        <v>93</v>
      </c>
      <c r="NB137" s="30">
        <v>93</v>
      </c>
      <c r="NC137" s="30">
        <v>93</v>
      </c>
      <c r="ND137" s="30">
        <v>93</v>
      </c>
      <c r="NE137" s="30">
        <v>93</v>
      </c>
      <c r="NF137" s="30">
        <v>93</v>
      </c>
      <c r="NG137" s="30">
        <v>93</v>
      </c>
      <c r="NH137" s="30">
        <v>93</v>
      </c>
      <c r="NI137" s="30">
        <v>93</v>
      </c>
      <c r="NJ137" s="30">
        <v>93</v>
      </c>
      <c r="NK137" s="30">
        <v>93</v>
      </c>
      <c r="NL137" s="30">
        <v>93</v>
      </c>
      <c r="NM137" s="30">
        <v>93</v>
      </c>
      <c r="NN137" s="30">
        <v>93</v>
      </c>
      <c r="NO137" s="30">
        <v>93</v>
      </c>
      <c r="NP137" s="30">
        <v>93</v>
      </c>
      <c r="NQ137" s="30">
        <v>93</v>
      </c>
      <c r="NR137" s="30">
        <v>93</v>
      </c>
      <c r="NS137" s="30">
        <v>93</v>
      </c>
      <c r="NT137" s="30">
        <v>93</v>
      </c>
      <c r="NU137" s="30">
        <v>93</v>
      </c>
      <c r="NV137" s="30">
        <v>93</v>
      </c>
      <c r="NW137" s="30">
        <v>93</v>
      </c>
      <c r="NX137" s="30">
        <v>93</v>
      </c>
      <c r="NY137" s="30">
        <v>93</v>
      </c>
      <c r="NZ137" s="30">
        <v>93</v>
      </c>
      <c r="OA137" s="30">
        <v>93</v>
      </c>
      <c r="OB137" s="30">
        <v>93</v>
      </c>
      <c r="OC137" s="30">
        <v>93</v>
      </c>
      <c r="OD137" s="30">
        <v>93</v>
      </c>
      <c r="OE137" s="30">
        <v>93</v>
      </c>
    </row>
    <row r="138" spans="1:395" outlineLevel="1" x14ac:dyDescent="0.3">
      <c r="E138" s="7"/>
      <c r="K138" s="76"/>
      <c r="L138" s="66"/>
      <c r="M138" s="77"/>
      <c r="N138" s="30" t="s">
        <v>127</v>
      </c>
      <c r="O138" s="30"/>
      <c r="P138" s="32" t="s">
        <v>31</v>
      </c>
      <c r="Q138" s="60" cm="1">
        <f t="array" ref="Q138:OE138">_xlfn.ANCHORARRAY(Q1)*E72</f>
        <v>0.36271325902684531</v>
      </c>
      <c r="R138" s="60">
        <v>0.36271325902684531</v>
      </c>
      <c r="S138" s="60">
        <v>0.36271325902684531</v>
      </c>
      <c r="T138" s="60">
        <v>0.36271325902684531</v>
      </c>
      <c r="U138" s="60">
        <v>0.36271325902684531</v>
      </c>
      <c r="V138" s="60">
        <v>0.36271325902684531</v>
      </c>
      <c r="W138" s="60">
        <v>0.36271325902684531</v>
      </c>
      <c r="X138" s="60">
        <v>0.36271325902684531</v>
      </c>
      <c r="Y138" s="60">
        <v>0.36271325902684531</v>
      </c>
      <c r="Z138" s="60">
        <v>0.36271325902684531</v>
      </c>
      <c r="AA138" s="60">
        <v>0.36271325902684531</v>
      </c>
      <c r="AB138" s="60">
        <v>0.36271325902684531</v>
      </c>
      <c r="AC138" s="60">
        <v>0.36271325902684531</v>
      </c>
      <c r="AD138" s="60">
        <v>0.36271325902684531</v>
      </c>
      <c r="AE138" s="60">
        <v>0.36271325902684531</v>
      </c>
      <c r="AF138" s="60">
        <v>0.36271325902684531</v>
      </c>
      <c r="AG138" s="60">
        <v>0.36271325902684531</v>
      </c>
      <c r="AH138" s="60">
        <v>0.36271325902684531</v>
      </c>
      <c r="AI138" s="60">
        <v>0.36271325902684531</v>
      </c>
      <c r="AJ138" s="60">
        <v>0.36271325902684531</v>
      </c>
      <c r="AK138" s="60">
        <v>0.36271325902684531</v>
      </c>
      <c r="AL138" s="60">
        <v>0.36271325902684531</v>
      </c>
      <c r="AM138" s="60">
        <v>0.36271325902684531</v>
      </c>
      <c r="AN138" s="60">
        <v>0.36271325902684531</v>
      </c>
      <c r="AO138" s="60">
        <v>0.36271325902684531</v>
      </c>
      <c r="AP138" s="60">
        <v>0.36271325902684531</v>
      </c>
      <c r="AQ138" s="60">
        <v>0.36271325902684531</v>
      </c>
      <c r="AR138" s="60">
        <v>0.36271325902684531</v>
      </c>
      <c r="AS138" s="60">
        <v>0.36271325902684531</v>
      </c>
      <c r="AT138" s="60">
        <v>0.36271325902684531</v>
      </c>
      <c r="AU138" s="60">
        <v>0.36271325902684531</v>
      </c>
      <c r="AV138" s="60">
        <v>0.36271325902684531</v>
      </c>
      <c r="AW138" s="60">
        <v>0.36271325902684531</v>
      </c>
      <c r="AX138" s="60">
        <v>0.36271325902684531</v>
      </c>
      <c r="AY138" s="60">
        <v>0.36271325902684531</v>
      </c>
      <c r="AZ138" s="60">
        <v>0.36271325902684531</v>
      </c>
      <c r="BA138" s="60">
        <v>0.36271325902684531</v>
      </c>
      <c r="BB138" s="60">
        <v>0.36271325902684531</v>
      </c>
      <c r="BC138" s="60">
        <v>0.36271325902684531</v>
      </c>
      <c r="BD138" s="60">
        <v>0.36271325902684531</v>
      </c>
      <c r="BE138" s="60">
        <v>0.36271325902684531</v>
      </c>
      <c r="BF138" s="60">
        <v>0.36271325902684531</v>
      </c>
      <c r="BG138" s="60">
        <v>0.36271325902684531</v>
      </c>
      <c r="BH138" s="60">
        <v>0.36271325902684531</v>
      </c>
      <c r="BI138" s="60">
        <v>0.36271325902684531</v>
      </c>
      <c r="BJ138" s="60">
        <v>0.36271325902684531</v>
      </c>
      <c r="BK138" s="60">
        <v>0.36271325902684531</v>
      </c>
      <c r="BL138" s="60">
        <v>0.36271325902684531</v>
      </c>
      <c r="BM138" s="60">
        <v>0.36271325902684531</v>
      </c>
      <c r="BN138" s="60">
        <v>0.36271325902684531</v>
      </c>
      <c r="BO138" s="60">
        <v>0.36271325902684531</v>
      </c>
      <c r="BP138" s="60">
        <v>0.36271325902684531</v>
      </c>
      <c r="BQ138" s="60">
        <v>0.36271325902684531</v>
      </c>
      <c r="BR138" s="60">
        <v>0.36271325902684531</v>
      </c>
      <c r="BS138" s="60">
        <v>0.36271325902684531</v>
      </c>
      <c r="BT138" s="60">
        <v>0.36271325902684531</v>
      </c>
      <c r="BU138" s="60">
        <v>0.36271325902684531</v>
      </c>
      <c r="BV138" s="60">
        <v>0.36271325902684531</v>
      </c>
      <c r="BW138" s="60">
        <v>0.36271325902684531</v>
      </c>
      <c r="BX138" s="60">
        <v>0.36271325902684531</v>
      </c>
      <c r="BY138" s="60">
        <v>0.36271325902684531</v>
      </c>
      <c r="BZ138" s="60">
        <v>0.36271325902684531</v>
      </c>
      <c r="CA138" s="60">
        <v>0.36271325902684531</v>
      </c>
      <c r="CB138" s="60">
        <v>0.36271325902684531</v>
      </c>
      <c r="CC138" s="60">
        <v>0.36271325902684531</v>
      </c>
      <c r="CD138" s="60">
        <v>0.36271325902684531</v>
      </c>
      <c r="CE138" s="60">
        <v>0.36271325902684531</v>
      </c>
      <c r="CF138" s="60">
        <v>0.36271325902684531</v>
      </c>
      <c r="CG138" s="60">
        <v>0.36271325902684531</v>
      </c>
      <c r="CH138" s="60">
        <v>0.36271325902684531</v>
      </c>
      <c r="CI138" s="60">
        <v>0.36271325902684531</v>
      </c>
      <c r="CJ138" s="60">
        <v>0.36271325902684531</v>
      </c>
      <c r="CK138" s="60">
        <v>0.36271325902684531</v>
      </c>
      <c r="CL138" s="60">
        <v>0.36271325902684531</v>
      </c>
      <c r="CM138" s="60">
        <v>0.36271325902684531</v>
      </c>
      <c r="CN138" s="60">
        <v>0.36271325902684531</v>
      </c>
      <c r="CO138" s="60">
        <v>0.36271325902684531</v>
      </c>
      <c r="CP138" s="60">
        <v>0.36271325902684531</v>
      </c>
      <c r="CQ138" s="60">
        <v>0.36271325902684531</v>
      </c>
      <c r="CR138" s="60">
        <v>0.36271325902684531</v>
      </c>
      <c r="CS138" s="60">
        <v>0.36271325902684531</v>
      </c>
      <c r="CT138" s="60">
        <v>0.36271325902684531</v>
      </c>
      <c r="CU138" s="60">
        <v>0.36271325902684531</v>
      </c>
      <c r="CV138" s="60">
        <v>0.36271325902684531</v>
      </c>
      <c r="CW138" s="60">
        <v>0.36271325902684531</v>
      </c>
      <c r="CX138" s="60">
        <v>0.36271325902684531</v>
      </c>
      <c r="CY138" s="60">
        <v>0.36271325902684531</v>
      </c>
      <c r="CZ138" s="60">
        <v>0.36271325902684531</v>
      </c>
      <c r="DA138" s="60">
        <v>0.36271325902684531</v>
      </c>
      <c r="DB138" s="60">
        <v>0.36271325902684531</v>
      </c>
      <c r="DC138" s="60">
        <v>0.36271325902684531</v>
      </c>
      <c r="DD138" s="60">
        <v>0.36271325902684531</v>
      </c>
      <c r="DE138" s="60">
        <v>0.36271325902684531</v>
      </c>
      <c r="DF138" s="60">
        <v>0.36271325902684531</v>
      </c>
      <c r="DG138" s="60">
        <v>0.36271325902684531</v>
      </c>
      <c r="DH138" s="60">
        <v>0.36271325902684531</v>
      </c>
      <c r="DI138" s="60">
        <v>0.36271325902684531</v>
      </c>
      <c r="DJ138" s="60">
        <v>0.36271325902684531</v>
      </c>
      <c r="DK138" s="60">
        <v>0.36271325902684531</v>
      </c>
      <c r="DL138" s="60">
        <v>0.36271325902684531</v>
      </c>
      <c r="DM138" s="60">
        <v>0.36271325902684531</v>
      </c>
      <c r="DN138" s="60">
        <v>0.36271325902684531</v>
      </c>
      <c r="DO138" s="60">
        <v>0.36271325902684531</v>
      </c>
      <c r="DP138" s="60">
        <v>0.36271325902684531</v>
      </c>
      <c r="DQ138" s="60">
        <v>0.36271325902684531</v>
      </c>
      <c r="DR138" s="60">
        <v>0.36271325902684531</v>
      </c>
      <c r="DS138" s="60">
        <v>0.36271325902684531</v>
      </c>
      <c r="DT138" s="60">
        <v>0.36271325902684531</v>
      </c>
      <c r="DU138" s="60">
        <v>0.36271325902684531</v>
      </c>
      <c r="DV138" s="60">
        <v>0.36271325902684531</v>
      </c>
      <c r="DW138" s="60">
        <v>0.36271325902684531</v>
      </c>
      <c r="DX138" s="60">
        <v>0.36271325902684531</v>
      </c>
      <c r="DY138" s="60">
        <v>0.36271325902684531</v>
      </c>
      <c r="DZ138" s="60">
        <v>0.36271325902684531</v>
      </c>
      <c r="EA138" s="60">
        <v>0.36271325902684531</v>
      </c>
      <c r="EB138" s="60">
        <v>0.36271325902684531</v>
      </c>
      <c r="EC138" s="60">
        <v>0.36271325902684531</v>
      </c>
      <c r="ED138" s="60">
        <v>0.36271325902684531</v>
      </c>
      <c r="EE138" s="60">
        <v>0.36271325902684531</v>
      </c>
      <c r="EF138" s="60">
        <v>0.36271325902684531</v>
      </c>
      <c r="EG138" s="60">
        <v>0.36271325902684531</v>
      </c>
      <c r="EH138" s="60">
        <v>0.36271325902684531</v>
      </c>
      <c r="EI138" s="60">
        <v>0.36271325902684531</v>
      </c>
      <c r="EJ138" s="60">
        <v>0.36271325902684531</v>
      </c>
      <c r="EK138" s="60">
        <v>0.36271325902684531</v>
      </c>
      <c r="EL138" s="60">
        <v>0.36271325902684531</v>
      </c>
      <c r="EM138" s="60">
        <v>0.36271325902684531</v>
      </c>
      <c r="EN138" s="60">
        <v>0.36271325902684531</v>
      </c>
      <c r="EO138" s="60">
        <v>0.36271325902684531</v>
      </c>
      <c r="EP138" s="60">
        <v>0.36271325902684531</v>
      </c>
      <c r="EQ138" s="60">
        <v>0.36271325902684531</v>
      </c>
      <c r="ER138" s="60">
        <v>0.36271325902684531</v>
      </c>
      <c r="ES138" s="60">
        <v>0.36271325902684531</v>
      </c>
      <c r="ET138" s="60">
        <v>0.36271325902684531</v>
      </c>
      <c r="EU138" s="60">
        <v>0.36271325902684531</v>
      </c>
      <c r="EV138" s="60">
        <v>0.36271325902684531</v>
      </c>
      <c r="EW138" s="60">
        <v>0.36271325902684531</v>
      </c>
      <c r="EX138" s="60">
        <v>0.36271325902684531</v>
      </c>
      <c r="EY138" s="60">
        <v>0.36271325902684531</v>
      </c>
      <c r="EZ138" s="60">
        <v>0.36271325902684531</v>
      </c>
      <c r="FA138" s="60">
        <v>0.36271325902684531</v>
      </c>
      <c r="FB138" s="60">
        <v>0.36271325902684531</v>
      </c>
      <c r="FC138" s="60">
        <v>0.36271325902684531</v>
      </c>
      <c r="FD138" s="60">
        <v>0.36271325902684531</v>
      </c>
      <c r="FE138" s="60">
        <v>0.36271325902684531</v>
      </c>
      <c r="FF138" s="60">
        <v>0.36271325902684531</v>
      </c>
      <c r="FG138" s="60">
        <v>0.36271325902684531</v>
      </c>
      <c r="FH138" s="60">
        <v>0.36271325902684531</v>
      </c>
      <c r="FI138" s="60">
        <v>0.36271325902684531</v>
      </c>
      <c r="FJ138" s="60">
        <v>0.36271325902684531</v>
      </c>
      <c r="FK138" s="60">
        <v>0.36271325902684531</v>
      </c>
      <c r="FL138" s="60">
        <v>0.36271325902684531</v>
      </c>
      <c r="FM138" s="60">
        <v>0.36271325902684531</v>
      </c>
      <c r="FN138" s="60">
        <v>0.36271325902684531</v>
      </c>
      <c r="FO138" s="60">
        <v>0.36271325902684531</v>
      </c>
      <c r="FP138" s="60">
        <v>0.36271325902684531</v>
      </c>
      <c r="FQ138" s="60">
        <v>0.36271325902684531</v>
      </c>
      <c r="FR138" s="60">
        <v>0.36271325902684531</v>
      </c>
      <c r="FS138" s="60">
        <v>0.36271325902684531</v>
      </c>
      <c r="FT138" s="60">
        <v>0.36271325902684531</v>
      </c>
      <c r="FU138" s="60">
        <v>0.36271325902684531</v>
      </c>
      <c r="FV138" s="60">
        <v>0.36271325902684531</v>
      </c>
      <c r="FW138" s="60">
        <v>0.36271325902684531</v>
      </c>
      <c r="FX138" s="60">
        <v>0.36271325902684531</v>
      </c>
      <c r="FY138" s="60">
        <v>0.36271325902684531</v>
      </c>
      <c r="FZ138" s="60">
        <v>0.36271325902684531</v>
      </c>
      <c r="GA138" s="60">
        <v>0.36271325902684531</v>
      </c>
      <c r="GB138" s="60">
        <v>0.36271325902684531</v>
      </c>
      <c r="GC138" s="60">
        <v>0.36271325902684531</v>
      </c>
      <c r="GD138" s="60">
        <v>0.36271325902684531</v>
      </c>
      <c r="GE138" s="60">
        <v>0.36271325902684531</v>
      </c>
      <c r="GF138" s="60">
        <v>0.36271325902684531</v>
      </c>
      <c r="GG138" s="60">
        <v>0.36271325902684531</v>
      </c>
      <c r="GH138" s="60">
        <v>0.36271325902684531</v>
      </c>
      <c r="GI138" s="60">
        <v>0.36271325902684531</v>
      </c>
      <c r="GJ138" s="60">
        <v>0.36271325902684531</v>
      </c>
      <c r="GK138" s="60">
        <v>0.36271325902684531</v>
      </c>
      <c r="GL138" s="60">
        <v>0.36271325902684531</v>
      </c>
      <c r="GM138" s="60">
        <v>0.36271325902684531</v>
      </c>
      <c r="GN138" s="60">
        <v>0.36271325902684531</v>
      </c>
      <c r="GO138" s="60">
        <v>0.36271325902684531</v>
      </c>
      <c r="GP138" s="60">
        <v>0.36271325902684531</v>
      </c>
      <c r="GQ138" s="60">
        <v>0.36271325902684531</v>
      </c>
      <c r="GR138" s="60">
        <v>0.36271325902684531</v>
      </c>
      <c r="GS138" s="60">
        <v>0.36271325902684531</v>
      </c>
      <c r="GT138" s="60">
        <v>0.36271325902684531</v>
      </c>
      <c r="GU138" s="60">
        <v>0.36271325902684531</v>
      </c>
      <c r="GV138" s="60">
        <v>0.36271325902684531</v>
      </c>
      <c r="GW138" s="60">
        <v>0.36271325902684531</v>
      </c>
      <c r="GX138" s="60">
        <v>0.36271325902684531</v>
      </c>
      <c r="GY138" s="60">
        <v>0.36271325902684531</v>
      </c>
      <c r="GZ138" s="60">
        <v>0.36271325902684531</v>
      </c>
      <c r="HA138" s="60">
        <v>0.36271325902684531</v>
      </c>
      <c r="HB138" s="60">
        <v>0.36271325902684531</v>
      </c>
      <c r="HC138" s="60">
        <v>0.36271325902684531</v>
      </c>
      <c r="HD138" s="60">
        <v>0.36271325902684531</v>
      </c>
      <c r="HE138" s="60">
        <v>0.36271325902684531</v>
      </c>
      <c r="HF138" s="60">
        <v>0.36271325902684531</v>
      </c>
      <c r="HG138" s="60">
        <v>0.36271325902684531</v>
      </c>
      <c r="HH138" s="60">
        <v>0.36271325902684531</v>
      </c>
      <c r="HI138" s="60">
        <v>0.36271325902684531</v>
      </c>
      <c r="HJ138" s="60">
        <v>0.36271325902684531</v>
      </c>
      <c r="HK138" s="60">
        <v>0.36271325902684531</v>
      </c>
      <c r="HL138" s="60">
        <v>0.36271325902684531</v>
      </c>
      <c r="HM138" s="60">
        <v>0.36271325902684531</v>
      </c>
      <c r="HN138" s="60">
        <v>0.36271325902684531</v>
      </c>
      <c r="HO138" s="60">
        <v>0.36271325902684531</v>
      </c>
      <c r="HP138" s="60">
        <v>0.36271325902684531</v>
      </c>
      <c r="HQ138" s="60">
        <v>0.36271325902684531</v>
      </c>
      <c r="HR138" s="60">
        <v>0.36271325902684531</v>
      </c>
      <c r="HS138" s="60">
        <v>0.36271325902684531</v>
      </c>
      <c r="HT138" s="60">
        <v>0.36271325902684531</v>
      </c>
      <c r="HU138" s="60">
        <v>0.36271325902684531</v>
      </c>
      <c r="HV138" s="60">
        <v>0.36271325902684531</v>
      </c>
      <c r="HW138" s="60">
        <v>0.36271325902684531</v>
      </c>
      <c r="HX138" s="60">
        <v>0.36271325902684531</v>
      </c>
      <c r="HY138" s="60">
        <v>0.36271325902684531</v>
      </c>
      <c r="HZ138" s="60">
        <v>0.36271325902684531</v>
      </c>
      <c r="IA138" s="60">
        <v>0.36271325902684531</v>
      </c>
      <c r="IB138" s="60">
        <v>0.36271325902684531</v>
      </c>
      <c r="IC138" s="60">
        <v>0.36271325902684531</v>
      </c>
      <c r="ID138" s="60">
        <v>0.36271325902684531</v>
      </c>
      <c r="IE138" s="60">
        <v>0.36271325902684531</v>
      </c>
      <c r="IF138" s="60">
        <v>0.36271325902684531</v>
      </c>
      <c r="IG138" s="60">
        <v>0.36271325902684531</v>
      </c>
      <c r="IH138" s="60">
        <v>0.36271325902684531</v>
      </c>
      <c r="II138" s="60">
        <v>0.36271325902684531</v>
      </c>
      <c r="IJ138" s="60">
        <v>0.36271325902684531</v>
      </c>
      <c r="IK138" s="60">
        <v>0.36271325902684531</v>
      </c>
      <c r="IL138" s="60">
        <v>0.36271325902684531</v>
      </c>
      <c r="IM138" s="60">
        <v>0.36271325902684531</v>
      </c>
      <c r="IN138" s="60">
        <v>0.36271325902684531</v>
      </c>
      <c r="IO138" s="60">
        <v>0.36271325902684531</v>
      </c>
      <c r="IP138" s="60">
        <v>0.36271325902684531</v>
      </c>
      <c r="IQ138" s="60">
        <v>0.36271325902684531</v>
      </c>
      <c r="IR138" s="60">
        <v>0.36271325902684531</v>
      </c>
      <c r="IS138" s="60">
        <v>0.36271325902684531</v>
      </c>
      <c r="IT138" s="60">
        <v>0.36271325902684531</v>
      </c>
      <c r="IU138" s="60">
        <v>0.36271325902684531</v>
      </c>
      <c r="IV138" s="60">
        <v>0.36271325902684531</v>
      </c>
      <c r="IW138" s="60">
        <v>0.36271325902684531</v>
      </c>
      <c r="IX138" s="60">
        <v>0.36271325902684531</v>
      </c>
      <c r="IY138" s="60">
        <v>0.36271325902684531</v>
      </c>
      <c r="IZ138" s="60">
        <v>0.36271325902684531</v>
      </c>
      <c r="JA138" s="60">
        <v>0.36271325902684531</v>
      </c>
      <c r="JB138" s="60">
        <v>0.36271325902684531</v>
      </c>
      <c r="JC138" s="60">
        <v>0.36271325902684531</v>
      </c>
      <c r="JD138" s="60">
        <v>0.36271325902684531</v>
      </c>
      <c r="JE138" s="60">
        <v>0.36271325902684531</v>
      </c>
      <c r="JF138" s="60">
        <v>0.36271325902684531</v>
      </c>
      <c r="JG138" s="60">
        <v>0.36271325902684531</v>
      </c>
      <c r="JH138" s="60">
        <v>0.36271325902684531</v>
      </c>
      <c r="JI138" s="60">
        <v>0.36271325902684531</v>
      </c>
      <c r="JJ138" s="60">
        <v>0.36271325902684531</v>
      </c>
      <c r="JK138" s="60">
        <v>0.36271325902684531</v>
      </c>
      <c r="JL138" s="60">
        <v>0.36271325902684531</v>
      </c>
      <c r="JM138" s="60">
        <v>0.36271325902684531</v>
      </c>
      <c r="JN138" s="60">
        <v>0.36271325902684531</v>
      </c>
      <c r="JO138" s="60">
        <v>0.36271325902684531</v>
      </c>
      <c r="JP138" s="60">
        <v>0.36271325902684531</v>
      </c>
      <c r="JQ138" s="60">
        <v>0.36271325902684531</v>
      </c>
      <c r="JR138" s="60">
        <v>0.36271325902684531</v>
      </c>
      <c r="JS138" s="60">
        <v>0.36271325902684531</v>
      </c>
      <c r="JT138" s="60">
        <v>0.36271325902684531</v>
      </c>
      <c r="JU138" s="60">
        <v>0.36271325902684531</v>
      </c>
      <c r="JV138" s="60">
        <v>0.36271325902684531</v>
      </c>
      <c r="JW138" s="60">
        <v>0.36271325902684531</v>
      </c>
      <c r="JX138" s="60">
        <v>0.36271325902684531</v>
      </c>
      <c r="JY138" s="60">
        <v>0.36271325902684531</v>
      </c>
      <c r="JZ138" s="60">
        <v>0.36271325902684531</v>
      </c>
      <c r="KA138" s="60">
        <v>0.36271325902684531</v>
      </c>
      <c r="KB138" s="60">
        <v>0.36271325902684531</v>
      </c>
      <c r="KC138" s="60">
        <v>0.36271325902684531</v>
      </c>
      <c r="KD138" s="60">
        <v>0.36271325902684531</v>
      </c>
      <c r="KE138" s="60">
        <v>0.36271325902684531</v>
      </c>
      <c r="KF138" s="60">
        <v>0.36271325902684531</v>
      </c>
      <c r="KG138" s="60">
        <v>0.36271325902684531</v>
      </c>
      <c r="KH138" s="60">
        <v>0.36271325902684531</v>
      </c>
      <c r="KI138" s="60">
        <v>0.36271325902684531</v>
      </c>
      <c r="KJ138" s="60">
        <v>0.36271325902684531</v>
      </c>
      <c r="KK138" s="60">
        <v>0.36271325902684531</v>
      </c>
      <c r="KL138" s="60">
        <v>0.36271325902684531</v>
      </c>
      <c r="KM138" s="60">
        <v>0.36271325902684531</v>
      </c>
      <c r="KN138" s="60">
        <v>0.36271325902684531</v>
      </c>
      <c r="KO138" s="60">
        <v>0.36271325902684531</v>
      </c>
      <c r="KP138" s="60">
        <v>0.36271325902684531</v>
      </c>
      <c r="KQ138" s="60">
        <v>0.36271325902684531</v>
      </c>
      <c r="KR138" s="60">
        <v>0.36271325902684531</v>
      </c>
      <c r="KS138" s="60">
        <v>0.36271325902684531</v>
      </c>
      <c r="KT138" s="60">
        <v>0.36271325902684531</v>
      </c>
      <c r="KU138" s="60">
        <v>0.36271325902684531</v>
      </c>
      <c r="KV138" s="60">
        <v>0.36271325902684531</v>
      </c>
      <c r="KW138" s="60">
        <v>0.36271325902684531</v>
      </c>
      <c r="KX138" s="60">
        <v>0.36271325902684531</v>
      </c>
      <c r="KY138" s="60">
        <v>0.36271325902684531</v>
      </c>
      <c r="KZ138" s="60">
        <v>0.36271325902684531</v>
      </c>
      <c r="LA138" s="60">
        <v>0.36271325902684531</v>
      </c>
      <c r="LB138" s="60">
        <v>0.36271325902684531</v>
      </c>
      <c r="LC138" s="60">
        <v>0.36271325902684531</v>
      </c>
      <c r="LD138" s="60">
        <v>0.36271325902684531</v>
      </c>
      <c r="LE138" s="60">
        <v>0.36271325902684531</v>
      </c>
      <c r="LF138" s="60">
        <v>0.36271325902684531</v>
      </c>
      <c r="LG138" s="60">
        <v>0.36271325902684531</v>
      </c>
      <c r="LH138" s="60">
        <v>0.36271325902684531</v>
      </c>
      <c r="LI138" s="60">
        <v>0.36271325902684531</v>
      </c>
      <c r="LJ138" s="60">
        <v>0.36271325902684531</v>
      </c>
      <c r="LK138" s="60">
        <v>0.36271325902684531</v>
      </c>
      <c r="LL138" s="60">
        <v>0.36271325902684531</v>
      </c>
      <c r="LM138" s="60">
        <v>0.36271325902684531</v>
      </c>
      <c r="LN138" s="60">
        <v>0.36271325902684531</v>
      </c>
      <c r="LO138" s="60">
        <v>0.36271325902684531</v>
      </c>
      <c r="LP138" s="60">
        <v>0.36271325902684531</v>
      </c>
      <c r="LQ138" s="60">
        <v>0.36271325902684531</v>
      </c>
      <c r="LR138" s="60">
        <v>0.36271325902684531</v>
      </c>
      <c r="LS138" s="60">
        <v>0.36271325902684531</v>
      </c>
      <c r="LT138" s="60">
        <v>0.36271325902684531</v>
      </c>
      <c r="LU138" s="60">
        <v>0.36271325902684531</v>
      </c>
      <c r="LV138" s="60">
        <v>0.36271325902684531</v>
      </c>
      <c r="LW138" s="60">
        <v>0.36271325902684531</v>
      </c>
      <c r="LX138" s="60">
        <v>0.36271325902684531</v>
      </c>
      <c r="LY138" s="60">
        <v>0.36271325902684531</v>
      </c>
      <c r="LZ138" s="60">
        <v>0.36271325902684531</v>
      </c>
      <c r="MA138" s="60">
        <v>0.36271325902684531</v>
      </c>
      <c r="MB138" s="60">
        <v>0.36271325902684531</v>
      </c>
      <c r="MC138" s="60">
        <v>0.36271325902684531</v>
      </c>
      <c r="MD138" s="60">
        <v>0.36271325902684531</v>
      </c>
      <c r="ME138" s="60">
        <v>0.36271325902684531</v>
      </c>
      <c r="MF138" s="60">
        <v>0.36271325902684531</v>
      </c>
      <c r="MG138" s="60">
        <v>0.36271325902684531</v>
      </c>
      <c r="MH138" s="60">
        <v>0.36271325902684531</v>
      </c>
      <c r="MI138" s="60">
        <v>0.36271325902684531</v>
      </c>
      <c r="MJ138" s="60">
        <v>0.36271325902684531</v>
      </c>
      <c r="MK138" s="60">
        <v>0.36271325902684531</v>
      </c>
      <c r="ML138" s="60">
        <v>0.36271325902684531</v>
      </c>
      <c r="MM138" s="60">
        <v>0.36271325902684531</v>
      </c>
      <c r="MN138" s="60">
        <v>0.36271325902684531</v>
      </c>
      <c r="MO138" s="60">
        <v>0.36271325902684531</v>
      </c>
      <c r="MP138" s="60">
        <v>0.36271325902684531</v>
      </c>
      <c r="MQ138" s="60">
        <v>0.36271325902684531</v>
      </c>
      <c r="MR138" s="60">
        <v>0.36271325902684531</v>
      </c>
      <c r="MS138" s="60">
        <v>0.36271325902684531</v>
      </c>
      <c r="MT138" s="60">
        <v>0.36271325902684531</v>
      </c>
      <c r="MU138" s="60">
        <v>0.36271325902684531</v>
      </c>
      <c r="MV138" s="60">
        <v>0.36271325902684531</v>
      </c>
      <c r="MW138" s="60">
        <v>0.36271325902684531</v>
      </c>
      <c r="MX138" s="60">
        <v>0.36271325902684531</v>
      </c>
      <c r="MY138" s="60">
        <v>0.36271325902684531</v>
      </c>
      <c r="MZ138" s="60">
        <v>0.36271325902684531</v>
      </c>
      <c r="NA138" s="60">
        <v>0.36271325902684531</v>
      </c>
      <c r="NB138" s="60">
        <v>0.36271325902684531</v>
      </c>
      <c r="NC138" s="60">
        <v>0.36271325902684531</v>
      </c>
      <c r="ND138" s="60">
        <v>0.36271325902684531</v>
      </c>
      <c r="NE138" s="60">
        <v>0.36271325902684531</v>
      </c>
      <c r="NF138" s="60">
        <v>0.36271325902684531</v>
      </c>
      <c r="NG138" s="60">
        <v>0.36271325902684531</v>
      </c>
      <c r="NH138" s="60">
        <v>0.36271325902684531</v>
      </c>
      <c r="NI138" s="60">
        <v>0.36271325902684531</v>
      </c>
      <c r="NJ138" s="60">
        <v>0.36271325902684531</v>
      </c>
      <c r="NK138" s="60">
        <v>0.36271325902684531</v>
      </c>
      <c r="NL138" s="60">
        <v>0.36271325902684531</v>
      </c>
      <c r="NM138" s="60">
        <v>0.36271325902684531</v>
      </c>
      <c r="NN138" s="60">
        <v>0.36271325902684531</v>
      </c>
      <c r="NO138" s="60">
        <v>0.36271325902684531</v>
      </c>
      <c r="NP138" s="60">
        <v>0.36271325902684531</v>
      </c>
      <c r="NQ138" s="60">
        <v>0.36271325902684531</v>
      </c>
      <c r="NR138" s="60">
        <v>0.36271325902684531</v>
      </c>
      <c r="NS138" s="60">
        <v>0.36271325902684531</v>
      </c>
      <c r="NT138" s="60">
        <v>0.36271325902684531</v>
      </c>
      <c r="NU138" s="60">
        <v>0.36271325902684531</v>
      </c>
      <c r="NV138" s="60">
        <v>0.36271325902684531</v>
      </c>
      <c r="NW138" s="60">
        <v>0.36271325902684531</v>
      </c>
      <c r="NX138" s="60">
        <v>0.36271325902684531</v>
      </c>
      <c r="NY138" s="60">
        <v>0.36271325902684531</v>
      </c>
      <c r="NZ138" s="60">
        <v>0.36271325902684531</v>
      </c>
      <c r="OA138" s="60">
        <v>0.36271325902684531</v>
      </c>
      <c r="OB138" s="60">
        <v>0.36271325902684531</v>
      </c>
      <c r="OC138" s="60">
        <v>0.36271325902684531</v>
      </c>
      <c r="OD138" s="60">
        <v>0.36271325902684531</v>
      </c>
      <c r="OE138" s="60">
        <v>0.36271325902684531</v>
      </c>
    </row>
    <row r="139" spans="1:395" outlineLevel="1" x14ac:dyDescent="0.3">
      <c r="E139" s="7"/>
      <c r="K139" s="76"/>
      <c r="L139" s="66"/>
      <c r="M139" s="77"/>
      <c r="N139" s="30"/>
      <c r="O139" s="30"/>
      <c r="P139" s="32"/>
      <c r="Q139" s="60" t="s">
        <v>410</v>
      </c>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c r="BN139" s="60"/>
      <c r="BO139" s="60"/>
      <c r="BP139" s="60"/>
      <c r="BQ139" s="60"/>
      <c r="BR139" s="60"/>
      <c r="BS139" s="60"/>
      <c r="BT139" s="60"/>
      <c r="BU139" s="60"/>
      <c r="BV139" s="60"/>
      <c r="BW139" s="60"/>
      <c r="BX139" s="60"/>
      <c r="BY139" s="60"/>
      <c r="BZ139" s="60"/>
      <c r="CA139" s="60"/>
      <c r="CB139" s="60"/>
      <c r="CC139" s="60"/>
      <c r="CD139" s="60"/>
      <c r="CE139" s="60"/>
      <c r="CF139" s="60"/>
      <c r="CG139" s="60"/>
      <c r="CH139" s="60"/>
      <c r="CI139" s="60"/>
      <c r="CJ139" s="60"/>
      <c r="CK139" s="60"/>
      <c r="CL139" s="60"/>
      <c r="CM139" s="60"/>
      <c r="CN139" s="60"/>
      <c r="CO139" s="60"/>
      <c r="CP139" s="60"/>
      <c r="CQ139" s="60"/>
      <c r="CR139" s="60"/>
      <c r="CS139" s="60"/>
      <c r="CT139" s="60"/>
      <c r="CU139" s="60"/>
      <c r="CV139" s="60"/>
      <c r="CW139" s="60"/>
      <c r="CX139" s="60"/>
      <c r="CY139" s="60"/>
      <c r="CZ139" s="60"/>
      <c r="DA139" s="60"/>
      <c r="DB139" s="60"/>
      <c r="DC139" s="60"/>
      <c r="DD139" s="60"/>
      <c r="DE139" s="60"/>
      <c r="DF139" s="60"/>
      <c r="DG139" s="60"/>
      <c r="DH139" s="60"/>
      <c r="DI139" s="60"/>
      <c r="DJ139" s="60"/>
      <c r="DK139" s="60"/>
      <c r="DL139" s="60"/>
      <c r="DM139" s="60"/>
      <c r="DN139" s="60"/>
      <c r="DO139" s="60"/>
      <c r="DP139" s="60"/>
      <c r="DQ139" s="60"/>
      <c r="DR139" s="60"/>
      <c r="DS139" s="60"/>
      <c r="DT139" s="60"/>
      <c r="DU139" s="60"/>
      <c r="DV139" s="60"/>
      <c r="DW139" s="60"/>
      <c r="DX139" s="60"/>
      <c r="DY139" s="60"/>
      <c r="DZ139" s="60"/>
      <c r="EA139" s="60"/>
      <c r="EB139" s="60"/>
      <c r="EC139" s="60"/>
      <c r="ED139" s="60"/>
      <c r="EE139" s="60"/>
      <c r="EF139" s="60"/>
      <c r="EG139" s="60"/>
      <c r="EH139" s="60"/>
      <c r="EI139" s="60"/>
      <c r="EJ139" s="60"/>
      <c r="EK139" s="60"/>
      <c r="EL139" s="60"/>
      <c r="EM139" s="60"/>
      <c r="EN139" s="60"/>
      <c r="EO139" s="60"/>
      <c r="EP139" s="60"/>
      <c r="EQ139" s="60"/>
      <c r="ER139" s="60"/>
      <c r="ES139" s="60"/>
      <c r="ET139" s="60"/>
      <c r="EU139" s="60"/>
      <c r="EV139" s="60"/>
      <c r="EW139" s="60"/>
      <c r="EX139" s="60"/>
      <c r="EY139" s="60"/>
      <c r="EZ139" s="60"/>
      <c r="FA139" s="60"/>
      <c r="FB139" s="60"/>
      <c r="FC139" s="60"/>
      <c r="FD139" s="60"/>
      <c r="FE139" s="60"/>
      <c r="FF139" s="60"/>
      <c r="FG139" s="60"/>
      <c r="FH139" s="60"/>
      <c r="FI139" s="60"/>
      <c r="FJ139" s="60"/>
      <c r="FK139" s="60"/>
      <c r="FL139" s="60"/>
      <c r="FM139" s="60"/>
      <c r="FN139" s="60"/>
      <c r="FO139" s="60"/>
      <c r="FP139" s="60"/>
      <c r="FQ139" s="60"/>
      <c r="FR139" s="60"/>
      <c r="FS139" s="60"/>
      <c r="FT139" s="60"/>
      <c r="FU139" s="60"/>
      <c r="FV139" s="60"/>
      <c r="FW139" s="60"/>
      <c r="FX139" s="60"/>
      <c r="FY139" s="60"/>
      <c r="FZ139" s="60"/>
      <c r="GA139" s="60"/>
      <c r="GB139" s="60"/>
      <c r="GC139" s="60"/>
      <c r="GD139" s="60"/>
      <c r="GE139" s="60"/>
      <c r="GF139" s="60"/>
      <c r="GG139" s="60"/>
      <c r="GH139" s="60"/>
      <c r="GI139" s="60"/>
      <c r="GJ139" s="60"/>
      <c r="GK139" s="60"/>
      <c r="GL139" s="60"/>
      <c r="GM139" s="60"/>
      <c r="GN139" s="60"/>
      <c r="GO139" s="60"/>
      <c r="GP139" s="60"/>
      <c r="GQ139" s="60"/>
      <c r="GR139" s="60"/>
      <c r="GS139" s="60"/>
      <c r="GT139" s="60"/>
      <c r="GU139" s="60"/>
      <c r="GV139" s="60"/>
      <c r="GW139" s="60"/>
      <c r="GX139" s="60"/>
      <c r="GY139" s="60"/>
      <c r="GZ139" s="60"/>
      <c r="HA139" s="60"/>
      <c r="HB139" s="60"/>
      <c r="HC139" s="60"/>
      <c r="HD139" s="60"/>
      <c r="HE139" s="60"/>
      <c r="HF139" s="60"/>
      <c r="HG139" s="60"/>
      <c r="HH139" s="60"/>
      <c r="HI139" s="60"/>
      <c r="HJ139" s="60"/>
      <c r="HK139" s="60"/>
      <c r="HL139" s="60"/>
      <c r="HM139" s="60"/>
      <c r="HN139" s="60"/>
      <c r="HO139" s="60"/>
      <c r="HP139" s="60"/>
      <c r="HQ139" s="60"/>
      <c r="HR139" s="60"/>
      <c r="HS139" s="60"/>
      <c r="HT139" s="60"/>
      <c r="HU139" s="60"/>
      <c r="HV139" s="60"/>
      <c r="HW139" s="60"/>
      <c r="HX139" s="60"/>
      <c r="HY139" s="60"/>
      <c r="HZ139" s="60"/>
      <c r="IA139" s="60"/>
      <c r="IB139" s="60"/>
      <c r="IC139" s="60"/>
      <c r="ID139" s="60"/>
      <c r="IE139" s="60"/>
      <c r="IF139" s="60"/>
      <c r="IG139" s="60"/>
      <c r="IH139" s="60"/>
      <c r="II139" s="60"/>
      <c r="IJ139" s="60"/>
      <c r="IK139" s="60"/>
      <c r="IL139" s="60"/>
      <c r="IM139" s="60"/>
      <c r="IN139" s="60"/>
      <c r="IO139" s="60"/>
      <c r="IP139" s="60"/>
      <c r="IQ139" s="60"/>
      <c r="IR139" s="60"/>
      <c r="IS139" s="60"/>
      <c r="IT139" s="60"/>
      <c r="IU139" s="60"/>
      <c r="IV139" s="60"/>
      <c r="IW139" s="60"/>
      <c r="IX139" s="60"/>
      <c r="IY139" s="60"/>
      <c r="IZ139" s="60"/>
      <c r="JA139" s="60"/>
      <c r="JB139" s="60"/>
      <c r="JC139" s="60"/>
      <c r="JD139" s="60"/>
      <c r="JE139" s="60"/>
      <c r="JF139" s="60"/>
      <c r="JG139" s="60"/>
      <c r="JH139" s="60"/>
      <c r="JI139" s="60"/>
      <c r="JJ139" s="60"/>
      <c r="JK139" s="60"/>
      <c r="JL139" s="60"/>
      <c r="JM139" s="60"/>
      <c r="JN139" s="60"/>
      <c r="JO139" s="60"/>
      <c r="JP139" s="60"/>
      <c r="JQ139" s="60"/>
      <c r="JR139" s="60"/>
      <c r="JS139" s="60"/>
      <c r="JT139" s="60"/>
      <c r="JU139" s="60"/>
      <c r="JV139" s="60"/>
      <c r="JW139" s="60"/>
      <c r="JX139" s="60"/>
      <c r="JY139" s="60"/>
      <c r="JZ139" s="60"/>
      <c r="KA139" s="60"/>
      <c r="KB139" s="60"/>
      <c r="KC139" s="60"/>
      <c r="KD139" s="60"/>
      <c r="KE139" s="60"/>
      <c r="KF139" s="60"/>
      <c r="KG139" s="60"/>
      <c r="KH139" s="60"/>
      <c r="KI139" s="60"/>
      <c r="KJ139" s="60"/>
      <c r="KK139" s="60"/>
      <c r="KL139" s="60"/>
      <c r="KM139" s="60"/>
      <c r="KN139" s="60"/>
      <c r="KO139" s="60"/>
      <c r="KP139" s="60"/>
      <c r="KQ139" s="60"/>
      <c r="KR139" s="60"/>
      <c r="KS139" s="60"/>
      <c r="KT139" s="60"/>
      <c r="KU139" s="60"/>
      <c r="KV139" s="60"/>
      <c r="KW139" s="60"/>
      <c r="KX139" s="60"/>
      <c r="KY139" s="60"/>
      <c r="KZ139" s="60"/>
      <c r="LA139" s="60"/>
      <c r="LB139" s="60"/>
      <c r="LC139" s="60"/>
      <c r="LD139" s="60"/>
      <c r="LE139" s="60"/>
      <c r="LF139" s="60"/>
      <c r="LG139" s="60"/>
      <c r="LH139" s="60"/>
      <c r="LI139" s="60"/>
      <c r="LJ139" s="60"/>
      <c r="LK139" s="60"/>
      <c r="LL139" s="60"/>
      <c r="LM139" s="60"/>
      <c r="LN139" s="60"/>
      <c r="LO139" s="60"/>
      <c r="LP139" s="60"/>
      <c r="LQ139" s="60"/>
      <c r="LR139" s="60"/>
      <c r="LS139" s="60"/>
      <c r="LT139" s="60"/>
      <c r="LU139" s="60"/>
      <c r="LV139" s="60"/>
      <c r="LW139" s="60"/>
      <c r="LX139" s="60"/>
      <c r="LY139" s="60"/>
      <c r="LZ139" s="60"/>
      <c r="MA139" s="60"/>
      <c r="MB139" s="60"/>
      <c r="MC139" s="60"/>
      <c r="MD139" s="60"/>
      <c r="ME139" s="60"/>
      <c r="MF139" s="60"/>
      <c r="MG139" s="60"/>
      <c r="MH139" s="60"/>
      <c r="MI139" s="60"/>
      <c r="MJ139" s="60"/>
      <c r="MK139" s="60"/>
      <c r="ML139" s="60"/>
      <c r="MM139" s="60"/>
      <c r="MN139" s="60"/>
      <c r="MO139" s="60"/>
      <c r="MP139" s="60"/>
      <c r="MQ139" s="60"/>
      <c r="MR139" s="60"/>
      <c r="MS139" s="60"/>
      <c r="MT139" s="60"/>
      <c r="MU139" s="60"/>
      <c r="MV139" s="60"/>
      <c r="MW139" s="60"/>
      <c r="MX139" s="60"/>
      <c r="MY139" s="60"/>
      <c r="MZ139" s="60"/>
      <c r="NA139" s="60"/>
      <c r="NB139" s="60"/>
      <c r="NC139" s="60"/>
      <c r="ND139" s="60"/>
      <c r="NE139" s="60"/>
      <c r="NF139" s="60"/>
      <c r="NG139" s="60"/>
      <c r="NH139" s="60"/>
      <c r="NI139" s="60"/>
      <c r="NJ139" s="60"/>
      <c r="NK139" s="60"/>
      <c r="NL139" s="60"/>
      <c r="NM139" s="60"/>
      <c r="NN139" s="60"/>
      <c r="NO139" s="60"/>
      <c r="NP139" s="60"/>
      <c r="NQ139" s="60"/>
      <c r="NR139" s="60"/>
      <c r="NS139" s="60"/>
      <c r="NT139" s="60"/>
      <c r="NU139" s="60"/>
      <c r="NV139" s="60"/>
      <c r="NW139" s="60"/>
      <c r="NX139" s="60"/>
      <c r="NY139" s="60"/>
      <c r="NZ139" s="60"/>
      <c r="OA139" s="60"/>
      <c r="OB139" s="60"/>
      <c r="OC139" s="60"/>
      <c r="OD139" s="60"/>
      <c r="OE139" s="60"/>
    </row>
    <row r="140" spans="1:395" outlineLevel="1" x14ac:dyDescent="0.3">
      <c r="E140" s="7"/>
      <c r="K140" s="76"/>
      <c r="L140" s="66"/>
      <c r="M140" s="77"/>
      <c r="N140" s="30" t="s">
        <v>144</v>
      </c>
      <c r="O140" s="30"/>
      <c r="P140" s="32" t="s">
        <v>31</v>
      </c>
      <c r="Q140" s="60" cm="1">
        <f t="array" ref="Q140:OE140">INDEX(E80:E91,MONTH(_xlfn.ANCHORARRAY(Q2)))</f>
        <v>8.5518764512428111E-2</v>
      </c>
      <c r="R140" s="60">
        <v>9.3960635898245312E-2</v>
      </c>
      <c r="S140" s="60">
        <v>7.6935613906988026E-2</v>
      </c>
      <c r="T140" s="60">
        <v>4.4893940837694241E-2</v>
      </c>
      <c r="U140" s="60">
        <v>6.632477998090984E-2</v>
      </c>
      <c r="V140" s="60">
        <v>9.3288763217102874E-2</v>
      </c>
      <c r="W140" s="60">
        <v>0.10433195615295086</v>
      </c>
      <c r="X140" s="60">
        <v>0.14943303749247056</v>
      </c>
      <c r="Y140" s="60">
        <v>9.0790852640398323E-2</v>
      </c>
      <c r="Z140" s="60">
        <v>4.7475631425133447E-2</v>
      </c>
      <c r="AA140" s="60">
        <v>7.7293669922446517E-2</v>
      </c>
      <c r="AB140" s="60">
        <v>6.9752354013231821E-2</v>
      </c>
      <c r="AC140" s="60">
        <v>8.5518764512428111E-2</v>
      </c>
      <c r="AD140" s="60">
        <v>9.3960635898245312E-2</v>
      </c>
      <c r="AE140" s="60">
        <v>7.6935613906988026E-2</v>
      </c>
      <c r="AF140" s="60">
        <v>4.4893940837694241E-2</v>
      </c>
      <c r="AG140" s="60">
        <v>6.632477998090984E-2</v>
      </c>
      <c r="AH140" s="60">
        <v>9.3288763217102874E-2</v>
      </c>
      <c r="AI140" s="60">
        <v>0.10433195615295086</v>
      </c>
      <c r="AJ140" s="60">
        <v>0.14943303749247056</v>
      </c>
      <c r="AK140" s="60">
        <v>9.0790852640398323E-2</v>
      </c>
      <c r="AL140" s="60">
        <v>4.7475631425133447E-2</v>
      </c>
      <c r="AM140" s="60">
        <v>7.7293669922446517E-2</v>
      </c>
      <c r="AN140" s="60">
        <v>6.9752354013231821E-2</v>
      </c>
      <c r="AO140" s="60">
        <v>8.5518764512428111E-2</v>
      </c>
      <c r="AP140" s="60">
        <v>9.3960635898245312E-2</v>
      </c>
      <c r="AQ140" s="60">
        <v>7.6935613906988026E-2</v>
      </c>
      <c r="AR140" s="60">
        <v>4.4893940837694241E-2</v>
      </c>
      <c r="AS140" s="60">
        <v>6.632477998090984E-2</v>
      </c>
      <c r="AT140" s="60">
        <v>9.3288763217102874E-2</v>
      </c>
      <c r="AU140" s="60">
        <v>0.10433195615295086</v>
      </c>
      <c r="AV140" s="60">
        <v>0.14943303749247056</v>
      </c>
      <c r="AW140" s="60">
        <v>9.0790852640398323E-2</v>
      </c>
      <c r="AX140" s="60">
        <v>4.7475631425133447E-2</v>
      </c>
      <c r="AY140" s="60">
        <v>7.7293669922446517E-2</v>
      </c>
      <c r="AZ140" s="60">
        <v>6.9752354013231821E-2</v>
      </c>
      <c r="BA140" s="60">
        <v>8.5518764512428111E-2</v>
      </c>
      <c r="BB140" s="60">
        <v>9.3960635898245312E-2</v>
      </c>
      <c r="BC140" s="60">
        <v>7.6935613906988026E-2</v>
      </c>
      <c r="BD140" s="60">
        <v>4.4893940837694241E-2</v>
      </c>
      <c r="BE140" s="60">
        <v>6.632477998090984E-2</v>
      </c>
      <c r="BF140" s="60">
        <v>9.3288763217102874E-2</v>
      </c>
      <c r="BG140" s="60">
        <v>0.10433195615295086</v>
      </c>
      <c r="BH140" s="60">
        <v>0.14943303749247056</v>
      </c>
      <c r="BI140" s="60">
        <v>9.0790852640398323E-2</v>
      </c>
      <c r="BJ140" s="60">
        <v>4.7475631425133447E-2</v>
      </c>
      <c r="BK140" s="60">
        <v>7.7293669922446517E-2</v>
      </c>
      <c r="BL140" s="60">
        <v>6.9752354013231821E-2</v>
      </c>
      <c r="BM140" s="60">
        <v>8.5518764512428111E-2</v>
      </c>
      <c r="BN140" s="60">
        <v>9.3960635898245312E-2</v>
      </c>
      <c r="BO140" s="60">
        <v>7.6935613906988026E-2</v>
      </c>
      <c r="BP140" s="60">
        <v>4.4893940837694241E-2</v>
      </c>
      <c r="BQ140" s="60">
        <v>6.632477998090984E-2</v>
      </c>
      <c r="BR140" s="60">
        <v>9.3288763217102874E-2</v>
      </c>
      <c r="BS140" s="60">
        <v>0.10433195615295086</v>
      </c>
      <c r="BT140" s="60">
        <v>0.14943303749247056</v>
      </c>
      <c r="BU140" s="60">
        <v>9.0790852640398323E-2</v>
      </c>
      <c r="BV140" s="60">
        <v>4.7475631425133447E-2</v>
      </c>
      <c r="BW140" s="60">
        <v>7.7293669922446517E-2</v>
      </c>
      <c r="BX140" s="60">
        <v>6.9752354013231821E-2</v>
      </c>
      <c r="BY140" s="60">
        <v>8.5518764512428111E-2</v>
      </c>
      <c r="BZ140" s="60">
        <v>9.3960635898245312E-2</v>
      </c>
      <c r="CA140" s="60">
        <v>7.6935613906988026E-2</v>
      </c>
      <c r="CB140" s="60">
        <v>4.4893940837694241E-2</v>
      </c>
      <c r="CC140" s="60">
        <v>6.632477998090984E-2</v>
      </c>
      <c r="CD140" s="60">
        <v>9.3288763217102874E-2</v>
      </c>
      <c r="CE140" s="60">
        <v>0.10433195615295086</v>
      </c>
      <c r="CF140" s="60">
        <v>0.14943303749247056</v>
      </c>
      <c r="CG140" s="60">
        <v>9.0790852640398323E-2</v>
      </c>
      <c r="CH140" s="60">
        <v>4.7475631425133447E-2</v>
      </c>
      <c r="CI140" s="60">
        <v>7.7293669922446517E-2</v>
      </c>
      <c r="CJ140" s="60">
        <v>6.9752354013231821E-2</v>
      </c>
      <c r="CK140" s="60">
        <v>8.5518764512428111E-2</v>
      </c>
      <c r="CL140" s="60">
        <v>9.3960635898245312E-2</v>
      </c>
      <c r="CM140" s="60">
        <v>7.6935613906988026E-2</v>
      </c>
      <c r="CN140" s="60">
        <v>4.4893940837694241E-2</v>
      </c>
      <c r="CO140" s="60">
        <v>6.632477998090984E-2</v>
      </c>
      <c r="CP140" s="60">
        <v>9.3288763217102874E-2</v>
      </c>
      <c r="CQ140" s="60">
        <v>0.10433195615295086</v>
      </c>
      <c r="CR140" s="60">
        <v>0.14943303749247056</v>
      </c>
      <c r="CS140" s="60">
        <v>9.0790852640398323E-2</v>
      </c>
      <c r="CT140" s="60">
        <v>4.7475631425133447E-2</v>
      </c>
      <c r="CU140" s="60">
        <v>7.7293669922446517E-2</v>
      </c>
      <c r="CV140" s="60">
        <v>6.9752354013231821E-2</v>
      </c>
      <c r="CW140" s="60">
        <v>8.5518764512428111E-2</v>
      </c>
      <c r="CX140" s="60">
        <v>9.3960635898245312E-2</v>
      </c>
      <c r="CY140" s="60">
        <v>7.6935613906988026E-2</v>
      </c>
      <c r="CZ140" s="60">
        <v>4.4893940837694241E-2</v>
      </c>
      <c r="DA140" s="60">
        <v>6.632477998090984E-2</v>
      </c>
      <c r="DB140" s="60">
        <v>9.3288763217102874E-2</v>
      </c>
      <c r="DC140" s="60">
        <v>0.10433195615295086</v>
      </c>
      <c r="DD140" s="60">
        <v>0.14943303749247056</v>
      </c>
      <c r="DE140" s="60">
        <v>9.0790852640398323E-2</v>
      </c>
      <c r="DF140" s="60">
        <v>4.7475631425133447E-2</v>
      </c>
      <c r="DG140" s="60">
        <v>7.7293669922446517E-2</v>
      </c>
      <c r="DH140" s="60">
        <v>6.9752354013231821E-2</v>
      </c>
      <c r="DI140" s="60">
        <v>8.5518764512428111E-2</v>
      </c>
      <c r="DJ140" s="60">
        <v>9.3960635898245312E-2</v>
      </c>
      <c r="DK140" s="60">
        <v>7.6935613906988026E-2</v>
      </c>
      <c r="DL140" s="60">
        <v>4.4893940837694241E-2</v>
      </c>
      <c r="DM140" s="60">
        <v>6.632477998090984E-2</v>
      </c>
      <c r="DN140" s="60">
        <v>9.3288763217102874E-2</v>
      </c>
      <c r="DO140" s="60">
        <v>0.10433195615295086</v>
      </c>
      <c r="DP140" s="60">
        <v>0.14943303749247056</v>
      </c>
      <c r="DQ140" s="60">
        <v>9.0790852640398323E-2</v>
      </c>
      <c r="DR140" s="60">
        <v>4.7475631425133447E-2</v>
      </c>
      <c r="DS140" s="60">
        <v>7.7293669922446517E-2</v>
      </c>
      <c r="DT140" s="60">
        <v>6.9752354013231821E-2</v>
      </c>
      <c r="DU140" s="60">
        <v>8.5518764512428111E-2</v>
      </c>
      <c r="DV140" s="60">
        <v>9.3960635898245312E-2</v>
      </c>
      <c r="DW140" s="60">
        <v>7.6935613906988026E-2</v>
      </c>
      <c r="DX140" s="60">
        <v>4.4893940837694241E-2</v>
      </c>
      <c r="DY140" s="60">
        <v>6.632477998090984E-2</v>
      </c>
      <c r="DZ140" s="60">
        <v>9.3288763217102874E-2</v>
      </c>
      <c r="EA140" s="60">
        <v>0.10433195615295086</v>
      </c>
      <c r="EB140" s="60">
        <v>0.14943303749247056</v>
      </c>
      <c r="EC140" s="60">
        <v>9.0790852640398323E-2</v>
      </c>
      <c r="ED140" s="60">
        <v>4.7475631425133447E-2</v>
      </c>
      <c r="EE140" s="60">
        <v>7.7293669922446517E-2</v>
      </c>
      <c r="EF140" s="60">
        <v>6.9752354013231821E-2</v>
      </c>
      <c r="EG140" s="60">
        <v>8.5518764512428111E-2</v>
      </c>
      <c r="EH140" s="60">
        <v>9.3960635898245312E-2</v>
      </c>
      <c r="EI140" s="60">
        <v>7.6935613906988026E-2</v>
      </c>
      <c r="EJ140" s="60">
        <v>4.4893940837694241E-2</v>
      </c>
      <c r="EK140" s="60">
        <v>6.632477998090984E-2</v>
      </c>
      <c r="EL140" s="60">
        <v>9.3288763217102874E-2</v>
      </c>
      <c r="EM140" s="60">
        <v>0.10433195615295086</v>
      </c>
      <c r="EN140" s="60">
        <v>0.14943303749247056</v>
      </c>
      <c r="EO140" s="60">
        <v>9.0790852640398323E-2</v>
      </c>
      <c r="EP140" s="60">
        <v>4.7475631425133447E-2</v>
      </c>
      <c r="EQ140" s="60">
        <v>7.7293669922446517E-2</v>
      </c>
      <c r="ER140" s="60">
        <v>6.9752354013231821E-2</v>
      </c>
      <c r="ES140" s="60">
        <v>8.5518764512428111E-2</v>
      </c>
      <c r="ET140" s="60">
        <v>9.3960635898245312E-2</v>
      </c>
      <c r="EU140" s="60">
        <v>7.6935613906988026E-2</v>
      </c>
      <c r="EV140" s="60">
        <v>4.4893940837694241E-2</v>
      </c>
      <c r="EW140" s="60">
        <v>6.632477998090984E-2</v>
      </c>
      <c r="EX140" s="60">
        <v>9.3288763217102874E-2</v>
      </c>
      <c r="EY140" s="60">
        <v>0.10433195615295086</v>
      </c>
      <c r="EZ140" s="60">
        <v>0.14943303749247056</v>
      </c>
      <c r="FA140" s="60">
        <v>9.0790852640398323E-2</v>
      </c>
      <c r="FB140" s="60">
        <v>4.7475631425133447E-2</v>
      </c>
      <c r="FC140" s="60">
        <v>7.7293669922446517E-2</v>
      </c>
      <c r="FD140" s="60">
        <v>6.9752354013231821E-2</v>
      </c>
      <c r="FE140" s="60">
        <v>8.5518764512428111E-2</v>
      </c>
      <c r="FF140" s="60">
        <v>9.3960635898245312E-2</v>
      </c>
      <c r="FG140" s="60">
        <v>7.6935613906988026E-2</v>
      </c>
      <c r="FH140" s="60">
        <v>4.4893940837694241E-2</v>
      </c>
      <c r="FI140" s="60">
        <v>6.632477998090984E-2</v>
      </c>
      <c r="FJ140" s="60">
        <v>9.3288763217102874E-2</v>
      </c>
      <c r="FK140" s="60">
        <v>0.10433195615295086</v>
      </c>
      <c r="FL140" s="60">
        <v>0.14943303749247056</v>
      </c>
      <c r="FM140" s="60">
        <v>9.0790852640398323E-2</v>
      </c>
      <c r="FN140" s="60">
        <v>4.7475631425133447E-2</v>
      </c>
      <c r="FO140" s="60">
        <v>7.7293669922446517E-2</v>
      </c>
      <c r="FP140" s="60">
        <v>6.9752354013231821E-2</v>
      </c>
      <c r="FQ140" s="60">
        <v>8.5518764512428111E-2</v>
      </c>
      <c r="FR140" s="60">
        <v>9.3960635898245312E-2</v>
      </c>
      <c r="FS140" s="60">
        <v>7.6935613906988026E-2</v>
      </c>
      <c r="FT140" s="60">
        <v>4.4893940837694241E-2</v>
      </c>
      <c r="FU140" s="60">
        <v>6.632477998090984E-2</v>
      </c>
      <c r="FV140" s="60">
        <v>9.3288763217102874E-2</v>
      </c>
      <c r="FW140" s="60">
        <v>0.10433195615295086</v>
      </c>
      <c r="FX140" s="60">
        <v>0.14943303749247056</v>
      </c>
      <c r="FY140" s="60">
        <v>9.0790852640398323E-2</v>
      </c>
      <c r="FZ140" s="60">
        <v>4.7475631425133447E-2</v>
      </c>
      <c r="GA140" s="60">
        <v>7.7293669922446517E-2</v>
      </c>
      <c r="GB140" s="60">
        <v>6.9752354013231821E-2</v>
      </c>
      <c r="GC140" s="60">
        <v>8.5518764512428111E-2</v>
      </c>
      <c r="GD140" s="60">
        <v>9.3960635898245312E-2</v>
      </c>
      <c r="GE140" s="60">
        <v>7.6935613906988026E-2</v>
      </c>
      <c r="GF140" s="60">
        <v>4.4893940837694241E-2</v>
      </c>
      <c r="GG140" s="60">
        <v>6.632477998090984E-2</v>
      </c>
      <c r="GH140" s="60">
        <v>9.3288763217102874E-2</v>
      </c>
      <c r="GI140" s="60">
        <v>0.10433195615295086</v>
      </c>
      <c r="GJ140" s="60">
        <v>0.14943303749247056</v>
      </c>
      <c r="GK140" s="60">
        <v>9.0790852640398323E-2</v>
      </c>
      <c r="GL140" s="60">
        <v>4.7475631425133447E-2</v>
      </c>
      <c r="GM140" s="60">
        <v>7.7293669922446517E-2</v>
      </c>
      <c r="GN140" s="60">
        <v>6.9752354013231821E-2</v>
      </c>
      <c r="GO140" s="60">
        <v>8.5518764512428111E-2</v>
      </c>
      <c r="GP140" s="60">
        <v>9.3960635898245312E-2</v>
      </c>
      <c r="GQ140" s="60">
        <v>7.6935613906988026E-2</v>
      </c>
      <c r="GR140" s="60">
        <v>4.4893940837694241E-2</v>
      </c>
      <c r="GS140" s="60">
        <v>6.632477998090984E-2</v>
      </c>
      <c r="GT140" s="60">
        <v>9.3288763217102874E-2</v>
      </c>
      <c r="GU140" s="60">
        <v>0.10433195615295086</v>
      </c>
      <c r="GV140" s="60">
        <v>0.14943303749247056</v>
      </c>
      <c r="GW140" s="60">
        <v>9.0790852640398323E-2</v>
      </c>
      <c r="GX140" s="60">
        <v>4.7475631425133447E-2</v>
      </c>
      <c r="GY140" s="60">
        <v>7.7293669922446517E-2</v>
      </c>
      <c r="GZ140" s="60">
        <v>6.9752354013231821E-2</v>
      </c>
      <c r="HA140" s="60">
        <v>8.5518764512428111E-2</v>
      </c>
      <c r="HB140" s="60">
        <v>9.3960635898245312E-2</v>
      </c>
      <c r="HC140" s="60">
        <v>7.6935613906988026E-2</v>
      </c>
      <c r="HD140" s="60">
        <v>4.4893940837694241E-2</v>
      </c>
      <c r="HE140" s="60">
        <v>6.632477998090984E-2</v>
      </c>
      <c r="HF140" s="60">
        <v>9.3288763217102874E-2</v>
      </c>
      <c r="HG140" s="60">
        <v>0.10433195615295086</v>
      </c>
      <c r="HH140" s="60">
        <v>0.14943303749247056</v>
      </c>
      <c r="HI140" s="60">
        <v>9.0790852640398323E-2</v>
      </c>
      <c r="HJ140" s="60">
        <v>4.7475631425133447E-2</v>
      </c>
      <c r="HK140" s="60">
        <v>7.7293669922446517E-2</v>
      </c>
      <c r="HL140" s="60">
        <v>6.9752354013231821E-2</v>
      </c>
      <c r="HM140" s="60">
        <v>8.5518764512428111E-2</v>
      </c>
      <c r="HN140" s="60">
        <v>9.3960635898245312E-2</v>
      </c>
      <c r="HO140" s="60">
        <v>7.6935613906988026E-2</v>
      </c>
      <c r="HP140" s="60">
        <v>4.4893940837694241E-2</v>
      </c>
      <c r="HQ140" s="60">
        <v>6.632477998090984E-2</v>
      </c>
      <c r="HR140" s="60">
        <v>9.3288763217102874E-2</v>
      </c>
      <c r="HS140" s="60">
        <v>0.10433195615295086</v>
      </c>
      <c r="HT140" s="60">
        <v>0.14943303749247056</v>
      </c>
      <c r="HU140" s="60">
        <v>9.0790852640398323E-2</v>
      </c>
      <c r="HV140" s="60">
        <v>4.7475631425133447E-2</v>
      </c>
      <c r="HW140" s="60">
        <v>7.7293669922446517E-2</v>
      </c>
      <c r="HX140" s="60">
        <v>6.9752354013231821E-2</v>
      </c>
      <c r="HY140" s="60">
        <v>8.5518764512428111E-2</v>
      </c>
      <c r="HZ140" s="60">
        <v>9.3960635898245312E-2</v>
      </c>
      <c r="IA140" s="60">
        <v>7.6935613906988026E-2</v>
      </c>
      <c r="IB140" s="60">
        <v>4.4893940837694241E-2</v>
      </c>
      <c r="IC140" s="60">
        <v>6.632477998090984E-2</v>
      </c>
      <c r="ID140" s="60">
        <v>9.3288763217102874E-2</v>
      </c>
      <c r="IE140" s="60">
        <v>0.10433195615295086</v>
      </c>
      <c r="IF140" s="60">
        <v>0.14943303749247056</v>
      </c>
      <c r="IG140" s="60">
        <v>9.0790852640398323E-2</v>
      </c>
      <c r="IH140" s="60">
        <v>4.7475631425133447E-2</v>
      </c>
      <c r="II140" s="60">
        <v>7.7293669922446517E-2</v>
      </c>
      <c r="IJ140" s="60">
        <v>6.9752354013231821E-2</v>
      </c>
      <c r="IK140" s="60">
        <v>8.5518764512428111E-2</v>
      </c>
      <c r="IL140" s="60">
        <v>9.3960635898245312E-2</v>
      </c>
      <c r="IM140" s="60">
        <v>7.6935613906988026E-2</v>
      </c>
      <c r="IN140" s="60">
        <v>4.4893940837694241E-2</v>
      </c>
      <c r="IO140" s="60">
        <v>6.632477998090984E-2</v>
      </c>
      <c r="IP140" s="60">
        <v>9.3288763217102874E-2</v>
      </c>
      <c r="IQ140" s="60">
        <v>0.10433195615295086</v>
      </c>
      <c r="IR140" s="60">
        <v>0.14943303749247056</v>
      </c>
      <c r="IS140" s="60">
        <v>9.0790852640398323E-2</v>
      </c>
      <c r="IT140" s="60">
        <v>4.7475631425133447E-2</v>
      </c>
      <c r="IU140" s="60">
        <v>7.7293669922446517E-2</v>
      </c>
      <c r="IV140" s="60">
        <v>6.9752354013231821E-2</v>
      </c>
      <c r="IW140" s="60">
        <v>8.5518764512428111E-2</v>
      </c>
      <c r="IX140" s="60">
        <v>9.3960635898245312E-2</v>
      </c>
      <c r="IY140" s="60">
        <v>7.6935613906988026E-2</v>
      </c>
      <c r="IZ140" s="60">
        <v>4.4893940837694241E-2</v>
      </c>
      <c r="JA140" s="60">
        <v>6.632477998090984E-2</v>
      </c>
      <c r="JB140" s="60">
        <v>9.3288763217102874E-2</v>
      </c>
      <c r="JC140" s="60">
        <v>0.10433195615295086</v>
      </c>
      <c r="JD140" s="60">
        <v>0.14943303749247056</v>
      </c>
      <c r="JE140" s="60">
        <v>9.0790852640398323E-2</v>
      </c>
      <c r="JF140" s="60">
        <v>4.7475631425133447E-2</v>
      </c>
      <c r="JG140" s="60">
        <v>7.7293669922446517E-2</v>
      </c>
      <c r="JH140" s="60">
        <v>6.9752354013231821E-2</v>
      </c>
      <c r="JI140" s="60">
        <v>8.5518764512428111E-2</v>
      </c>
      <c r="JJ140" s="60">
        <v>9.3960635898245312E-2</v>
      </c>
      <c r="JK140" s="60">
        <v>7.6935613906988026E-2</v>
      </c>
      <c r="JL140" s="60">
        <v>4.4893940837694241E-2</v>
      </c>
      <c r="JM140" s="60">
        <v>6.632477998090984E-2</v>
      </c>
      <c r="JN140" s="60">
        <v>9.3288763217102874E-2</v>
      </c>
      <c r="JO140" s="60">
        <v>0.10433195615295086</v>
      </c>
      <c r="JP140" s="60">
        <v>0.14943303749247056</v>
      </c>
      <c r="JQ140" s="60">
        <v>9.0790852640398323E-2</v>
      </c>
      <c r="JR140" s="60">
        <v>4.7475631425133447E-2</v>
      </c>
      <c r="JS140" s="60">
        <v>7.7293669922446517E-2</v>
      </c>
      <c r="JT140" s="60">
        <v>6.9752354013231821E-2</v>
      </c>
      <c r="JU140" s="60">
        <v>8.5518764512428111E-2</v>
      </c>
      <c r="JV140" s="60">
        <v>9.3960635898245312E-2</v>
      </c>
      <c r="JW140" s="60">
        <v>7.6935613906988026E-2</v>
      </c>
      <c r="JX140" s="60">
        <v>4.4893940837694241E-2</v>
      </c>
      <c r="JY140" s="60">
        <v>6.632477998090984E-2</v>
      </c>
      <c r="JZ140" s="60">
        <v>9.3288763217102874E-2</v>
      </c>
      <c r="KA140" s="60">
        <v>0.10433195615295086</v>
      </c>
      <c r="KB140" s="60">
        <v>0.14943303749247056</v>
      </c>
      <c r="KC140" s="60">
        <v>9.0790852640398323E-2</v>
      </c>
      <c r="KD140" s="60">
        <v>4.7475631425133447E-2</v>
      </c>
      <c r="KE140" s="60">
        <v>7.7293669922446517E-2</v>
      </c>
      <c r="KF140" s="60">
        <v>6.9752354013231821E-2</v>
      </c>
      <c r="KG140" s="60">
        <v>8.5518764512428111E-2</v>
      </c>
      <c r="KH140" s="60">
        <v>9.3960635898245312E-2</v>
      </c>
      <c r="KI140" s="60">
        <v>7.6935613906988026E-2</v>
      </c>
      <c r="KJ140" s="60">
        <v>4.4893940837694241E-2</v>
      </c>
      <c r="KK140" s="60">
        <v>6.632477998090984E-2</v>
      </c>
      <c r="KL140" s="60">
        <v>9.3288763217102874E-2</v>
      </c>
      <c r="KM140" s="60">
        <v>0.10433195615295086</v>
      </c>
      <c r="KN140" s="60">
        <v>0.14943303749247056</v>
      </c>
      <c r="KO140" s="60">
        <v>9.0790852640398323E-2</v>
      </c>
      <c r="KP140" s="60">
        <v>4.7475631425133447E-2</v>
      </c>
      <c r="KQ140" s="60">
        <v>7.7293669922446517E-2</v>
      </c>
      <c r="KR140" s="60">
        <v>6.9752354013231821E-2</v>
      </c>
      <c r="KS140" s="60">
        <v>8.5518764512428111E-2</v>
      </c>
      <c r="KT140" s="60">
        <v>9.3960635898245312E-2</v>
      </c>
      <c r="KU140" s="60">
        <v>7.6935613906988026E-2</v>
      </c>
      <c r="KV140" s="60">
        <v>4.4893940837694241E-2</v>
      </c>
      <c r="KW140" s="60">
        <v>6.632477998090984E-2</v>
      </c>
      <c r="KX140" s="60">
        <v>9.3288763217102874E-2</v>
      </c>
      <c r="KY140" s="60">
        <v>0.10433195615295086</v>
      </c>
      <c r="KZ140" s="60">
        <v>0.14943303749247056</v>
      </c>
      <c r="LA140" s="60">
        <v>9.0790852640398323E-2</v>
      </c>
      <c r="LB140" s="60">
        <v>4.7475631425133447E-2</v>
      </c>
      <c r="LC140" s="60">
        <v>7.7293669922446517E-2</v>
      </c>
      <c r="LD140" s="60">
        <v>6.9752354013231821E-2</v>
      </c>
      <c r="LE140" s="60">
        <v>8.5518764512428111E-2</v>
      </c>
      <c r="LF140" s="60">
        <v>9.3960635898245312E-2</v>
      </c>
      <c r="LG140" s="60">
        <v>7.6935613906988026E-2</v>
      </c>
      <c r="LH140" s="60">
        <v>4.4893940837694241E-2</v>
      </c>
      <c r="LI140" s="60">
        <v>6.632477998090984E-2</v>
      </c>
      <c r="LJ140" s="60">
        <v>9.3288763217102874E-2</v>
      </c>
      <c r="LK140" s="60">
        <v>0.10433195615295086</v>
      </c>
      <c r="LL140" s="60">
        <v>0.14943303749247056</v>
      </c>
      <c r="LM140" s="60">
        <v>9.0790852640398323E-2</v>
      </c>
      <c r="LN140" s="60">
        <v>4.7475631425133447E-2</v>
      </c>
      <c r="LO140" s="60">
        <v>7.7293669922446517E-2</v>
      </c>
      <c r="LP140" s="60">
        <v>6.9752354013231821E-2</v>
      </c>
      <c r="LQ140" s="60">
        <v>8.5518764512428111E-2</v>
      </c>
      <c r="LR140" s="60">
        <v>9.3960635898245312E-2</v>
      </c>
      <c r="LS140" s="60">
        <v>7.6935613906988026E-2</v>
      </c>
      <c r="LT140" s="60">
        <v>4.4893940837694241E-2</v>
      </c>
      <c r="LU140" s="60">
        <v>6.632477998090984E-2</v>
      </c>
      <c r="LV140" s="60">
        <v>9.3288763217102874E-2</v>
      </c>
      <c r="LW140" s="60">
        <v>0.10433195615295086</v>
      </c>
      <c r="LX140" s="60">
        <v>0.14943303749247056</v>
      </c>
      <c r="LY140" s="60">
        <v>9.0790852640398323E-2</v>
      </c>
      <c r="LZ140" s="60">
        <v>4.7475631425133447E-2</v>
      </c>
      <c r="MA140" s="60">
        <v>7.7293669922446517E-2</v>
      </c>
      <c r="MB140" s="60">
        <v>6.9752354013231821E-2</v>
      </c>
      <c r="MC140" s="60">
        <v>8.5518764512428111E-2</v>
      </c>
      <c r="MD140" s="60">
        <v>9.3960635898245312E-2</v>
      </c>
      <c r="ME140" s="60">
        <v>7.6935613906988026E-2</v>
      </c>
      <c r="MF140" s="60">
        <v>4.4893940837694241E-2</v>
      </c>
      <c r="MG140" s="60">
        <v>6.632477998090984E-2</v>
      </c>
      <c r="MH140" s="60">
        <v>9.3288763217102874E-2</v>
      </c>
      <c r="MI140" s="60">
        <v>0.10433195615295086</v>
      </c>
      <c r="MJ140" s="60">
        <v>0.14943303749247056</v>
      </c>
      <c r="MK140" s="60">
        <v>9.0790852640398323E-2</v>
      </c>
      <c r="ML140" s="60">
        <v>4.7475631425133447E-2</v>
      </c>
      <c r="MM140" s="60">
        <v>7.7293669922446517E-2</v>
      </c>
      <c r="MN140" s="60">
        <v>6.9752354013231821E-2</v>
      </c>
      <c r="MO140" s="60">
        <v>8.5518764512428111E-2</v>
      </c>
      <c r="MP140" s="60">
        <v>9.3960635898245312E-2</v>
      </c>
      <c r="MQ140" s="60">
        <v>7.6935613906988026E-2</v>
      </c>
      <c r="MR140" s="60">
        <v>4.4893940837694241E-2</v>
      </c>
      <c r="MS140" s="60">
        <v>6.632477998090984E-2</v>
      </c>
      <c r="MT140" s="60">
        <v>9.3288763217102874E-2</v>
      </c>
      <c r="MU140" s="60">
        <v>0.10433195615295086</v>
      </c>
      <c r="MV140" s="60">
        <v>0.14943303749247056</v>
      </c>
      <c r="MW140" s="60">
        <v>9.0790852640398323E-2</v>
      </c>
      <c r="MX140" s="60">
        <v>4.7475631425133447E-2</v>
      </c>
      <c r="MY140" s="60">
        <v>7.7293669922446517E-2</v>
      </c>
      <c r="MZ140" s="60">
        <v>6.9752354013231821E-2</v>
      </c>
      <c r="NA140" s="60">
        <v>8.5518764512428111E-2</v>
      </c>
      <c r="NB140" s="60">
        <v>9.3960635898245312E-2</v>
      </c>
      <c r="NC140" s="60">
        <v>7.6935613906988026E-2</v>
      </c>
      <c r="ND140" s="60">
        <v>4.4893940837694241E-2</v>
      </c>
      <c r="NE140" s="60">
        <v>6.632477998090984E-2</v>
      </c>
      <c r="NF140" s="60">
        <v>9.3288763217102874E-2</v>
      </c>
      <c r="NG140" s="60">
        <v>0.10433195615295086</v>
      </c>
      <c r="NH140" s="60">
        <v>0.14943303749247056</v>
      </c>
      <c r="NI140" s="60">
        <v>9.0790852640398323E-2</v>
      </c>
      <c r="NJ140" s="60">
        <v>4.7475631425133447E-2</v>
      </c>
      <c r="NK140" s="60">
        <v>7.7293669922446517E-2</v>
      </c>
      <c r="NL140" s="60">
        <v>6.9752354013231821E-2</v>
      </c>
      <c r="NM140" s="60">
        <v>8.5518764512428111E-2</v>
      </c>
      <c r="NN140" s="60">
        <v>9.3960635898245312E-2</v>
      </c>
      <c r="NO140" s="60">
        <v>7.6935613906988026E-2</v>
      </c>
      <c r="NP140" s="60">
        <v>4.4893940837694241E-2</v>
      </c>
      <c r="NQ140" s="60">
        <v>6.632477998090984E-2</v>
      </c>
      <c r="NR140" s="60">
        <v>9.3288763217102874E-2</v>
      </c>
      <c r="NS140" s="60">
        <v>0.10433195615295086</v>
      </c>
      <c r="NT140" s="60">
        <v>0.14943303749247056</v>
      </c>
      <c r="NU140" s="60">
        <v>9.0790852640398323E-2</v>
      </c>
      <c r="NV140" s="60">
        <v>4.7475631425133447E-2</v>
      </c>
      <c r="NW140" s="60">
        <v>7.7293669922446517E-2</v>
      </c>
      <c r="NX140" s="60">
        <v>6.9752354013231821E-2</v>
      </c>
      <c r="NY140" s="60">
        <v>8.5518764512428111E-2</v>
      </c>
      <c r="NZ140" s="60">
        <v>9.3960635898245312E-2</v>
      </c>
      <c r="OA140" s="60">
        <v>7.6935613906988026E-2</v>
      </c>
      <c r="OB140" s="60">
        <v>4.4893940837694241E-2</v>
      </c>
      <c r="OC140" s="60">
        <v>6.632477998090984E-2</v>
      </c>
      <c r="OD140" s="60">
        <v>9.3288763217102874E-2</v>
      </c>
      <c r="OE140" s="60">
        <v>0.10433195615295086</v>
      </c>
    </row>
    <row r="141" spans="1:395" x14ac:dyDescent="0.3">
      <c r="E141" s="7"/>
      <c r="K141" s="80"/>
      <c r="L141" s="81"/>
      <c r="M141" s="82"/>
      <c r="N141" s="87" t="s">
        <v>76</v>
      </c>
      <c r="O141" s="6"/>
      <c r="P141" s="95" t="s">
        <v>14</v>
      </c>
      <c r="Q141" s="97" cm="1">
        <f t="array" ref="Q141:OE141">_xlfn.ANCHORARRAY(Q137)*8760*_xlfn.ANCHORARRAY(Q138)*_xlfn.ANCHORARRAY(Q140)</f>
        <v>0</v>
      </c>
      <c r="R141" s="97">
        <v>0</v>
      </c>
      <c r="S141" s="97">
        <v>0</v>
      </c>
      <c r="T141" s="97">
        <v>0</v>
      </c>
      <c r="U141" s="97">
        <v>0</v>
      </c>
      <c r="V141" s="97">
        <v>0</v>
      </c>
      <c r="W141" s="97">
        <v>0</v>
      </c>
      <c r="X141" s="97">
        <v>0</v>
      </c>
      <c r="Y141" s="97">
        <v>0</v>
      </c>
      <c r="Z141" s="97">
        <v>0</v>
      </c>
      <c r="AA141" s="97">
        <v>0</v>
      </c>
      <c r="AB141" s="97">
        <v>0</v>
      </c>
      <c r="AC141" s="97">
        <v>0</v>
      </c>
      <c r="AD141" s="97">
        <v>0</v>
      </c>
      <c r="AE141" s="97">
        <v>0</v>
      </c>
      <c r="AF141" s="97">
        <v>0</v>
      </c>
      <c r="AG141" s="97">
        <v>0</v>
      </c>
      <c r="AH141" s="97">
        <v>0</v>
      </c>
      <c r="AI141" s="97">
        <v>0</v>
      </c>
      <c r="AJ141" s="97">
        <v>0</v>
      </c>
      <c r="AK141" s="97">
        <v>0</v>
      </c>
      <c r="AL141" s="97">
        <v>0</v>
      </c>
      <c r="AM141" s="97">
        <v>0</v>
      </c>
      <c r="AN141" s="97">
        <v>0</v>
      </c>
      <c r="AO141" s="97">
        <v>0</v>
      </c>
      <c r="AP141" s="97">
        <v>0</v>
      </c>
      <c r="AQ141" s="97">
        <v>0</v>
      </c>
      <c r="AR141" s="97">
        <v>0</v>
      </c>
      <c r="AS141" s="97">
        <v>0</v>
      </c>
      <c r="AT141" s="97">
        <v>0</v>
      </c>
      <c r="AU141" s="97">
        <v>0</v>
      </c>
      <c r="AV141" s="97">
        <v>8831.3501917152353</v>
      </c>
      <c r="AW141" s="97">
        <v>12519.856811862865</v>
      </c>
      <c r="AX141" s="97">
        <v>11223.058400570353</v>
      </c>
      <c r="AY141" s="97">
        <v>22839.911379114092</v>
      </c>
      <c r="AZ141" s="97">
        <v>20611.488440713201</v>
      </c>
      <c r="BA141" s="97">
        <v>25270.387661434521</v>
      </c>
      <c r="BB141" s="97">
        <v>27764.920454603791</v>
      </c>
      <c r="BC141" s="97">
        <v>22734.107531657552</v>
      </c>
      <c r="BD141" s="97">
        <v>13265.94572648637</v>
      </c>
      <c r="BE141" s="97">
        <v>19598.656636735781</v>
      </c>
      <c r="BF141" s="97">
        <v>27566.385276875288</v>
      </c>
      <c r="BG141" s="97">
        <v>30829.59620023163</v>
      </c>
      <c r="BH141" s="97">
        <v>44156.75095857618</v>
      </c>
      <c r="BI141" s="97">
        <v>26828.264596849</v>
      </c>
      <c r="BJ141" s="97">
        <v>14028.823000712944</v>
      </c>
      <c r="BK141" s="97">
        <v>22839.911379114092</v>
      </c>
      <c r="BL141" s="97">
        <v>20611.488440713201</v>
      </c>
      <c r="BM141" s="97">
        <v>25270.387661434521</v>
      </c>
      <c r="BN141" s="97">
        <v>27764.920454603791</v>
      </c>
      <c r="BO141" s="97">
        <v>22734.107531657552</v>
      </c>
      <c r="BP141" s="97">
        <v>13265.94572648637</v>
      </c>
      <c r="BQ141" s="97">
        <v>19598.656636735781</v>
      </c>
      <c r="BR141" s="97">
        <v>27566.385276875288</v>
      </c>
      <c r="BS141" s="97">
        <v>30829.59620023163</v>
      </c>
      <c r="BT141" s="97">
        <v>44156.75095857618</v>
      </c>
      <c r="BU141" s="97">
        <v>26828.264596849</v>
      </c>
      <c r="BV141" s="97">
        <v>14028.823000712944</v>
      </c>
      <c r="BW141" s="97">
        <v>22839.911379114092</v>
      </c>
      <c r="BX141" s="97">
        <v>20611.488440713201</v>
      </c>
      <c r="BY141" s="97">
        <v>25270.387661434521</v>
      </c>
      <c r="BZ141" s="97">
        <v>27764.920454603791</v>
      </c>
      <c r="CA141" s="97">
        <v>22734.107531657552</v>
      </c>
      <c r="CB141" s="97">
        <v>13265.94572648637</v>
      </c>
      <c r="CC141" s="97">
        <v>19598.656636735781</v>
      </c>
      <c r="CD141" s="97">
        <v>27566.385276875288</v>
      </c>
      <c r="CE141" s="97">
        <v>30829.59620023163</v>
      </c>
      <c r="CF141" s="97">
        <v>44156.75095857618</v>
      </c>
      <c r="CG141" s="97">
        <v>26828.264596849</v>
      </c>
      <c r="CH141" s="97">
        <v>14028.823000712944</v>
      </c>
      <c r="CI141" s="97">
        <v>22839.911379114092</v>
      </c>
      <c r="CJ141" s="97">
        <v>20611.488440713201</v>
      </c>
      <c r="CK141" s="97">
        <v>25270.387661434521</v>
      </c>
      <c r="CL141" s="97">
        <v>27764.920454603791</v>
      </c>
      <c r="CM141" s="97">
        <v>22734.107531657552</v>
      </c>
      <c r="CN141" s="97">
        <v>13265.94572648637</v>
      </c>
      <c r="CO141" s="97">
        <v>19598.656636735781</v>
      </c>
      <c r="CP141" s="97">
        <v>27566.385276875288</v>
      </c>
      <c r="CQ141" s="97">
        <v>30829.59620023163</v>
      </c>
      <c r="CR141" s="97">
        <v>44156.75095857618</v>
      </c>
      <c r="CS141" s="97">
        <v>26828.264596849</v>
      </c>
      <c r="CT141" s="97">
        <v>14028.823000712944</v>
      </c>
      <c r="CU141" s="97">
        <v>22839.911379114092</v>
      </c>
      <c r="CV141" s="97">
        <v>20611.488440713201</v>
      </c>
      <c r="CW141" s="97">
        <v>25270.387661434521</v>
      </c>
      <c r="CX141" s="97">
        <v>27764.920454603791</v>
      </c>
      <c r="CY141" s="97">
        <v>22734.107531657552</v>
      </c>
      <c r="CZ141" s="97">
        <v>13265.94572648637</v>
      </c>
      <c r="DA141" s="97">
        <v>19598.656636735781</v>
      </c>
      <c r="DB141" s="97">
        <v>27566.385276875288</v>
      </c>
      <c r="DC141" s="97">
        <v>30829.59620023163</v>
      </c>
      <c r="DD141" s="97">
        <v>44156.75095857618</v>
      </c>
      <c r="DE141" s="97">
        <v>26828.264596849</v>
      </c>
      <c r="DF141" s="97">
        <v>14028.823000712944</v>
      </c>
      <c r="DG141" s="97">
        <v>22839.911379114092</v>
      </c>
      <c r="DH141" s="97">
        <v>20611.488440713201</v>
      </c>
      <c r="DI141" s="97">
        <v>25270.387661434521</v>
      </c>
      <c r="DJ141" s="97">
        <v>27764.920454603791</v>
      </c>
      <c r="DK141" s="97">
        <v>22734.107531657552</v>
      </c>
      <c r="DL141" s="97">
        <v>13265.94572648637</v>
      </c>
      <c r="DM141" s="97">
        <v>19598.656636735781</v>
      </c>
      <c r="DN141" s="97">
        <v>27566.385276875288</v>
      </c>
      <c r="DO141" s="97">
        <v>30829.59620023163</v>
      </c>
      <c r="DP141" s="97">
        <v>44156.75095857618</v>
      </c>
      <c r="DQ141" s="97">
        <v>26828.264596849</v>
      </c>
      <c r="DR141" s="97">
        <v>14028.823000712944</v>
      </c>
      <c r="DS141" s="97">
        <v>22839.911379114092</v>
      </c>
      <c r="DT141" s="97">
        <v>20611.488440713201</v>
      </c>
      <c r="DU141" s="97">
        <v>25270.387661434521</v>
      </c>
      <c r="DV141" s="97">
        <v>27764.920454603791</v>
      </c>
      <c r="DW141" s="97">
        <v>22734.107531657552</v>
      </c>
      <c r="DX141" s="97">
        <v>13265.94572648637</v>
      </c>
      <c r="DY141" s="97">
        <v>19598.656636735781</v>
      </c>
      <c r="DZ141" s="97">
        <v>27566.385276875288</v>
      </c>
      <c r="EA141" s="97">
        <v>30829.59620023163</v>
      </c>
      <c r="EB141" s="97">
        <v>44156.75095857618</v>
      </c>
      <c r="EC141" s="97">
        <v>26828.264596849</v>
      </c>
      <c r="ED141" s="97">
        <v>14028.823000712944</v>
      </c>
      <c r="EE141" s="97">
        <v>22839.911379114092</v>
      </c>
      <c r="EF141" s="97">
        <v>20611.488440713201</v>
      </c>
      <c r="EG141" s="97">
        <v>25270.387661434521</v>
      </c>
      <c r="EH141" s="97">
        <v>27764.920454603791</v>
      </c>
      <c r="EI141" s="97">
        <v>22734.107531657552</v>
      </c>
      <c r="EJ141" s="97">
        <v>13265.94572648637</v>
      </c>
      <c r="EK141" s="97">
        <v>19598.656636735781</v>
      </c>
      <c r="EL141" s="97">
        <v>27566.385276875288</v>
      </c>
      <c r="EM141" s="97">
        <v>30829.59620023163</v>
      </c>
      <c r="EN141" s="97">
        <v>44156.75095857618</v>
      </c>
      <c r="EO141" s="97">
        <v>26828.264596849</v>
      </c>
      <c r="EP141" s="97">
        <v>14028.823000712944</v>
      </c>
      <c r="EQ141" s="97">
        <v>22839.911379114092</v>
      </c>
      <c r="ER141" s="97">
        <v>20611.488440713201</v>
      </c>
      <c r="ES141" s="97">
        <v>25270.387661434521</v>
      </c>
      <c r="ET141" s="97">
        <v>27764.920454603791</v>
      </c>
      <c r="EU141" s="97">
        <v>22734.107531657552</v>
      </c>
      <c r="EV141" s="97">
        <v>13265.94572648637</v>
      </c>
      <c r="EW141" s="97">
        <v>19598.656636735781</v>
      </c>
      <c r="EX141" s="97">
        <v>27566.385276875288</v>
      </c>
      <c r="EY141" s="97">
        <v>30829.59620023163</v>
      </c>
      <c r="EZ141" s="97">
        <v>44156.75095857618</v>
      </c>
      <c r="FA141" s="97">
        <v>26828.264596849</v>
      </c>
      <c r="FB141" s="97">
        <v>14028.823000712944</v>
      </c>
      <c r="FC141" s="97">
        <v>22839.911379114092</v>
      </c>
      <c r="FD141" s="97">
        <v>20611.488440713201</v>
      </c>
      <c r="FE141" s="97">
        <v>25270.387661434521</v>
      </c>
      <c r="FF141" s="97">
        <v>27764.920454603791</v>
      </c>
      <c r="FG141" s="97">
        <v>22734.107531657552</v>
      </c>
      <c r="FH141" s="97">
        <v>13265.94572648637</v>
      </c>
      <c r="FI141" s="97">
        <v>19598.656636735781</v>
      </c>
      <c r="FJ141" s="97">
        <v>27566.385276875288</v>
      </c>
      <c r="FK141" s="97">
        <v>30829.59620023163</v>
      </c>
      <c r="FL141" s="97">
        <v>44156.75095857618</v>
      </c>
      <c r="FM141" s="97">
        <v>26828.264596849</v>
      </c>
      <c r="FN141" s="97">
        <v>14028.823000712944</v>
      </c>
      <c r="FO141" s="97">
        <v>22839.911379114092</v>
      </c>
      <c r="FP141" s="97">
        <v>20611.488440713201</v>
      </c>
      <c r="FQ141" s="97">
        <v>25270.387661434521</v>
      </c>
      <c r="FR141" s="97">
        <v>27764.920454603791</v>
      </c>
      <c r="FS141" s="97">
        <v>22734.107531657552</v>
      </c>
      <c r="FT141" s="97">
        <v>13265.94572648637</v>
      </c>
      <c r="FU141" s="97">
        <v>19598.656636735781</v>
      </c>
      <c r="FV141" s="97">
        <v>27566.385276875288</v>
      </c>
      <c r="FW141" s="97">
        <v>30829.59620023163</v>
      </c>
      <c r="FX141" s="97">
        <v>44156.75095857618</v>
      </c>
      <c r="FY141" s="97">
        <v>26828.264596849</v>
      </c>
      <c r="FZ141" s="97">
        <v>14028.823000712944</v>
      </c>
      <c r="GA141" s="97">
        <v>22839.911379114092</v>
      </c>
      <c r="GB141" s="97">
        <v>20611.488440713201</v>
      </c>
      <c r="GC141" s="97">
        <v>25270.387661434521</v>
      </c>
      <c r="GD141" s="97">
        <v>27764.920454603791</v>
      </c>
      <c r="GE141" s="97">
        <v>22734.107531657552</v>
      </c>
      <c r="GF141" s="97">
        <v>13265.94572648637</v>
      </c>
      <c r="GG141" s="97">
        <v>19598.656636735781</v>
      </c>
      <c r="GH141" s="97">
        <v>27566.385276875288</v>
      </c>
      <c r="GI141" s="97">
        <v>30829.59620023163</v>
      </c>
      <c r="GJ141" s="97">
        <v>44156.75095857618</v>
      </c>
      <c r="GK141" s="97">
        <v>26828.264596849</v>
      </c>
      <c r="GL141" s="97">
        <v>14028.823000712944</v>
      </c>
      <c r="GM141" s="97">
        <v>22839.911379114092</v>
      </c>
      <c r="GN141" s="97">
        <v>20611.488440713201</v>
      </c>
      <c r="GO141" s="97">
        <v>25270.387661434521</v>
      </c>
      <c r="GP141" s="97">
        <v>27764.920454603791</v>
      </c>
      <c r="GQ141" s="97">
        <v>22734.107531657552</v>
      </c>
      <c r="GR141" s="97">
        <v>13265.94572648637</v>
      </c>
      <c r="GS141" s="97">
        <v>19598.656636735781</v>
      </c>
      <c r="GT141" s="97">
        <v>27566.385276875288</v>
      </c>
      <c r="GU141" s="97">
        <v>30829.59620023163</v>
      </c>
      <c r="GV141" s="97">
        <v>44156.75095857618</v>
      </c>
      <c r="GW141" s="97">
        <v>26828.264596849</v>
      </c>
      <c r="GX141" s="97">
        <v>14028.823000712944</v>
      </c>
      <c r="GY141" s="97">
        <v>22839.911379114092</v>
      </c>
      <c r="GZ141" s="97">
        <v>20611.488440713201</v>
      </c>
      <c r="HA141" s="97">
        <v>25270.387661434521</v>
      </c>
      <c r="HB141" s="97">
        <v>27764.920454603791</v>
      </c>
      <c r="HC141" s="97">
        <v>22734.107531657552</v>
      </c>
      <c r="HD141" s="97">
        <v>13265.94572648637</v>
      </c>
      <c r="HE141" s="97">
        <v>19598.656636735781</v>
      </c>
      <c r="HF141" s="97">
        <v>27566.385276875288</v>
      </c>
      <c r="HG141" s="97">
        <v>30829.59620023163</v>
      </c>
      <c r="HH141" s="97">
        <v>44156.75095857618</v>
      </c>
      <c r="HI141" s="97">
        <v>26828.264596849</v>
      </c>
      <c r="HJ141" s="97">
        <v>14028.823000712944</v>
      </c>
      <c r="HK141" s="97">
        <v>22839.911379114092</v>
      </c>
      <c r="HL141" s="97">
        <v>20611.488440713201</v>
      </c>
      <c r="HM141" s="97">
        <v>25270.387661434521</v>
      </c>
      <c r="HN141" s="97">
        <v>27764.920454603791</v>
      </c>
      <c r="HO141" s="97">
        <v>22734.107531657552</v>
      </c>
      <c r="HP141" s="97">
        <v>13265.94572648637</v>
      </c>
      <c r="HQ141" s="97">
        <v>19598.656636735781</v>
      </c>
      <c r="HR141" s="97">
        <v>27566.385276875288</v>
      </c>
      <c r="HS141" s="97">
        <v>30829.59620023163</v>
      </c>
      <c r="HT141" s="97">
        <v>44156.75095857618</v>
      </c>
      <c r="HU141" s="97">
        <v>26828.264596849</v>
      </c>
      <c r="HV141" s="97">
        <v>14028.823000712944</v>
      </c>
      <c r="HW141" s="97">
        <v>22839.911379114092</v>
      </c>
      <c r="HX141" s="97">
        <v>20611.488440713201</v>
      </c>
      <c r="HY141" s="97">
        <v>25270.387661434521</v>
      </c>
      <c r="HZ141" s="97">
        <v>27764.920454603791</v>
      </c>
      <c r="IA141" s="97">
        <v>22734.107531657552</v>
      </c>
      <c r="IB141" s="97">
        <v>13265.94572648637</v>
      </c>
      <c r="IC141" s="97">
        <v>19598.656636735781</v>
      </c>
      <c r="ID141" s="97">
        <v>27566.385276875288</v>
      </c>
      <c r="IE141" s="97">
        <v>30829.59620023163</v>
      </c>
      <c r="IF141" s="97">
        <v>44156.75095857618</v>
      </c>
      <c r="IG141" s="97">
        <v>26828.264596849</v>
      </c>
      <c r="IH141" s="97">
        <v>14028.823000712944</v>
      </c>
      <c r="II141" s="97">
        <v>22839.911379114092</v>
      </c>
      <c r="IJ141" s="97">
        <v>20611.488440713201</v>
      </c>
      <c r="IK141" s="97">
        <v>25270.387661434521</v>
      </c>
      <c r="IL141" s="97">
        <v>27764.920454603791</v>
      </c>
      <c r="IM141" s="97">
        <v>22734.107531657552</v>
      </c>
      <c r="IN141" s="97">
        <v>13265.94572648637</v>
      </c>
      <c r="IO141" s="97">
        <v>19598.656636735781</v>
      </c>
      <c r="IP141" s="97">
        <v>27566.385276875288</v>
      </c>
      <c r="IQ141" s="97">
        <v>30829.59620023163</v>
      </c>
      <c r="IR141" s="97">
        <v>44156.75095857618</v>
      </c>
      <c r="IS141" s="97">
        <v>26828.264596849</v>
      </c>
      <c r="IT141" s="97">
        <v>14028.823000712944</v>
      </c>
      <c r="IU141" s="97">
        <v>22839.911379114092</v>
      </c>
      <c r="IV141" s="97">
        <v>20611.488440713201</v>
      </c>
      <c r="IW141" s="97">
        <v>25270.387661434521</v>
      </c>
      <c r="IX141" s="97">
        <v>27764.920454603791</v>
      </c>
      <c r="IY141" s="97">
        <v>22734.107531657552</v>
      </c>
      <c r="IZ141" s="97">
        <v>13265.94572648637</v>
      </c>
      <c r="JA141" s="97">
        <v>19598.656636735781</v>
      </c>
      <c r="JB141" s="97">
        <v>27566.385276875288</v>
      </c>
      <c r="JC141" s="97">
        <v>30829.59620023163</v>
      </c>
      <c r="JD141" s="97">
        <v>44156.75095857618</v>
      </c>
      <c r="JE141" s="97">
        <v>26828.264596849</v>
      </c>
      <c r="JF141" s="97">
        <v>14028.823000712944</v>
      </c>
      <c r="JG141" s="97">
        <v>22839.911379114092</v>
      </c>
      <c r="JH141" s="97">
        <v>20611.488440713201</v>
      </c>
      <c r="JI141" s="97">
        <v>25270.387661434521</v>
      </c>
      <c r="JJ141" s="97">
        <v>27764.920454603791</v>
      </c>
      <c r="JK141" s="97">
        <v>22734.107531657552</v>
      </c>
      <c r="JL141" s="97">
        <v>13265.94572648637</v>
      </c>
      <c r="JM141" s="97">
        <v>19598.656636735781</v>
      </c>
      <c r="JN141" s="97">
        <v>27566.385276875288</v>
      </c>
      <c r="JO141" s="97">
        <v>30829.59620023163</v>
      </c>
      <c r="JP141" s="97">
        <v>44156.75095857618</v>
      </c>
      <c r="JQ141" s="97">
        <v>26828.264596849</v>
      </c>
      <c r="JR141" s="97">
        <v>14028.823000712944</v>
      </c>
      <c r="JS141" s="97">
        <v>22839.911379114092</v>
      </c>
      <c r="JT141" s="97">
        <v>20611.488440713201</v>
      </c>
      <c r="JU141" s="97">
        <v>25270.387661434521</v>
      </c>
      <c r="JV141" s="97">
        <v>27764.920454603791</v>
      </c>
      <c r="JW141" s="97">
        <v>22734.107531657552</v>
      </c>
      <c r="JX141" s="97">
        <v>13265.94572648637</v>
      </c>
      <c r="JY141" s="97">
        <v>19598.656636735781</v>
      </c>
      <c r="JZ141" s="97">
        <v>27566.385276875288</v>
      </c>
      <c r="KA141" s="97">
        <v>30829.59620023163</v>
      </c>
      <c r="KB141" s="97">
        <v>44156.75095857618</v>
      </c>
      <c r="KC141" s="97">
        <v>26828.264596849</v>
      </c>
      <c r="KD141" s="97">
        <v>14028.823000712944</v>
      </c>
      <c r="KE141" s="97">
        <v>22839.911379114092</v>
      </c>
      <c r="KF141" s="97">
        <v>20611.488440713201</v>
      </c>
      <c r="KG141" s="97">
        <v>25270.387661434521</v>
      </c>
      <c r="KH141" s="97">
        <v>27764.920454603791</v>
      </c>
      <c r="KI141" s="97">
        <v>22734.107531657552</v>
      </c>
      <c r="KJ141" s="97">
        <v>13265.94572648637</v>
      </c>
      <c r="KK141" s="97">
        <v>19598.656636735781</v>
      </c>
      <c r="KL141" s="97">
        <v>27566.385276875288</v>
      </c>
      <c r="KM141" s="97">
        <v>30829.59620023163</v>
      </c>
      <c r="KN141" s="97">
        <v>44156.75095857618</v>
      </c>
      <c r="KO141" s="97">
        <v>26828.264596849</v>
      </c>
      <c r="KP141" s="97">
        <v>14028.823000712944</v>
      </c>
      <c r="KQ141" s="97">
        <v>22839.911379114092</v>
      </c>
      <c r="KR141" s="97">
        <v>20611.488440713201</v>
      </c>
      <c r="KS141" s="97">
        <v>25270.387661434521</v>
      </c>
      <c r="KT141" s="97">
        <v>27764.920454603791</v>
      </c>
      <c r="KU141" s="97">
        <v>22734.107531657552</v>
      </c>
      <c r="KV141" s="97">
        <v>13265.94572648637</v>
      </c>
      <c r="KW141" s="97">
        <v>19598.656636735781</v>
      </c>
      <c r="KX141" s="97">
        <v>27566.385276875288</v>
      </c>
      <c r="KY141" s="97">
        <v>30829.59620023163</v>
      </c>
      <c r="KZ141" s="97">
        <v>44156.75095857618</v>
      </c>
      <c r="LA141" s="97">
        <v>26828.264596849</v>
      </c>
      <c r="LB141" s="97">
        <v>14028.823000712944</v>
      </c>
      <c r="LC141" s="97">
        <v>22839.911379114092</v>
      </c>
      <c r="LD141" s="97">
        <v>20611.488440713201</v>
      </c>
      <c r="LE141" s="97">
        <v>25270.387661434521</v>
      </c>
      <c r="LF141" s="97">
        <v>27764.920454603791</v>
      </c>
      <c r="LG141" s="97">
        <v>22734.107531657552</v>
      </c>
      <c r="LH141" s="97">
        <v>13265.94572648637</v>
      </c>
      <c r="LI141" s="97">
        <v>19598.656636735781</v>
      </c>
      <c r="LJ141" s="97">
        <v>27566.385276875288</v>
      </c>
      <c r="LK141" s="97">
        <v>30829.59620023163</v>
      </c>
      <c r="LL141" s="97">
        <v>44156.75095857618</v>
      </c>
      <c r="LM141" s="97">
        <v>26828.264596849</v>
      </c>
      <c r="LN141" s="97">
        <v>14028.823000712944</v>
      </c>
      <c r="LO141" s="97">
        <v>22839.911379114092</v>
      </c>
      <c r="LP141" s="97">
        <v>20611.488440713201</v>
      </c>
      <c r="LQ141" s="97">
        <v>25270.387661434521</v>
      </c>
      <c r="LR141" s="97">
        <v>27764.920454603791</v>
      </c>
      <c r="LS141" s="97">
        <v>22734.107531657552</v>
      </c>
      <c r="LT141" s="97">
        <v>13265.94572648637</v>
      </c>
      <c r="LU141" s="97">
        <v>19598.656636735781</v>
      </c>
      <c r="LV141" s="97">
        <v>27566.385276875288</v>
      </c>
      <c r="LW141" s="97">
        <v>30829.59620023163</v>
      </c>
      <c r="LX141" s="97">
        <v>44156.75095857618</v>
      </c>
      <c r="LY141" s="97">
        <v>26828.264596849</v>
      </c>
      <c r="LZ141" s="97">
        <v>14028.823000712944</v>
      </c>
      <c r="MA141" s="97">
        <v>22839.911379114092</v>
      </c>
      <c r="MB141" s="97">
        <v>20611.488440713201</v>
      </c>
      <c r="MC141" s="97">
        <v>25270.387661434521</v>
      </c>
      <c r="MD141" s="97">
        <v>27764.920454603791</v>
      </c>
      <c r="ME141" s="97">
        <v>22734.107531657552</v>
      </c>
      <c r="MF141" s="97">
        <v>13265.94572648637</v>
      </c>
      <c r="MG141" s="97">
        <v>19598.656636735781</v>
      </c>
      <c r="MH141" s="97">
        <v>27566.385276875288</v>
      </c>
      <c r="MI141" s="97">
        <v>30829.59620023163</v>
      </c>
      <c r="MJ141" s="97">
        <v>44156.75095857618</v>
      </c>
      <c r="MK141" s="97">
        <v>26828.264596849</v>
      </c>
      <c r="ML141" s="97">
        <v>14028.823000712944</v>
      </c>
      <c r="MM141" s="97">
        <v>22839.911379114092</v>
      </c>
      <c r="MN141" s="97">
        <v>20611.488440713201</v>
      </c>
      <c r="MO141" s="97">
        <v>25270.387661434521</v>
      </c>
      <c r="MP141" s="97">
        <v>27764.920454603791</v>
      </c>
      <c r="MQ141" s="97">
        <v>22734.107531657552</v>
      </c>
      <c r="MR141" s="97">
        <v>13265.94572648637</v>
      </c>
      <c r="MS141" s="97">
        <v>19598.656636735781</v>
      </c>
      <c r="MT141" s="97">
        <v>27566.385276875288</v>
      </c>
      <c r="MU141" s="97">
        <v>30829.59620023163</v>
      </c>
      <c r="MV141" s="97">
        <v>44156.75095857618</v>
      </c>
      <c r="MW141" s="97">
        <v>26828.264596849</v>
      </c>
      <c r="MX141" s="97">
        <v>14028.823000712944</v>
      </c>
      <c r="MY141" s="97">
        <v>22839.911379114092</v>
      </c>
      <c r="MZ141" s="97">
        <v>20611.488440713201</v>
      </c>
      <c r="NA141" s="97">
        <v>25270.387661434521</v>
      </c>
      <c r="NB141" s="97">
        <v>27764.920454603791</v>
      </c>
      <c r="NC141" s="97">
        <v>22734.107531657552</v>
      </c>
      <c r="ND141" s="97">
        <v>13265.94572648637</v>
      </c>
      <c r="NE141" s="97">
        <v>19598.656636735781</v>
      </c>
      <c r="NF141" s="97">
        <v>27566.385276875288</v>
      </c>
      <c r="NG141" s="97">
        <v>30829.59620023163</v>
      </c>
      <c r="NH141" s="97">
        <v>44156.75095857618</v>
      </c>
      <c r="NI141" s="97">
        <v>26828.264596849</v>
      </c>
      <c r="NJ141" s="97">
        <v>14028.823000712944</v>
      </c>
      <c r="NK141" s="97">
        <v>22839.911379114092</v>
      </c>
      <c r="NL141" s="97">
        <v>20611.488440713201</v>
      </c>
      <c r="NM141" s="97">
        <v>25270.387661434521</v>
      </c>
      <c r="NN141" s="97">
        <v>27764.920454603791</v>
      </c>
      <c r="NO141" s="97">
        <v>22734.107531657552</v>
      </c>
      <c r="NP141" s="97">
        <v>13265.94572648637</v>
      </c>
      <c r="NQ141" s="97">
        <v>19598.656636735781</v>
      </c>
      <c r="NR141" s="97">
        <v>27566.385276875288</v>
      </c>
      <c r="NS141" s="97">
        <v>30829.59620023163</v>
      </c>
      <c r="NT141" s="97">
        <v>44156.75095857618</v>
      </c>
      <c r="NU141" s="97">
        <v>26828.264596849</v>
      </c>
      <c r="NV141" s="97">
        <v>14028.823000712944</v>
      </c>
      <c r="NW141" s="97">
        <v>22839.911379114092</v>
      </c>
      <c r="NX141" s="97">
        <v>20611.488440713201</v>
      </c>
      <c r="NY141" s="97">
        <v>25270.387661434521</v>
      </c>
      <c r="NZ141" s="97">
        <v>27764.920454603791</v>
      </c>
      <c r="OA141" s="97">
        <v>22734.107531657552</v>
      </c>
      <c r="OB141" s="97">
        <v>13265.94572648637</v>
      </c>
      <c r="OC141" s="97">
        <v>19598.656636735781</v>
      </c>
      <c r="OD141" s="97">
        <v>27566.385276875288</v>
      </c>
      <c r="OE141" s="97">
        <v>30829.59620023163</v>
      </c>
    </row>
    <row r="142" spans="1:395" outlineLevel="1" x14ac:dyDescent="0.3">
      <c r="E142" s="7"/>
      <c r="K142" s="76"/>
      <c r="L142" s="66"/>
      <c r="M142" s="77"/>
      <c r="N142" s="30" t="s">
        <v>50</v>
      </c>
      <c r="O142" s="30"/>
      <c r="P142" s="32"/>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0"/>
      <c r="HS142" s="30"/>
      <c r="HT142" s="30"/>
      <c r="HU142" s="30"/>
      <c r="HV142" s="30"/>
      <c r="HW142" s="30"/>
      <c r="HX142" s="30"/>
      <c r="HY142" s="30"/>
      <c r="HZ142" s="30"/>
      <c r="IA142" s="30"/>
      <c r="IB142" s="30"/>
      <c r="IC142" s="30"/>
      <c r="ID142" s="30"/>
      <c r="IE142" s="30"/>
      <c r="IF142" s="30"/>
      <c r="IG142" s="30"/>
      <c r="IH142" s="30"/>
      <c r="II142" s="30"/>
      <c r="IJ142" s="30"/>
      <c r="IK142" s="30"/>
      <c r="IL142" s="30"/>
      <c r="IM142" s="30"/>
      <c r="IN142" s="30"/>
      <c r="IO142" s="30"/>
      <c r="IP142" s="30"/>
      <c r="IQ142" s="30"/>
      <c r="IR142" s="30"/>
      <c r="IS142" s="30"/>
      <c r="IT142" s="30"/>
      <c r="IU142" s="30"/>
      <c r="IV142" s="30"/>
      <c r="IW142" s="30"/>
      <c r="IX142" s="30"/>
      <c r="IY142" s="30"/>
      <c r="IZ142" s="30"/>
      <c r="JA142" s="30"/>
      <c r="JB142" s="30"/>
      <c r="JC142" s="30"/>
      <c r="JD142" s="30"/>
      <c r="JE142" s="30"/>
      <c r="JF142" s="30"/>
      <c r="JG142" s="30"/>
      <c r="JH142" s="30"/>
      <c r="JI142" s="30"/>
      <c r="JJ142" s="30"/>
      <c r="JK142" s="30"/>
      <c r="JL142" s="30"/>
      <c r="JM142" s="30"/>
      <c r="JN142" s="30"/>
      <c r="JO142" s="30"/>
      <c r="JP142" s="30"/>
      <c r="JQ142" s="30"/>
      <c r="JR142" s="30"/>
      <c r="JS142" s="30"/>
      <c r="JT142" s="30"/>
      <c r="JU142" s="30"/>
      <c r="JV142" s="30"/>
      <c r="JW142" s="30"/>
      <c r="JX142" s="30"/>
      <c r="JY142" s="30"/>
      <c r="JZ142" s="30"/>
      <c r="KA142" s="30"/>
      <c r="KB142" s="30"/>
      <c r="KC142" s="30"/>
      <c r="KD142" s="30"/>
      <c r="KE142" s="30"/>
      <c r="KF142" s="30"/>
      <c r="KG142" s="30"/>
      <c r="KH142" s="30"/>
      <c r="KI142" s="30"/>
      <c r="KJ142" s="30"/>
      <c r="KK142" s="30"/>
      <c r="KL142" s="30"/>
      <c r="KM142" s="30"/>
      <c r="KN142" s="30"/>
      <c r="KO142" s="30"/>
      <c r="KP142" s="30"/>
      <c r="KQ142" s="30"/>
      <c r="KR142" s="30"/>
      <c r="KS142" s="30"/>
      <c r="KT142" s="30"/>
      <c r="KU142" s="30"/>
      <c r="KV142" s="30"/>
      <c r="KW142" s="30"/>
      <c r="KX142" s="30"/>
      <c r="KY142" s="30"/>
      <c r="KZ142" s="30"/>
      <c r="LA142" s="30"/>
      <c r="LB142" s="30"/>
      <c r="LC142" s="30"/>
      <c r="LD142" s="30"/>
      <c r="LE142" s="30"/>
      <c r="LF142" s="30"/>
      <c r="LG142" s="30"/>
      <c r="LH142" s="30"/>
      <c r="LI142" s="30"/>
      <c r="LJ142" s="30"/>
      <c r="LK142" s="30"/>
      <c r="LL142" s="30"/>
      <c r="LM142" s="30"/>
      <c r="LN142" s="30"/>
      <c r="LO142" s="30"/>
      <c r="LP142" s="30"/>
      <c r="LQ142" s="30"/>
      <c r="LR142" s="30"/>
      <c r="LS142" s="30"/>
      <c r="LT142" s="30"/>
      <c r="LU142" s="30"/>
      <c r="LV142" s="30"/>
      <c r="LW142" s="30"/>
      <c r="LX142" s="30"/>
      <c r="LY142" s="30"/>
      <c r="LZ142" s="30"/>
      <c r="MA142" s="30"/>
      <c r="MB142" s="30"/>
      <c r="MC142" s="30"/>
      <c r="MD142" s="30"/>
      <c r="ME142" s="30"/>
      <c r="MF142" s="30"/>
      <c r="MG142" s="30"/>
      <c r="MH142" s="30"/>
      <c r="MI142" s="30"/>
      <c r="MJ142" s="30"/>
      <c r="MK142" s="30"/>
      <c r="ML142" s="30"/>
      <c r="MM142" s="30"/>
      <c r="MN142" s="30"/>
      <c r="MO142" s="30"/>
      <c r="MP142" s="30"/>
      <c r="MQ142" s="30"/>
      <c r="MR142" s="30"/>
      <c r="MS142" s="30"/>
      <c r="MT142" s="30"/>
      <c r="MU142" s="30"/>
      <c r="MV142" s="30"/>
      <c r="MW142" s="30"/>
      <c r="MX142" s="30"/>
      <c r="MY142" s="30"/>
      <c r="MZ142" s="30"/>
      <c r="NA142" s="30"/>
      <c r="NB142" s="30"/>
      <c r="NC142" s="30"/>
      <c r="ND142" s="30"/>
      <c r="NE142" s="30"/>
      <c r="NF142" s="30"/>
      <c r="NG142" s="30"/>
      <c r="NH142" s="30"/>
      <c r="NI142" s="30"/>
      <c r="NJ142" s="30"/>
      <c r="NK142" s="30"/>
      <c r="NL142" s="30"/>
      <c r="NM142" s="30"/>
      <c r="NN142" s="30"/>
      <c r="NO142" s="30"/>
      <c r="NP142" s="30"/>
      <c r="NQ142" s="30"/>
      <c r="NR142" s="30"/>
      <c r="NS142" s="30"/>
      <c r="NT142" s="30"/>
      <c r="NU142" s="30"/>
      <c r="NV142" s="30"/>
      <c r="NW142" s="30"/>
      <c r="NX142" s="30"/>
      <c r="NY142" s="30"/>
      <c r="NZ142" s="30"/>
      <c r="OA142" s="30"/>
      <c r="OB142" s="30"/>
      <c r="OC142" s="30"/>
      <c r="OD142" s="30"/>
      <c r="OE142" s="30"/>
    </row>
    <row r="143" spans="1:395" outlineLevel="1" x14ac:dyDescent="0.3">
      <c r="E143" s="7"/>
      <c r="K143" s="76"/>
      <c r="L143" s="66"/>
      <c r="M143" s="77"/>
      <c r="N143" s="30" t="s">
        <v>51</v>
      </c>
      <c r="O143" s="30"/>
      <c r="P143" s="32"/>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0"/>
      <c r="BA143" s="30"/>
      <c r="BB143" s="30"/>
      <c r="BC143" s="30"/>
      <c r="BD143" s="30"/>
      <c r="BE143" s="30"/>
      <c r="BF143" s="30"/>
      <c r="BG143" s="30"/>
      <c r="BH143" s="30"/>
      <c r="BI143" s="30"/>
      <c r="BJ143" s="30"/>
      <c r="BK143" s="30"/>
      <c r="BL143" s="30"/>
      <c r="BM143" s="30"/>
      <c r="BN143" s="30"/>
      <c r="BO143" s="30"/>
      <c r="BP143" s="30"/>
      <c r="BQ143" s="30"/>
      <c r="BR143" s="30"/>
      <c r="BS143" s="30"/>
      <c r="BT143" s="30"/>
      <c r="BU143" s="30"/>
      <c r="BV143" s="30"/>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c r="DA143" s="30"/>
      <c r="DB143" s="30"/>
      <c r="DC143" s="30"/>
      <c r="DD143" s="30"/>
      <c r="DE143" s="30"/>
      <c r="DF143" s="30"/>
      <c r="DG143" s="30"/>
      <c r="DH143" s="30"/>
      <c r="DI143" s="30"/>
      <c r="DJ143" s="30"/>
      <c r="DK143" s="30"/>
      <c r="DL143" s="30"/>
      <c r="DM143" s="30"/>
      <c r="DN143" s="30"/>
      <c r="DO143" s="30"/>
      <c r="DP143" s="30"/>
      <c r="DQ143" s="30"/>
      <c r="DR143" s="30"/>
      <c r="DS143" s="30"/>
      <c r="DT143" s="30"/>
      <c r="DU143" s="30"/>
      <c r="DV143" s="30"/>
      <c r="DW143" s="30"/>
      <c r="DX143" s="30"/>
      <c r="DY143" s="30"/>
      <c r="DZ143" s="30"/>
      <c r="EA143" s="30"/>
      <c r="EB143" s="30"/>
      <c r="EC143" s="30"/>
      <c r="ED143" s="30"/>
      <c r="EE143" s="30"/>
      <c r="EF143" s="30"/>
      <c r="EG143" s="30"/>
      <c r="EH143" s="30"/>
      <c r="EI143" s="30"/>
      <c r="EJ143" s="30"/>
      <c r="EK143" s="30"/>
      <c r="EL143" s="30"/>
      <c r="EM143" s="30"/>
      <c r="EN143" s="30"/>
      <c r="EO143" s="30"/>
      <c r="EP143" s="30"/>
      <c r="EQ143" s="30"/>
      <c r="ER143" s="30"/>
      <c r="ES143" s="30"/>
      <c r="ET143" s="30"/>
      <c r="EU143" s="30"/>
      <c r="EV143" s="30"/>
      <c r="EW143" s="30"/>
      <c r="EX143" s="30"/>
      <c r="EY143" s="30"/>
      <c r="EZ143" s="30"/>
      <c r="FA143" s="30"/>
      <c r="FB143" s="30"/>
      <c r="FC143" s="30"/>
      <c r="FD143" s="30"/>
      <c r="FE143" s="30"/>
      <c r="FF143" s="30"/>
      <c r="FG143" s="30"/>
      <c r="FH143" s="30"/>
      <c r="FI143" s="30"/>
      <c r="FJ143" s="30"/>
      <c r="FK143" s="30"/>
      <c r="FL143" s="30"/>
      <c r="FM143" s="30"/>
      <c r="FN143" s="30"/>
      <c r="FO143" s="30"/>
      <c r="FP143" s="30"/>
      <c r="FQ143" s="30"/>
      <c r="FR143" s="30"/>
      <c r="FS143" s="30"/>
      <c r="FT143" s="30"/>
      <c r="FU143" s="30"/>
      <c r="FV143" s="30"/>
      <c r="FW143" s="30"/>
      <c r="FX143" s="30"/>
      <c r="FY143" s="30"/>
      <c r="FZ143" s="30"/>
      <c r="GA143" s="30"/>
      <c r="GB143" s="30"/>
      <c r="GC143" s="30"/>
      <c r="GD143" s="30"/>
      <c r="GE143" s="30"/>
      <c r="GF143" s="30"/>
      <c r="GG143" s="30"/>
      <c r="GH143" s="30"/>
      <c r="GI143" s="30"/>
      <c r="GJ143" s="30"/>
      <c r="GK143" s="30"/>
      <c r="GL143" s="30"/>
      <c r="GM143" s="30"/>
      <c r="GN143" s="30"/>
      <c r="GO143" s="30"/>
      <c r="GP143" s="30"/>
      <c r="GQ143" s="30"/>
      <c r="GR143" s="30"/>
      <c r="GS143" s="30"/>
      <c r="GT143" s="30"/>
      <c r="GU143" s="30"/>
      <c r="GV143" s="30"/>
      <c r="GW143" s="30"/>
      <c r="GX143" s="30"/>
      <c r="GY143" s="30"/>
      <c r="GZ143" s="30"/>
      <c r="HA143" s="30"/>
      <c r="HB143" s="30"/>
      <c r="HC143" s="30"/>
      <c r="HD143" s="30"/>
      <c r="HE143" s="30"/>
      <c r="HF143" s="30"/>
      <c r="HG143" s="30"/>
      <c r="HH143" s="30"/>
      <c r="HI143" s="30"/>
      <c r="HJ143" s="30"/>
      <c r="HK143" s="30"/>
      <c r="HL143" s="30"/>
      <c r="HM143" s="30"/>
      <c r="HN143" s="30"/>
      <c r="HO143" s="30"/>
      <c r="HP143" s="30"/>
      <c r="HQ143" s="30"/>
      <c r="HR143" s="30"/>
      <c r="HS143" s="30"/>
      <c r="HT143" s="30"/>
      <c r="HU143" s="30"/>
      <c r="HV143" s="30"/>
      <c r="HW143" s="30"/>
      <c r="HX143" s="30"/>
      <c r="HY143" s="30"/>
      <c r="HZ143" s="30"/>
      <c r="IA143" s="30"/>
      <c r="IB143" s="30"/>
      <c r="IC143" s="30"/>
      <c r="ID143" s="30"/>
      <c r="IE143" s="30"/>
      <c r="IF143" s="30"/>
      <c r="IG143" s="30"/>
      <c r="IH143" s="30"/>
      <c r="II143" s="30"/>
      <c r="IJ143" s="30"/>
      <c r="IK143" s="30"/>
      <c r="IL143" s="30"/>
      <c r="IM143" s="30"/>
      <c r="IN143" s="30"/>
      <c r="IO143" s="30"/>
      <c r="IP143" s="30"/>
      <c r="IQ143" s="30"/>
      <c r="IR143" s="30"/>
      <c r="IS143" s="30"/>
      <c r="IT143" s="30"/>
      <c r="IU143" s="30"/>
      <c r="IV143" s="30"/>
      <c r="IW143" s="30"/>
      <c r="IX143" s="30"/>
      <c r="IY143" s="30"/>
      <c r="IZ143" s="30"/>
      <c r="JA143" s="30"/>
      <c r="JB143" s="30"/>
      <c r="JC143" s="30"/>
      <c r="JD143" s="30"/>
      <c r="JE143" s="30"/>
      <c r="JF143" s="30"/>
      <c r="JG143" s="30"/>
      <c r="JH143" s="30"/>
      <c r="JI143" s="30"/>
      <c r="JJ143" s="30"/>
      <c r="JK143" s="30"/>
      <c r="JL143" s="30"/>
      <c r="JM143" s="30"/>
      <c r="JN143" s="30"/>
      <c r="JO143" s="30"/>
      <c r="JP143" s="30"/>
      <c r="JQ143" s="30"/>
      <c r="JR143" s="30"/>
      <c r="JS143" s="30"/>
      <c r="JT143" s="30"/>
      <c r="JU143" s="30"/>
      <c r="JV143" s="30"/>
      <c r="JW143" s="30"/>
      <c r="JX143" s="30"/>
      <c r="JY143" s="30"/>
      <c r="JZ143" s="30"/>
      <c r="KA143" s="30"/>
      <c r="KB143" s="30"/>
      <c r="KC143" s="30"/>
      <c r="KD143" s="30"/>
      <c r="KE143" s="30"/>
      <c r="KF143" s="30"/>
      <c r="KG143" s="30"/>
      <c r="KH143" s="30"/>
      <c r="KI143" s="30"/>
      <c r="KJ143" s="30"/>
      <c r="KK143" s="30"/>
      <c r="KL143" s="30"/>
      <c r="KM143" s="30"/>
      <c r="KN143" s="30"/>
      <c r="KO143" s="30"/>
      <c r="KP143" s="30"/>
      <c r="KQ143" s="30"/>
      <c r="KR143" s="30"/>
      <c r="KS143" s="30"/>
      <c r="KT143" s="30"/>
      <c r="KU143" s="30"/>
      <c r="KV143" s="30"/>
      <c r="KW143" s="30"/>
      <c r="KX143" s="30"/>
      <c r="KY143" s="30"/>
      <c r="KZ143" s="30"/>
      <c r="LA143" s="30"/>
      <c r="LB143" s="30"/>
      <c r="LC143" s="30"/>
      <c r="LD143" s="30"/>
      <c r="LE143" s="30"/>
      <c r="LF143" s="30"/>
      <c r="LG143" s="30"/>
      <c r="LH143" s="30"/>
      <c r="LI143" s="30"/>
      <c r="LJ143" s="30"/>
      <c r="LK143" s="30"/>
      <c r="LL143" s="30"/>
      <c r="LM143" s="30"/>
      <c r="LN143" s="30"/>
      <c r="LO143" s="30"/>
      <c r="LP143" s="30"/>
      <c r="LQ143" s="30"/>
      <c r="LR143" s="30"/>
      <c r="LS143" s="30"/>
      <c r="LT143" s="30"/>
      <c r="LU143" s="30"/>
      <c r="LV143" s="30"/>
      <c r="LW143" s="30"/>
      <c r="LX143" s="30"/>
      <c r="LY143" s="30"/>
      <c r="LZ143" s="30"/>
      <c r="MA143" s="30"/>
      <c r="MB143" s="30"/>
      <c r="MC143" s="30"/>
      <c r="MD143" s="30"/>
      <c r="ME143" s="30"/>
      <c r="MF143" s="30"/>
      <c r="MG143" s="30"/>
      <c r="MH143" s="30"/>
      <c r="MI143" s="30"/>
      <c r="MJ143" s="30"/>
      <c r="MK143" s="30"/>
      <c r="ML143" s="30"/>
      <c r="MM143" s="30"/>
      <c r="MN143" s="30"/>
      <c r="MO143" s="30"/>
      <c r="MP143" s="30"/>
      <c r="MQ143" s="30"/>
      <c r="MR143" s="30"/>
      <c r="MS143" s="30"/>
      <c r="MT143" s="30"/>
      <c r="MU143" s="30"/>
      <c r="MV143" s="30"/>
      <c r="MW143" s="30"/>
      <c r="MX143" s="30"/>
      <c r="MY143" s="30"/>
      <c r="MZ143" s="30"/>
      <c r="NA143" s="30"/>
      <c r="NB143" s="30"/>
      <c r="NC143" s="30"/>
      <c r="ND143" s="30"/>
      <c r="NE143" s="30"/>
      <c r="NF143" s="30"/>
      <c r="NG143" s="30"/>
      <c r="NH143" s="30"/>
      <c r="NI143" s="30"/>
      <c r="NJ143" s="30"/>
      <c r="NK143" s="30"/>
      <c r="NL143" s="30"/>
      <c r="NM143" s="30"/>
      <c r="NN143" s="30"/>
      <c r="NO143" s="30"/>
      <c r="NP143" s="30"/>
      <c r="NQ143" s="30"/>
      <c r="NR143" s="30"/>
      <c r="NS143" s="30"/>
      <c r="NT143" s="30"/>
      <c r="NU143" s="30"/>
      <c r="NV143" s="30"/>
      <c r="NW143" s="30"/>
      <c r="NX143" s="30"/>
      <c r="NY143" s="30"/>
      <c r="NZ143" s="30"/>
      <c r="OA143" s="30"/>
      <c r="OB143" s="30"/>
      <c r="OC143" s="30"/>
      <c r="OD143" s="30"/>
      <c r="OE143" s="30"/>
    </row>
    <row r="144" spans="1:395" outlineLevel="1" x14ac:dyDescent="0.3">
      <c r="E144" s="7"/>
      <c r="K144" s="76"/>
      <c r="L144" s="66"/>
      <c r="M144" s="77"/>
      <c r="N144" s="30" t="s">
        <v>134</v>
      </c>
      <c r="O144" s="30"/>
      <c r="P144" s="32"/>
      <c r="Q144" s="94"/>
      <c r="R144" s="30"/>
      <c r="S144" s="30"/>
      <c r="T144" s="30"/>
      <c r="U144" s="30"/>
      <c r="V144" s="30"/>
      <c r="W144" s="30"/>
      <c r="X144" s="30"/>
      <c r="Y144" s="30"/>
      <c r="Z144" s="30"/>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0"/>
      <c r="BA144" s="30"/>
      <c r="BB144" s="30"/>
      <c r="BC144" s="30"/>
      <c r="BD144" s="30"/>
      <c r="BE144" s="30"/>
      <c r="BF144" s="30"/>
      <c r="BG144" s="30"/>
      <c r="BH144" s="30"/>
      <c r="BI144" s="30"/>
      <c r="BJ144" s="30"/>
      <c r="BK144" s="30"/>
      <c r="BL144" s="30"/>
      <c r="BM144" s="30"/>
      <c r="BN144" s="30"/>
      <c r="BO144" s="30"/>
      <c r="BP144" s="30"/>
      <c r="BQ144" s="30"/>
      <c r="BR144" s="30"/>
      <c r="BS144" s="30"/>
      <c r="BT144" s="30"/>
      <c r="BU144" s="30"/>
      <c r="BV144" s="30"/>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c r="DA144" s="30"/>
      <c r="DB144" s="30"/>
      <c r="DC144" s="30"/>
      <c r="DD144" s="30"/>
      <c r="DE144" s="30"/>
      <c r="DF144" s="30"/>
      <c r="DG144" s="30"/>
      <c r="DH144" s="30"/>
      <c r="DI144" s="30"/>
      <c r="DJ144" s="30"/>
      <c r="DK144" s="30"/>
      <c r="DL144" s="30"/>
      <c r="DM144" s="30"/>
      <c r="DN144" s="30"/>
      <c r="DO144" s="30"/>
      <c r="DP144" s="30"/>
      <c r="DQ144" s="30"/>
      <c r="DR144" s="30"/>
      <c r="DS144" s="30"/>
      <c r="DT144" s="30"/>
      <c r="DU144" s="30"/>
      <c r="DV144" s="30"/>
      <c r="DW144" s="30"/>
      <c r="DX144" s="30"/>
      <c r="DY144" s="30"/>
      <c r="DZ144" s="30"/>
      <c r="EA144" s="30"/>
      <c r="EB144" s="30"/>
      <c r="EC144" s="30"/>
      <c r="ED144" s="30"/>
      <c r="EE144" s="30"/>
      <c r="EF144" s="30"/>
      <c r="EG144" s="30"/>
      <c r="EH144" s="30"/>
      <c r="EI144" s="30"/>
      <c r="EJ144" s="30"/>
      <c r="EK144" s="30"/>
      <c r="EL144" s="30"/>
      <c r="EM144" s="30"/>
      <c r="EN144" s="30"/>
      <c r="EO144" s="30"/>
      <c r="EP144" s="30"/>
      <c r="EQ144" s="30"/>
      <c r="ER144" s="30"/>
      <c r="ES144" s="30"/>
      <c r="ET144" s="30"/>
      <c r="EU144" s="30"/>
      <c r="EV144" s="30"/>
      <c r="EW144" s="30"/>
      <c r="EX144" s="30"/>
      <c r="EY144" s="30"/>
      <c r="EZ144" s="30"/>
      <c r="FA144" s="30"/>
      <c r="FB144" s="30"/>
      <c r="FC144" s="30"/>
      <c r="FD144" s="30"/>
      <c r="FE144" s="30"/>
      <c r="FF144" s="30"/>
      <c r="FG144" s="30"/>
      <c r="FH144" s="30"/>
      <c r="FI144" s="30"/>
      <c r="FJ144" s="30"/>
      <c r="FK144" s="30"/>
      <c r="FL144" s="30"/>
      <c r="FM144" s="30"/>
      <c r="FN144" s="30"/>
      <c r="FO144" s="30"/>
      <c r="FP144" s="30"/>
      <c r="FQ144" s="30"/>
      <c r="FR144" s="30"/>
      <c r="FS144" s="30"/>
      <c r="FT144" s="30"/>
      <c r="FU144" s="30"/>
      <c r="FV144" s="30"/>
      <c r="FW144" s="30"/>
      <c r="FX144" s="30"/>
      <c r="FY144" s="30"/>
      <c r="FZ144" s="30"/>
      <c r="GA144" s="30"/>
      <c r="GB144" s="30"/>
      <c r="GC144" s="30"/>
      <c r="GD144" s="30"/>
      <c r="GE144" s="30"/>
      <c r="GF144" s="30"/>
      <c r="GG144" s="30"/>
      <c r="GH144" s="30"/>
      <c r="GI144" s="30"/>
      <c r="GJ144" s="30"/>
      <c r="GK144" s="30"/>
      <c r="GL144" s="30"/>
      <c r="GM144" s="30"/>
      <c r="GN144" s="30"/>
      <c r="GO144" s="30"/>
      <c r="GP144" s="30"/>
      <c r="GQ144" s="30"/>
      <c r="GR144" s="30"/>
      <c r="GS144" s="30"/>
      <c r="GT144" s="30"/>
      <c r="GU144" s="30"/>
      <c r="GV144" s="30"/>
      <c r="GW144" s="30"/>
      <c r="GX144" s="30"/>
      <c r="GY144" s="30"/>
      <c r="GZ144" s="30"/>
      <c r="HA144" s="30"/>
      <c r="HB144" s="30"/>
      <c r="HC144" s="30"/>
      <c r="HD144" s="30"/>
      <c r="HE144" s="30"/>
      <c r="HF144" s="30"/>
      <c r="HG144" s="30"/>
      <c r="HH144" s="30"/>
      <c r="HI144" s="30"/>
      <c r="HJ144" s="30"/>
      <c r="HK144" s="30"/>
      <c r="HL144" s="30"/>
      <c r="HM144" s="30"/>
      <c r="HN144" s="30"/>
      <c r="HO144" s="30"/>
      <c r="HP144" s="30"/>
      <c r="HQ144" s="30"/>
      <c r="HR144" s="30"/>
      <c r="HS144" s="30"/>
      <c r="HT144" s="30"/>
      <c r="HU144" s="30"/>
      <c r="HV144" s="30"/>
      <c r="HW144" s="30"/>
      <c r="HX144" s="30"/>
      <c r="HY144" s="30"/>
      <c r="HZ144" s="30"/>
      <c r="IA144" s="30"/>
      <c r="IB144" s="30"/>
      <c r="IC144" s="30"/>
      <c r="ID144" s="30"/>
      <c r="IE144" s="30"/>
      <c r="IF144" s="30"/>
      <c r="IG144" s="30"/>
      <c r="IH144" s="30"/>
      <c r="II144" s="30"/>
      <c r="IJ144" s="30"/>
      <c r="IK144" s="30"/>
      <c r="IL144" s="30"/>
      <c r="IM144" s="30"/>
      <c r="IN144" s="30"/>
      <c r="IO144" s="30"/>
      <c r="IP144" s="30"/>
      <c r="IQ144" s="30"/>
      <c r="IR144" s="30"/>
      <c r="IS144" s="30"/>
      <c r="IT144" s="30"/>
      <c r="IU144" s="30"/>
      <c r="IV144" s="30"/>
      <c r="IW144" s="30"/>
      <c r="IX144" s="30"/>
      <c r="IY144" s="30"/>
      <c r="IZ144" s="30"/>
      <c r="JA144" s="30"/>
      <c r="JB144" s="30"/>
      <c r="JC144" s="30"/>
      <c r="JD144" s="30"/>
      <c r="JE144" s="30"/>
      <c r="JF144" s="30"/>
      <c r="JG144" s="30"/>
      <c r="JH144" s="30"/>
      <c r="JI144" s="30"/>
      <c r="JJ144" s="30"/>
      <c r="JK144" s="30"/>
      <c r="JL144" s="30"/>
      <c r="JM144" s="30"/>
      <c r="JN144" s="30"/>
      <c r="JO144" s="30"/>
      <c r="JP144" s="30"/>
      <c r="JQ144" s="30"/>
      <c r="JR144" s="30"/>
      <c r="JS144" s="30"/>
      <c r="JT144" s="30"/>
      <c r="JU144" s="30"/>
      <c r="JV144" s="30"/>
      <c r="JW144" s="30"/>
      <c r="JX144" s="30"/>
      <c r="JY144" s="30"/>
      <c r="JZ144" s="30"/>
      <c r="KA144" s="30"/>
      <c r="KB144" s="30"/>
      <c r="KC144" s="30"/>
      <c r="KD144" s="30"/>
      <c r="KE144" s="30"/>
      <c r="KF144" s="30"/>
      <c r="KG144" s="30"/>
      <c r="KH144" s="30"/>
      <c r="KI144" s="30"/>
      <c r="KJ144" s="30"/>
      <c r="KK144" s="30"/>
      <c r="KL144" s="30"/>
      <c r="KM144" s="30"/>
      <c r="KN144" s="30"/>
      <c r="KO144" s="30"/>
      <c r="KP144" s="30"/>
      <c r="KQ144" s="30"/>
      <c r="KR144" s="30"/>
      <c r="KS144" s="30"/>
      <c r="KT144" s="30"/>
      <c r="KU144" s="30"/>
      <c r="KV144" s="30"/>
      <c r="KW144" s="30"/>
      <c r="KX144" s="30"/>
      <c r="KY144" s="30"/>
      <c r="KZ144" s="30"/>
      <c r="LA144" s="30"/>
      <c r="LB144" s="30"/>
      <c r="LC144" s="30"/>
      <c r="LD144" s="30"/>
      <c r="LE144" s="30"/>
      <c r="LF144" s="30"/>
      <c r="LG144" s="30"/>
      <c r="LH144" s="30"/>
      <c r="LI144" s="30"/>
      <c r="LJ144" s="30"/>
      <c r="LK144" s="30"/>
      <c r="LL144" s="30"/>
      <c r="LM144" s="30"/>
      <c r="LN144" s="30"/>
      <c r="LO144" s="30"/>
      <c r="LP144" s="30"/>
      <c r="LQ144" s="30"/>
      <c r="LR144" s="30"/>
      <c r="LS144" s="30"/>
      <c r="LT144" s="30"/>
      <c r="LU144" s="30"/>
      <c r="LV144" s="30"/>
      <c r="LW144" s="30"/>
      <c r="LX144" s="30"/>
      <c r="LY144" s="30"/>
      <c r="LZ144" s="30"/>
      <c r="MA144" s="30"/>
      <c r="MB144" s="30"/>
      <c r="MC144" s="30"/>
      <c r="MD144" s="30"/>
      <c r="ME144" s="30"/>
      <c r="MF144" s="30"/>
      <c r="MG144" s="30"/>
      <c r="MH144" s="30"/>
      <c r="MI144" s="30"/>
      <c r="MJ144" s="30"/>
      <c r="MK144" s="30"/>
      <c r="ML144" s="30"/>
      <c r="MM144" s="30"/>
      <c r="MN144" s="30"/>
      <c r="MO144" s="30"/>
      <c r="MP144" s="30"/>
      <c r="MQ144" s="30"/>
      <c r="MR144" s="30"/>
      <c r="MS144" s="30"/>
      <c r="MT144" s="30"/>
      <c r="MU144" s="30"/>
      <c r="MV144" s="30"/>
      <c r="MW144" s="30"/>
      <c r="MX144" s="30"/>
      <c r="MY144" s="30"/>
      <c r="MZ144" s="30"/>
      <c r="NA144" s="30"/>
      <c r="NB144" s="30"/>
      <c r="NC144" s="30"/>
      <c r="ND144" s="30"/>
      <c r="NE144" s="30"/>
      <c r="NF144" s="30"/>
      <c r="NG144" s="30"/>
      <c r="NH144" s="30"/>
      <c r="NI144" s="30"/>
      <c r="NJ144" s="30"/>
      <c r="NK144" s="30"/>
      <c r="NL144" s="30"/>
      <c r="NM144" s="30"/>
      <c r="NN144" s="30"/>
      <c r="NO144" s="30"/>
      <c r="NP144" s="30"/>
      <c r="NQ144" s="30"/>
      <c r="NR144" s="30"/>
      <c r="NS144" s="30"/>
      <c r="NT144" s="30"/>
      <c r="NU144" s="30"/>
      <c r="NV144" s="30"/>
      <c r="NW144" s="30"/>
      <c r="NX144" s="30"/>
      <c r="NY144" s="30"/>
      <c r="NZ144" s="30"/>
      <c r="OA144" s="30"/>
      <c r="OB144" s="30"/>
      <c r="OC144" s="30"/>
      <c r="OD144" s="30"/>
      <c r="OE144" s="30"/>
    </row>
    <row r="145" spans="4:395" outlineLevel="1" x14ac:dyDescent="0.3">
      <c r="E145" s="7"/>
      <c r="K145" s="76"/>
      <c r="L145" s="66"/>
      <c r="M145" s="77"/>
      <c r="N145" s="30" t="s">
        <v>135</v>
      </c>
      <c r="O145" s="30"/>
      <c r="P145" s="32"/>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0"/>
      <c r="BA145" s="30"/>
      <c r="BB145" s="30"/>
      <c r="BC145" s="30"/>
      <c r="BD145" s="30"/>
      <c r="BE145" s="30"/>
      <c r="BF145" s="30"/>
      <c r="BG145" s="30"/>
      <c r="BH145" s="30"/>
      <c r="BI145" s="30"/>
      <c r="BJ145" s="30"/>
      <c r="BK145" s="30"/>
      <c r="BL145" s="30"/>
      <c r="BM145" s="30"/>
      <c r="BN145" s="30"/>
      <c r="BO145" s="30"/>
      <c r="BP145" s="30"/>
      <c r="BQ145" s="30"/>
      <c r="BR145" s="30"/>
      <c r="BS145" s="30"/>
      <c r="BT145" s="30"/>
      <c r="BU145" s="30"/>
      <c r="BV145" s="30"/>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c r="DA145" s="30"/>
      <c r="DB145" s="30"/>
      <c r="DC145" s="30"/>
      <c r="DD145" s="30"/>
      <c r="DE145" s="30"/>
      <c r="DF145" s="30"/>
      <c r="DG145" s="30"/>
      <c r="DH145" s="30"/>
      <c r="DI145" s="30"/>
      <c r="DJ145" s="30"/>
      <c r="DK145" s="30"/>
      <c r="DL145" s="30"/>
      <c r="DM145" s="30"/>
      <c r="DN145" s="30"/>
      <c r="DO145" s="30"/>
      <c r="DP145" s="30"/>
      <c r="DQ145" s="30"/>
      <c r="DR145" s="30"/>
      <c r="DS145" s="30"/>
      <c r="DT145" s="30"/>
      <c r="DU145" s="30"/>
      <c r="DV145" s="30"/>
      <c r="DW145" s="30"/>
      <c r="DX145" s="30"/>
      <c r="DY145" s="30"/>
      <c r="DZ145" s="30"/>
      <c r="EA145" s="30"/>
      <c r="EB145" s="30"/>
      <c r="EC145" s="30"/>
      <c r="ED145" s="30"/>
      <c r="EE145" s="30"/>
      <c r="EF145" s="30"/>
      <c r="EG145" s="30"/>
      <c r="EH145" s="30"/>
      <c r="EI145" s="30"/>
      <c r="EJ145" s="30"/>
      <c r="EK145" s="30"/>
      <c r="EL145" s="30"/>
      <c r="EM145" s="30"/>
      <c r="EN145" s="30"/>
      <c r="EO145" s="30"/>
      <c r="EP145" s="30"/>
      <c r="EQ145" s="30"/>
      <c r="ER145" s="30"/>
      <c r="ES145" s="30"/>
      <c r="ET145" s="30"/>
      <c r="EU145" s="30"/>
      <c r="EV145" s="30"/>
      <c r="EW145" s="30"/>
      <c r="EX145" s="30"/>
      <c r="EY145" s="30"/>
      <c r="EZ145" s="30"/>
      <c r="FA145" s="30"/>
      <c r="FB145" s="30"/>
      <c r="FC145" s="30"/>
      <c r="FD145" s="30"/>
      <c r="FE145" s="30"/>
      <c r="FF145" s="30"/>
      <c r="FG145" s="30"/>
      <c r="FH145" s="30"/>
      <c r="FI145" s="30"/>
      <c r="FJ145" s="30"/>
      <c r="FK145" s="30"/>
      <c r="FL145" s="30"/>
      <c r="FM145" s="30"/>
      <c r="FN145" s="30"/>
      <c r="FO145" s="30"/>
      <c r="FP145" s="30"/>
      <c r="FQ145" s="30"/>
      <c r="FR145" s="30"/>
      <c r="FS145" s="30"/>
      <c r="FT145" s="30"/>
      <c r="FU145" s="30"/>
      <c r="FV145" s="30"/>
      <c r="FW145" s="30"/>
      <c r="FX145" s="30"/>
      <c r="FY145" s="30"/>
      <c r="FZ145" s="30"/>
      <c r="GA145" s="30"/>
      <c r="GB145" s="30"/>
      <c r="GC145" s="30"/>
      <c r="GD145" s="30"/>
      <c r="GE145" s="30"/>
      <c r="GF145" s="30"/>
      <c r="GG145" s="30"/>
      <c r="GH145" s="30"/>
      <c r="GI145" s="30"/>
      <c r="GJ145" s="30"/>
      <c r="GK145" s="30"/>
      <c r="GL145" s="30"/>
      <c r="GM145" s="30"/>
      <c r="GN145" s="30"/>
      <c r="GO145" s="30"/>
      <c r="GP145" s="30"/>
      <c r="GQ145" s="30"/>
      <c r="GR145" s="30"/>
      <c r="GS145" s="30"/>
      <c r="GT145" s="30"/>
      <c r="GU145" s="30"/>
      <c r="GV145" s="30"/>
      <c r="GW145" s="30"/>
      <c r="GX145" s="30"/>
      <c r="GY145" s="30"/>
      <c r="GZ145" s="30"/>
      <c r="HA145" s="30"/>
      <c r="HB145" s="30"/>
      <c r="HC145" s="30"/>
      <c r="HD145" s="30"/>
      <c r="HE145" s="30"/>
      <c r="HF145" s="30"/>
      <c r="HG145" s="30"/>
      <c r="HH145" s="30"/>
      <c r="HI145" s="30"/>
      <c r="HJ145" s="30"/>
      <c r="HK145" s="30"/>
      <c r="HL145" s="30"/>
      <c r="HM145" s="30"/>
      <c r="HN145" s="30"/>
      <c r="HO145" s="30"/>
      <c r="HP145" s="30"/>
      <c r="HQ145" s="30"/>
      <c r="HR145" s="30"/>
      <c r="HS145" s="30"/>
      <c r="HT145" s="30"/>
      <c r="HU145" s="30"/>
      <c r="HV145" s="30"/>
      <c r="HW145" s="30"/>
      <c r="HX145" s="30"/>
      <c r="HY145" s="30"/>
      <c r="HZ145" s="30"/>
      <c r="IA145" s="30"/>
      <c r="IB145" s="30"/>
      <c r="IC145" s="30"/>
      <c r="ID145" s="30"/>
      <c r="IE145" s="30"/>
      <c r="IF145" s="30"/>
      <c r="IG145" s="30"/>
      <c r="IH145" s="30"/>
      <c r="II145" s="30"/>
      <c r="IJ145" s="30"/>
      <c r="IK145" s="30"/>
      <c r="IL145" s="30"/>
      <c r="IM145" s="30"/>
      <c r="IN145" s="30"/>
      <c r="IO145" s="30"/>
      <c r="IP145" s="30"/>
      <c r="IQ145" s="30"/>
      <c r="IR145" s="30"/>
      <c r="IS145" s="30"/>
      <c r="IT145" s="30"/>
      <c r="IU145" s="30"/>
      <c r="IV145" s="30"/>
      <c r="IW145" s="30"/>
      <c r="IX145" s="30"/>
      <c r="IY145" s="30"/>
      <c r="IZ145" s="30"/>
      <c r="JA145" s="30"/>
      <c r="JB145" s="30"/>
      <c r="JC145" s="30"/>
      <c r="JD145" s="30"/>
      <c r="JE145" s="30"/>
      <c r="JF145" s="30"/>
      <c r="JG145" s="30"/>
      <c r="JH145" s="30"/>
      <c r="JI145" s="30"/>
      <c r="JJ145" s="30"/>
      <c r="JK145" s="30"/>
      <c r="JL145" s="30"/>
      <c r="JM145" s="30"/>
      <c r="JN145" s="30"/>
      <c r="JO145" s="30"/>
      <c r="JP145" s="30"/>
      <c r="JQ145" s="30"/>
      <c r="JR145" s="30"/>
      <c r="JS145" s="30"/>
      <c r="JT145" s="30"/>
      <c r="JU145" s="30"/>
      <c r="JV145" s="30"/>
      <c r="JW145" s="30"/>
      <c r="JX145" s="30"/>
      <c r="JY145" s="30"/>
      <c r="JZ145" s="30"/>
      <c r="KA145" s="30"/>
      <c r="KB145" s="30"/>
      <c r="KC145" s="30"/>
      <c r="KD145" s="30"/>
      <c r="KE145" s="30"/>
      <c r="KF145" s="30"/>
      <c r="KG145" s="30"/>
      <c r="KH145" s="30"/>
      <c r="KI145" s="30"/>
      <c r="KJ145" s="30"/>
      <c r="KK145" s="30"/>
      <c r="KL145" s="30"/>
      <c r="KM145" s="30"/>
      <c r="KN145" s="30"/>
      <c r="KO145" s="30"/>
      <c r="KP145" s="30"/>
      <c r="KQ145" s="30"/>
      <c r="KR145" s="30"/>
      <c r="KS145" s="30"/>
      <c r="KT145" s="30"/>
      <c r="KU145" s="30"/>
      <c r="KV145" s="30"/>
      <c r="KW145" s="30"/>
      <c r="KX145" s="30"/>
      <c r="KY145" s="30"/>
      <c r="KZ145" s="30"/>
      <c r="LA145" s="30"/>
      <c r="LB145" s="30"/>
      <c r="LC145" s="30"/>
      <c r="LD145" s="30"/>
      <c r="LE145" s="30"/>
      <c r="LF145" s="30"/>
      <c r="LG145" s="30"/>
      <c r="LH145" s="30"/>
      <c r="LI145" s="30"/>
      <c r="LJ145" s="30"/>
      <c r="LK145" s="30"/>
      <c r="LL145" s="30"/>
      <c r="LM145" s="30"/>
      <c r="LN145" s="30"/>
      <c r="LO145" s="30"/>
      <c r="LP145" s="30"/>
      <c r="LQ145" s="30"/>
      <c r="LR145" s="30"/>
      <c r="LS145" s="30"/>
      <c r="LT145" s="30"/>
      <c r="LU145" s="30"/>
      <c r="LV145" s="30"/>
      <c r="LW145" s="30"/>
      <c r="LX145" s="30"/>
      <c r="LY145" s="30"/>
      <c r="LZ145" s="30"/>
      <c r="MA145" s="30"/>
      <c r="MB145" s="30"/>
      <c r="MC145" s="30"/>
      <c r="MD145" s="30"/>
      <c r="ME145" s="30"/>
      <c r="MF145" s="30"/>
      <c r="MG145" s="30"/>
      <c r="MH145" s="30"/>
      <c r="MI145" s="30"/>
      <c r="MJ145" s="30"/>
      <c r="MK145" s="30"/>
      <c r="ML145" s="30"/>
      <c r="MM145" s="30"/>
      <c r="MN145" s="30"/>
      <c r="MO145" s="30"/>
      <c r="MP145" s="30"/>
      <c r="MQ145" s="30"/>
      <c r="MR145" s="30"/>
      <c r="MS145" s="30"/>
      <c r="MT145" s="30"/>
      <c r="MU145" s="30"/>
      <c r="MV145" s="30"/>
      <c r="MW145" s="30"/>
      <c r="MX145" s="30"/>
      <c r="MY145" s="30"/>
      <c r="MZ145" s="30"/>
      <c r="NA145" s="30"/>
      <c r="NB145" s="30"/>
      <c r="NC145" s="30"/>
      <c r="ND145" s="30"/>
      <c r="NE145" s="30"/>
      <c r="NF145" s="30"/>
      <c r="NG145" s="30"/>
      <c r="NH145" s="30"/>
      <c r="NI145" s="30"/>
      <c r="NJ145" s="30"/>
      <c r="NK145" s="30"/>
      <c r="NL145" s="30"/>
      <c r="NM145" s="30"/>
      <c r="NN145" s="30"/>
      <c r="NO145" s="30"/>
      <c r="NP145" s="30"/>
      <c r="NQ145" s="30"/>
      <c r="NR145" s="30"/>
      <c r="NS145" s="30"/>
      <c r="NT145" s="30"/>
      <c r="NU145" s="30"/>
      <c r="NV145" s="30"/>
      <c r="NW145" s="30"/>
      <c r="NX145" s="30"/>
      <c r="NY145" s="30"/>
      <c r="NZ145" s="30"/>
      <c r="OA145" s="30"/>
      <c r="OB145" s="30"/>
      <c r="OC145" s="30"/>
      <c r="OD145" s="30"/>
      <c r="OE145" s="30"/>
    </row>
    <row r="146" spans="4:395" outlineLevel="1" x14ac:dyDescent="0.3">
      <c r="E146" s="7"/>
      <c r="K146" s="76"/>
      <c r="L146" s="66"/>
      <c r="M146" s="77"/>
      <c r="N146" s="30" t="s">
        <v>52</v>
      </c>
      <c r="O146" s="30"/>
      <c r="P146" s="32"/>
      <c r="Q146" s="65" cm="1">
        <f t="array" ref="Q146:OE146">_xlfn.ANCHORARRAY(Q1)*E95</f>
        <v>63.05</v>
      </c>
      <c r="R146" s="30">
        <v>63.05</v>
      </c>
      <c r="S146" s="30">
        <v>63.05</v>
      </c>
      <c r="T146" s="30">
        <v>63.05</v>
      </c>
      <c r="U146" s="30">
        <v>63.05</v>
      </c>
      <c r="V146" s="30">
        <v>63.05</v>
      </c>
      <c r="W146" s="30">
        <v>63.05</v>
      </c>
      <c r="X146" s="30">
        <v>63.05</v>
      </c>
      <c r="Y146" s="30">
        <v>63.05</v>
      </c>
      <c r="Z146" s="30">
        <v>63.05</v>
      </c>
      <c r="AA146" s="30">
        <v>63.05</v>
      </c>
      <c r="AB146" s="30">
        <v>63.05</v>
      </c>
      <c r="AC146" s="30">
        <v>63.05</v>
      </c>
      <c r="AD146" s="30">
        <v>63.05</v>
      </c>
      <c r="AE146" s="30">
        <v>63.05</v>
      </c>
      <c r="AF146" s="30">
        <v>63.05</v>
      </c>
      <c r="AG146" s="30">
        <v>63.05</v>
      </c>
      <c r="AH146" s="30">
        <v>63.05</v>
      </c>
      <c r="AI146" s="30">
        <v>63.05</v>
      </c>
      <c r="AJ146" s="30">
        <v>63.05</v>
      </c>
      <c r="AK146" s="30">
        <v>63.05</v>
      </c>
      <c r="AL146" s="30">
        <v>63.05</v>
      </c>
      <c r="AM146" s="30">
        <v>63.05</v>
      </c>
      <c r="AN146" s="30">
        <v>63.05</v>
      </c>
      <c r="AO146" s="30">
        <v>63.05</v>
      </c>
      <c r="AP146" s="30">
        <v>63.05</v>
      </c>
      <c r="AQ146" s="30">
        <v>63.05</v>
      </c>
      <c r="AR146" s="30">
        <v>63.05</v>
      </c>
      <c r="AS146" s="30">
        <v>63.05</v>
      </c>
      <c r="AT146" s="30">
        <v>63.05</v>
      </c>
      <c r="AU146" s="30">
        <v>63.05</v>
      </c>
      <c r="AV146" s="30">
        <v>63.05</v>
      </c>
      <c r="AW146" s="30">
        <v>63.05</v>
      </c>
      <c r="AX146" s="30">
        <v>63.05</v>
      </c>
      <c r="AY146" s="30">
        <v>63.05</v>
      </c>
      <c r="AZ146" s="30">
        <v>63.05</v>
      </c>
      <c r="BA146" s="30">
        <v>63.05</v>
      </c>
      <c r="BB146" s="30">
        <v>63.05</v>
      </c>
      <c r="BC146" s="30">
        <v>63.05</v>
      </c>
      <c r="BD146" s="30">
        <v>63.05</v>
      </c>
      <c r="BE146" s="30">
        <v>63.05</v>
      </c>
      <c r="BF146" s="30">
        <v>63.05</v>
      </c>
      <c r="BG146" s="30">
        <v>63.05</v>
      </c>
      <c r="BH146" s="30">
        <v>63.05</v>
      </c>
      <c r="BI146" s="30">
        <v>63.05</v>
      </c>
      <c r="BJ146" s="30">
        <v>63.05</v>
      </c>
      <c r="BK146" s="30">
        <v>63.05</v>
      </c>
      <c r="BL146" s="30">
        <v>63.05</v>
      </c>
      <c r="BM146" s="30">
        <v>63.05</v>
      </c>
      <c r="BN146" s="30">
        <v>63.05</v>
      </c>
      <c r="BO146" s="30">
        <v>63.05</v>
      </c>
      <c r="BP146" s="30">
        <v>63.05</v>
      </c>
      <c r="BQ146" s="30">
        <v>63.05</v>
      </c>
      <c r="BR146" s="30">
        <v>63.05</v>
      </c>
      <c r="BS146" s="30">
        <v>63.05</v>
      </c>
      <c r="BT146" s="30">
        <v>63.05</v>
      </c>
      <c r="BU146" s="30">
        <v>63.05</v>
      </c>
      <c r="BV146" s="30">
        <v>63.05</v>
      </c>
      <c r="BW146" s="30">
        <v>63.05</v>
      </c>
      <c r="BX146" s="30">
        <v>63.05</v>
      </c>
      <c r="BY146" s="30">
        <v>63.05</v>
      </c>
      <c r="BZ146" s="30">
        <v>63.05</v>
      </c>
      <c r="CA146" s="30">
        <v>63.05</v>
      </c>
      <c r="CB146" s="30">
        <v>63.05</v>
      </c>
      <c r="CC146" s="30">
        <v>63.05</v>
      </c>
      <c r="CD146" s="30">
        <v>63.05</v>
      </c>
      <c r="CE146" s="30">
        <v>63.05</v>
      </c>
      <c r="CF146" s="30">
        <v>63.05</v>
      </c>
      <c r="CG146" s="30">
        <v>63.05</v>
      </c>
      <c r="CH146" s="30">
        <v>63.05</v>
      </c>
      <c r="CI146" s="30">
        <v>63.05</v>
      </c>
      <c r="CJ146" s="30">
        <v>63.05</v>
      </c>
      <c r="CK146" s="30">
        <v>63.05</v>
      </c>
      <c r="CL146" s="30">
        <v>63.05</v>
      </c>
      <c r="CM146" s="30">
        <v>63.05</v>
      </c>
      <c r="CN146" s="30">
        <v>63.05</v>
      </c>
      <c r="CO146" s="30">
        <v>63.05</v>
      </c>
      <c r="CP146" s="30">
        <v>63.05</v>
      </c>
      <c r="CQ146" s="30">
        <v>63.05</v>
      </c>
      <c r="CR146" s="30">
        <v>63.05</v>
      </c>
      <c r="CS146" s="30">
        <v>63.05</v>
      </c>
      <c r="CT146" s="30">
        <v>63.05</v>
      </c>
      <c r="CU146" s="30">
        <v>63.05</v>
      </c>
      <c r="CV146" s="30">
        <v>63.05</v>
      </c>
      <c r="CW146" s="30">
        <v>63.05</v>
      </c>
      <c r="CX146" s="30">
        <v>63.05</v>
      </c>
      <c r="CY146" s="30">
        <v>63.05</v>
      </c>
      <c r="CZ146" s="30">
        <v>63.05</v>
      </c>
      <c r="DA146" s="30">
        <v>63.05</v>
      </c>
      <c r="DB146" s="30">
        <v>63.05</v>
      </c>
      <c r="DC146" s="30">
        <v>63.05</v>
      </c>
      <c r="DD146" s="30">
        <v>63.05</v>
      </c>
      <c r="DE146" s="30">
        <v>63.05</v>
      </c>
      <c r="DF146" s="30">
        <v>63.05</v>
      </c>
      <c r="DG146" s="30">
        <v>63.05</v>
      </c>
      <c r="DH146" s="30">
        <v>63.05</v>
      </c>
      <c r="DI146" s="30">
        <v>63.05</v>
      </c>
      <c r="DJ146" s="30">
        <v>63.05</v>
      </c>
      <c r="DK146" s="30">
        <v>63.05</v>
      </c>
      <c r="DL146" s="30">
        <v>63.05</v>
      </c>
      <c r="DM146" s="30">
        <v>63.05</v>
      </c>
      <c r="DN146" s="30">
        <v>63.05</v>
      </c>
      <c r="DO146" s="30">
        <v>63.05</v>
      </c>
      <c r="DP146" s="30">
        <v>63.05</v>
      </c>
      <c r="DQ146" s="30">
        <v>63.05</v>
      </c>
      <c r="DR146" s="30">
        <v>63.05</v>
      </c>
      <c r="DS146" s="30">
        <v>63.05</v>
      </c>
      <c r="DT146" s="30">
        <v>63.05</v>
      </c>
      <c r="DU146" s="30">
        <v>63.05</v>
      </c>
      <c r="DV146" s="30">
        <v>63.05</v>
      </c>
      <c r="DW146" s="30">
        <v>63.05</v>
      </c>
      <c r="DX146" s="30">
        <v>63.05</v>
      </c>
      <c r="DY146" s="30">
        <v>63.05</v>
      </c>
      <c r="DZ146" s="30">
        <v>63.05</v>
      </c>
      <c r="EA146" s="30">
        <v>63.05</v>
      </c>
      <c r="EB146" s="30">
        <v>63.05</v>
      </c>
      <c r="EC146" s="30">
        <v>63.05</v>
      </c>
      <c r="ED146" s="30">
        <v>63.05</v>
      </c>
      <c r="EE146" s="30">
        <v>63.05</v>
      </c>
      <c r="EF146" s="30">
        <v>63.05</v>
      </c>
      <c r="EG146" s="30">
        <v>63.05</v>
      </c>
      <c r="EH146" s="30">
        <v>63.05</v>
      </c>
      <c r="EI146" s="30">
        <v>63.05</v>
      </c>
      <c r="EJ146" s="30">
        <v>63.05</v>
      </c>
      <c r="EK146" s="30">
        <v>63.05</v>
      </c>
      <c r="EL146" s="30">
        <v>63.05</v>
      </c>
      <c r="EM146" s="30">
        <v>63.05</v>
      </c>
      <c r="EN146" s="30">
        <v>63.05</v>
      </c>
      <c r="EO146" s="30">
        <v>63.05</v>
      </c>
      <c r="EP146" s="30">
        <v>63.05</v>
      </c>
      <c r="EQ146" s="30">
        <v>63.05</v>
      </c>
      <c r="ER146" s="30">
        <v>63.05</v>
      </c>
      <c r="ES146" s="30">
        <v>63.05</v>
      </c>
      <c r="ET146" s="30">
        <v>63.05</v>
      </c>
      <c r="EU146" s="30">
        <v>63.05</v>
      </c>
      <c r="EV146" s="30">
        <v>63.05</v>
      </c>
      <c r="EW146" s="30">
        <v>63.05</v>
      </c>
      <c r="EX146" s="30">
        <v>63.05</v>
      </c>
      <c r="EY146" s="30">
        <v>63.05</v>
      </c>
      <c r="EZ146" s="30">
        <v>63.05</v>
      </c>
      <c r="FA146" s="30">
        <v>63.05</v>
      </c>
      <c r="FB146" s="30">
        <v>63.05</v>
      </c>
      <c r="FC146" s="30">
        <v>63.05</v>
      </c>
      <c r="FD146" s="30">
        <v>63.05</v>
      </c>
      <c r="FE146" s="30">
        <v>63.05</v>
      </c>
      <c r="FF146" s="30">
        <v>63.05</v>
      </c>
      <c r="FG146" s="30">
        <v>63.05</v>
      </c>
      <c r="FH146" s="30">
        <v>63.05</v>
      </c>
      <c r="FI146" s="30">
        <v>63.05</v>
      </c>
      <c r="FJ146" s="30">
        <v>63.05</v>
      </c>
      <c r="FK146" s="30">
        <v>63.05</v>
      </c>
      <c r="FL146" s="30">
        <v>63.05</v>
      </c>
      <c r="FM146" s="30">
        <v>63.05</v>
      </c>
      <c r="FN146" s="30">
        <v>63.05</v>
      </c>
      <c r="FO146" s="30">
        <v>63.05</v>
      </c>
      <c r="FP146" s="30">
        <v>63.05</v>
      </c>
      <c r="FQ146" s="30">
        <v>63.05</v>
      </c>
      <c r="FR146" s="30">
        <v>63.05</v>
      </c>
      <c r="FS146" s="30">
        <v>63.05</v>
      </c>
      <c r="FT146" s="30">
        <v>63.05</v>
      </c>
      <c r="FU146" s="30">
        <v>63.05</v>
      </c>
      <c r="FV146" s="30">
        <v>63.05</v>
      </c>
      <c r="FW146" s="30">
        <v>63.05</v>
      </c>
      <c r="FX146" s="30">
        <v>63.05</v>
      </c>
      <c r="FY146" s="30">
        <v>63.05</v>
      </c>
      <c r="FZ146" s="30">
        <v>63.05</v>
      </c>
      <c r="GA146" s="30">
        <v>63.05</v>
      </c>
      <c r="GB146" s="30">
        <v>63.05</v>
      </c>
      <c r="GC146" s="30">
        <v>63.05</v>
      </c>
      <c r="GD146" s="30">
        <v>63.05</v>
      </c>
      <c r="GE146" s="30">
        <v>63.05</v>
      </c>
      <c r="GF146" s="30">
        <v>63.05</v>
      </c>
      <c r="GG146" s="30">
        <v>63.05</v>
      </c>
      <c r="GH146" s="30">
        <v>63.05</v>
      </c>
      <c r="GI146" s="30">
        <v>63.05</v>
      </c>
      <c r="GJ146" s="30">
        <v>63.05</v>
      </c>
      <c r="GK146" s="30">
        <v>63.05</v>
      </c>
      <c r="GL146" s="30">
        <v>63.05</v>
      </c>
      <c r="GM146" s="30">
        <v>63.05</v>
      </c>
      <c r="GN146" s="30">
        <v>63.05</v>
      </c>
      <c r="GO146" s="30">
        <v>63.05</v>
      </c>
      <c r="GP146" s="30">
        <v>63.05</v>
      </c>
      <c r="GQ146" s="30">
        <v>63.05</v>
      </c>
      <c r="GR146" s="30">
        <v>63.05</v>
      </c>
      <c r="GS146" s="30">
        <v>63.05</v>
      </c>
      <c r="GT146" s="30">
        <v>63.05</v>
      </c>
      <c r="GU146" s="30">
        <v>63.05</v>
      </c>
      <c r="GV146" s="30">
        <v>63.05</v>
      </c>
      <c r="GW146" s="30">
        <v>63.05</v>
      </c>
      <c r="GX146" s="30">
        <v>63.05</v>
      </c>
      <c r="GY146" s="30">
        <v>63.05</v>
      </c>
      <c r="GZ146" s="30">
        <v>63.05</v>
      </c>
      <c r="HA146" s="30">
        <v>63.05</v>
      </c>
      <c r="HB146" s="30">
        <v>63.05</v>
      </c>
      <c r="HC146" s="30">
        <v>63.05</v>
      </c>
      <c r="HD146" s="30">
        <v>63.05</v>
      </c>
      <c r="HE146" s="30">
        <v>63.05</v>
      </c>
      <c r="HF146" s="30">
        <v>63.05</v>
      </c>
      <c r="HG146" s="30">
        <v>63.05</v>
      </c>
      <c r="HH146" s="30">
        <v>63.05</v>
      </c>
      <c r="HI146" s="30">
        <v>63.05</v>
      </c>
      <c r="HJ146" s="30">
        <v>63.05</v>
      </c>
      <c r="HK146" s="30">
        <v>63.05</v>
      </c>
      <c r="HL146" s="30">
        <v>63.05</v>
      </c>
      <c r="HM146" s="30">
        <v>63.05</v>
      </c>
      <c r="HN146" s="30">
        <v>63.05</v>
      </c>
      <c r="HO146" s="30">
        <v>63.05</v>
      </c>
      <c r="HP146" s="30">
        <v>63.05</v>
      </c>
      <c r="HQ146" s="30">
        <v>63.05</v>
      </c>
      <c r="HR146" s="30">
        <v>63.05</v>
      </c>
      <c r="HS146" s="30">
        <v>63.05</v>
      </c>
      <c r="HT146" s="30">
        <v>63.05</v>
      </c>
      <c r="HU146" s="30">
        <v>63.05</v>
      </c>
      <c r="HV146" s="30">
        <v>63.05</v>
      </c>
      <c r="HW146" s="30">
        <v>63.05</v>
      </c>
      <c r="HX146" s="30">
        <v>63.05</v>
      </c>
      <c r="HY146" s="30">
        <v>63.05</v>
      </c>
      <c r="HZ146" s="30">
        <v>63.05</v>
      </c>
      <c r="IA146" s="30">
        <v>63.05</v>
      </c>
      <c r="IB146" s="30">
        <v>63.05</v>
      </c>
      <c r="IC146" s="30">
        <v>63.05</v>
      </c>
      <c r="ID146" s="30">
        <v>63.05</v>
      </c>
      <c r="IE146" s="30">
        <v>63.05</v>
      </c>
      <c r="IF146" s="30">
        <v>63.05</v>
      </c>
      <c r="IG146" s="30">
        <v>63.05</v>
      </c>
      <c r="IH146" s="30">
        <v>63.05</v>
      </c>
      <c r="II146" s="30">
        <v>63.05</v>
      </c>
      <c r="IJ146" s="30">
        <v>63.05</v>
      </c>
      <c r="IK146" s="30">
        <v>63.05</v>
      </c>
      <c r="IL146" s="30">
        <v>63.05</v>
      </c>
      <c r="IM146" s="30">
        <v>63.05</v>
      </c>
      <c r="IN146" s="30">
        <v>63.05</v>
      </c>
      <c r="IO146" s="30">
        <v>63.05</v>
      </c>
      <c r="IP146" s="30">
        <v>63.05</v>
      </c>
      <c r="IQ146" s="30">
        <v>63.05</v>
      </c>
      <c r="IR146" s="30">
        <v>63.05</v>
      </c>
      <c r="IS146" s="30">
        <v>63.05</v>
      </c>
      <c r="IT146" s="30">
        <v>63.05</v>
      </c>
      <c r="IU146" s="30">
        <v>63.05</v>
      </c>
      <c r="IV146" s="30">
        <v>63.05</v>
      </c>
      <c r="IW146" s="30">
        <v>63.05</v>
      </c>
      <c r="IX146" s="30">
        <v>63.05</v>
      </c>
      <c r="IY146" s="30">
        <v>63.05</v>
      </c>
      <c r="IZ146" s="30">
        <v>63.05</v>
      </c>
      <c r="JA146" s="30">
        <v>63.05</v>
      </c>
      <c r="JB146" s="30">
        <v>63.05</v>
      </c>
      <c r="JC146" s="30">
        <v>63.05</v>
      </c>
      <c r="JD146" s="30">
        <v>63.05</v>
      </c>
      <c r="JE146" s="30">
        <v>63.05</v>
      </c>
      <c r="JF146" s="30">
        <v>63.05</v>
      </c>
      <c r="JG146" s="30">
        <v>63.05</v>
      </c>
      <c r="JH146" s="30">
        <v>63.05</v>
      </c>
      <c r="JI146" s="30">
        <v>63.05</v>
      </c>
      <c r="JJ146" s="30">
        <v>63.05</v>
      </c>
      <c r="JK146" s="30">
        <v>63.05</v>
      </c>
      <c r="JL146" s="30">
        <v>63.05</v>
      </c>
      <c r="JM146" s="30">
        <v>63.05</v>
      </c>
      <c r="JN146" s="30">
        <v>63.05</v>
      </c>
      <c r="JO146" s="30">
        <v>63.05</v>
      </c>
      <c r="JP146" s="30">
        <v>63.05</v>
      </c>
      <c r="JQ146" s="30">
        <v>63.05</v>
      </c>
      <c r="JR146" s="30">
        <v>63.05</v>
      </c>
      <c r="JS146" s="30">
        <v>63.05</v>
      </c>
      <c r="JT146" s="30">
        <v>63.05</v>
      </c>
      <c r="JU146" s="30">
        <v>63.05</v>
      </c>
      <c r="JV146" s="30">
        <v>63.05</v>
      </c>
      <c r="JW146" s="30">
        <v>63.05</v>
      </c>
      <c r="JX146" s="30">
        <v>63.05</v>
      </c>
      <c r="JY146" s="30">
        <v>63.05</v>
      </c>
      <c r="JZ146" s="30">
        <v>63.05</v>
      </c>
      <c r="KA146" s="30">
        <v>63.05</v>
      </c>
      <c r="KB146" s="30">
        <v>63.05</v>
      </c>
      <c r="KC146" s="30">
        <v>63.05</v>
      </c>
      <c r="KD146" s="30">
        <v>63.05</v>
      </c>
      <c r="KE146" s="30">
        <v>63.05</v>
      </c>
      <c r="KF146" s="30">
        <v>63.05</v>
      </c>
      <c r="KG146" s="30">
        <v>63.05</v>
      </c>
      <c r="KH146" s="30">
        <v>63.05</v>
      </c>
      <c r="KI146" s="30">
        <v>63.05</v>
      </c>
      <c r="KJ146" s="30">
        <v>63.05</v>
      </c>
      <c r="KK146" s="30">
        <v>63.05</v>
      </c>
      <c r="KL146" s="30">
        <v>63.05</v>
      </c>
      <c r="KM146" s="30">
        <v>63.05</v>
      </c>
      <c r="KN146" s="30">
        <v>63.05</v>
      </c>
      <c r="KO146" s="30">
        <v>63.05</v>
      </c>
      <c r="KP146" s="30">
        <v>63.05</v>
      </c>
      <c r="KQ146" s="30">
        <v>63.05</v>
      </c>
      <c r="KR146" s="30">
        <v>63.05</v>
      </c>
      <c r="KS146" s="30">
        <v>63.05</v>
      </c>
      <c r="KT146" s="30">
        <v>63.05</v>
      </c>
      <c r="KU146" s="30">
        <v>63.05</v>
      </c>
      <c r="KV146" s="30">
        <v>63.05</v>
      </c>
      <c r="KW146" s="30">
        <v>63.05</v>
      </c>
      <c r="KX146" s="30">
        <v>63.05</v>
      </c>
      <c r="KY146" s="30">
        <v>63.05</v>
      </c>
      <c r="KZ146" s="30">
        <v>63.05</v>
      </c>
      <c r="LA146" s="30">
        <v>63.05</v>
      </c>
      <c r="LB146" s="30">
        <v>63.05</v>
      </c>
      <c r="LC146" s="30">
        <v>63.05</v>
      </c>
      <c r="LD146" s="30">
        <v>63.05</v>
      </c>
      <c r="LE146" s="30">
        <v>63.05</v>
      </c>
      <c r="LF146" s="30">
        <v>63.05</v>
      </c>
      <c r="LG146" s="30">
        <v>63.05</v>
      </c>
      <c r="LH146" s="30">
        <v>63.05</v>
      </c>
      <c r="LI146" s="30">
        <v>63.05</v>
      </c>
      <c r="LJ146" s="30">
        <v>63.05</v>
      </c>
      <c r="LK146" s="30">
        <v>63.05</v>
      </c>
      <c r="LL146" s="30">
        <v>63.05</v>
      </c>
      <c r="LM146" s="30">
        <v>63.05</v>
      </c>
      <c r="LN146" s="30">
        <v>63.05</v>
      </c>
      <c r="LO146" s="30">
        <v>63.05</v>
      </c>
      <c r="LP146" s="30">
        <v>63.05</v>
      </c>
      <c r="LQ146" s="30">
        <v>63.05</v>
      </c>
      <c r="LR146" s="30">
        <v>63.05</v>
      </c>
      <c r="LS146" s="30">
        <v>63.05</v>
      </c>
      <c r="LT146" s="30">
        <v>63.05</v>
      </c>
      <c r="LU146" s="30">
        <v>63.05</v>
      </c>
      <c r="LV146" s="30">
        <v>63.05</v>
      </c>
      <c r="LW146" s="30">
        <v>63.05</v>
      </c>
      <c r="LX146" s="30">
        <v>63.05</v>
      </c>
      <c r="LY146" s="30">
        <v>63.05</v>
      </c>
      <c r="LZ146" s="30">
        <v>63.05</v>
      </c>
      <c r="MA146" s="30">
        <v>63.05</v>
      </c>
      <c r="MB146" s="30">
        <v>63.05</v>
      </c>
      <c r="MC146" s="30">
        <v>63.05</v>
      </c>
      <c r="MD146" s="30">
        <v>63.05</v>
      </c>
      <c r="ME146" s="30">
        <v>63.05</v>
      </c>
      <c r="MF146" s="30">
        <v>63.05</v>
      </c>
      <c r="MG146" s="30">
        <v>63.05</v>
      </c>
      <c r="MH146" s="30">
        <v>63.05</v>
      </c>
      <c r="MI146" s="30">
        <v>63.05</v>
      </c>
      <c r="MJ146" s="30">
        <v>63.05</v>
      </c>
      <c r="MK146" s="30">
        <v>63.05</v>
      </c>
      <c r="ML146" s="30">
        <v>63.05</v>
      </c>
      <c r="MM146" s="30">
        <v>63.05</v>
      </c>
      <c r="MN146" s="30">
        <v>63.05</v>
      </c>
      <c r="MO146" s="30">
        <v>63.05</v>
      </c>
      <c r="MP146" s="30">
        <v>63.05</v>
      </c>
      <c r="MQ146" s="30">
        <v>63.05</v>
      </c>
      <c r="MR146" s="30">
        <v>63.05</v>
      </c>
      <c r="MS146" s="30">
        <v>63.05</v>
      </c>
      <c r="MT146" s="30">
        <v>63.05</v>
      </c>
      <c r="MU146" s="30">
        <v>63.05</v>
      </c>
      <c r="MV146" s="30">
        <v>63.05</v>
      </c>
      <c r="MW146" s="30">
        <v>63.05</v>
      </c>
      <c r="MX146" s="30">
        <v>63.05</v>
      </c>
      <c r="MY146" s="30">
        <v>63.05</v>
      </c>
      <c r="MZ146" s="30">
        <v>63.05</v>
      </c>
      <c r="NA146" s="30">
        <v>63.05</v>
      </c>
      <c r="NB146" s="30">
        <v>63.05</v>
      </c>
      <c r="NC146" s="30">
        <v>63.05</v>
      </c>
      <c r="ND146" s="30">
        <v>63.05</v>
      </c>
      <c r="NE146" s="30">
        <v>63.05</v>
      </c>
      <c r="NF146" s="30">
        <v>63.05</v>
      </c>
      <c r="NG146" s="30">
        <v>63.05</v>
      </c>
      <c r="NH146" s="30">
        <v>63.05</v>
      </c>
      <c r="NI146" s="30">
        <v>63.05</v>
      </c>
      <c r="NJ146" s="30">
        <v>63.05</v>
      </c>
      <c r="NK146" s="30">
        <v>63.05</v>
      </c>
      <c r="NL146" s="30">
        <v>63.05</v>
      </c>
      <c r="NM146" s="30">
        <v>63.05</v>
      </c>
      <c r="NN146" s="30">
        <v>63.05</v>
      </c>
      <c r="NO146" s="30">
        <v>63.05</v>
      </c>
      <c r="NP146" s="30">
        <v>63.05</v>
      </c>
      <c r="NQ146" s="30">
        <v>63.05</v>
      </c>
      <c r="NR146" s="30">
        <v>63.05</v>
      </c>
      <c r="NS146" s="30">
        <v>63.05</v>
      </c>
      <c r="NT146" s="30">
        <v>63.05</v>
      </c>
      <c r="NU146" s="30">
        <v>63.05</v>
      </c>
      <c r="NV146" s="30">
        <v>63.05</v>
      </c>
      <c r="NW146" s="30">
        <v>63.05</v>
      </c>
      <c r="NX146" s="30">
        <v>63.05</v>
      </c>
      <c r="NY146" s="30">
        <v>63.05</v>
      </c>
      <c r="NZ146" s="30">
        <v>63.05</v>
      </c>
      <c r="OA146" s="30">
        <v>63.05</v>
      </c>
      <c r="OB146" s="30">
        <v>63.05</v>
      </c>
      <c r="OC146" s="30">
        <v>63.05</v>
      </c>
      <c r="OD146" s="30">
        <v>63.05</v>
      </c>
      <c r="OE146" s="30">
        <v>63.05</v>
      </c>
    </row>
    <row r="147" spans="4:395" outlineLevel="1" x14ac:dyDescent="0.3">
      <c r="E147" s="7"/>
      <c r="K147" s="76"/>
      <c r="L147" s="66"/>
      <c r="M147" s="77"/>
      <c r="N147" s="30" t="s">
        <v>136</v>
      </c>
      <c r="O147" s="30"/>
      <c r="P147" s="32"/>
      <c r="Q147" s="30" cm="1">
        <f t="array" ref="Q147:OE147">_xlfn.ANCHORARRAY(Q1)*E97</f>
        <v>0</v>
      </c>
      <c r="R147" s="30">
        <v>0</v>
      </c>
      <c r="S147" s="30">
        <v>0</v>
      </c>
      <c r="T147" s="30">
        <v>0</v>
      </c>
      <c r="U147" s="30">
        <v>0</v>
      </c>
      <c r="V147" s="30">
        <v>0</v>
      </c>
      <c r="W147" s="30">
        <v>0</v>
      </c>
      <c r="X147" s="30">
        <v>0</v>
      </c>
      <c r="Y147" s="30">
        <v>0</v>
      </c>
      <c r="Z147" s="30">
        <v>0</v>
      </c>
      <c r="AA147" s="30">
        <v>0</v>
      </c>
      <c r="AB147" s="30">
        <v>0</v>
      </c>
      <c r="AC147" s="30">
        <v>0</v>
      </c>
      <c r="AD147" s="30">
        <v>0</v>
      </c>
      <c r="AE147" s="30">
        <v>0</v>
      </c>
      <c r="AF147" s="30">
        <v>0</v>
      </c>
      <c r="AG147" s="30">
        <v>0</v>
      </c>
      <c r="AH147" s="30">
        <v>0</v>
      </c>
      <c r="AI147" s="30">
        <v>0</v>
      </c>
      <c r="AJ147" s="30">
        <v>0</v>
      </c>
      <c r="AK147" s="30">
        <v>0</v>
      </c>
      <c r="AL147" s="30">
        <v>0</v>
      </c>
      <c r="AM147" s="30">
        <v>0</v>
      </c>
      <c r="AN147" s="30">
        <v>0</v>
      </c>
      <c r="AO147" s="30">
        <v>0</v>
      </c>
      <c r="AP147" s="30">
        <v>0</v>
      </c>
      <c r="AQ147" s="30">
        <v>0</v>
      </c>
      <c r="AR147" s="30">
        <v>0</v>
      </c>
      <c r="AS147" s="30">
        <v>0</v>
      </c>
      <c r="AT147" s="30">
        <v>0</v>
      </c>
      <c r="AU147" s="30">
        <v>0</v>
      </c>
      <c r="AV147" s="30">
        <v>0</v>
      </c>
      <c r="AW147" s="30">
        <v>0</v>
      </c>
      <c r="AX147" s="30">
        <v>0</v>
      </c>
      <c r="AY147" s="30">
        <v>0</v>
      </c>
      <c r="AZ147" s="30">
        <v>0</v>
      </c>
      <c r="BA147" s="30">
        <v>0</v>
      </c>
      <c r="BB147" s="30">
        <v>0</v>
      </c>
      <c r="BC147" s="30">
        <v>0</v>
      </c>
      <c r="BD147" s="30">
        <v>0</v>
      </c>
      <c r="BE147" s="30">
        <v>0</v>
      </c>
      <c r="BF147" s="30">
        <v>0</v>
      </c>
      <c r="BG147" s="30">
        <v>0</v>
      </c>
      <c r="BH147" s="30">
        <v>0</v>
      </c>
      <c r="BI147" s="30">
        <v>0</v>
      </c>
      <c r="BJ147" s="30">
        <v>0</v>
      </c>
      <c r="BK147" s="30">
        <v>0</v>
      </c>
      <c r="BL147" s="30">
        <v>0</v>
      </c>
      <c r="BM147" s="30">
        <v>0</v>
      </c>
      <c r="BN147" s="30">
        <v>0</v>
      </c>
      <c r="BO147" s="30">
        <v>0</v>
      </c>
      <c r="BP147" s="30">
        <v>0</v>
      </c>
      <c r="BQ147" s="30">
        <v>0</v>
      </c>
      <c r="BR147" s="30">
        <v>0</v>
      </c>
      <c r="BS147" s="30">
        <v>0</v>
      </c>
      <c r="BT147" s="30">
        <v>0</v>
      </c>
      <c r="BU147" s="30">
        <v>0</v>
      </c>
      <c r="BV147" s="30">
        <v>0</v>
      </c>
      <c r="BW147" s="30">
        <v>0</v>
      </c>
      <c r="BX147" s="30">
        <v>0</v>
      </c>
      <c r="BY147" s="30">
        <v>0</v>
      </c>
      <c r="BZ147" s="30">
        <v>0</v>
      </c>
      <c r="CA147" s="30">
        <v>0</v>
      </c>
      <c r="CB147" s="30">
        <v>0</v>
      </c>
      <c r="CC147" s="30">
        <v>0</v>
      </c>
      <c r="CD147" s="30">
        <v>0</v>
      </c>
      <c r="CE147" s="30">
        <v>0</v>
      </c>
      <c r="CF147" s="30">
        <v>0</v>
      </c>
      <c r="CG147" s="30">
        <v>0</v>
      </c>
      <c r="CH147" s="30">
        <v>0</v>
      </c>
      <c r="CI147" s="30">
        <v>0</v>
      </c>
      <c r="CJ147" s="30">
        <v>0</v>
      </c>
      <c r="CK147" s="30">
        <v>0</v>
      </c>
      <c r="CL147" s="30">
        <v>0</v>
      </c>
      <c r="CM147" s="30">
        <v>0</v>
      </c>
      <c r="CN147" s="30">
        <v>0</v>
      </c>
      <c r="CO147" s="30">
        <v>0</v>
      </c>
      <c r="CP147" s="30">
        <v>0</v>
      </c>
      <c r="CQ147" s="30">
        <v>0</v>
      </c>
      <c r="CR147" s="30">
        <v>0</v>
      </c>
      <c r="CS147" s="30">
        <v>0</v>
      </c>
      <c r="CT147" s="30">
        <v>0</v>
      </c>
      <c r="CU147" s="30">
        <v>0</v>
      </c>
      <c r="CV147" s="30">
        <v>0</v>
      </c>
      <c r="CW147" s="30">
        <v>0</v>
      </c>
      <c r="CX147" s="30">
        <v>0</v>
      </c>
      <c r="CY147" s="30">
        <v>0</v>
      </c>
      <c r="CZ147" s="30">
        <v>0</v>
      </c>
      <c r="DA147" s="30">
        <v>0</v>
      </c>
      <c r="DB147" s="30">
        <v>0</v>
      </c>
      <c r="DC147" s="30">
        <v>0</v>
      </c>
      <c r="DD147" s="30">
        <v>0</v>
      </c>
      <c r="DE147" s="30">
        <v>0</v>
      </c>
      <c r="DF147" s="30">
        <v>0</v>
      </c>
      <c r="DG147" s="30">
        <v>0</v>
      </c>
      <c r="DH147" s="30">
        <v>0</v>
      </c>
      <c r="DI147" s="30">
        <v>0</v>
      </c>
      <c r="DJ147" s="30">
        <v>0</v>
      </c>
      <c r="DK147" s="30">
        <v>0</v>
      </c>
      <c r="DL147" s="30">
        <v>0</v>
      </c>
      <c r="DM147" s="30">
        <v>0</v>
      </c>
      <c r="DN147" s="30">
        <v>0</v>
      </c>
      <c r="DO147" s="30">
        <v>0</v>
      </c>
      <c r="DP147" s="30">
        <v>0</v>
      </c>
      <c r="DQ147" s="30">
        <v>0</v>
      </c>
      <c r="DR147" s="30">
        <v>0</v>
      </c>
      <c r="DS147" s="30">
        <v>0</v>
      </c>
      <c r="DT147" s="30">
        <v>0</v>
      </c>
      <c r="DU147" s="30">
        <v>0</v>
      </c>
      <c r="DV147" s="30">
        <v>0</v>
      </c>
      <c r="DW147" s="30">
        <v>0</v>
      </c>
      <c r="DX147" s="30">
        <v>0</v>
      </c>
      <c r="DY147" s="30">
        <v>0</v>
      </c>
      <c r="DZ147" s="30">
        <v>0</v>
      </c>
      <c r="EA147" s="30">
        <v>0</v>
      </c>
      <c r="EB147" s="30">
        <v>0</v>
      </c>
      <c r="EC147" s="30">
        <v>0</v>
      </c>
      <c r="ED147" s="30">
        <v>0</v>
      </c>
      <c r="EE147" s="30">
        <v>0</v>
      </c>
      <c r="EF147" s="30">
        <v>0</v>
      </c>
      <c r="EG147" s="30">
        <v>0</v>
      </c>
      <c r="EH147" s="30">
        <v>0</v>
      </c>
      <c r="EI147" s="30">
        <v>0</v>
      </c>
      <c r="EJ147" s="30">
        <v>0</v>
      </c>
      <c r="EK147" s="30">
        <v>0</v>
      </c>
      <c r="EL147" s="30">
        <v>0</v>
      </c>
      <c r="EM147" s="30">
        <v>0</v>
      </c>
      <c r="EN147" s="30">
        <v>0</v>
      </c>
      <c r="EO147" s="30">
        <v>0</v>
      </c>
      <c r="EP147" s="30">
        <v>0</v>
      </c>
      <c r="EQ147" s="30">
        <v>0</v>
      </c>
      <c r="ER147" s="30">
        <v>0</v>
      </c>
      <c r="ES147" s="30">
        <v>0</v>
      </c>
      <c r="ET147" s="30">
        <v>0</v>
      </c>
      <c r="EU147" s="30">
        <v>0</v>
      </c>
      <c r="EV147" s="30">
        <v>0</v>
      </c>
      <c r="EW147" s="30">
        <v>0</v>
      </c>
      <c r="EX147" s="30">
        <v>0</v>
      </c>
      <c r="EY147" s="30">
        <v>0</v>
      </c>
      <c r="EZ147" s="30">
        <v>0</v>
      </c>
      <c r="FA147" s="30">
        <v>0</v>
      </c>
      <c r="FB147" s="30">
        <v>0</v>
      </c>
      <c r="FC147" s="30">
        <v>0</v>
      </c>
      <c r="FD147" s="30">
        <v>0</v>
      </c>
      <c r="FE147" s="30">
        <v>0</v>
      </c>
      <c r="FF147" s="30">
        <v>0</v>
      </c>
      <c r="FG147" s="30">
        <v>0</v>
      </c>
      <c r="FH147" s="30">
        <v>0</v>
      </c>
      <c r="FI147" s="30">
        <v>0</v>
      </c>
      <c r="FJ147" s="30">
        <v>0</v>
      </c>
      <c r="FK147" s="30">
        <v>0</v>
      </c>
      <c r="FL147" s="30">
        <v>0</v>
      </c>
      <c r="FM147" s="30">
        <v>0</v>
      </c>
      <c r="FN147" s="30">
        <v>0</v>
      </c>
      <c r="FO147" s="30">
        <v>0</v>
      </c>
      <c r="FP147" s="30">
        <v>0</v>
      </c>
      <c r="FQ147" s="30">
        <v>0</v>
      </c>
      <c r="FR147" s="30">
        <v>0</v>
      </c>
      <c r="FS147" s="30">
        <v>0</v>
      </c>
      <c r="FT147" s="30">
        <v>0</v>
      </c>
      <c r="FU147" s="30">
        <v>0</v>
      </c>
      <c r="FV147" s="30">
        <v>0</v>
      </c>
      <c r="FW147" s="30">
        <v>0</v>
      </c>
      <c r="FX147" s="30">
        <v>0</v>
      </c>
      <c r="FY147" s="30">
        <v>0</v>
      </c>
      <c r="FZ147" s="30">
        <v>0</v>
      </c>
      <c r="GA147" s="30">
        <v>0</v>
      </c>
      <c r="GB147" s="30">
        <v>0</v>
      </c>
      <c r="GC147" s="30">
        <v>0</v>
      </c>
      <c r="GD147" s="30">
        <v>0</v>
      </c>
      <c r="GE147" s="30">
        <v>0</v>
      </c>
      <c r="GF147" s="30">
        <v>0</v>
      </c>
      <c r="GG147" s="30">
        <v>0</v>
      </c>
      <c r="GH147" s="30">
        <v>0</v>
      </c>
      <c r="GI147" s="30">
        <v>0</v>
      </c>
      <c r="GJ147" s="30">
        <v>0</v>
      </c>
      <c r="GK147" s="30">
        <v>0</v>
      </c>
      <c r="GL147" s="30">
        <v>0</v>
      </c>
      <c r="GM147" s="30">
        <v>0</v>
      </c>
      <c r="GN147" s="30">
        <v>0</v>
      </c>
      <c r="GO147" s="30">
        <v>0</v>
      </c>
      <c r="GP147" s="30">
        <v>0</v>
      </c>
      <c r="GQ147" s="30">
        <v>0</v>
      </c>
      <c r="GR147" s="30">
        <v>0</v>
      </c>
      <c r="GS147" s="30">
        <v>0</v>
      </c>
      <c r="GT147" s="30">
        <v>0</v>
      </c>
      <c r="GU147" s="30">
        <v>0</v>
      </c>
      <c r="GV147" s="30">
        <v>0</v>
      </c>
      <c r="GW147" s="30">
        <v>0</v>
      </c>
      <c r="GX147" s="30">
        <v>0</v>
      </c>
      <c r="GY147" s="30">
        <v>0</v>
      </c>
      <c r="GZ147" s="30">
        <v>0</v>
      </c>
      <c r="HA147" s="30">
        <v>0</v>
      </c>
      <c r="HB147" s="30">
        <v>0</v>
      </c>
      <c r="HC147" s="30">
        <v>0</v>
      </c>
      <c r="HD147" s="30">
        <v>0</v>
      </c>
      <c r="HE147" s="30">
        <v>0</v>
      </c>
      <c r="HF147" s="30">
        <v>0</v>
      </c>
      <c r="HG147" s="30">
        <v>0</v>
      </c>
      <c r="HH147" s="30">
        <v>0</v>
      </c>
      <c r="HI147" s="30">
        <v>0</v>
      </c>
      <c r="HJ147" s="30">
        <v>0</v>
      </c>
      <c r="HK147" s="30">
        <v>0</v>
      </c>
      <c r="HL147" s="30">
        <v>0</v>
      </c>
      <c r="HM147" s="30">
        <v>0</v>
      </c>
      <c r="HN147" s="30">
        <v>0</v>
      </c>
      <c r="HO147" s="30">
        <v>0</v>
      </c>
      <c r="HP147" s="30">
        <v>0</v>
      </c>
      <c r="HQ147" s="30">
        <v>0</v>
      </c>
      <c r="HR147" s="30">
        <v>0</v>
      </c>
      <c r="HS147" s="30">
        <v>0</v>
      </c>
      <c r="HT147" s="30">
        <v>0</v>
      </c>
      <c r="HU147" s="30">
        <v>0</v>
      </c>
      <c r="HV147" s="30">
        <v>0</v>
      </c>
      <c r="HW147" s="30">
        <v>0</v>
      </c>
      <c r="HX147" s="30">
        <v>0</v>
      </c>
      <c r="HY147" s="30">
        <v>0</v>
      </c>
      <c r="HZ147" s="30">
        <v>0</v>
      </c>
      <c r="IA147" s="30">
        <v>0</v>
      </c>
      <c r="IB147" s="30">
        <v>0</v>
      </c>
      <c r="IC147" s="30">
        <v>0</v>
      </c>
      <c r="ID147" s="30">
        <v>0</v>
      </c>
      <c r="IE147" s="30">
        <v>0</v>
      </c>
      <c r="IF147" s="30">
        <v>0</v>
      </c>
      <c r="IG147" s="30">
        <v>0</v>
      </c>
      <c r="IH147" s="30">
        <v>0</v>
      </c>
      <c r="II147" s="30">
        <v>0</v>
      </c>
      <c r="IJ147" s="30">
        <v>0</v>
      </c>
      <c r="IK147" s="30">
        <v>0</v>
      </c>
      <c r="IL147" s="30">
        <v>0</v>
      </c>
      <c r="IM147" s="30">
        <v>0</v>
      </c>
      <c r="IN147" s="30">
        <v>0</v>
      </c>
      <c r="IO147" s="30">
        <v>0</v>
      </c>
      <c r="IP147" s="30">
        <v>0</v>
      </c>
      <c r="IQ147" s="30">
        <v>0</v>
      </c>
      <c r="IR147" s="30">
        <v>0</v>
      </c>
      <c r="IS147" s="30">
        <v>0</v>
      </c>
      <c r="IT147" s="30">
        <v>0</v>
      </c>
      <c r="IU147" s="30">
        <v>0</v>
      </c>
      <c r="IV147" s="30">
        <v>0</v>
      </c>
      <c r="IW147" s="30">
        <v>0</v>
      </c>
      <c r="IX147" s="30">
        <v>0</v>
      </c>
      <c r="IY147" s="30">
        <v>0</v>
      </c>
      <c r="IZ147" s="30">
        <v>0</v>
      </c>
      <c r="JA147" s="30">
        <v>0</v>
      </c>
      <c r="JB147" s="30">
        <v>0</v>
      </c>
      <c r="JC147" s="30">
        <v>0</v>
      </c>
      <c r="JD147" s="30">
        <v>0</v>
      </c>
      <c r="JE147" s="30">
        <v>0</v>
      </c>
      <c r="JF147" s="30">
        <v>0</v>
      </c>
      <c r="JG147" s="30">
        <v>0</v>
      </c>
      <c r="JH147" s="30">
        <v>0</v>
      </c>
      <c r="JI147" s="30">
        <v>0</v>
      </c>
      <c r="JJ147" s="30">
        <v>0</v>
      </c>
      <c r="JK147" s="30">
        <v>0</v>
      </c>
      <c r="JL147" s="30">
        <v>0</v>
      </c>
      <c r="JM147" s="30">
        <v>0</v>
      </c>
      <c r="JN147" s="30">
        <v>0</v>
      </c>
      <c r="JO147" s="30">
        <v>0</v>
      </c>
      <c r="JP147" s="30">
        <v>0</v>
      </c>
      <c r="JQ147" s="30">
        <v>0</v>
      </c>
      <c r="JR147" s="30">
        <v>0</v>
      </c>
      <c r="JS147" s="30">
        <v>0</v>
      </c>
      <c r="JT147" s="30">
        <v>0</v>
      </c>
      <c r="JU147" s="30">
        <v>0</v>
      </c>
      <c r="JV147" s="30">
        <v>0</v>
      </c>
      <c r="JW147" s="30">
        <v>0</v>
      </c>
      <c r="JX147" s="30">
        <v>0</v>
      </c>
      <c r="JY147" s="30">
        <v>0</v>
      </c>
      <c r="JZ147" s="30">
        <v>0</v>
      </c>
      <c r="KA147" s="30">
        <v>0</v>
      </c>
      <c r="KB147" s="30">
        <v>0</v>
      </c>
      <c r="KC147" s="30">
        <v>0</v>
      </c>
      <c r="KD147" s="30">
        <v>0</v>
      </c>
      <c r="KE147" s="30">
        <v>0</v>
      </c>
      <c r="KF147" s="30">
        <v>0</v>
      </c>
      <c r="KG147" s="30">
        <v>0</v>
      </c>
      <c r="KH147" s="30">
        <v>0</v>
      </c>
      <c r="KI147" s="30">
        <v>0</v>
      </c>
      <c r="KJ147" s="30">
        <v>0</v>
      </c>
      <c r="KK147" s="30">
        <v>0</v>
      </c>
      <c r="KL147" s="30">
        <v>0</v>
      </c>
      <c r="KM147" s="30">
        <v>0</v>
      </c>
      <c r="KN147" s="30">
        <v>0</v>
      </c>
      <c r="KO147" s="30">
        <v>0</v>
      </c>
      <c r="KP147" s="30">
        <v>0</v>
      </c>
      <c r="KQ147" s="30">
        <v>0</v>
      </c>
      <c r="KR147" s="30">
        <v>0</v>
      </c>
      <c r="KS147" s="30">
        <v>0</v>
      </c>
      <c r="KT147" s="30">
        <v>0</v>
      </c>
      <c r="KU147" s="30">
        <v>0</v>
      </c>
      <c r="KV147" s="30">
        <v>0</v>
      </c>
      <c r="KW147" s="30">
        <v>0</v>
      </c>
      <c r="KX147" s="30">
        <v>0</v>
      </c>
      <c r="KY147" s="30">
        <v>0</v>
      </c>
      <c r="KZ147" s="30">
        <v>0</v>
      </c>
      <c r="LA147" s="30">
        <v>0</v>
      </c>
      <c r="LB147" s="30">
        <v>0</v>
      </c>
      <c r="LC147" s="30">
        <v>0</v>
      </c>
      <c r="LD147" s="30">
        <v>0</v>
      </c>
      <c r="LE147" s="30">
        <v>0</v>
      </c>
      <c r="LF147" s="30">
        <v>0</v>
      </c>
      <c r="LG147" s="30">
        <v>0</v>
      </c>
      <c r="LH147" s="30">
        <v>0</v>
      </c>
      <c r="LI147" s="30">
        <v>0</v>
      </c>
      <c r="LJ147" s="30">
        <v>0</v>
      </c>
      <c r="LK147" s="30">
        <v>0</v>
      </c>
      <c r="LL147" s="30">
        <v>0</v>
      </c>
      <c r="LM147" s="30">
        <v>0</v>
      </c>
      <c r="LN147" s="30">
        <v>0</v>
      </c>
      <c r="LO147" s="30">
        <v>0</v>
      </c>
      <c r="LP147" s="30">
        <v>0</v>
      </c>
      <c r="LQ147" s="30">
        <v>0</v>
      </c>
      <c r="LR147" s="30">
        <v>0</v>
      </c>
      <c r="LS147" s="30">
        <v>0</v>
      </c>
      <c r="LT147" s="30">
        <v>0</v>
      </c>
      <c r="LU147" s="30">
        <v>0</v>
      </c>
      <c r="LV147" s="30">
        <v>0</v>
      </c>
      <c r="LW147" s="30">
        <v>0</v>
      </c>
      <c r="LX147" s="30">
        <v>0</v>
      </c>
      <c r="LY147" s="30">
        <v>0</v>
      </c>
      <c r="LZ147" s="30">
        <v>0</v>
      </c>
      <c r="MA147" s="30">
        <v>0</v>
      </c>
      <c r="MB147" s="30">
        <v>0</v>
      </c>
      <c r="MC147" s="30">
        <v>0</v>
      </c>
      <c r="MD147" s="30">
        <v>0</v>
      </c>
      <c r="ME147" s="30">
        <v>0</v>
      </c>
      <c r="MF147" s="30">
        <v>0</v>
      </c>
      <c r="MG147" s="30">
        <v>0</v>
      </c>
      <c r="MH147" s="30">
        <v>0</v>
      </c>
      <c r="MI147" s="30">
        <v>0</v>
      </c>
      <c r="MJ147" s="30">
        <v>0</v>
      </c>
      <c r="MK147" s="30">
        <v>0</v>
      </c>
      <c r="ML147" s="30">
        <v>0</v>
      </c>
      <c r="MM147" s="30">
        <v>0</v>
      </c>
      <c r="MN147" s="30">
        <v>0</v>
      </c>
      <c r="MO147" s="30">
        <v>0</v>
      </c>
      <c r="MP147" s="30">
        <v>0</v>
      </c>
      <c r="MQ147" s="30">
        <v>0</v>
      </c>
      <c r="MR147" s="30">
        <v>0</v>
      </c>
      <c r="MS147" s="30">
        <v>0</v>
      </c>
      <c r="MT147" s="30">
        <v>0</v>
      </c>
      <c r="MU147" s="30">
        <v>0</v>
      </c>
      <c r="MV147" s="30">
        <v>0</v>
      </c>
      <c r="MW147" s="30">
        <v>0</v>
      </c>
      <c r="MX147" s="30">
        <v>0</v>
      </c>
      <c r="MY147" s="30">
        <v>0</v>
      </c>
      <c r="MZ147" s="30">
        <v>0</v>
      </c>
      <c r="NA147" s="30">
        <v>0</v>
      </c>
      <c r="NB147" s="30">
        <v>0</v>
      </c>
      <c r="NC147" s="30">
        <v>0</v>
      </c>
      <c r="ND147" s="30">
        <v>0</v>
      </c>
      <c r="NE147" s="30">
        <v>0</v>
      </c>
      <c r="NF147" s="30">
        <v>0</v>
      </c>
      <c r="NG147" s="30">
        <v>0</v>
      </c>
      <c r="NH147" s="30">
        <v>0</v>
      </c>
      <c r="NI147" s="30">
        <v>0</v>
      </c>
      <c r="NJ147" s="30">
        <v>0</v>
      </c>
      <c r="NK147" s="30">
        <v>0</v>
      </c>
      <c r="NL147" s="30">
        <v>0</v>
      </c>
      <c r="NM147" s="30">
        <v>0</v>
      </c>
      <c r="NN147" s="30">
        <v>0</v>
      </c>
      <c r="NO147" s="30">
        <v>0</v>
      </c>
      <c r="NP147" s="30">
        <v>0</v>
      </c>
      <c r="NQ147" s="30">
        <v>0</v>
      </c>
      <c r="NR147" s="30">
        <v>0</v>
      </c>
      <c r="NS147" s="30">
        <v>0</v>
      </c>
      <c r="NT147" s="30">
        <v>0</v>
      </c>
      <c r="NU147" s="30">
        <v>0</v>
      </c>
      <c r="NV147" s="30">
        <v>0</v>
      </c>
      <c r="NW147" s="30">
        <v>0</v>
      </c>
      <c r="NX147" s="30">
        <v>0</v>
      </c>
      <c r="NY147" s="30">
        <v>0</v>
      </c>
      <c r="NZ147" s="30">
        <v>0</v>
      </c>
      <c r="OA147" s="30">
        <v>0</v>
      </c>
      <c r="OB147" s="30">
        <v>0</v>
      </c>
      <c r="OC147" s="30">
        <v>0</v>
      </c>
      <c r="OD147" s="30">
        <v>0</v>
      </c>
      <c r="OE147" s="30">
        <v>0</v>
      </c>
    </row>
    <row r="148" spans="4:395" outlineLevel="1" x14ac:dyDescent="0.3">
      <c r="E148" s="7"/>
      <c r="K148" s="76"/>
      <c r="L148" s="66"/>
      <c r="M148" s="77"/>
      <c r="N148" s="30" t="s">
        <v>3</v>
      </c>
      <c r="O148" s="30"/>
      <c r="P148" s="32" t="s">
        <v>15</v>
      </c>
      <c r="Q148" s="30" cm="1">
        <f t="array" ref="Q148:OE148">_xlfn.ANCHORARRAY(Q1)*E99</f>
        <v>65</v>
      </c>
      <c r="R148" s="30">
        <v>65</v>
      </c>
      <c r="S148" s="30">
        <v>65</v>
      </c>
      <c r="T148" s="30">
        <v>65</v>
      </c>
      <c r="U148" s="30">
        <v>65</v>
      </c>
      <c r="V148" s="30">
        <v>65</v>
      </c>
      <c r="W148" s="30">
        <v>65</v>
      </c>
      <c r="X148" s="30">
        <v>65</v>
      </c>
      <c r="Y148" s="30">
        <v>65</v>
      </c>
      <c r="Z148" s="30">
        <v>65</v>
      </c>
      <c r="AA148" s="30">
        <v>65</v>
      </c>
      <c r="AB148" s="30">
        <v>65</v>
      </c>
      <c r="AC148" s="30">
        <v>65</v>
      </c>
      <c r="AD148" s="30">
        <v>65</v>
      </c>
      <c r="AE148" s="30">
        <v>65</v>
      </c>
      <c r="AF148" s="30">
        <v>65</v>
      </c>
      <c r="AG148" s="30">
        <v>65</v>
      </c>
      <c r="AH148" s="30">
        <v>65</v>
      </c>
      <c r="AI148" s="30">
        <v>65</v>
      </c>
      <c r="AJ148" s="30">
        <v>65</v>
      </c>
      <c r="AK148" s="30">
        <v>65</v>
      </c>
      <c r="AL148" s="30">
        <v>65</v>
      </c>
      <c r="AM148" s="30">
        <v>65</v>
      </c>
      <c r="AN148" s="30">
        <v>65</v>
      </c>
      <c r="AO148" s="30">
        <v>65</v>
      </c>
      <c r="AP148" s="30">
        <v>65</v>
      </c>
      <c r="AQ148" s="30">
        <v>65</v>
      </c>
      <c r="AR148" s="30">
        <v>65</v>
      </c>
      <c r="AS148" s="30">
        <v>65</v>
      </c>
      <c r="AT148" s="30">
        <v>65</v>
      </c>
      <c r="AU148" s="30">
        <v>65</v>
      </c>
      <c r="AV148" s="30">
        <v>65</v>
      </c>
      <c r="AW148" s="30">
        <v>65</v>
      </c>
      <c r="AX148" s="30">
        <v>65</v>
      </c>
      <c r="AY148" s="30">
        <v>65</v>
      </c>
      <c r="AZ148" s="30">
        <v>65</v>
      </c>
      <c r="BA148" s="30">
        <v>65</v>
      </c>
      <c r="BB148" s="30">
        <v>65</v>
      </c>
      <c r="BC148" s="30">
        <v>65</v>
      </c>
      <c r="BD148" s="30">
        <v>65</v>
      </c>
      <c r="BE148" s="30">
        <v>65</v>
      </c>
      <c r="BF148" s="30">
        <v>65</v>
      </c>
      <c r="BG148" s="30">
        <v>65</v>
      </c>
      <c r="BH148" s="30">
        <v>65</v>
      </c>
      <c r="BI148" s="30">
        <v>65</v>
      </c>
      <c r="BJ148" s="30">
        <v>65</v>
      </c>
      <c r="BK148" s="30">
        <v>65</v>
      </c>
      <c r="BL148" s="30">
        <v>65</v>
      </c>
      <c r="BM148" s="30">
        <v>65</v>
      </c>
      <c r="BN148" s="30">
        <v>65</v>
      </c>
      <c r="BO148" s="30">
        <v>65</v>
      </c>
      <c r="BP148" s="30">
        <v>65</v>
      </c>
      <c r="BQ148" s="30">
        <v>65</v>
      </c>
      <c r="BR148" s="30">
        <v>65</v>
      </c>
      <c r="BS148" s="30">
        <v>65</v>
      </c>
      <c r="BT148" s="30">
        <v>65</v>
      </c>
      <c r="BU148" s="30">
        <v>65</v>
      </c>
      <c r="BV148" s="30">
        <v>65</v>
      </c>
      <c r="BW148" s="30">
        <v>65</v>
      </c>
      <c r="BX148" s="30">
        <v>65</v>
      </c>
      <c r="BY148" s="30">
        <v>65</v>
      </c>
      <c r="BZ148" s="30">
        <v>65</v>
      </c>
      <c r="CA148" s="30">
        <v>65</v>
      </c>
      <c r="CB148" s="30">
        <v>65</v>
      </c>
      <c r="CC148" s="30">
        <v>65</v>
      </c>
      <c r="CD148" s="30">
        <v>65</v>
      </c>
      <c r="CE148" s="30">
        <v>65</v>
      </c>
      <c r="CF148" s="30">
        <v>65</v>
      </c>
      <c r="CG148" s="30">
        <v>65</v>
      </c>
      <c r="CH148" s="30">
        <v>65</v>
      </c>
      <c r="CI148" s="30">
        <v>65</v>
      </c>
      <c r="CJ148" s="30">
        <v>65</v>
      </c>
      <c r="CK148" s="30">
        <v>65</v>
      </c>
      <c r="CL148" s="30">
        <v>65</v>
      </c>
      <c r="CM148" s="30">
        <v>65</v>
      </c>
      <c r="CN148" s="30">
        <v>65</v>
      </c>
      <c r="CO148" s="30">
        <v>65</v>
      </c>
      <c r="CP148" s="30">
        <v>65</v>
      </c>
      <c r="CQ148" s="30">
        <v>65</v>
      </c>
      <c r="CR148" s="30">
        <v>65</v>
      </c>
      <c r="CS148" s="30">
        <v>65</v>
      </c>
      <c r="CT148" s="30">
        <v>65</v>
      </c>
      <c r="CU148" s="30">
        <v>65</v>
      </c>
      <c r="CV148" s="30">
        <v>65</v>
      </c>
      <c r="CW148" s="30">
        <v>65</v>
      </c>
      <c r="CX148" s="30">
        <v>65</v>
      </c>
      <c r="CY148" s="30">
        <v>65</v>
      </c>
      <c r="CZ148" s="30">
        <v>65</v>
      </c>
      <c r="DA148" s="30">
        <v>65</v>
      </c>
      <c r="DB148" s="30">
        <v>65</v>
      </c>
      <c r="DC148" s="30">
        <v>65</v>
      </c>
      <c r="DD148" s="30">
        <v>65</v>
      </c>
      <c r="DE148" s="30">
        <v>65</v>
      </c>
      <c r="DF148" s="30">
        <v>65</v>
      </c>
      <c r="DG148" s="30">
        <v>65</v>
      </c>
      <c r="DH148" s="30">
        <v>65</v>
      </c>
      <c r="DI148" s="30">
        <v>65</v>
      </c>
      <c r="DJ148" s="30">
        <v>65</v>
      </c>
      <c r="DK148" s="30">
        <v>65</v>
      </c>
      <c r="DL148" s="30">
        <v>65</v>
      </c>
      <c r="DM148" s="30">
        <v>65</v>
      </c>
      <c r="DN148" s="30">
        <v>65</v>
      </c>
      <c r="DO148" s="30">
        <v>65</v>
      </c>
      <c r="DP148" s="30">
        <v>65</v>
      </c>
      <c r="DQ148" s="30">
        <v>65</v>
      </c>
      <c r="DR148" s="30">
        <v>65</v>
      </c>
      <c r="DS148" s="30">
        <v>65</v>
      </c>
      <c r="DT148" s="30">
        <v>65</v>
      </c>
      <c r="DU148" s="30">
        <v>65</v>
      </c>
      <c r="DV148" s="30">
        <v>65</v>
      </c>
      <c r="DW148" s="30">
        <v>65</v>
      </c>
      <c r="DX148" s="30">
        <v>65</v>
      </c>
      <c r="DY148" s="30">
        <v>65</v>
      </c>
      <c r="DZ148" s="30">
        <v>65</v>
      </c>
      <c r="EA148" s="30">
        <v>65</v>
      </c>
      <c r="EB148" s="30">
        <v>65</v>
      </c>
      <c r="EC148" s="30">
        <v>65</v>
      </c>
      <c r="ED148" s="30">
        <v>65</v>
      </c>
      <c r="EE148" s="30">
        <v>65</v>
      </c>
      <c r="EF148" s="30">
        <v>65</v>
      </c>
      <c r="EG148" s="30">
        <v>65</v>
      </c>
      <c r="EH148" s="30">
        <v>65</v>
      </c>
      <c r="EI148" s="30">
        <v>65</v>
      </c>
      <c r="EJ148" s="30">
        <v>65</v>
      </c>
      <c r="EK148" s="30">
        <v>65</v>
      </c>
      <c r="EL148" s="30">
        <v>65</v>
      </c>
      <c r="EM148" s="30">
        <v>65</v>
      </c>
      <c r="EN148" s="30">
        <v>65</v>
      </c>
      <c r="EO148" s="30">
        <v>65</v>
      </c>
      <c r="EP148" s="30">
        <v>65</v>
      </c>
      <c r="EQ148" s="30">
        <v>65</v>
      </c>
      <c r="ER148" s="30">
        <v>65</v>
      </c>
      <c r="ES148" s="30">
        <v>65</v>
      </c>
      <c r="ET148" s="30">
        <v>65</v>
      </c>
      <c r="EU148" s="30">
        <v>65</v>
      </c>
      <c r="EV148" s="30">
        <v>65</v>
      </c>
      <c r="EW148" s="30">
        <v>65</v>
      </c>
      <c r="EX148" s="30">
        <v>65</v>
      </c>
      <c r="EY148" s="30">
        <v>65</v>
      </c>
      <c r="EZ148" s="30">
        <v>65</v>
      </c>
      <c r="FA148" s="30">
        <v>65</v>
      </c>
      <c r="FB148" s="30">
        <v>65</v>
      </c>
      <c r="FC148" s="30">
        <v>65</v>
      </c>
      <c r="FD148" s="30">
        <v>65</v>
      </c>
      <c r="FE148" s="30">
        <v>65</v>
      </c>
      <c r="FF148" s="30">
        <v>65</v>
      </c>
      <c r="FG148" s="30">
        <v>65</v>
      </c>
      <c r="FH148" s="30">
        <v>65</v>
      </c>
      <c r="FI148" s="30">
        <v>65</v>
      </c>
      <c r="FJ148" s="30">
        <v>65</v>
      </c>
      <c r="FK148" s="30">
        <v>65</v>
      </c>
      <c r="FL148" s="30">
        <v>65</v>
      </c>
      <c r="FM148" s="30">
        <v>65</v>
      </c>
      <c r="FN148" s="30">
        <v>65</v>
      </c>
      <c r="FO148" s="30">
        <v>65</v>
      </c>
      <c r="FP148" s="30">
        <v>65</v>
      </c>
      <c r="FQ148" s="30">
        <v>65</v>
      </c>
      <c r="FR148" s="30">
        <v>65</v>
      </c>
      <c r="FS148" s="30">
        <v>65</v>
      </c>
      <c r="FT148" s="30">
        <v>65</v>
      </c>
      <c r="FU148" s="30">
        <v>65</v>
      </c>
      <c r="FV148" s="30">
        <v>65</v>
      </c>
      <c r="FW148" s="30">
        <v>65</v>
      </c>
      <c r="FX148" s="30">
        <v>65</v>
      </c>
      <c r="FY148" s="30">
        <v>65</v>
      </c>
      <c r="FZ148" s="30">
        <v>65</v>
      </c>
      <c r="GA148" s="30">
        <v>65</v>
      </c>
      <c r="GB148" s="30">
        <v>65</v>
      </c>
      <c r="GC148" s="30">
        <v>65</v>
      </c>
      <c r="GD148" s="30">
        <v>65</v>
      </c>
      <c r="GE148" s="30">
        <v>65</v>
      </c>
      <c r="GF148" s="30">
        <v>65</v>
      </c>
      <c r="GG148" s="30">
        <v>65</v>
      </c>
      <c r="GH148" s="30">
        <v>65</v>
      </c>
      <c r="GI148" s="30">
        <v>65</v>
      </c>
      <c r="GJ148" s="30">
        <v>65</v>
      </c>
      <c r="GK148" s="30">
        <v>65</v>
      </c>
      <c r="GL148" s="30">
        <v>65</v>
      </c>
      <c r="GM148" s="30">
        <v>65</v>
      </c>
      <c r="GN148" s="30">
        <v>65</v>
      </c>
      <c r="GO148" s="30">
        <v>65</v>
      </c>
      <c r="GP148" s="30">
        <v>65</v>
      </c>
      <c r="GQ148" s="30">
        <v>65</v>
      </c>
      <c r="GR148" s="30">
        <v>65</v>
      </c>
      <c r="GS148" s="30">
        <v>65</v>
      </c>
      <c r="GT148" s="30">
        <v>65</v>
      </c>
      <c r="GU148" s="30">
        <v>65</v>
      </c>
      <c r="GV148" s="30">
        <v>65</v>
      </c>
      <c r="GW148" s="30">
        <v>65</v>
      </c>
      <c r="GX148" s="30">
        <v>65</v>
      </c>
      <c r="GY148" s="30">
        <v>65</v>
      </c>
      <c r="GZ148" s="30">
        <v>65</v>
      </c>
      <c r="HA148" s="30">
        <v>65</v>
      </c>
      <c r="HB148" s="30">
        <v>65</v>
      </c>
      <c r="HC148" s="30">
        <v>65</v>
      </c>
      <c r="HD148" s="30">
        <v>65</v>
      </c>
      <c r="HE148" s="30">
        <v>65</v>
      </c>
      <c r="HF148" s="30">
        <v>65</v>
      </c>
      <c r="HG148" s="30">
        <v>65</v>
      </c>
      <c r="HH148" s="30">
        <v>65</v>
      </c>
      <c r="HI148" s="30">
        <v>65</v>
      </c>
      <c r="HJ148" s="30">
        <v>65</v>
      </c>
      <c r="HK148" s="30">
        <v>65</v>
      </c>
      <c r="HL148" s="30">
        <v>65</v>
      </c>
      <c r="HM148" s="30">
        <v>65</v>
      </c>
      <c r="HN148" s="30">
        <v>65</v>
      </c>
      <c r="HO148" s="30">
        <v>65</v>
      </c>
      <c r="HP148" s="30">
        <v>65</v>
      </c>
      <c r="HQ148" s="30">
        <v>65</v>
      </c>
      <c r="HR148" s="30">
        <v>65</v>
      </c>
      <c r="HS148" s="30">
        <v>65</v>
      </c>
      <c r="HT148" s="30">
        <v>65</v>
      </c>
      <c r="HU148" s="30">
        <v>65</v>
      </c>
      <c r="HV148" s="30">
        <v>65</v>
      </c>
      <c r="HW148" s="30">
        <v>65</v>
      </c>
      <c r="HX148" s="30">
        <v>65</v>
      </c>
      <c r="HY148" s="30">
        <v>65</v>
      </c>
      <c r="HZ148" s="30">
        <v>65</v>
      </c>
      <c r="IA148" s="30">
        <v>65</v>
      </c>
      <c r="IB148" s="30">
        <v>65</v>
      </c>
      <c r="IC148" s="30">
        <v>65</v>
      </c>
      <c r="ID148" s="30">
        <v>65</v>
      </c>
      <c r="IE148" s="30">
        <v>65</v>
      </c>
      <c r="IF148" s="30">
        <v>65</v>
      </c>
      <c r="IG148" s="30">
        <v>65</v>
      </c>
      <c r="IH148" s="30">
        <v>65</v>
      </c>
      <c r="II148" s="30">
        <v>65</v>
      </c>
      <c r="IJ148" s="30">
        <v>65</v>
      </c>
      <c r="IK148" s="30">
        <v>65</v>
      </c>
      <c r="IL148" s="30">
        <v>65</v>
      </c>
      <c r="IM148" s="30">
        <v>65</v>
      </c>
      <c r="IN148" s="30">
        <v>65</v>
      </c>
      <c r="IO148" s="30">
        <v>65</v>
      </c>
      <c r="IP148" s="30">
        <v>65</v>
      </c>
      <c r="IQ148" s="30">
        <v>65</v>
      </c>
      <c r="IR148" s="30">
        <v>65</v>
      </c>
      <c r="IS148" s="30">
        <v>65</v>
      </c>
      <c r="IT148" s="30">
        <v>65</v>
      </c>
      <c r="IU148" s="30">
        <v>65</v>
      </c>
      <c r="IV148" s="30">
        <v>65</v>
      </c>
      <c r="IW148" s="30">
        <v>65</v>
      </c>
      <c r="IX148" s="30">
        <v>65</v>
      </c>
      <c r="IY148" s="30">
        <v>65</v>
      </c>
      <c r="IZ148" s="30">
        <v>65</v>
      </c>
      <c r="JA148" s="30">
        <v>65</v>
      </c>
      <c r="JB148" s="30">
        <v>65</v>
      </c>
      <c r="JC148" s="30">
        <v>65</v>
      </c>
      <c r="JD148" s="30">
        <v>65</v>
      </c>
      <c r="JE148" s="30">
        <v>65</v>
      </c>
      <c r="JF148" s="30">
        <v>65</v>
      </c>
      <c r="JG148" s="30">
        <v>65</v>
      </c>
      <c r="JH148" s="30">
        <v>65</v>
      </c>
      <c r="JI148" s="30">
        <v>65</v>
      </c>
      <c r="JJ148" s="30">
        <v>65</v>
      </c>
      <c r="JK148" s="30">
        <v>65</v>
      </c>
      <c r="JL148" s="30">
        <v>65</v>
      </c>
      <c r="JM148" s="30">
        <v>65</v>
      </c>
      <c r="JN148" s="30">
        <v>65</v>
      </c>
      <c r="JO148" s="30">
        <v>65</v>
      </c>
      <c r="JP148" s="30">
        <v>65</v>
      </c>
      <c r="JQ148" s="30">
        <v>65</v>
      </c>
      <c r="JR148" s="30">
        <v>65</v>
      </c>
      <c r="JS148" s="30">
        <v>65</v>
      </c>
      <c r="JT148" s="30">
        <v>65</v>
      </c>
      <c r="JU148" s="30">
        <v>65</v>
      </c>
      <c r="JV148" s="30">
        <v>65</v>
      </c>
      <c r="JW148" s="30">
        <v>65</v>
      </c>
      <c r="JX148" s="30">
        <v>65</v>
      </c>
      <c r="JY148" s="30">
        <v>65</v>
      </c>
      <c r="JZ148" s="30">
        <v>65</v>
      </c>
      <c r="KA148" s="30">
        <v>65</v>
      </c>
      <c r="KB148" s="30">
        <v>65</v>
      </c>
      <c r="KC148" s="30">
        <v>65</v>
      </c>
      <c r="KD148" s="30">
        <v>65</v>
      </c>
      <c r="KE148" s="30">
        <v>65</v>
      </c>
      <c r="KF148" s="30">
        <v>65</v>
      </c>
      <c r="KG148" s="30">
        <v>65</v>
      </c>
      <c r="KH148" s="30">
        <v>65</v>
      </c>
      <c r="KI148" s="30">
        <v>65</v>
      </c>
      <c r="KJ148" s="30">
        <v>65</v>
      </c>
      <c r="KK148" s="30">
        <v>65</v>
      </c>
      <c r="KL148" s="30">
        <v>65</v>
      </c>
      <c r="KM148" s="30">
        <v>65</v>
      </c>
      <c r="KN148" s="30">
        <v>65</v>
      </c>
      <c r="KO148" s="30">
        <v>65</v>
      </c>
      <c r="KP148" s="30">
        <v>65</v>
      </c>
      <c r="KQ148" s="30">
        <v>65</v>
      </c>
      <c r="KR148" s="30">
        <v>65</v>
      </c>
      <c r="KS148" s="30">
        <v>65</v>
      </c>
      <c r="KT148" s="30">
        <v>65</v>
      </c>
      <c r="KU148" s="30">
        <v>65</v>
      </c>
      <c r="KV148" s="30">
        <v>65</v>
      </c>
      <c r="KW148" s="30">
        <v>65</v>
      </c>
      <c r="KX148" s="30">
        <v>65</v>
      </c>
      <c r="KY148" s="30">
        <v>65</v>
      </c>
      <c r="KZ148" s="30">
        <v>65</v>
      </c>
      <c r="LA148" s="30">
        <v>65</v>
      </c>
      <c r="LB148" s="30">
        <v>65</v>
      </c>
      <c r="LC148" s="30">
        <v>65</v>
      </c>
      <c r="LD148" s="30">
        <v>65</v>
      </c>
      <c r="LE148" s="30">
        <v>65</v>
      </c>
      <c r="LF148" s="30">
        <v>65</v>
      </c>
      <c r="LG148" s="30">
        <v>65</v>
      </c>
      <c r="LH148" s="30">
        <v>65</v>
      </c>
      <c r="LI148" s="30">
        <v>65</v>
      </c>
      <c r="LJ148" s="30">
        <v>65</v>
      </c>
      <c r="LK148" s="30">
        <v>65</v>
      </c>
      <c r="LL148" s="30">
        <v>65</v>
      </c>
      <c r="LM148" s="30">
        <v>65</v>
      </c>
      <c r="LN148" s="30">
        <v>65</v>
      </c>
      <c r="LO148" s="30">
        <v>65</v>
      </c>
      <c r="LP148" s="30">
        <v>65</v>
      </c>
      <c r="LQ148" s="30">
        <v>65</v>
      </c>
      <c r="LR148" s="30">
        <v>65</v>
      </c>
      <c r="LS148" s="30">
        <v>65</v>
      </c>
      <c r="LT148" s="30">
        <v>65</v>
      </c>
      <c r="LU148" s="30">
        <v>65</v>
      </c>
      <c r="LV148" s="30">
        <v>65</v>
      </c>
      <c r="LW148" s="30">
        <v>65</v>
      </c>
      <c r="LX148" s="30">
        <v>65</v>
      </c>
      <c r="LY148" s="30">
        <v>65</v>
      </c>
      <c r="LZ148" s="30">
        <v>65</v>
      </c>
      <c r="MA148" s="30">
        <v>65</v>
      </c>
      <c r="MB148" s="30">
        <v>65</v>
      </c>
      <c r="MC148" s="30">
        <v>65</v>
      </c>
      <c r="MD148" s="30">
        <v>65</v>
      </c>
      <c r="ME148" s="30">
        <v>65</v>
      </c>
      <c r="MF148" s="30">
        <v>65</v>
      </c>
      <c r="MG148" s="30">
        <v>65</v>
      </c>
      <c r="MH148" s="30">
        <v>65</v>
      </c>
      <c r="MI148" s="30">
        <v>65</v>
      </c>
      <c r="MJ148" s="30">
        <v>65</v>
      </c>
      <c r="MK148" s="30">
        <v>65</v>
      </c>
      <c r="ML148" s="30">
        <v>65</v>
      </c>
      <c r="MM148" s="30">
        <v>65</v>
      </c>
      <c r="MN148" s="30">
        <v>65</v>
      </c>
      <c r="MO148" s="30">
        <v>65</v>
      </c>
      <c r="MP148" s="30">
        <v>65</v>
      </c>
      <c r="MQ148" s="30">
        <v>65</v>
      </c>
      <c r="MR148" s="30">
        <v>65</v>
      </c>
      <c r="MS148" s="30">
        <v>65</v>
      </c>
      <c r="MT148" s="30">
        <v>65</v>
      </c>
      <c r="MU148" s="30">
        <v>65</v>
      </c>
      <c r="MV148" s="30">
        <v>65</v>
      </c>
      <c r="MW148" s="30">
        <v>65</v>
      </c>
      <c r="MX148" s="30">
        <v>65</v>
      </c>
      <c r="MY148" s="30">
        <v>65</v>
      </c>
      <c r="MZ148" s="30">
        <v>65</v>
      </c>
      <c r="NA148" s="30">
        <v>65</v>
      </c>
      <c r="NB148" s="30">
        <v>65</v>
      </c>
      <c r="NC148" s="30">
        <v>65</v>
      </c>
      <c r="ND148" s="30">
        <v>65</v>
      </c>
      <c r="NE148" s="30">
        <v>65</v>
      </c>
      <c r="NF148" s="30">
        <v>65</v>
      </c>
      <c r="NG148" s="30">
        <v>65</v>
      </c>
      <c r="NH148" s="30">
        <v>65</v>
      </c>
      <c r="NI148" s="30">
        <v>65</v>
      </c>
      <c r="NJ148" s="30">
        <v>65</v>
      </c>
      <c r="NK148" s="30">
        <v>65</v>
      </c>
      <c r="NL148" s="30">
        <v>65</v>
      </c>
      <c r="NM148" s="30">
        <v>65</v>
      </c>
      <c r="NN148" s="30">
        <v>65</v>
      </c>
      <c r="NO148" s="30">
        <v>65</v>
      </c>
      <c r="NP148" s="30">
        <v>65</v>
      </c>
      <c r="NQ148" s="30">
        <v>65</v>
      </c>
      <c r="NR148" s="30">
        <v>65</v>
      </c>
      <c r="NS148" s="30">
        <v>65</v>
      </c>
      <c r="NT148" s="30">
        <v>65</v>
      </c>
      <c r="NU148" s="30">
        <v>65</v>
      </c>
      <c r="NV148" s="30">
        <v>65</v>
      </c>
      <c r="NW148" s="30">
        <v>65</v>
      </c>
      <c r="NX148" s="30">
        <v>65</v>
      </c>
      <c r="NY148" s="30">
        <v>65</v>
      </c>
      <c r="NZ148" s="30">
        <v>65</v>
      </c>
      <c r="OA148" s="30">
        <v>65</v>
      </c>
      <c r="OB148" s="30">
        <v>65</v>
      </c>
      <c r="OC148" s="30">
        <v>65</v>
      </c>
      <c r="OD148" s="30">
        <v>65</v>
      </c>
      <c r="OE148" s="30">
        <v>65</v>
      </c>
    </row>
    <row r="149" spans="4:395" outlineLevel="1" x14ac:dyDescent="0.3">
      <c r="E149" s="7"/>
      <c r="K149" s="76"/>
      <c r="L149" s="66"/>
      <c r="M149" s="77"/>
      <c r="N149" s="30" t="s">
        <v>79</v>
      </c>
      <c r="O149" s="30"/>
      <c r="P149" s="32" t="s">
        <v>15</v>
      </c>
      <c r="Q149" s="30" cm="1">
        <f t="array" ref="Q149:OE149">_xlfn.ANCHORARRAY(Q148)*E100</f>
        <v>63.05</v>
      </c>
      <c r="R149" s="30">
        <v>63.05</v>
      </c>
      <c r="S149" s="30">
        <v>63.05</v>
      </c>
      <c r="T149" s="30">
        <v>63.05</v>
      </c>
      <c r="U149" s="30">
        <v>63.05</v>
      </c>
      <c r="V149" s="30">
        <v>63.05</v>
      </c>
      <c r="W149" s="30">
        <v>63.05</v>
      </c>
      <c r="X149" s="30">
        <v>63.05</v>
      </c>
      <c r="Y149" s="30">
        <v>63.05</v>
      </c>
      <c r="Z149" s="30">
        <v>63.05</v>
      </c>
      <c r="AA149" s="30">
        <v>63.05</v>
      </c>
      <c r="AB149" s="30">
        <v>63.05</v>
      </c>
      <c r="AC149" s="30">
        <v>63.05</v>
      </c>
      <c r="AD149" s="30">
        <v>63.05</v>
      </c>
      <c r="AE149" s="30">
        <v>63.05</v>
      </c>
      <c r="AF149" s="30">
        <v>63.05</v>
      </c>
      <c r="AG149" s="30">
        <v>63.05</v>
      </c>
      <c r="AH149" s="30">
        <v>63.05</v>
      </c>
      <c r="AI149" s="30">
        <v>63.05</v>
      </c>
      <c r="AJ149" s="30">
        <v>63.05</v>
      </c>
      <c r="AK149" s="30">
        <v>63.05</v>
      </c>
      <c r="AL149" s="30">
        <v>63.05</v>
      </c>
      <c r="AM149" s="30">
        <v>63.05</v>
      </c>
      <c r="AN149" s="30">
        <v>63.05</v>
      </c>
      <c r="AO149" s="30">
        <v>63.05</v>
      </c>
      <c r="AP149" s="30">
        <v>63.05</v>
      </c>
      <c r="AQ149" s="30">
        <v>63.05</v>
      </c>
      <c r="AR149" s="30">
        <v>63.05</v>
      </c>
      <c r="AS149" s="30">
        <v>63.05</v>
      </c>
      <c r="AT149" s="30">
        <v>63.05</v>
      </c>
      <c r="AU149" s="30">
        <v>63.05</v>
      </c>
      <c r="AV149" s="30">
        <v>63.05</v>
      </c>
      <c r="AW149" s="30">
        <v>63.05</v>
      </c>
      <c r="AX149" s="30">
        <v>63.05</v>
      </c>
      <c r="AY149" s="30">
        <v>63.05</v>
      </c>
      <c r="AZ149" s="30">
        <v>63.05</v>
      </c>
      <c r="BA149" s="30">
        <v>63.05</v>
      </c>
      <c r="BB149" s="30">
        <v>63.05</v>
      </c>
      <c r="BC149" s="30">
        <v>63.05</v>
      </c>
      <c r="BD149" s="30">
        <v>63.05</v>
      </c>
      <c r="BE149" s="30">
        <v>63.05</v>
      </c>
      <c r="BF149" s="30">
        <v>63.05</v>
      </c>
      <c r="BG149" s="30">
        <v>63.05</v>
      </c>
      <c r="BH149" s="30">
        <v>63.05</v>
      </c>
      <c r="BI149" s="30">
        <v>63.05</v>
      </c>
      <c r="BJ149" s="30">
        <v>63.05</v>
      </c>
      <c r="BK149" s="30">
        <v>63.05</v>
      </c>
      <c r="BL149" s="30">
        <v>63.05</v>
      </c>
      <c r="BM149" s="30">
        <v>63.05</v>
      </c>
      <c r="BN149" s="30">
        <v>63.05</v>
      </c>
      <c r="BO149" s="30">
        <v>63.05</v>
      </c>
      <c r="BP149" s="30">
        <v>63.05</v>
      </c>
      <c r="BQ149" s="30">
        <v>63.05</v>
      </c>
      <c r="BR149" s="30">
        <v>63.05</v>
      </c>
      <c r="BS149" s="30">
        <v>63.05</v>
      </c>
      <c r="BT149" s="30">
        <v>63.05</v>
      </c>
      <c r="BU149" s="30">
        <v>63.05</v>
      </c>
      <c r="BV149" s="30">
        <v>63.05</v>
      </c>
      <c r="BW149" s="30">
        <v>63.05</v>
      </c>
      <c r="BX149" s="30">
        <v>63.05</v>
      </c>
      <c r="BY149" s="30">
        <v>63.05</v>
      </c>
      <c r="BZ149" s="30">
        <v>63.05</v>
      </c>
      <c r="CA149" s="30">
        <v>63.05</v>
      </c>
      <c r="CB149" s="30">
        <v>63.05</v>
      </c>
      <c r="CC149" s="30">
        <v>63.05</v>
      </c>
      <c r="CD149" s="30">
        <v>63.05</v>
      </c>
      <c r="CE149" s="30">
        <v>63.05</v>
      </c>
      <c r="CF149" s="30">
        <v>63.05</v>
      </c>
      <c r="CG149" s="30">
        <v>63.05</v>
      </c>
      <c r="CH149" s="30">
        <v>63.05</v>
      </c>
      <c r="CI149" s="30">
        <v>63.05</v>
      </c>
      <c r="CJ149" s="30">
        <v>63.05</v>
      </c>
      <c r="CK149" s="30">
        <v>63.05</v>
      </c>
      <c r="CL149" s="30">
        <v>63.05</v>
      </c>
      <c r="CM149" s="30">
        <v>63.05</v>
      </c>
      <c r="CN149" s="30">
        <v>63.05</v>
      </c>
      <c r="CO149" s="30">
        <v>63.05</v>
      </c>
      <c r="CP149" s="30">
        <v>63.05</v>
      </c>
      <c r="CQ149" s="30">
        <v>63.05</v>
      </c>
      <c r="CR149" s="30">
        <v>63.05</v>
      </c>
      <c r="CS149" s="30">
        <v>63.05</v>
      </c>
      <c r="CT149" s="30">
        <v>63.05</v>
      </c>
      <c r="CU149" s="30">
        <v>63.05</v>
      </c>
      <c r="CV149" s="30">
        <v>63.05</v>
      </c>
      <c r="CW149" s="30">
        <v>63.05</v>
      </c>
      <c r="CX149" s="30">
        <v>63.05</v>
      </c>
      <c r="CY149" s="30">
        <v>63.05</v>
      </c>
      <c r="CZ149" s="30">
        <v>63.05</v>
      </c>
      <c r="DA149" s="30">
        <v>63.05</v>
      </c>
      <c r="DB149" s="30">
        <v>63.05</v>
      </c>
      <c r="DC149" s="30">
        <v>63.05</v>
      </c>
      <c r="DD149" s="30">
        <v>63.05</v>
      </c>
      <c r="DE149" s="30">
        <v>63.05</v>
      </c>
      <c r="DF149" s="30">
        <v>63.05</v>
      </c>
      <c r="DG149" s="30">
        <v>63.05</v>
      </c>
      <c r="DH149" s="30">
        <v>63.05</v>
      </c>
      <c r="DI149" s="30">
        <v>63.05</v>
      </c>
      <c r="DJ149" s="30">
        <v>63.05</v>
      </c>
      <c r="DK149" s="30">
        <v>63.05</v>
      </c>
      <c r="DL149" s="30">
        <v>63.05</v>
      </c>
      <c r="DM149" s="30">
        <v>63.05</v>
      </c>
      <c r="DN149" s="30">
        <v>63.05</v>
      </c>
      <c r="DO149" s="30">
        <v>63.05</v>
      </c>
      <c r="DP149" s="30">
        <v>63.05</v>
      </c>
      <c r="DQ149" s="30">
        <v>63.05</v>
      </c>
      <c r="DR149" s="30">
        <v>63.05</v>
      </c>
      <c r="DS149" s="30">
        <v>63.05</v>
      </c>
      <c r="DT149" s="30">
        <v>63.05</v>
      </c>
      <c r="DU149" s="30">
        <v>63.05</v>
      </c>
      <c r="DV149" s="30">
        <v>63.05</v>
      </c>
      <c r="DW149" s="30">
        <v>63.05</v>
      </c>
      <c r="DX149" s="30">
        <v>63.05</v>
      </c>
      <c r="DY149" s="30">
        <v>63.05</v>
      </c>
      <c r="DZ149" s="30">
        <v>63.05</v>
      </c>
      <c r="EA149" s="30">
        <v>63.05</v>
      </c>
      <c r="EB149" s="30">
        <v>63.05</v>
      </c>
      <c r="EC149" s="30">
        <v>63.05</v>
      </c>
      <c r="ED149" s="30">
        <v>63.05</v>
      </c>
      <c r="EE149" s="30">
        <v>63.05</v>
      </c>
      <c r="EF149" s="30">
        <v>63.05</v>
      </c>
      <c r="EG149" s="30">
        <v>63.05</v>
      </c>
      <c r="EH149" s="30">
        <v>63.05</v>
      </c>
      <c r="EI149" s="30">
        <v>63.05</v>
      </c>
      <c r="EJ149" s="30">
        <v>63.05</v>
      </c>
      <c r="EK149" s="30">
        <v>63.05</v>
      </c>
      <c r="EL149" s="30">
        <v>63.05</v>
      </c>
      <c r="EM149" s="30">
        <v>63.05</v>
      </c>
      <c r="EN149" s="30">
        <v>63.05</v>
      </c>
      <c r="EO149" s="30">
        <v>63.05</v>
      </c>
      <c r="EP149" s="30">
        <v>63.05</v>
      </c>
      <c r="EQ149" s="30">
        <v>63.05</v>
      </c>
      <c r="ER149" s="30">
        <v>63.05</v>
      </c>
      <c r="ES149" s="30">
        <v>63.05</v>
      </c>
      <c r="ET149" s="30">
        <v>63.05</v>
      </c>
      <c r="EU149" s="30">
        <v>63.05</v>
      </c>
      <c r="EV149" s="30">
        <v>63.05</v>
      </c>
      <c r="EW149" s="30">
        <v>63.05</v>
      </c>
      <c r="EX149" s="30">
        <v>63.05</v>
      </c>
      <c r="EY149" s="30">
        <v>63.05</v>
      </c>
      <c r="EZ149" s="30">
        <v>63.05</v>
      </c>
      <c r="FA149" s="30">
        <v>63.05</v>
      </c>
      <c r="FB149" s="30">
        <v>63.05</v>
      </c>
      <c r="FC149" s="30">
        <v>63.05</v>
      </c>
      <c r="FD149" s="30">
        <v>63.05</v>
      </c>
      <c r="FE149" s="30">
        <v>63.05</v>
      </c>
      <c r="FF149" s="30">
        <v>63.05</v>
      </c>
      <c r="FG149" s="30">
        <v>63.05</v>
      </c>
      <c r="FH149" s="30">
        <v>63.05</v>
      </c>
      <c r="FI149" s="30">
        <v>63.05</v>
      </c>
      <c r="FJ149" s="30">
        <v>63.05</v>
      </c>
      <c r="FK149" s="30">
        <v>63.05</v>
      </c>
      <c r="FL149" s="30">
        <v>63.05</v>
      </c>
      <c r="FM149" s="30">
        <v>63.05</v>
      </c>
      <c r="FN149" s="30">
        <v>63.05</v>
      </c>
      <c r="FO149" s="30">
        <v>63.05</v>
      </c>
      <c r="FP149" s="30">
        <v>63.05</v>
      </c>
      <c r="FQ149" s="30">
        <v>63.05</v>
      </c>
      <c r="FR149" s="30">
        <v>63.05</v>
      </c>
      <c r="FS149" s="30">
        <v>63.05</v>
      </c>
      <c r="FT149" s="30">
        <v>63.05</v>
      </c>
      <c r="FU149" s="30">
        <v>63.05</v>
      </c>
      <c r="FV149" s="30">
        <v>63.05</v>
      </c>
      <c r="FW149" s="30">
        <v>63.05</v>
      </c>
      <c r="FX149" s="30">
        <v>63.05</v>
      </c>
      <c r="FY149" s="30">
        <v>63.05</v>
      </c>
      <c r="FZ149" s="30">
        <v>63.05</v>
      </c>
      <c r="GA149" s="30">
        <v>63.05</v>
      </c>
      <c r="GB149" s="30">
        <v>63.05</v>
      </c>
      <c r="GC149" s="30">
        <v>63.05</v>
      </c>
      <c r="GD149" s="30">
        <v>63.05</v>
      </c>
      <c r="GE149" s="30">
        <v>63.05</v>
      </c>
      <c r="GF149" s="30">
        <v>63.05</v>
      </c>
      <c r="GG149" s="30">
        <v>63.05</v>
      </c>
      <c r="GH149" s="30">
        <v>63.05</v>
      </c>
      <c r="GI149" s="30">
        <v>63.05</v>
      </c>
      <c r="GJ149" s="30">
        <v>63.05</v>
      </c>
      <c r="GK149" s="30">
        <v>63.05</v>
      </c>
      <c r="GL149" s="30">
        <v>63.05</v>
      </c>
      <c r="GM149" s="30">
        <v>63.05</v>
      </c>
      <c r="GN149" s="30">
        <v>63.05</v>
      </c>
      <c r="GO149" s="30">
        <v>63.05</v>
      </c>
      <c r="GP149" s="30">
        <v>63.05</v>
      </c>
      <c r="GQ149" s="30">
        <v>63.05</v>
      </c>
      <c r="GR149" s="30">
        <v>63.05</v>
      </c>
      <c r="GS149" s="30">
        <v>63.05</v>
      </c>
      <c r="GT149" s="30">
        <v>63.05</v>
      </c>
      <c r="GU149" s="30">
        <v>63.05</v>
      </c>
      <c r="GV149" s="30">
        <v>63.05</v>
      </c>
      <c r="GW149" s="30">
        <v>63.05</v>
      </c>
      <c r="GX149" s="30">
        <v>63.05</v>
      </c>
      <c r="GY149" s="30">
        <v>63.05</v>
      </c>
      <c r="GZ149" s="30">
        <v>63.05</v>
      </c>
      <c r="HA149" s="30">
        <v>63.05</v>
      </c>
      <c r="HB149" s="30">
        <v>63.05</v>
      </c>
      <c r="HC149" s="30">
        <v>63.05</v>
      </c>
      <c r="HD149" s="30">
        <v>63.05</v>
      </c>
      <c r="HE149" s="30">
        <v>63.05</v>
      </c>
      <c r="HF149" s="30">
        <v>63.05</v>
      </c>
      <c r="HG149" s="30">
        <v>63.05</v>
      </c>
      <c r="HH149" s="30">
        <v>63.05</v>
      </c>
      <c r="HI149" s="30">
        <v>63.05</v>
      </c>
      <c r="HJ149" s="30">
        <v>63.05</v>
      </c>
      <c r="HK149" s="30">
        <v>63.05</v>
      </c>
      <c r="HL149" s="30">
        <v>63.05</v>
      </c>
      <c r="HM149" s="30">
        <v>63.05</v>
      </c>
      <c r="HN149" s="30">
        <v>63.05</v>
      </c>
      <c r="HO149" s="30">
        <v>63.05</v>
      </c>
      <c r="HP149" s="30">
        <v>63.05</v>
      </c>
      <c r="HQ149" s="30">
        <v>63.05</v>
      </c>
      <c r="HR149" s="30">
        <v>63.05</v>
      </c>
      <c r="HS149" s="30">
        <v>63.05</v>
      </c>
      <c r="HT149" s="30">
        <v>63.05</v>
      </c>
      <c r="HU149" s="30">
        <v>63.05</v>
      </c>
      <c r="HV149" s="30">
        <v>63.05</v>
      </c>
      <c r="HW149" s="30">
        <v>63.05</v>
      </c>
      <c r="HX149" s="30">
        <v>63.05</v>
      </c>
      <c r="HY149" s="30">
        <v>63.05</v>
      </c>
      <c r="HZ149" s="30">
        <v>63.05</v>
      </c>
      <c r="IA149" s="30">
        <v>63.05</v>
      </c>
      <c r="IB149" s="30">
        <v>63.05</v>
      </c>
      <c r="IC149" s="30">
        <v>63.05</v>
      </c>
      <c r="ID149" s="30">
        <v>63.05</v>
      </c>
      <c r="IE149" s="30">
        <v>63.05</v>
      </c>
      <c r="IF149" s="30">
        <v>63.05</v>
      </c>
      <c r="IG149" s="30">
        <v>63.05</v>
      </c>
      <c r="IH149" s="30">
        <v>63.05</v>
      </c>
      <c r="II149" s="30">
        <v>63.05</v>
      </c>
      <c r="IJ149" s="30">
        <v>63.05</v>
      </c>
      <c r="IK149" s="30">
        <v>63.05</v>
      </c>
      <c r="IL149" s="30">
        <v>63.05</v>
      </c>
      <c r="IM149" s="30">
        <v>63.05</v>
      </c>
      <c r="IN149" s="30">
        <v>63.05</v>
      </c>
      <c r="IO149" s="30">
        <v>63.05</v>
      </c>
      <c r="IP149" s="30">
        <v>63.05</v>
      </c>
      <c r="IQ149" s="30">
        <v>63.05</v>
      </c>
      <c r="IR149" s="30">
        <v>63.05</v>
      </c>
      <c r="IS149" s="30">
        <v>63.05</v>
      </c>
      <c r="IT149" s="30">
        <v>63.05</v>
      </c>
      <c r="IU149" s="30">
        <v>63.05</v>
      </c>
      <c r="IV149" s="30">
        <v>63.05</v>
      </c>
      <c r="IW149" s="30">
        <v>63.05</v>
      </c>
      <c r="IX149" s="30">
        <v>63.05</v>
      </c>
      <c r="IY149" s="30">
        <v>63.05</v>
      </c>
      <c r="IZ149" s="30">
        <v>63.05</v>
      </c>
      <c r="JA149" s="30">
        <v>63.05</v>
      </c>
      <c r="JB149" s="30">
        <v>63.05</v>
      </c>
      <c r="JC149" s="30">
        <v>63.05</v>
      </c>
      <c r="JD149" s="30">
        <v>63.05</v>
      </c>
      <c r="JE149" s="30">
        <v>63.05</v>
      </c>
      <c r="JF149" s="30">
        <v>63.05</v>
      </c>
      <c r="JG149" s="30">
        <v>63.05</v>
      </c>
      <c r="JH149" s="30">
        <v>63.05</v>
      </c>
      <c r="JI149" s="30">
        <v>63.05</v>
      </c>
      <c r="JJ149" s="30">
        <v>63.05</v>
      </c>
      <c r="JK149" s="30">
        <v>63.05</v>
      </c>
      <c r="JL149" s="30">
        <v>63.05</v>
      </c>
      <c r="JM149" s="30">
        <v>63.05</v>
      </c>
      <c r="JN149" s="30">
        <v>63.05</v>
      </c>
      <c r="JO149" s="30">
        <v>63.05</v>
      </c>
      <c r="JP149" s="30">
        <v>63.05</v>
      </c>
      <c r="JQ149" s="30">
        <v>63.05</v>
      </c>
      <c r="JR149" s="30">
        <v>63.05</v>
      </c>
      <c r="JS149" s="30">
        <v>63.05</v>
      </c>
      <c r="JT149" s="30">
        <v>63.05</v>
      </c>
      <c r="JU149" s="30">
        <v>63.05</v>
      </c>
      <c r="JV149" s="30">
        <v>63.05</v>
      </c>
      <c r="JW149" s="30">
        <v>63.05</v>
      </c>
      <c r="JX149" s="30">
        <v>63.05</v>
      </c>
      <c r="JY149" s="30">
        <v>63.05</v>
      </c>
      <c r="JZ149" s="30">
        <v>63.05</v>
      </c>
      <c r="KA149" s="30">
        <v>63.05</v>
      </c>
      <c r="KB149" s="30">
        <v>63.05</v>
      </c>
      <c r="KC149" s="30">
        <v>63.05</v>
      </c>
      <c r="KD149" s="30">
        <v>63.05</v>
      </c>
      <c r="KE149" s="30">
        <v>63.05</v>
      </c>
      <c r="KF149" s="30">
        <v>63.05</v>
      </c>
      <c r="KG149" s="30">
        <v>63.05</v>
      </c>
      <c r="KH149" s="30">
        <v>63.05</v>
      </c>
      <c r="KI149" s="30">
        <v>63.05</v>
      </c>
      <c r="KJ149" s="30">
        <v>63.05</v>
      </c>
      <c r="KK149" s="30">
        <v>63.05</v>
      </c>
      <c r="KL149" s="30">
        <v>63.05</v>
      </c>
      <c r="KM149" s="30">
        <v>63.05</v>
      </c>
      <c r="KN149" s="30">
        <v>63.05</v>
      </c>
      <c r="KO149" s="30">
        <v>63.05</v>
      </c>
      <c r="KP149" s="30">
        <v>63.05</v>
      </c>
      <c r="KQ149" s="30">
        <v>63.05</v>
      </c>
      <c r="KR149" s="30">
        <v>63.05</v>
      </c>
      <c r="KS149" s="30">
        <v>63.05</v>
      </c>
      <c r="KT149" s="30">
        <v>63.05</v>
      </c>
      <c r="KU149" s="30">
        <v>63.05</v>
      </c>
      <c r="KV149" s="30">
        <v>63.05</v>
      </c>
      <c r="KW149" s="30">
        <v>63.05</v>
      </c>
      <c r="KX149" s="30">
        <v>63.05</v>
      </c>
      <c r="KY149" s="30">
        <v>63.05</v>
      </c>
      <c r="KZ149" s="30">
        <v>63.05</v>
      </c>
      <c r="LA149" s="30">
        <v>63.05</v>
      </c>
      <c r="LB149" s="30">
        <v>63.05</v>
      </c>
      <c r="LC149" s="30">
        <v>63.05</v>
      </c>
      <c r="LD149" s="30">
        <v>63.05</v>
      </c>
      <c r="LE149" s="30">
        <v>63.05</v>
      </c>
      <c r="LF149" s="30">
        <v>63.05</v>
      </c>
      <c r="LG149" s="30">
        <v>63.05</v>
      </c>
      <c r="LH149" s="30">
        <v>63.05</v>
      </c>
      <c r="LI149" s="30">
        <v>63.05</v>
      </c>
      <c r="LJ149" s="30">
        <v>63.05</v>
      </c>
      <c r="LK149" s="30">
        <v>63.05</v>
      </c>
      <c r="LL149" s="30">
        <v>63.05</v>
      </c>
      <c r="LM149" s="30">
        <v>63.05</v>
      </c>
      <c r="LN149" s="30">
        <v>63.05</v>
      </c>
      <c r="LO149" s="30">
        <v>63.05</v>
      </c>
      <c r="LP149" s="30">
        <v>63.05</v>
      </c>
      <c r="LQ149" s="30">
        <v>63.05</v>
      </c>
      <c r="LR149" s="30">
        <v>63.05</v>
      </c>
      <c r="LS149" s="30">
        <v>63.05</v>
      </c>
      <c r="LT149" s="30">
        <v>63.05</v>
      </c>
      <c r="LU149" s="30">
        <v>63.05</v>
      </c>
      <c r="LV149" s="30">
        <v>63.05</v>
      </c>
      <c r="LW149" s="30">
        <v>63.05</v>
      </c>
      <c r="LX149" s="30">
        <v>63.05</v>
      </c>
      <c r="LY149" s="30">
        <v>63.05</v>
      </c>
      <c r="LZ149" s="30">
        <v>63.05</v>
      </c>
      <c r="MA149" s="30">
        <v>63.05</v>
      </c>
      <c r="MB149" s="30">
        <v>63.05</v>
      </c>
      <c r="MC149" s="30">
        <v>63.05</v>
      </c>
      <c r="MD149" s="30">
        <v>63.05</v>
      </c>
      <c r="ME149" s="30">
        <v>63.05</v>
      </c>
      <c r="MF149" s="30">
        <v>63.05</v>
      </c>
      <c r="MG149" s="30">
        <v>63.05</v>
      </c>
      <c r="MH149" s="30">
        <v>63.05</v>
      </c>
      <c r="MI149" s="30">
        <v>63.05</v>
      </c>
      <c r="MJ149" s="30">
        <v>63.05</v>
      </c>
      <c r="MK149" s="30">
        <v>63.05</v>
      </c>
      <c r="ML149" s="30">
        <v>63.05</v>
      </c>
      <c r="MM149" s="30">
        <v>63.05</v>
      </c>
      <c r="MN149" s="30">
        <v>63.05</v>
      </c>
      <c r="MO149" s="30">
        <v>63.05</v>
      </c>
      <c r="MP149" s="30">
        <v>63.05</v>
      </c>
      <c r="MQ149" s="30">
        <v>63.05</v>
      </c>
      <c r="MR149" s="30">
        <v>63.05</v>
      </c>
      <c r="MS149" s="30">
        <v>63.05</v>
      </c>
      <c r="MT149" s="30">
        <v>63.05</v>
      </c>
      <c r="MU149" s="30">
        <v>63.05</v>
      </c>
      <c r="MV149" s="30">
        <v>63.05</v>
      </c>
      <c r="MW149" s="30">
        <v>63.05</v>
      </c>
      <c r="MX149" s="30">
        <v>63.05</v>
      </c>
      <c r="MY149" s="30">
        <v>63.05</v>
      </c>
      <c r="MZ149" s="30">
        <v>63.05</v>
      </c>
      <c r="NA149" s="30">
        <v>63.05</v>
      </c>
      <c r="NB149" s="30">
        <v>63.05</v>
      </c>
      <c r="NC149" s="30">
        <v>63.05</v>
      </c>
      <c r="ND149" s="30">
        <v>63.05</v>
      </c>
      <c r="NE149" s="30">
        <v>63.05</v>
      </c>
      <c r="NF149" s="30">
        <v>63.05</v>
      </c>
      <c r="NG149" s="30">
        <v>63.05</v>
      </c>
      <c r="NH149" s="30">
        <v>63.05</v>
      </c>
      <c r="NI149" s="30">
        <v>63.05</v>
      </c>
      <c r="NJ149" s="30">
        <v>63.05</v>
      </c>
      <c r="NK149" s="30">
        <v>63.05</v>
      </c>
      <c r="NL149" s="30">
        <v>63.05</v>
      </c>
      <c r="NM149" s="30">
        <v>63.05</v>
      </c>
      <c r="NN149" s="30">
        <v>63.05</v>
      </c>
      <c r="NO149" s="30">
        <v>63.05</v>
      </c>
      <c r="NP149" s="30">
        <v>63.05</v>
      </c>
      <c r="NQ149" s="30">
        <v>63.05</v>
      </c>
      <c r="NR149" s="30">
        <v>63.05</v>
      </c>
      <c r="NS149" s="30">
        <v>63.05</v>
      </c>
      <c r="NT149" s="30">
        <v>63.05</v>
      </c>
      <c r="NU149" s="30">
        <v>63.05</v>
      </c>
      <c r="NV149" s="30">
        <v>63.05</v>
      </c>
      <c r="NW149" s="30">
        <v>63.05</v>
      </c>
      <c r="NX149" s="30">
        <v>63.05</v>
      </c>
      <c r="NY149" s="30">
        <v>63.05</v>
      </c>
      <c r="NZ149" s="30">
        <v>63.05</v>
      </c>
      <c r="OA149" s="30">
        <v>63.05</v>
      </c>
      <c r="OB149" s="30">
        <v>63.05</v>
      </c>
      <c r="OC149" s="30">
        <v>63.05</v>
      </c>
      <c r="OD149" s="30">
        <v>63.05</v>
      </c>
      <c r="OE149" s="30">
        <v>63.05</v>
      </c>
    </row>
    <row r="150" spans="4:395" x14ac:dyDescent="0.3">
      <c r="E150" s="7"/>
      <c r="K150" s="76"/>
      <c r="L150" s="66"/>
      <c r="M150" s="77"/>
      <c r="N150" t="s">
        <v>133</v>
      </c>
      <c r="P150" s="8" t="s">
        <v>15</v>
      </c>
      <c r="Q150" cm="1">
        <f t="array" ref="Q150:OE150">IF(_xlfn.ANCHORARRAY(Q6)&lt;=E98,Q146+Q147, IF(_xlfn.ANCHORARRAY(Q6)&lt;=E96,Q146,Q149))</f>
        <v>63.05</v>
      </c>
      <c r="R150">
        <v>63.05</v>
      </c>
      <c r="S150">
        <v>63.05</v>
      </c>
      <c r="T150">
        <v>63.05</v>
      </c>
      <c r="U150">
        <v>63.05</v>
      </c>
      <c r="V150">
        <v>63.05</v>
      </c>
      <c r="W150">
        <v>63.05</v>
      </c>
      <c r="X150">
        <v>63.05</v>
      </c>
      <c r="Y150">
        <v>63.05</v>
      </c>
      <c r="Z150">
        <v>63.05</v>
      </c>
      <c r="AA150">
        <v>63.05</v>
      </c>
      <c r="AB150">
        <v>63.05</v>
      </c>
      <c r="AC150">
        <v>63.05</v>
      </c>
      <c r="AD150">
        <v>63.05</v>
      </c>
      <c r="AE150">
        <v>63.05</v>
      </c>
      <c r="AF150">
        <v>63.05</v>
      </c>
      <c r="AG150">
        <v>63.05</v>
      </c>
      <c r="AH150">
        <v>63.05</v>
      </c>
      <c r="AI150">
        <v>63.05</v>
      </c>
      <c r="AJ150">
        <v>63.05</v>
      </c>
      <c r="AK150">
        <v>63.05</v>
      </c>
      <c r="AL150">
        <v>63.05</v>
      </c>
      <c r="AM150">
        <v>63.05</v>
      </c>
      <c r="AN150">
        <v>63.05</v>
      </c>
      <c r="AO150">
        <v>63.05</v>
      </c>
      <c r="AP150">
        <v>63.05</v>
      </c>
      <c r="AQ150">
        <v>63.05</v>
      </c>
      <c r="AR150">
        <v>63.05</v>
      </c>
      <c r="AS150">
        <v>63.05</v>
      </c>
      <c r="AT150">
        <v>63.05</v>
      </c>
      <c r="AU150">
        <v>63.05</v>
      </c>
      <c r="AV150">
        <v>63.05</v>
      </c>
      <c r="AW150">
        <v>63.05</v>
      </c>
      <c r="AX150">
        <v>63.05</v>
      </c>
      <c r="AY150">
        <v>63.05</v>
      </c>
      <c r="AZ150">
        <v>63.05</v>
      </c>
      <c r="BA150">
        <v>63.05</v>
      </c>
      <c r="BB150">
        <v>63.05</v>
      </c>
      <c r="BC150">
        <v>63.05</v>
      </c>
      <c r="BD150">
        <v>63.05</v>
      </c>
      <c r="BE150">
        <v>63.05</v>
      </c>
      <c r="BF150">
        <v>63.05</v>
      </c>
      <c r="BG150">
        <v>63.05</v>
      </c>
      <c r="BH150">
        <v>63.05</v>
      </c>
      <c r="BI150">
        <v>63.05</v>
      </c>
      <c r="BJ150">
        <v>63.05</v>
      </c>
      <c r="BK150">
        <v>63.05</v>
      </c>
      <c r="BL150">
        <v>63.05</v>
      </c>
      <c r="BM150">
        <v>63.05</v>
      </c>
      <c r="BN150">
        <v>63.05</v>
      </c>
      <c r="BO150">
        <v>63.05</v>
      </c>
      <c r="BP150">
        <v>63.05</v>
      </c>
      <c r="BQ150">
        <v>63.05</v>
      </c>
      <c r="BR150">
        <v>63.05</v>
      </c>
      <c r="BS150">
        <v>63.05</v>
      </c>
      <c r="BT150">
        <v>63.05</v>
      </c>
      <c r="BU150">
        <v>63.05</v>
      </c>
      <c r="BV150">
        <v>63.05</v>
      </c>
      <c r="BW150">
        <v>63.05</v>
      </c>
      <c r="BX150">
        <v>63.05</v>
      </c>
      <c r="BY150">
        <v>63.05</v>
      </c>
      <c r="BZ150">
        <v>63.05</v>
      </c>
      <c r="CA150">
        <v>63.05</v>
      </c>
      <c r="CB150">
        <v>63.05</v>
      </c>
      <c r="CC150">
        <v>63.05</v>
      </c>
      <c r="CD150">
        <v>63.05</v>
      </c>
      <c r="CE150">
        <v>63.05</v>
      </c>
      <c r="CF150">
        <v>63.05</v>
      </c>
      <c r="CG150">
        <v>63.05</v>
      </c>
      <c r="CH150">
        <v>63.05</v>
      </c>
      <c r="CI150">
        <v>63.05</v>
      </c>
      <c r="CJ150">
        <v>63.05</v>
      </c>
      <c r="CK150">
        <v>63.05</v>
      </c>
      <c r="CL150">
        <v>63.05</v>
      </c>
      <c r="CM150">
        <v>63.05</v>
      </c>
      <c r="CN150">
        <v>63.05</v>
      </c>
      <c r="CO150">
        <v>63.05</v>
      </c>
      <c r="CP150">
        <v>63.05</v>
      </c>
      <c r="CQ150">
        <v>63.05</v>
      </c>
      <c r="CR150">
        <v>63.05</v>
      </c>
      <c r="CS150">
        <v>63.05</v>
      </c>
      <c r="CT150">
        <v>63.05</v>
      </c>
      <c r="CU150">
        <v>63.05</v>
      </c>
      <c r="CV150">
        <v>63.05</v>
      </c>
      <c r="CW150">
        <v>63.05</v>
      </c>
      <c r="CX150">
        <v>63.05</v>
      </c>
      <c r="CY150">
        <v>63.05</v>
      </c>
      <c r="CZ150">
        <v>63.05</v>
      </c>
      <c r="DA150">
        <v>63.05</v>
      </c>
      <c r="DB150">
        <v>63.05</v>
      </c>
      <c r="DC150">
        <v>63.05</v>
      </c>
      <c r="DD150">
        <v>63.05</v>
      </c>
      <c r="DE150">
        <v>63.05</v>
      </c>
      <c r="DF150">
        <v>63.05</v>
      </c>
      <c r="DG150">
        <v>63.05</v>
      </c>
      <c r="DH150">
        <v>63.05</v>
      </c>
      <c r="DI150">
        <v>63.05</v>
      </c>
      <c r="DJ150">
        <v>63.05</v>
      </c>
      <c r="DK150">
        <v>63.05</v>
      </c>
      <c r="DL150">
        <v>63.05</v>
      </c>
      <c r="DM150">
        <v>63.05</v>
      </c>
      <c r="DN150">
        <v>63.05</v>
      </c>
      <c r="DO150">
        <v>63.05</v>
      </c>
      <c r="DP150">
        <v>63.05</v>
      </c>
      <c r="DQ150">
        <v>63.05</v>
      </c>
      <c r="DR150">
        <v>63.05</v>
      </c>
      <c r="DS150">
        <v>63.05</v>
      </c>
      <c r="DT150">
        <v>63.05</v>
      </c>
      <c r="DU150">
        <v>63.05</v>
      </c>
      <c r="DV150">
        <v>63.05</v>
      </c>
      <c r="DW150">
        <v>63.05</v>
      </c>
      <c r="DX150">
        <v>63.05</v>
      </c>
      <c r="DY150">
        <v>63.05</v>
      </c>
      <c r="DZ150">
        <v>63.05</v>
      </c>
      <c r="EA150">
        <v>63.05</v>
      </c>
      <c r="EB150">
        <v>63.05</v>
      </c>
      <c r="EC150">
        <v>63.05</v>
      </c>
      <c r="ED150">
        <v>63.05</v>
      </c>
      <c r="EE150">
        <v>63.05</v>
      </c>
      <c r="EF150">
        <v>63.05</v>
      </c>
      <c r="EG150">
        <v>63.05</v>
      </c>
      <c r="EH150">
        <v>63.05</v>
      </c>
      <c r="EI150">
        <v>63.05</v>
      </c>
      <c r="EJ150">
        <v>63.05</v>
      </c>
      <c r="EK150">
        <v>63.05</v>
      </c>
      <c r="EL150">
        <v>63.05</v>
      </c>
      <c r="EM150">
        <v>63.05</v>
      </c>
      <c r="EN150">
        <v>63.05</v>
      </c>
      <c r="EO150">
        <v>63.05</v>
      </c>
      <c r="EP150">
        <v>63.05</v>
      </c>
      <c r="EQ150">
        <v>63.05</v>
      </c>
      <c r="ER150">
        <v>63.05</v>
      </c>
      <c r="ES150">
        <v>63.05</v>
      </c>
      <c r="ET150">
        <v>63.05</v>
      </c>
      <c r="EU150">
        <v>63.05</v>
      </c>
      <c r="EV150">
        <v>63.05</v>
      </c>
      <c r="EW150">
        <v>63.05</v>
      </c>
      <c r="EX150">
        <v>63.05</v>
      </c>
      <c r="EY150">
        <v>63.05</v>
      </c>
      <c r="EZ150">
        <v>63.05</v>
      </c>
      <c r="FA150">
        <v>63.05</v>
      </c>
      <c r="FB150">
        <v>63.05</v>
      </c>
      <c r="FC150">
        <v>63.05</v>
      </c>
      <c r="FD150">
        <v>63.05</v>
      </c>
      <c r="FE150">
        <v>63.05</v>
      </c>
      <c r="FF150">
        <v>63.05</v>
      </c>
      <c r="FG150">
        <v>63.05</v>
      </c>
      <c r="FH150">
        <v>63.05</v>
      </c>
      <c r="FI150">
        <v>63.05</v>
      </c>
      <c r="FJ150">
        <v>63.05</v>
      </c>
      <c r="FK150">
        <v>63.05</v>
      </c>
      <c r="FL150">
        <v>63.05</v>
      </c>
      <c r="FM150">
        <v>63.05</v>
      </c>
      <c r="FN150">
        <v>63.05</v>
      </c>
      <c r="FO150">
        <v>63.05</v>
      </c>
      <c r="FP150">
        <v>63.05</v>
      </c>
      <c r="FQ150">
        <v>63.05</v>
      </c>
      <c r="FR150">
        <v>63.05</v>
      </c>
      <c r="FS150">
        <v>63.05</v>
      </c>
      <c r="FT150">
        <v>63.05</v>
      </c>
      <c r="FU150">
        <v>63.05</v>
      </c>
      <c r="FV150">
        <v>63.05</v>
      </c>
      <c r="FW150">
        <v>63.05</v>
      </c>
      <c r="FX150">
        <v>63.05</v>
      </c>
      <c r="FY150">
        <v>63.05</v>
      </c>
      <c r="FZ150">
        <v>63.05</v>
      </c>
      <c r="GA150">
        <v>63.05</v>
      </c>
      <c r="GB150">
        <v>63.05</v>
      </c>
      <c r="GC150">
        <v>63.05</v>
      </c>
      <c r="GD150">
        <v>63.05</v>
      </c>
      <c r="GE150">
        <v>63.05</v>
      </c>
      <c r="GF150">
        <v>63.05</v>
      </c>
      <c r="GG150">
        <v>63.05</v>
      </c>
      <c r="GH150">
        <v>63.05</v>
      </c>
      <c r="GI150">
        <v>63.05</v>
      </c>
      <c r="GJ150">
        <v>63.05</v>
      </c>
      <c r="GK150">
        <v>63.05</v>
      </c>
      <c r="GL150">
        <v>63.05</v>
      </c>
      <c r="GM150">
        <v>63.05</v>
      </c>
      <c r="GN150">
        <v>63.05</v>
      </c>
      <c r="GO150">
        <v>63.05</v>
      </c>
      <c r="GP150">
        <v>63.05</v>
      </c>
      <c r="GQ150">
        <v>63.05</v>
      </c>
      <c r="GR150">
        <v>63.05</v>
      </c>
      <c r="GS150">
        <v>63.05</v>
      </c>
      <c r="GT150">
        <v>63.05</v>
      </c>
      <c r="GU150">
        <v>63.05</v>
      </c>
      <c r="GV150">
        <v>63.05</v>
      </c>
      <c r="GW150">
        <v>63.05</v>
      </c>
      <c r="GX150">
        <v>63.05</v>
      </c>
      <c r="GY150">
        <v>63.05</v>
      </c>
      <c r="GZ150">
        <v>63.05</v>
      </c>
      <c r="HA150">
        <v>63.05</v>
      </c>
      <c r="HB150">
        <v>63.05</v>
      </c>
      <c r="HC150">
        <v>63.05</v>
      </c>
      <c r="HD150">
        <v>63.05</v>
      </c>
      <c r="HE150">
        <v>63.05</v>
      </c>
      <c r="HF150">
        <v>63.05</v>
      </c>
      <c r="HG150">
        <v>63.05</v>
      </c>
      <c r="HH150">
        <v>63.05</v>
      </c>
      <c r="HI150">
        <v>63.05</v>
      </c>
      <c r="HJ150">
        <v>63.05</v>
      </c>
      <c r="HK150">
        <v>63.05</v>
      </c>
      <c r="HL150">
        <v>63.05</v>
      </c>
      <c r="HM150">
        <v>63.05</v>
      </c>
      <c r="HN150">
        <v>63.05</v>
      </c>
      <c r="HO150">
        <v>63.05</v>
      </c>
      <c r="HP150">
        <v>63.05</v>
      </c>
      <c r="HQ150">
        <v>63.05</v>
      </c>
      <c r="HR150">
        <v>63.05</v>
      </c>
      <c r="HS150">
        <v>63.05</v>
      </c>
      <c r="HT150">
        <v>63.05</v>
      </c>
      <c r="HU150">
        <v>63.05</v>
      </c>
      <c r="HV150">
        <v>63.05</v>
      </c>
      <c r="HW150">
        <v>63.05</v>
      </c>
      <c r="HX150">
        <v>63.05</v>
      </c>
      <c r="HY150">
        <v>63.05</v>
      </c>
      <c r="HZ150">
        <v>63.05</v>
      </c>
      <c r="IA150">
        <v>63.05</v>
      </c>
      <c r="IB150">
        <v>63.05</v>
      </c>
      <c r="IC150">
        <v>63.05</v>
      </c>
      <c r="ID150">
        <v>63.05</v>
      </c>
      <c r="IE150">
        <v>63.05</v>
      </c>
      <c r="IF150">
        <v>63.05</v>
      </c>
      <c r="IG150">
        <v>63.05</v>
      </c>
      <c r="IH150">
        <v>63.05</v>
      </c>
      <c r="II150">
        <v>63.05</v>
      </c>
      <c r="IJ150">
        <v>63.05</v>
      </c>
      <c r="IK150">
        <v>63.05</v>
      </c>
      <c r="IL150">
        <v>63.05</v>
      </c>
      <c r="IM150">
        <v>63.05</v>
      </c>
      <c r="IN150">
        <v>63.05</v>
      </c>
      <c r="IO150">
        <v>63.05</v>
      </c>
      <c r="IP150">
        <v>63.05</v>
      </c>
      <c r="IQ150">
        <v>63.05</v>
      </c>
      <c r="IR150">
        <v>63.05</v>
      </c>
      <c r="IS150">
        <v>63.05</v>
      </c>
      <c r="IT150">
        <v>63.05</v>
      </c>
      <c r="IU150">
        <v>63.05</v>
      </c>
      <c r="IV150">
        <v>63.05</v>
      </c>
      <c r="IW150">
        <v>63.05</v>
      </c>
      <c r="IX150">
        <v>63.05</v>
      </c>
      <c r="IY150">
        <v>63.05</v>
      </c>
      <c r="IZ150">
        <v>63.05</v>
      </c>
      <c r="JA150">
        <v>63.05</v>
      </c>
      <c r="JB150">
        <v>63.05</v>
      </c>
      <c r="JC150">
        <v>63.05</v>
      </c>
      <c r="JD150">
        <v>63.05</v>
      </c>
      <c r="JE150">
        <v>63.05</v>
      </c>
      <c r="JF150">
        <v>63.05</v>
      </c>
      <c r="JG150">
        <v>63.05</v>
      </c>
      <c r="JH150">
        <v>63.05</v>
      </c>
      <c r="JI150">
        <v>63.05</v>
      </c>
      <c r="JJ150">
        <v>63.05</v>
      </c>
      <c r="JK150">
        <v>63.05</v>
      </c>
      <c r="JL150">
        <v>63.05</v>
      </c>
      <c r="JM150">
        <v>63.05</v>
      </c>
      <c r="JN150">
        <v>63.05</v>
      </c>
      <c r="JO150">
        <v>63.05</v>
      </c>
      <c r="JP150">
        <v>63.05</v>
      </c>
      <c r="JQ150">
        <v>63.05</v>
      </c>
      <c r="JR150">
        <v>63.05</v>
      </c>
      <c r="JS150">
        <v>63.05</v>
      </c>
      <c r="JT150">
        <v>63.05</v>
      </c>
      <c r="JU150">
        <v>63.05</v>
      </c>
      <c r="JV150">
        <v>63.05</v>
      </c>
      <c r="JW150">
        <v>63.05</v>
      </c>
      <c r="JX150">
        <v>63.05</v>
      </c>
      <c r="JY150">
        <v>63.05</v>
      </c>
      <c r="JZ150">
        <v>63.05</v>
      </c>
      <c r="KA150">
        <v>63.05</v>
      </c>
      <c r="KB150">
        <v>63.05</v>
      </c>
      <c r="KC150">
        <v>63.05</v>
      </c>
      <c r="KD150">
        <v>63.05</v>
      </c>
      <c r="KE150">
        <v>63.05</v>
      </c>
      <c r="KF150">
        <v>63.05</v>
      </c>
      <c r="KG150">
        <v>63.05</v>
      </c>
      <c r="KH150">
        <v>63.05</v>
      </c>
      <c r="KI150">
        <v>63.05</v>
      </c>
      <c r="KJ150">
        <v>63.05</v>
      </c>
      <c r="KK150">
        <v>63.05</v>
      </c>
      <c r="KL150">
        <v>63.05</v>
      </c>
      <c r="KM150">
        <v>63.05</v>
      </c>
      <c r="KN150">
        <v>63.05</v>
      </c>
      <c r="KO150">
        <v>63.05</v>
      </c>
      <c r="KP150">
        <v>63.05</v>
      </c>
      <c r="KQ150">
        <v>63.05</v>
      </c>
      <c r="KR150">
        <v>63.05</v>
      </c>
      <c r="KS150">
        <v>63.05</v>
      </c>
      <c r="KT150">
        <v>63.05</v>
      </c>
      <c r="KU150">
        <v>63.05</v>
      </c>
      <c r="KV150">
        <v>63.05</v>
      </c>
      <c r="KW150">
        <v>63.05</v>
      </c>
      <c r="KX150">
        <v>63.05</v>
      </c>
      <c r="KY150">
        <v>63.05</v>
      </c>
      <c r="KZ150">
        <v>63.05</v>
      </c>
      <c r="LA150">
        <v>63.05</v>
      </c>
      <c r="LB150">
        <v>63.05</v>
      </c>
      <c r="LC150">
        <v>63.05</v>
      </c>
      <c r="LD150">
        <v>63.05</v>
      </c>
      <c r="LE150">
        <v>63.05</v>
      </c>
      <c r="LF150">
        <v>63.05</v>
      </c>
      <c r="LG150">
        <v>63.05</v>
      </c>
      <c r="LH150">
        <v>63.05</v>
      </c>
      <c r="LI150">
        <v>63.05</v>
      </c>
      <c r="LJ150">
        <v>63.05</v>
      </c>
      <c r="LK150">
        <v>63.05</v>
      </c>
      <c r="LL150">
        <v>63.05</v>
      </c>
      <c r="LM150">
        <v>63.05</v>
      </c>
      <c r="LN150">
        <v>63.05</v>
      </c>
      <c r="LO150">
        <v>63.05</v>
      </c>
      <c r="LP150">
        <v>63.05</v>
      </c>
      <c r="LQ150">
        <v>63.05</v>
      </c>
      <c r="LR150">
        <v>63.05</v>
      </c>
      <c r="LS150">
        <v>63.05</v>
      </c>
      <c r="LT150">
        <v>63.05</v>
      </c>
      <c r="LU150">
        <v>63.05</v>
      </c>
      <c r="LV150">
        <v>63.05</v>
      </c>
      <c r="LW150">
        <v>63.05</v>
      </c>
      <c r="LX150">
        <v>63.05</v>
      </c>
      <c r="LY150">
        <v>63.05</v>
      </c>
      <c r="LZ150">
        <v>63.05</v>
      </c>
      <c r="MA150">
        <v>63.05</v>
      </c>
      <c r="MB150">
        <v>63.05</v>
      </c>
      <c r="MC150">
        <v>63.05</v>
      </c>
      <c r="MD150">
        <v>63.05</v>
      </c>
      <c r="ME150">
        <v>63.05</v>
      </c>
      <c r="MF150">
        <v>63.05</v>
      </c>
      <c r="MG150">
        <v>63.05</v>
      </c>
      <c r="MH150">
        <v>63.05</v>
      </c>
      <c r="MI150">
        <v>63.05</v>
      </c>
      <c r="MJ150">
        <v>63.05</v>
      </c>
      <c r="MK150">
        <v>63.05</v>
      </c>
      <c r="ML150">
        <v>63.05</v>
      </c>
      <c r="MM150">
        <v>63.05</v>
      </c>
      <c r="MN150">
        <v>63.05</v>
      </c>
      <c r="MO150">
        <v>63.05</v>
      </c>
      <c r="MP150">
        <v>63.05</v>
      </c>
      <c r="MQ150">
        <v>63.05</v>
      </c>
      <c r="MR150">
        <v>63.05</v>
      </c>
      <c r="MS150">
        <v>63.05</v>
      </c>
      <c r="MT150">
        <v>63.05</v>
      </c>
      <c r="MU150">
        <v>63.05</v>
      </c>
      <c r="MV150">
        <v>63.05</v>
      </c>
      <c r="MW150">
        <v>63.05</v>
      </c>
      <c r="MX150">
        <v>63.05</v>
      </c>
      <c r="MY150">
        <v>63.05</v>
      </c>
      <c r="MZ150">
        <v>63.05</v>
      </c>
      <c r="NA150">
        <v>63.05</v>
      </c>
      <c r="NB150">
        <v>63.05</v>
      </c>
      <c r="NC150">
        <v>63.05</v>
      </c>
      <c r="ND150">
        <v>63.05</v>
      </c>
      <c r="NE150">
        <v>63.05</v>
      </c>
      <c r="NF150">
        <v>63.05</v>
      </c>
      <c r="NG150">
        <v>63.05</v>
      </c>
      <c r="NH150">
        <v>63.05</v>
      </c>
      <c r="NI150">
        <v>63.05</v>
      </c>
      <c r="NJ150">
        <v>63.05</v>
      </c>
      <c r="NK150">
        <v>63.05</v>
      </c>
      <c r="NL150">
        <v>63.05</v>
      </c>
      <c r="NM150">
        <v>63.05</v>
      </c>
      <c r="NN150">
        <v>63.05</v>
      </c>
      <c r="NO150">
        <v>63.05</v>
      </c>
      <c r="NP150">
        <v>63.05</v>
      </c>
      <c r="NQ150">
        <v>63.05</v>
      </c>
      <c r="NR150">
        <v>63.05</v>
      </c>
      <c r="NS150">
        <v>63.05</v>
      </c>
      <c r="NT150">
        <v>63.05</v>
      </c>
      <c r="NU150">
        <v>63.05</v>
      </c>
      <c r="NV150">
        <v>63.05</v>
      </c>
      <c r="NW150">
        <v>63.05</v>
      </c>
      <c r="NX150">
        <v>63.05</v>
      </c>
      <c r="NY150">
        <v>63.05</v>
      </c>
      <c r="NZ150">
        <v>63.05</v>
      </c>
      <c r="OA150">
        <v>63.05</v>
      </c>
      <c r="OB150">
        <v>63.05</v>
      </c>
      <c r="OC150">
        <v>63.05</v>
      </c>
      <c r="OD150">
        <v>63.05</v>
      </c>
      <c r="OE150">
        <v>63.05</v>
      </c>
    </row>
    <row r="151" spans="4:395" x14ac:dyDescent="0.3">
      <c r="E151" s="7"/>
      <c r="K151" s="76"/>
      <c r="L151" s="66"/>
      <c r="M151" s="77"/>
      <c r="N151" s="98" t="s">
        <v>218</v>
      </c>
      <c r="O151" s="99">
        <f>SUM(_xlfn.ANCHORARRAY(Q151))</f>
        <v>536991952.58518016</v>
      </c>
      <c r="P151" s="100" t="s">
        <v>81</v>
      </c>
      <c r="Q151" s="99" cm="1">
        <f t="array" ref="Q151:OE151">_xlfn.LET( _xlpm.MonthlyValues,_xlfn.ANCHORARRAY(Q141)*_xlfn.ANCHORARRAY(Q150),
      _xlpm.TimeRulerChoice,    $O$1,
      _xlpm.TimeRulerMonthly,_xlfn.ANCHORARRAY(   $Q$2),
      _xlpm.TimeRulerYearly,_xlfn.ANCHORARRAY(    $Q$3),
      _xlpm.TimeRulerQuarterly,_xlfn.ANCHORARRAY( $Q$4),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51" s="99">
        <v>0</v>
      </c>
      <c r="S151" s="99">
        <v>0</v>
      </c>
      <c r="T151" s="99">
        <v>0</v>
      </c>
      <c r="U151" s="99">
        <v>0</v>
      </c>
      <c r="V151" s="99">
        <v>0</v>
      </c>
      <c r="W151" s="99">
        <v>0</v>
      </c>
      <c r="X151" s="99">
        <v>0</v>
      </c>
      <c r="Y151" s="99">
        <v>0</v>
      </c>
      <c r="Z151" s="99">
        <v>0</v>
      </c>
      <c r="AA151" s="99">
        <v>0</v>
      </c>
      <c r="AB151" s="99">
        <v>0</v>
      </c>
      <c r="AC151" s="99">
        <v>0</v>
      </c>
      <c r="AD151" s="99">
        <v>0</v>
      </c>
      <c r="AE151" s="99">
        <v>0</v>
      </c>
      <c r="AF151" s="99">
        <v>0</v>
      </c>
      <c r="AG151" s="99">
        <v>0</v>
      </c>
      <c r="AH151" s="99">
        <v>0</v>
      </c>
      <c r="AI151" s="99">
        <v>0</v>
      </c>
      <c r="AJ151" s="99">
        <v>0</v>
      </c>
      <c r="AK151" s="99">
        <v>0</v>
      </c>
      <c r="AL151" s="99">
        <v>0</v>
      </c>
      <c r="AM151" s="99">
        <v>0</v>
      </c>
      <c r="AN151" s="99">
        <v>0</v>
      </c>
      <c r="AO151" s="99">
        <v>0</v>
      </c>
      <c r="AP151" s="99">
        <v>0</v>
      </c>
      <c r="AQ151" s="99">
        <v>0</v>
      </c>
      <c r="AR151" s="99">
        <v>0</v>
      </c>
      <c r="AS151" s="99">
        <v>0</v>
      </c>
      <c r="AT151" s="99">
        <v>0</v>
      </c>
      <c r="AU151" s="99">
        <v>0</v>
      </c>
      <c r="AV151" s="99">
        <v>556816.62958764553</v>
      </c>
      <c r="AW151" s="99">
        <v>789376.97198795353</v>
      </c>
      <c r="AX151" s="99">
        <v>707613.83215596073</v>
      </c>
      <c r="AY151" s="99">
        <v>1440056.4124531434</v>
      </c>
      <c r="AZ151" s="99">
        <v>1299554.3461869673</v>
      </c>
      <c r="BA151" s="99">
        <v>1593297.9420534465</v>
      </c>
      <c r="BB151" s="99">
        <v>1750578.2346627689</v>
      </c>
      <c r="BC151" s="99">
        <v>1433385.4798710085</v>
      </c>
      <c r="BD151" s="99">
        <v>836417.87805496564</v>
      </c>
      <c r="BE151" s="99">
        <v>1235695.300946191</v>
      </c>
      <c r="BF151" s="99">
        <v>1738060.5917069868</v>
      </c>
      <c r="BG151" s="99">
        <v>1943806.0404246042</v>
      </c>
      <c r="BH151" s="99">
        <v>2784083.1479382282</v>
      </c>
      <c r="BI151" s="99">
        <v>1691522.0828313294</v>
      </c>
      <c r="BJ151" s="99">
        <v>884517.29019495111</v>
      </c>
      <c r="BK151" s="99">
        <v>1440056.4124531434</v>
      </c>
      <c r="BL151" s="99">
        <v>1299554.3461869673</v>
      </c>
      <c r="BM151" s="99">
        <v>1593297.9420534465</v>
      </c>
      <c r="BN151" s="99">
        <v>1750578.2346627689</v>
      </c>
      <c r="BO151" s="99">
        <v>1433385.4798710085</v>
      </c>
      <c r="BP151" s="99">
        <v>836417.87805496564</v>
      </c>
      <c r="BQ151" s="99">
        <v>1235695.300946191</v>
      </c>
      <c r="BR151" s="99">
        <v>1738060.5917069868</v>
      </c>
      <c r="BS151" s="99">
        <v>1943806.0404246042</v>
      </c>
      <c r="BT151" s="99">
        <v>2784083.1479382282</v>
      </c>
      <c r="BU151" s="99">
        <v>1691522.0828313294</v>
      </c>
      <c r="BV151" s="99">
        <v>884517.29019495111</v>
      </c>
      <c r="BW151" s="99">
        <v>1440056.4124531434</v>
      </c>
      <c r="BX151" s="99">
        <v>1299554.3461869673</v>
      </c>
      <c r="BY151" s="99">
        <v>1593297.9420534465</v>
      </c>
      <c r="BZ151" s="99">
        <v>1750578.2346627689</v>
      </c>
      <c r="CA151" s="99">
        <v>1433385.4798710085</v>
      </c>
      <c r="CB151" s="99">
        <v>836417.87805496564</v>
      </c>
      <c r="CC151" s="99">
        <v>1235695.300946191</v>
      </c>
      <c r="CD151" s="99">
        <v>1738060.5917069868</v>
      </c>
      <c r="CE151" s="99">
        <v>1943806.0404246042</v>
      </c>
      <c r="CF151" s="99">
        <v>2784083.1479382282</v>
      </c>
      <c r="CG151" s="99">
        <v>1691522.0828313294</v>
      </c>
      <c r="CH151" s="99">
        <v>884517.29019495111</v>
      </c>
      <c r="CI151" s="99">
        <v>1440056.4124531434</v>
      </c>
      <c r="CJ151" s="99">
        <v>1299554.3461869673</v>
      </c>
      <c r="CK151" s="99">
        <v>1593297.9420534465</v>
      </c>
      <c r="CL151" s="99">
        <v>1750578.2346627689</v>
      </c>
      <c r="CM151" s="99">
        <v>1433385.4798710085</v>
      </c>
      <c r="CN151" s="99">
        <v>836417.87805496564</v>
      </c>
      <c r="CO151" s="99">
        <v>1235695.300946191</v>
      </c>
      <c r="CP151" s="99">
        <v>1738060.5917069868</v>
      </c>
      <c r="CQ151" s="99">
        <v>1943806.0404246042</v>
      </c>
      <c r="CR151" s="99">
        <v>2784083.1479382282</v>
      </c>
      <c r="CS151" s="99">
        <v>1691522.0828313294</v>
      </c>
      <c r="CT151" s="99">
        <v>884517.29019495111</v>
      </c>
      <c r="CU151" s="99">
        <v>1440056.4124531434</v>
      </c>
      <c r="CV151" s="99">
        <v>1299554.3461869673</v>
      </c>
      <c r="CW151" s="99">
        <v>1593297.9420534465</v>
      </c>
      <c r="CX151" s="99">
        <v>1750578.2346627689</v>
      </c>
      <c r="CY151" s="99">
        <v>1433385.4798710085</v>
      </c>
      <c r="CZ151" s="99">
        <v>836417.87805496564</v>
      </c>
      <c r="DA151" s="99">
        <v>1235695.300946191</v>
      </c>
      <c r="DB151" s="99">
        <v>1738060.5917069868</v>
      </c>
      <c r="DC151" s="99">
        <v>1943806.0404246042</v>
      </c>
      <c r="DD151" s="99">
        <v>2784083.1479382282</v>
      </c>
      <c r="DE151" s="99">
        <v>1691522.0828313294</v>
      </c>
      <c r="DF151" s="99">
        <v>884517.29019495111</v>
      </c>
      <c r="DG151" s="99">
        <v>1440056.4124531434</v>
      </c>
      <c r="DH151" s="99">
        <v>1299554.3461869673</v>
      </c>
      <c r="DI151" s="99">
        <v>1593297.9420534465</v>
      </c>
      <c r="DJ151" s="99">
        <v>1750578.2346627689</v>
      </c>
      <c r="DK151" s="99">
        <v>1433385.4798710085</v>
      </c>
      <c r="DL151" s="99">
        <v>836417.87805496564</v>
      </c>
      <c r="DM151" s="99">
        <v>1235695.300946191</v>
      </c>
      <c r="DN151" s="99">
        <v>1738060.5917069868</v>
      </c>
      <c r="DO151" s="99">
        <v>1943806.0404246042</v>
      </c>
      <c r="DP151" s="99">
        <v>2784083.1479382282</v>
      </c>
      <c r="DQ151" s="99">
        <v>1691522.0828313294</v>
      </c>
      <c r="DR151" s="99">
        <v>884517.29019495111</v>
      </c>
      <c r="DS151" s="99">
        <v>1440056.4124531434</v>
      </c>
      <c r="DT151" s="99">
        <v>1299554.3461869673</v>
      </c>
      <c r="DU151" s="99">
        <v>1593297.9420534465</v>
      </c>
      <c r="DV151" s="99">
        <v>1750578.2346627689</v>
      </c>
      <c r="DW151" s="99">
        <v>1433385.4798710085</v>
      </c>
      <c r="DX151" s="99">
        <v>836417.87805496564</v>
      </c>
      <c r="DY151" s="99">
        <v>1235695.300946191</v>
      </c>
      <c r="DZ151" s="99">
        <v>1738060.5917069868</v>
      </c>
      <c r="EA151" s="99">
        <v>1943806.0404246042</v>
      </c>
      <c r="EB151" s="99">
        <v>2784083.1479382282</v>
      </c>
      <c r="EC151" s="99">
        <v>1691522.0828313294</v>
      </c>
      <c r="ED151" s="99">
        <v>884517.29019495111</v>
      </c>
      <c r="EE151" s="99">
        <v>1440056.4124531434</v>
      </c>
      <c r="EF151" s="99">
        <v>1299554.3461869673</v>
      </c>
      <c r="EG151" s="99">
        <v>1593297.9420534465</v>
      </c>
      <c r="EH151" s="99">
        <v>1750578.2346627689</v>
      </c>
      <c r="EI151" s="99">
        <v>1433385.4798710085</v>
      </c>
      <c r="EJ151" s="99">
        <v>836417.87805496564</v>
      </c>
      <c r="EK151" s="99">
        <v>1235695.300946191</v>
      </c>
      <c r="EL151" s="99">
        <v>1738060.5917069868</v>
      </c>
      <c r="EM151" s="99">
        <v>1943806.0404246042</v>
      </c>
      <c r="EN151" s="99">
        <v>2784083.1479382282</v>
      </c>
      <c r="EO151" s="99">
        <v>1691522.0828313294</v>
      </c>
      <c r="EP151" s="99">
        <v>884517.29019495111</v>
      </c>
      <c r="EQ151" s="99">
        <v>1440056.4124531434</v>
      </c>
      <c r="ER151" s="99">
        <v>1299554.3461869673</v>
      </c>
      <c r="ES151" s="99">
        <v>1593297.9420534465</v>
      </c>
      <c r="ET151" s="99">
        <v>1750578.2346627689</v>
      </c>
      <c r="EU151" s="99">
        <v>1433385.4798710085</v>
      </c>
      <c r="EV151" s="99">
        <v>836417.87805496564</v>
      </c>
      <c r="EW151" s="99">
        <v>1235695.300946191</v>
      </c>
      <c r="EX151" s="99">
        <v>1738060.5917069868</v>
      </c>
      <c r="EY151" s="99">
        <v>1943806.0404246042</v>
      </c>
      <c r="EZ151" s="99">
        <v>2784083.1479382282</v>
      </c>
      <c r="FA151" s="99">
        <v>1691522.0828313294</v>
      </c>
      <c r="FB151" s="99">
        <v>884517.29019495111</v>
      </c>
      <c r="FC151" s="99">
        <v>1440056.4124531434</v>
      </c>
      <c r="FD151" s="99">
        <v>1299554.3461869673</v>
      </c>
      <c r="FE151" s="99">
        <v>1593297.9420534465</v>
      </c>
      <c r="FF151" s="99">
        <v>1750578.2346627689</v>
      </c>
      <c r="FG151" s="99">
        <v>1433385.4798710085</v>
      </c>
      <c r="FH151" s="99">
        <v>836417.87805496564</v>
      </c>
      <c r="FI151" s="99">
        <v>1235695.300946191</v>
      </c>
      <c r="FJ151" s="99">
        <v>1738060.5917069868</v>
      </c>
      <c r="FK151" s="99">
        <v>1943806.0404246042</v>
      </c>
      <c r="FL151" s="99">
        <v>2784083.1479382282</v>
      </c>
      <c r="FM151" s="99">
        <v>1691522.0828313294</v>
      </c>
      <c r="FN151" s="99">
        <v>884517.29019495111</v>
      </c>
      <c r="FO151" s="99">
        <v>1440056.4124531434</v>
      </c>
      <c r="FP151" s="99">
        <v>1299554.3461869673</v>
      </c>
      <c r="FQ151" s="99">
        <v>1593297.9420534465</v>
      </c>
      <c r="FR151" s="99">
        <v>1750578.2346627689</v>
      </c>
      <c r="FS151" s="99">
        <v>1433385.4798710085</v>
      </c>
      <c r="FT151" s="99">
        <v>836417.87805496564</v>
      </c>
      <c r="FU151" s="99">
        <v>1235695.300946191</v>
      </c>
      <c r="FV151" s="99">
        <v>1738060.5917069868</v>
      </c>
      <c r="FW151" s="99">
        <v>1943806.0404246042</v>
      </c>
      <c r="FX151" s="99">
        <v>2784083.1479382282</v>
      </c>
      <c r="FY151" s="99">
        <v>1691522.0828313294</v>
      </c>
      <c r="FZ151" s="99">
        <v>884517.29019495111</v>
      </c>
      <c r="GA151" s="99">
        <v>1440056.4124531434</v>
      </c>
      <c r="GB151" s="99">
        <v>1299554.3461869673</v>
      </c>
      <c r="GC151" s="99">
        <v>1593297.9420534465</v>
      </c>
      <c r="GD151" s="99">
        <v>1750578.2346627689</v>
      </c>
      <c r="GE151" s="99">
        <v>1433385.4798710085</v>
      </c>
      <c r="GF151" s="99">
        <v>836417.87805496564</v>
      </c>
      <c r="GG151" s="99">
        <v>1235695.300946191</v>
      </c>
      <c r="GH151" s="99">
        <v>1738060.5917069868</v>
      </c>
      <c r="GI151" s="99">
        <v>1943806.0404246042</v>
      </c>
      <c r="GJ151" s="99">
        <v>2784083.1479382282</v>
      </c>
      <c r="GK151" s="99">
        <v>1691522.0828313294</v>
      </c>
      <c r="GL151" s="99">
        <v>884517.29019495111</v>
      </c>
      <c r="GM151" s="99">
        <v>1440056.4124531434</v>
      </c>
      <c r="GN151" s="99">
        <v>1299554.3461869673</v>
      </c>
      <c r="GO151" s="99">
        <v>1593297.9420534465</v>
      </c>
      <c r="GP151" s="99">
        <v>1750578.2346627689</v>
      </c>
      <c r="GQ151" s="99">
        <v>1433385.4798710085</v>
      </c>
      <c r="GR151" s="99">
        <v>836417.87805496564</v>
      </c>
      <c r="GS151" s="99">
        <v>1235695.300946191</v>
      </c>
      <c r="GT151" s="99">
        <v>1738060.5917069868</v>
      </c>
      <c r="GU151" s="99">
        <v>1943806.0404246042</v>
      </c>
      <c r="GV151" s="99">
        <v>2784083.1479382282</v>
      </c>
      <c r="GW151" s="99">
        <v>1691522.0828313294</v>
      </c>
      <c r="GX151" s="99">
        <v>884517.29019495111</v>
      </c>
      <c r="GY151" s="99">
        <v>1440056.4124531434</v>
      </c>
      <c r="GZ151" s="99">
        <v>1299554.3461869673</v>
      </c>
      <c r="HA151" s="99">
        <v>1593297.9420534465</v>
      </c>
      <c r="HB151" s="99">
        <v>1750578.2346627689</v>
      </c>
      <c r="HC151" s="99">
        <v>1433385.4798710085</v>
      </c>
      <c r="HD151" s="99">
        <v>836417.87805496564</v>
      </c>
      <c r="HE151" s="99">
        <v>1235695.300946191</v>
      </c>
      <c r="HF151" s="99">
        <v>1738060.5917069868</v>
      </c>
      <c r="HG151" s="99">
        <v>1943806.0404246042</v>
      </c>
      <c r="HH151" s="99">
        <v>2784083.1479382282</v>
      </c>
      <c r="HI151" s="99">
        <v>1691522.0828313294</v>
      </c>
      <c r="HJ151" s="99">
        <v>884517.29019495111</v>
      </c>
      <c r="HK151" s="99">
        <v>1440056.4124531434</v>
      </c>
      <c r="HL151" s="99">
        <v>1299554.3461869673</v>
      </c>
      <c r="HM151" s="99">
        <v>1593297.9420534465</v>
      </c>
      <c r="HN151" s="99">
        <v>1750578.2346627689</v>
      </c>
      <c r="HO151" s="99">
        <v>1433385.4798710085</v>
      </c>
      <c r="HP151" s="99">
        <v>836417.87805496564</v>
      </c>
      <c r="HQ151" s="99">
        <v>1235695.300946191</v>
      </c>
      <c r="HR151" s="99">
        <v>1738060.5917069868</v>
      </c>
      <c r="HS151" s="99">
        <v>1943806.0404246042</v>
      </c>
      <c r="HT151" s="99">
        <v>2784083.1479382282</v>
      </c>
      <c r="HU151" s="99">
        <v>1691522.0828313294</v>
      </c>
      <c r="HV151" s="99">
        <v>884517.29019495111</v>
      </c>
      <c r="HW151" s="99">
        <v>1440056.4124531434</v>
      </c>
      <c r="HX151" s="99">
        <v>1299554.3461869673</v>
      </c>
      <c r="HY151" s="99">
        <v>1593297.9420534465</v>
      </c>
      <c r="HZ151" s="99">
        <v>1750578.2346627689</v>
      </c>
      <c r="IA151" s="99">
        <v>1433385.4798710085</v>
      </c>
      <c r="IB151" s="99">
        <v>836417.87805496564</v>
      </c>
      <c r="IC151" s="99">
        <v>1235695.300946191</v>
      </c>
      <c r="ID151" s="99">
        <v>1738060.5917069868</v>
      </c>
      <c r="IE151" s="99">
        <v>1943806.0404246042</v>
      </c>
      <c r="IF151" s="99">
        <v>2784083.1479382282</v>
      </c>
      <c r="IG151" s="99">
        <v>1691522.0828313294</v>
      </c>
      <c r="IH151" s="99">
        <v>884517.29019495111</v>
      </c>
      <c r="II151" s="99">
        <v>1440056.4124531434</v>
      </c>
      <c r="IJ151" s="99">
        <v>1299554.3461869673</v>
      </c>
      <c r="IK151" s="99">
        <v>1593297.9420534465</v>
      </c>
      <c r="IL151" s="99">
        <v>1750578.2346627689</v>
      </c>
      <c r="IM151" s="99">
        <v>1433385.4798710085</v>
      </c>
      <c r="IN151" s="99">
        <v>836417.87805496564</v>
      </c>
      <c r="IO151" s="99">
        <v>1235695.300946191</v>
      </c>
      <c r="IP151" s="99">
        <v>1738060.5917069868</v>
      </c>
      <c r="IQ151" s="99">
        <v>1943806.0404246042</v>
      </c>
      <c r="IR151" s="99">
        <v>2784083.1479382282</v>
      </c>
      <c r="IS151" s="99">
        <v>1691522.0828313294</v>
      </c>
      <c r="IT151" s="99">
        <v>884517.29019495111</v>
      </c>
      <c r="IU151" s="99">
        <v>1440056.4124531434</v>
      </c>
      <c r="IV151" s="99">
        <v>1299554.3461869673</v>
      </c>
      <c r="IW151" s="99">
        <v>1593297.9420534465</v>
      </c>
      <c r="IX151" s="99">
        <v>1750578.2346627689</v>
      </c>
      <c r="IY151" s="99">
        <v>1433385.4798710085</v>
      </c>
      <c r="IZ151" s="99">
        <v>836417.87805496564</v>
      </c>
      <c r="JA151" s="99">
        <v>1235695.300946191</v>
      </c>
      <c r="JB151" s="99">
        <v>1738060.5917069868</v>
      </c>
      <c r="JC151" s="99">
        <v>1943806.0404246042</v>
      </c>
      <c r="JD151" s="99">
        <v>2784083.1479382282</v>
      </c>
      <c r="JE151" s="99">
        <v>1691522.0828313294</v>
      </c>
      <c r="JF151" s="99">
        <v>884517.29019495111</v>
      </c>
      <c r="JG151" s="99">
        <v>1440056.4124531434</v>
      </c>
      <c r="JH151" s="99">
        <v>1299554.3461869673</v>
      </c>
      <c r="JI151" s="99">
        <v>1593297.9420534465</v>
      </c>
      <c r="JJ151" s="99">
        <v>1750578.2346627689</v>
      </c>
      <c r="JK151" s="99">
        <v>1433385.4798710085</v>
      </c>
      <c r="JL151" s="99">
        <v>836417.87805496564</v>
      </c>
      <c r="JM151" s="99">
        <v>1235695.300946191</v>
      </c>
      <c r="JN151" s="99">
        <v>1738060.5917069868</v>
      </c>
      <c r="JO151" s="99">
        <v>1943806.0404246042</v>
      </c>
      <c r="JP151" s="99">
        <v>2784083.1479382282</v>
      </c>
      <c r="JQ151" s="99">
        <v>1691522.0828313294</v>
      </c>
      <c r="JR151" s="99">
        <v>884517.29019495111</v>
      </c>
      <c r="JS151" s="99">
        <v>1440056.4124531434</v>
      </c>
      <c r="JT151" s="99">
        <v>1299554.3461869673</v>
      </c>
      <c r="JU151" s="99">
        <v>1593297.9420534465</v>
      </c>
      <c r="JV151" s="99">
        <v>1750578.2346627689</v>
      </c>
      <c r="JW151" s="99">
        <v>1433385.4798710085</v>
      </c>
      <c r="JX151" s="99">
        <v>836417.87805496564</v>
      </c>
      <c r="JY151" s="99">
        <v>1235695.300946191</v>
      </c>
      <c r="JZ151" s="99">
        <v>1738060.5917069868</v>
      </c>
      <c r="KA151" s="99">
        <v>1943806.0404246042</v>
      </c>
      <c r="KB151" s="99">
        <v>2784083.1479382282</v>
      </c>
      <c r="KC151" s="99">
        <v>1691522.0828313294</v>
      </c>
      <c r="KD151" s="99">
        <v>884517.29019495111</v>
      </c>
      <c r="KE151" s="99">
        <v>1440056.4124531434</v>
      </c>
      <c r="KF151" s="99">
        <v>1299554.3461869673</v>
      </c>
      <c r="KG151" s="99">
        <v>1593297.9420534465</v>
      </c>
      <c r="KH151" s="99">
        <v>1750578.2346627689</v>
      </c>
      <c r="KI151" s="99">
        <v>1433385.4798710085</v>
      </c>
      <c r="KJ151" s="99">
        <v>836417.87805496564</v>
      </c>
      <c r="KK151" s="99">
        <v>1235695.300946191</v>
      </c>
      <c r="KL151" s="99">
        <v>1738060.5917069868</v>
      </c>
      <c r="KM151" s="99">
        <v>1943806.0404246042</v>
      </c>
      <c r="KN151" s="99">
        <v>2784083.1479382282</v>
      </c>
      <c r="KO151" s="99">
        <v>1691522.0828313294</v>
      </c>
      <c r="KP151" s="99">
        <v>884517.29019495111</v>
      </c>
      <c r="KQ151" s="99">
        <v>1440056.4124531434</v>
      </c>
      <c r="KR151" s="99">
        <v>1299554.3461869673</v>
      </c>
      <c r="KS151" s="99">
        <v>1593297.9420534465</v>
      </c>
      <c r="KT151" s="99">
        <v>1750578.2346627689</v>
      </c>
      <c r="KU151" s="99">
        <v>1433385.4798710085</v>
      </c>
      <c r="KV151" s="99">
        <v>836417.87805496564</v>
      </c>
      <c r="KW151" s="99">
        <v>1235695.300946191</v>
      </c>
      <c r="KX151" s="99">
        <v>1738060.5917069868</v>
      </c>
      <c r="KY151" s="99">
        <v>1943806.0404246042</v>
      </c>
      <c r="KZ151" s="99">
        <v>2784083.1479382282</v>
      </c>
      <c r="LA151" s="99">
        <v>1691522.0828313294</v>
      </c>
      <c r="LB151" s="99">
        <v>884517.29019495111</v>
      </c>
      <c r="LC151" s="99">
        <v>1440056.4124531434</v>
      </c>
      <c r="LD151" s="99">
        <v>1299554.3461869673</v>
      </c>
      <c r="LE151" s="99">
        <v>1593297.9420534465</v>
      </c>
      <c r="LF151" s="99">
        <v>1750578.2346627689</v>
      </c>
      <c r="LG151" s="99">
        <v>1433385.4798710085</v>
      </c>
      <c r="LH151" s="99">
        <v>836417.87805496564</v>
      </c>
      <c r="LI151" s="99">
        <v>1235695.300946191</v>
      </c>
      <c r="LJ151" s="99">
        <v>1738060.5917069868</v>
      </c>
      <c r="LK151" s="99">
        <v>1943806.0404246042</v>
      </c>
      <c r="LL151" s="99">
        <v>2784083.1479382282</v>
      </c>
      <c r="LM151" s="99">
        <v>1691522.0828313294</v>
      </c>
      <c r="LN151" s="99">
        <v>884517.29019495111</v>
      </c>
      <c r="LO151" s="99">
        <v>1440056.4124531434</v>
      </c>
      <c r="LP151" s="99">
        <v>1299554.3461869673</v>
      </c>
      <c r="LQ151" s="99">
        <v>1593297.9420534465</v>
      </c>
      <c r="LR151" s="99">
        <v>1750578.2346627689</v>
      </c>
      <c r="LS151" s="99">
        <v>1433385.4798710085</v>
      </c>
      <c r="LT151" s="99">
        <v>836417.87805496564</v>
      </c>
      <c r="LU151" s="99">
        <v>1235695.300946191</v>
      </c>
      <c r="LV151" s="99">
        <v>1738060.5917069868</v>
      </c>
      <c r="LW151" s="99">
        <v>1943806.0404246042</v>
      </c>
      <c r="LX151" s="99">
        <v>2784083.1479382282</v>
      </c>
      <c r="LY151" s="99">
        <v>1691522.0828313294</v>
      </c>
      <c r="LZ151" s="99">
        <v>884517.29019495111</v>
      </c>
      <c r="MA151" s="99">
        <v>1440056.4124531434</v>
      </c>
      <c r="MB151" s="99">
        <v>1299554.3461869673</v>
      </c>
      <c r="MC151" s="99">
        <v>1593297.9420534465</v>
      </c>
      <c r="MD151" s="99">
        <v>1750578.2346627689</v>
      </c>
      <c r="ME151" s="99">
        <v>1433385.4798710085</v>
      </c>
      <c r="MF151" s="99">
        <v>836417.87805496564</v>
      </c>
      <c r="MG151" s="99">
        <v>1235695.300946191</v>
      </c>
      <c r="MH151" s="99">
        <v>1738060.5917069868</v>
      </c>
      <c r="MI151" s="99">
        <v>1943806.0404246042</v>
      </c>
      <c r="MJ151" s="99">
        <v>2784083.1479382282</v>
      </c>
      <c r="MK151" s="99">
        <v>1691522.0828313294</v>
      </c>
      <c r="ML151" s="99">
        <v>884517.29019495111</v>
      </c>
      <c r="MM151" s="99">
        <v>1440056.4124531434</v>
      </c>
      <c r="MN151" s="99">
        <v>1299554.3461869673</v>
      </c>
      <c r="MO151" s="99">
        <v>1593297.9420534465</v>
      </c>
      <c r="MP151" s="99">
        <v>1750578.2346627689</v>
      </c>
      <c r="MQ151" s="99">
        <v>1433385.4798710085</v>
      </c>
      <c r="MR151" s="99">
        <v>836417.87805496564</v>
      </c>
      <c r="MS151" s="99">
        <v>1235695.300946191</v>
      </c>
      <c r="MT151" s="99">
        <v>1738060.5917069868</v>
      </c>
      <c r="MU151" s="99">
        <v>1943806.0404246042</v>
      </c>
      <c r="MV151" s="99">
        <v>2784083.1479382282</v>
      </c>
      <c r="MW151" s="99">
        <v>1691522.0828313294</v>
      </c>
      <c r="MX151" s="99">
        <v>884517.29019495111</v>
      </c>
      <c r="MY151" s="99">
        <v>1440056.4124531434</v>
      </c>
      <c r="MZ151" s="99">
        <v>1299554.3461869673</v>
      </c>
      <c r="NA151" s="99">
        <v>1593297.9420534465</v>
      </c>
      <c r="NB151" s="99">
        <v>1750578.2346627689</v>
      </c>
      <c r="NC151" s="99">
        <v>1433385.4798710085</v>
      </c>
      <c r="ND151" s="99">
        <v>836417.87805496564</v>
      </c>
      <c r="NE151" s="99">
        <v>1235695.300946191</v>
      </c>
      <c r="NF151" s="99">
        <v>1738060.5917069868</v>
      </c>
      <c r="NG151" s="99">
        <v>1943806.0404246042</v>
      </c>
      <c r="NH151" s="99">
        <v>2784083.1479382282</v>
      </c>
      <c r="NI151" s="99">
        <v>1691522.0828313294</v>
      </c>
      <c r="NJ151" s="99">
        <v>884517.29019495111</v>
      </c>
      <c r="NK151" s="99">
        <v>1440056.4124531434</v>
      </c>
      <c r="NL151" s="99">
        <v>1299554.3461869673</v>
      </c>
      <c r="NM151" s="99">
        <v>1593297.9420534465</v>
      </c>
      <c r="NN151" s="99">
        <v>1750578.2346627689</v>
      </c>
      <c r="NO151" s="99">
        <v>1433385.4798710085</v>
      </c>
      <c r="NP151" s="99">
        <v>836417.87805496564</v>
      </c>
      <c r="NQ151" s="99">
        <v>1235695.300946191</v>
      </c>
      <c r="NR151" s="99">
        <v>1738060.5917069868</v>
      </c>
      <c r="NS151" s="99">
        <v>1943806.0404246042</v>
      </c>
      <c r="NT151" s="99">
        <v>2784083.1479382282</v>
      </c>
      <c r="NU151" s="99">
        <v>1691522.0828313294</v>
      </c>
      <c r="NV151" s="99">
        <v>884517.29019495111</v>
      </c>
      <c r="NW151" s="99">
        <v>1440056.4124531434</v>
      </c>
      <c r="NX151" s="99">
        <v>1299554.3461869673</v>
      </c>
      <c r="NY151" s="99">
        <v>1593297.9420534465</v>
      </c>
      <c r="NZ151" s="99">
        <v>1750578.2346627689</v>
      </c>
      <c r="OA151" s="99">
        <v>1433385.4798710085</v>
      </c>
      <c r="OB151" s="99">
        <v>836417.87805496564</v>
      </c>
      <c r="OC151" s="99">
        <v>1235695.300946191</v>
      </c>
      <c r="OD151" s="99">
        <v>1738060.5917069868</v>
      </c>
      <c r="OE151" s="99">
        <v>1943806.0404246042</v>
      </c>
    </row>
    <row r="152" spans="4:395" x14ac:dyDescent="0.3">
      <c r="E152" s="7"/>
      <c r="K152" s="76"/>
      <c r="L152" s="66"/>
      <c r="M152" s="77"/>
      <c r="N152" s="37" t="s">
        <v>219</v>
      </c>
      <c r="O152" s="93">
        <f>SUM(_xlfn.ANCHORARRAY(Q152))</f>
        <v>536991952.58518016</v>
      </c>
      <c r="P152" s="39" t="s">
        <v>81</v>
      </c>
      <c r="Q152" s="93" cm="1">
        <f t="array" ref="Q152:OE152">_xlfn.ANCHORARRAY(Q151)</f>
        <v>0</v>
      </c>
      <c r="R152" s="93">
        <v>0</v>
      </c>
      <c r="S152" s="93">
        <v>0</v>
      </c>
      <c r="T152" s="93">
        <v>0</v>
      </c>
      <c r="U152" s="93">
        <v>0</v>
      </c>
      <c r="V152" s="93">
        <v>0</v>
      </c>
      <c r="W152" s="93">
        <v>0</v>
      </c>
      <c r="X152" s="93">
        <v>0</v>
      </c>
      <c r="Y152" s="93">
        <v>0</v>
      </c>
      <c r="Z152" s="93">
        <v>0</v>
      </c>
      <c r="AA152" s="93">
        <v>0</v>
      </c>
      <c r="AB152" s="93">
        <v>0</v>
      </c>
      <c r="AC152" s="93">
        <v>0</v>
      </c>
      <c r="AD152" s="93">
        <v>0</v>
      </c>
      <c r="AE152" s="93">
        <v>0</v>
      </c>
      <c r="AF152" s="93">
        <v>0</v>
      </c>
      <c r="AG152" s="93">
        <v>0</v>
      </c>
      <c r="AH152" s="93">
        <v>0</v>
      </c>
      <c r="AI152" s="93">
        <v>0</v>
      </c>
      <c r="AJ152" s="93">
        <v>0</v>
      </c>
      <c r="AK152" s="93">
        <v>0</v>
      </c>
      <c r="AL152" s="93">
        <v>0</v>
      </c>
      <c r="AM152" s="93">
        <v>0</v>
      </c>
      <c r="AN152" s="93">
        <v>0</v>
      </c>
      <c r="AO152" s="93">
        <v>0</v>
      </c>
      <c r="AP152" s="93">
        <v>0</v>
      </c>
      <c r="AQ152" s="93">
        <v>0</v>
      </c>
      <c r="AR152" s="93">
        <v>0</v>
      </c>
      <c r="AS152" s="93">
        <v>0</v>
      </c>
      <c r="AT152" s="93">
        <v>0</v>
      </c>
      <c r="AU152" s="93">
        <v>0</v>
      </c>
      <c r="AV152" s="93">
        <v>556816.62958764553</v>
      </c>
      <c r="AW152" s="93">
        <v>789376.97198795353</v>
      </c>
      <c r="AX152" s="93">
        <v>707613.83215596073</v>
      </c>
      <c r="AY152" s="93">
        <v>1440056.4124531434</v>
      </c>
      <c r="AZ152" s="93">
        <v>1299554.3461869673</v>
      </c>
      <c r="BA152" s="93">
        <v>1593297.9420534465</v>
      </c>
      <c r="BB152" s="93">
        <v>1750578.2346627689</v>
      </c>
      <c r="BC152" s="93">
        <v>1433385.4798710085</v>
      </c>
      <c r="BD152" s="93">
        <v>836417.87805496564</v>
      </c>
      <c r="BE152" s="93">
        <v>1235695.300946191</v>
      </c>
      <c r="BF152" s="93">
        <v>1738060.5917069868</v>
      </c>
      <c r="BG152" s="93">
        <v>1943806.0404246042</v>
      </c>
      <c r="BH152" s="93">
        <v>2784083.1479382282</v>
      </c>
      <c r="BI152" s="93">
        <v>1691522.0828313294</v>
      </c>
      <c r="BJ152" s="93">
        <v>884517.29019495111</v>
      </c>
      <c r="BK152" s="93">
        <v>1440056.4124531434</v>
      </c>
      <c r="BL152" s="93">
        <v>1299554.3461869673</v>
      </c>
      <c r="BM152" s="93">
        <v>1593297.9420534465</v>
      </c>
      <c r="BN152" s="93">
        <v>1750578.2346627689</v>
      </c>
      <c r="BO152" s="93">
        <v>1433385.4798710085</v>
      </c>
      <c r="BP152" s="93">
        <v>836417.87805496564</v>
      </c>
      <c r="BQ152" s="93">
        <v>1235695.300946191</v>
      </c>
      <c r="BR152" s="93">
        <v>1738060.5917069868</v>
      </c>
      <c r="BS152" s="93">
        <v>1943806.0404246042</v>
      </c>
      <c r="BT152" s="93">
        <v>2784083.1479382282</v>
      </c>
      <c r="BU152" s="93">
        <v>1691522.0828313294</v>
      </c>
      <c r="BV152" s="93">
        <v>884517.29019495111</v>
      </c>
      <c r="BW152" s="93">
        <v>1440056.4124531434</v>
      </c>
      <c r="BX152" s="93">
        <v>1299554.3461869673</v>
      </c>
      <c r="BY152" s="93">
        <v>1593297.9420534465</v>
      </c>
      <c r="BZ152" s="93">
        <v>1750578.2346627689</v>
      </c>
      <c r="CA152" s="93">
        <v>1433385.4798710085</v>
      </c>
      <c r="CB152" s="93">
        <v>836417.87805496564</v>
      </c>
      <c r="CC152" s="93">
        <v>1235695.300946191</v>
      </c>
      <c r="CD152" s="93">
        <v>1738060.5917069868</v>
      </c>
      <c r="CE152" s="93">
        <v>1943806.0404246042</v>
      </c>
      <c r="CF152" s="93">
        <v>2784083.1479382282</v>
      </c>
      <c r="CG152" s="93">
        <v>1691522.0828313294</v>
      </c>
      <c r="CH152" s="93">
        <v>884517.29019495111</v>
      </c>
      <c r="CI152" s="93">
        <v>1440056.4124531434</v>
      </c>
      <c r="CJ152" s="93">
        <v>1299554.3461869673</v>
      </c>
      <c r="CK152" s="93">
        <v>1593297.9420534465</v>
      </c>
      <c r="CL152" s="93">
        <v>1750578.2346627689</v>
      </c>
      <c r="CM152" s="93">
        <v>1433385.4798710085</v>
      </c>
      <c r="CN152" s="93">
        <v>836417.87805496564</v>
      </c>
      <c r="CO152" s="93">
        <v>1235695.300946191</v>
      </c>
      <c r="CP152" s="93">
        <v>1738060.5917069868</v>
      </c>
      <c r="CQ152" s="93">
        <v>1943806.0404246042</v>
      </c>
      <c r="CR152" s="93">
        <v>2784083.1479382282</v>
      </c>
      <c r="CS152" s="93">
        <v>1691522.0828313294</v>
      </c>
      <c r="CT152" s="93">
        <v>884517.29019495111</v>
      </c>
      <c r="CU152" s="93">
        <v>1440056.4124531434</v>
      </c>
      <c r="CV152" s="93">
        <v>1299554.3461869673</v>
      </c>
      <c r="CW152" s="93">
        <v>1593297.9420534465</v>
      </c>
      <c r="CX152" s="93">
        <v>1750578.2346627689</v>
      </c>
      <c r="CY152" s="93">
        <v>1433385.4798710085</v>
      </c>
      <c r="CZ152" s="93">
        <v>836417.87805496564</v>
      </c>
      <c r="DA152" s="93">
        <v>1235695.300946191</v>
      </c>
      <c r="DB152" s="93">
        <v>1738060.5917069868</v>
      </c>
      <c r="DC152" s="93">
        <v>1943806.0404246042</v>
      </c>
      <c r="DD152" s="93">
        <v>2784083.1479382282</v>
      </c>
      <c r="DE152" s="93">
        <v>1691522.0828313294</v>
      </c>
      <c r="DF152" s="93">
        <v>884517.29019495111</v>
      </c>
      <c r="DG152" s="93">
        <v>1440056.4124531434</v>
      </c>
      <c r="DH152" s="93">
        <v>1299554.3461869673</v>
      </c>
      <c r="DI152" s="93">
        <v>1593297.9420534465</v>
      </c>
      <c r="DJ152" s="93">
        <v>1750578.2346627689</v>
      </c>
      <c r="DK152" s="93">
        <v>1433385.4798710085</v>
      </c>
      <c r="DL152" s="93">
        <v>836417.87805496564</v>
      </c>
      <c r="DM152" s="93">
        <v>1235695.300946191</v>
      </c>
      <c r="DN152" s="93">
        <v>1738060.5917069868</v>
      </c>
      <c r="DO152" s="93">
        <v>1943806.0404246042</v>
      </c>
      <c r="DP152" s="93">
        <v>2784083.1479382282</v>
      </c>
      <c r="DQ152" s="93">
        <v>1691522.0828313294</v>
      </c>
      <c r="DR152" s="93">
        <v>884517.29019495111</v>
      </c>
      <c r="DS152" s="93">
        <v>1440056.4124531434</v>
      </c>
      <c r="DT152" s="93">
        <v>1299554.3461869673</v>
      </c>
      <c r="DU152" s="93">
        <v>1593297.9420534465</v>
      </c>
      <c r="DV152" s="93">
        <v>1750578.2346627689</v>
      </c>
      <c r="DW152" s="93">
        <v>1433385.4798710085</v>
      </c>
      <c r="DX152" s="93">
        <v>836417.87805496564</v>
      </c>
      <c r="DY152" s="93">
        <v>1235695.300946191</v>
      </c>
      <c r="DZ152" s="93">
        <v>1738060.5917069868</v>
      </c>
      <c r="EA152" s="93">
        <v>1943806.0404246042</v>
      </c>
      <c r="EB152" s="93">
        <v>2784083.1479382282</v>
      </c>
      <c r="EC152" s="93">
        <v>1691522.0828313294</v>
      </c>
      <c r="ED152" s="93">
        <v>884517.29019495111</v>
      </c>
      <c r="EE152" s="93">
        <v>1440056.4124531434</v>
      </c>
      <c r="EF152" s="93">
        <v>1299554.3461869673</v>
      </c>
      <c r="EG152" s="93">
        <v>1593297.9420534465</v>
      </c>
      <c r="EH152" s="93">
        <v>1750578.2346627689</v>
      </c>
      <c r="EI152" s="93">
        <v>1433385.4798710085</v>
      </c>
      <c r="EJ152" s="93">
        <v>836417.87805496564</v>
      </c>
      <c r="EK152" s="93">
        <v>1235695.300946191</v>
      </c>
      <c r="EL152" s="93">
        <v>1738060.5917069868</v>
      </c>
      <c r="EM152" s="93">
        <v>1943806.0404246042</v>
      </c>
      <c r="EN152" s="93">
        <v>2784083.1479382282</v>
      </c>
      <c r="EO152" s="93">
        <v>1691522.0828313294</v>
      </c>
      <c r="EP152" s="93">
        <v>884517.29019495111</v>
      </c>
      <c r="EQ152" s="93">
        <v>1440056.4124531434</v>
      </c>
      <c r="ER152" s="93">
        <v>1299554.3461869673</v>
      </c>
      <c r="ES152" s="93">
        <v>1593297.9420534465</v>
      </c>
      <c r="ET152" s="93">
        <v>1750578.2346627689</v>
      </c>
      <c r="EU152" s="93">
        <v>1433385.4798710085</v>
      </c>
      <c r="EV152" s="93">
        <v>836417.87805496564</v>
      </c>
      <c r="EW152" s="93">
        <v>1235695.300946191</v>
      </c>
      <c r="EX152" s="93">
        <v>1738060.5917069868</v>
      </c>
      <c r="EY152" s="93">
        <v>1943806.0404246042</v>
      </c>
      <c r="EZ152" s="93">
        <v>2784083.1479382282</v>
      </c>
      <c r="FA152" s="93">
        <v>1691522.0828313294</v>
      </c>
      <c r="FB152" s="93">
        <v>884517.29019495111</v>
      </c>
      <c r="FC152" s="93">
        <v>1440056.4124531434</v>
      </c>
      <c r="FD152" s="93">
        <v>1299554.3461869673</v>
      </c>
      <c r="FE152" s="93">
        <v>1593297.9420534465</v>
      </c>
      <c r="FF152" s="93">
        <v>1750578.2346627689</v>
      </c>
      <c r="FG152" s="93">
        <v>1433385.4798710085</v>
      </c>
      <c r="FH152" s="93">
        <v>836417.87805496564</v>
      </c>
      <c r="FI152" s="93">
        <v>1235695.300946191</v>
      </c>
      <c r="FJ152" s="93">
        <v>1738060.5917069868</v>
      </c>
      <c r="FK152" s="93">
        <v>1943806.0404246042</v>
      </c>
      <c r="FL152" s="93">
        <v>2784083.1479382282</v>
      </c>
      <c r="FM152" s="93">
        <v>1691522.0828313294</v>
      </c>
      <c r="FN152" s="93">
        <v>884517.29019495111</v>
      </c>
      <c r="FO152" s="93">
        <v>1440056.4124531434</v>
      </c>
      <c r="FP152" s="93">
        <v>1299554.3461869673</v>
      </c>
      <c r="FQ152" s="93">
        <v>1593297.9420534465</v>
      </c>
      <c r="FR152" s="93">
        <v>1750578.2346627689</v>
      </c>
      <c r="FS152" s="93">
        <v>1433385.4798710085</v>
      </c>
      <c r="FT152" s="93">
        <v>836417.87805496564</v>
      </c>
      <c r="FU152" s="93">
        <v>1235695.300946191</v>
      </c>
      <c r="FV152" s="93">
        <v>1738060.5917069868</v>
      </c>
      <c r="FW152" s="93">
        <v>1943806.0404246042</v>
      </c>
      <c r="FX152" s="93">
        <v>2784083.1479382282</v>
      </c>
      <c r="FY152" s="93">
        <v>1691522.0828313294</v>
      </c>
      <c r="FZ152" s="93">
        <v>884517.29019495111</v>
      </c>
      <c r="GA152" s="93">
        <v>1440056.4124531434</v>
      </c>
      <c r="GB152" s="93">
        <v>1299554.3461869673</v>
      </c>
      <c r="GC152" s="93">
        <v>1593297.9420534465</v>
      </c>
      <c r="GD152" s="93">
        <v>1750578.2346627689</v>
      </c>
      <c r="GE152" s="93">
        <v>1433385.4798710085</v>
      </c>
      <c r="GF152" s="93">
        <v>836417.87805496564</v>
      </c>
      <c r="GG152" s="93">
        <v>1235695.300946191</v>
      </c>
      <c r="GH152" s="93">
        <v>1738060.5917069868</v>
      </c>
      <c r="GI152" s="93">
        <v>1943806.0404246042</v>
      </c>
      <c r="GJ152" s="93">
        <v>2784083.1479382282</v>
      </c>
      <c r="GK152" s="93">
        <v>1691522.0828313294</v>
      </c>
      <c r="GL152" s="93">
        <v>884517.29019495111</v>
      </c>
      <c r="GM152" s="93">
        <v>1440056.4124531434</v>
      </c>
      <c r="GN152" s="93">
        <v>1299554.3461869673</v>
      </c>
      <c r="GO152" s="93">
        <v>1593297.9420534465</v>
      </c>
      <c r="GP152" s="93">
        <v>1750578.2346627689</v>
      </c>
      <c r="GQ152" s="93">
        <v>1433385.4798710085</v>
      </c>
      <c r="GR152" s="93">
        <v>836417.87805496564</v>
      </c>
      <c r="GS152" s="93">
        <v>1235695.300946191</v>
      </c>
      <c r="GT152" s="93">
        <v>1738060.5917069868</v>
      </c>
      <c r="GU152" s="93">
        <v>1943806.0404246042</v>
      </c>
      <c r="GV152" s="93">
        <v>2784083.1479382282</v>
      </c>
      <c r="GW152" s="93">
        <v>1691522.0828313294</v>
      </c>
      <c r="GX152" s="93">
        <v>884517.29019495111</v>
      </c>
      <c r="GY152" s="93">
        <v>1440056.4124531434</v>
      </c>
      <c r="GZ152" s="93">
        <v>1299554.3461869673</v>
      </c>
      <c r="HA152" s="93">
        <v>1593297.9420534465</v>
      </c>
      <c r="HB152" s="93">
        <v>1750578.2346627689</v>
      </c>
      <c r="HC152" s="93">
        <v>1433385.4798710085</v>
      </c>
      <c r="HD152" s="93">
        <v>836417.87805496564</v>
      </c>
      <c r="HE152" s="93">
        <v>1235695.300946191</v>
      </c>
      <c r="HF152" s="93">
        <v>1738060.5917069868</v>
      </c>
      <c r="HG152" s="93">
        <v>1943806.0404246042</v>
      </c>
      <c r="HH152" s="93">
        <v>2784083.1479382282</v>
      </c>
      <c r="HI152" s="93">
        <v>1691522.0828313294</v>
      </c>
      <c r="HJ152" s="93">
        <v>884517.29019495111</v>
      </c>
      <c r="HK152" s="93">
        <v>1440056.4124531434</v>
      </c>
      <c r="HL152" s="93">
        <v>1299554.3461869673</v>
      </c>
      <c r="HM152" s="93">
        <v>1593297.9420534465</v>
      </c>
      <c r="HN152" s="93">
        <v>1750578.2346627689</v>
      </c>
      <c r="HO152" s="93">
        <v>1433385.4798710085</v>
      </c>
      <c r="HP152" s="93">
        <v>836417.87805496564</v>
      </c>
      <c r="HQ152" s="93">
        <v>1235695.300946191</v>
      </c>
      <c r="HR152" s="93">
        <v>1738060.5917069868</v>
      </c>
      <c r="HS152" s="93">
        <v>1943806.0404246042</v>
      </c>
      <c r="HT152" s="93">
        <v>2784083.1479382282</v>
      </c>
      <c r="HU152" s="93">
        <v>1691522.0828313294</v>
      </c>
      <c r="HV152" s="93">
        <v>884517.29019495111</v>
      </c>
      <c r="HW152" s="93">
        <v>1440056.4124531434</v>
      </c>
      <c r="HX152" s="93">
        <v>1299554.3461869673</v>
      </c>
      <c r="HY152" s="93">
        <v>1593297.9420534465</v>
      </c>
      <c r="HZ152" s="93">
        <v>1750578.2346627689</v>
      </c>
      <c r="IA152" s="93">
        <v>1433385.4798710085</v>
      </c>
      <c r="IB152" s="93">
        <v>836417.87805496564</v>
      </c>
      <c r="IC152" s="93">
        <v>1235695.300946191</v>
      </c>
      <c r="ID152" s="93">
        <v>1738060.5917069868</v>
      </c>
      <c r="IE152" s="93">
        <v>1943806.0404246042</v>
      </c>
      <c r="IF152" s="93">
        <v>2784083.1479382282</v>
      </c>
      <c r="IG152" s="93">
        <v>1691522.0828313294</v>
      </c>
      <c r="IH152" s="93">
        <v>884517.29019495111</v>
      </c>
      <c r="II152" s="93">
        <v>1440056.4124531434</v>
      </c>
      <c r="IJ152" s="93">
        <v>1299554.3461869673</v>
      </c>
      <c r="IK152" s="93">
        <v>1593297.9420534465</v>
      </c>
      <c r="IL152" s="93">
        <v>1750578.2346627689</v>
      </c>
      <c r="IM152" s="93">
        <v>1433385.4798710085</v>
      </c>
      <c r="IN152" s="93">
        <v>836417.87805496564</v>
      </c>
      <c r="IO152" s="93">
        <v>1235695.300946191</v>
      </c>
      <c r="IP152" s="93">
        <v>1738060.5917069868</v>
      </c>
      <c r="IQ152" s="93">
        <v>1943806.0404246042</v>
      </c>
      <c r="IR152" s="93">
        <v>2784083.1479382282</v>
      </c>
      <c r="IS152" s="93">
        <v>1691522.0828313294</v>
      </c>
      <c r="IT152" s="93">
        <v>884517.29019495111</v>
      </c>
      <c r="IU152" s="93">
        <v>1440056.4124531434</v>
      </c>
      <c r="IV152" s="93">
        <v>1299554.3461869673</v>
      </c>
      <c r="IW152" s="93">
        <v>1593297.9420534465</v>
      </c>
      <c r="IX152" s="93">
        <v>1750578.2346627689</v>
      </c>
      <c r="IY152" s="93">
        <v>1433385.4798710085</v>
      </c>
      <c r="IZ152" s="93">
        <v>836417.87805496564</v>
      </c>
      <c r="JA152" s="93">
        <v>1235695.300946191</v>
      </c>
      <c r="JB152" s="93">
        <v>1738060.5917069868</v>
      </c>
      <c r="JC152" s="93">
        <v>1943806.0404246042</v>
      </c>
      <c r="JD152" s="93">
        <v>2784083.1479382282</v>
      </c>
      <c r="JE152" s="93">
        <v>1691522.0828313294</v>
      </c>
      <c r="JF152" s="93">
        <v>884517.29019495111</v>
      </c>
      <c r="JG152" s="93">
        <v>1440056.4124531434</v>
      </c>
      <c r="JH152" s="93">
        <v>1299554.3461869673</v>
      </c>
      <c r="JI152" s="93">
        <v>1593297.9420534465</v>
      </c>
      <c r="JJ152" s="93">
        <v>1750578.2346627689</v>
      </c>
      <c r="JK152" s="93">
        <v>1433385.4798710085</v>
      </c>
      <c r="JL152" s="93">
        <v>836417.87805496564</v>
      </c>
      <c r="JM152" s="93">
        <v>1235695.300946191</v>
      </c>
      <c r="JN152" s="93">
        <v>1738060.5917069868</v>
      </c>
      <c r="JO152" s="93">
        <v>1943806.0404246042</v>
      </c>
      <c r="JP152" s="93">
        <v>2784083.1479382282</v>
      </c>
      <c r="JQ152" s="93">
        <v>1691522.0828313294</v>
      </c>
      <c r="JR152" s="93">
        <v>884517.29019495111</v>
      </c>
      <c r="JS152" s="93">
        <v>1440056.4124531434</v>
      </c>
      <c r="JT152" s="93">
        <v>1299554.3461869673</v>
      </c>
      <c r="JU152" s="93">
        <v>1593297.9420534465</v>
      </c>
      <c r="JV152" s="93">
        <v>1750578.2346627689</v>
      </c>
      <c r="JW152" s="93">
        <v>1433385.4798710085</v>
      </c>
      <c r="JX152" s="93">
        <v>836417.87805496564</v>
      </c>
      <c r="JY152" s="93">
        <v>1235695.300946191</v>
      </c>
      <c r="JZ152" s="93">
        <v>1738060.5917069868</v>
      </c>
      <c r="KA152" s="93">
        <v>1943806.0404246042</v>
      </c>
      <c r="KB152" s="93">
        <v>2784083.1479382282</v>
      </c>
      <c r="KC152" s="93">
        <v>1691522.0828313294</v>
      </c>
      <c r="KD152" s="93">
        <v>884517.29019495111</v>
      </c>
      <c r="KE152" s="93">
        <v>1440056.4124531434</v>
      </c>
      <c r="KF152" s="93">
        <v>1299554.3461869673</v>
      </c>
      <c r="KG152" s="93">
        <v>1593297.9420534465</v>
      </c>
      <c r="KH152" s="93">
        <v>1750578.2346627689</v>
      </c>
      <c r="KI152" s="93">
        <v>1433385.4798710085</v>
      </c>
      <c r="KJ152" s="93">
        <v>836417.87805496564</v>
      </c>
      <c r="KK152" s="93">
        <v>1235695.300946191</v>
      </c>
      <c r="KL152" s="93">
        <v>1738060.5917069868</v>
      </c>
      <c r="KM152" s="93">
        <v>1943806.0404246042</v>
      </c>
      <c r="KN152" s="93">
        <v>2784083.1479382282</v>
      </c>
      <c r="KO152" s="93">
        <v>1691522.0828313294</v>
      </c>
      <c r="KP152" s="93">
        <v>884517.29019495111</v>
      </c>
      <c r="KQ152" s="93">
        <v>1440056.4124531434</v>
      </c>
      <c r="KR152" s="93">
        <v>1299554.3461869673</v>
      </c>
      <c r="KS152" s="93">
        <v>1593297.9420534465</v>
      </c>
      <c r="KT152" s="93">
        <v>1750578.2346627689</v>
      </c>
      <c r="KU152" s="93">
        <v>1433385.4798710085</v>
      </c>
      <c r="KV152" s="93">
        <v>836417.87805496564</v>
      </c>
      <c r="KW152" s="93">
        <v>1235695.300946191</v>
      </c>
      <c r="KX152" s="93">
        <v>1738060.5917069868</v>
      </c>
      <c r="KY152" s="93">
        <v>1943806.0404246042</v>
      </c>
      <c r="KZ152" s="93">
        <v>2784083.1479382282</v>
      </c>
      <c r="LA152" s="93">
        <v>1691522.0828313294</v>
      </c>
      <c r="LB152" s="93">
        <v>884517.29019495111</v>
      </c>
      <c r="LC152" s="93">
        <v>1440056.4124531434</v>
      </c>
      <c r="LD152" s="93">
        <v>1299554.3461869673</v>
      </c>
      <c r="LE152" s="93">
        <v>1593297.9420534465</v>
      </c>
      <c r="LF152" s="93">
        <v>1750578.2346627689</v>
      </c>
      <c r="LG152" s="93">
        <v>1433385.4798710085</v>
      </c>
      <c r="LH152" s="93">
        <v>836417.87805496564</v>
      </c>
      <c r="LI152" s="93">
        <v>1235695.300946191</v>
      </c>
      <c r="LJ152" s="93">
        <v>1738060.5917069868</v>
      </c>
      <c r="LK152" s="93">
        <v>1943806.0404246042</v>
      </c>
      <c r="LL152" s="93">
        <v>2784083.1479382282</v>
      </c>
      <c r="LM152" s="93">
        <v>1691522.0828313294</v>
      </c>
      <c r="LN152" s="93">
        <v>884517.29019495111</v>
      </c>
      <c r="LO152" s="93">
        <v>1440056.4124531434</v>
      </c>
      <c r="LP152" s="93">
        <v>1299554.3461869673</v>
      </c>
      <c r="LQ152" s="93">
        <v>1593297.9420534465</v>
      </c>
      <c r="LR152" s="93">
        <v>1750578.2346627689</v>
      </c>
      <c r="LS152" s="93">
        <v>1433385.4798710085</v>
      </c>
      <c r="LT152" s="93">
        <v>836417.87805496564</v>
      </c>
      <c r="LU152" s="93">
        <v>1235695.300946191</v>
      </c>
      <c r="LV152" s="93">
        <v>1738060.5917069868</v>
      </c>
      <c r="LW152" s="93">
        <v>1943806.0404246042</v>
      </c>
      <c r="LX152" s="93">
        <v>2784083.1479382282</v>
      </c>
      <c r="LY152" s="93">
        <v>1691522.0828313294</v>
      </c>
      <c r="LZ152" s="93">
        <v>884517.29019495111</v>
      </c>
      <c r="MA152" s="93">
        <v>1440056.4124531434</v>
      </c>
      <c r="MB152" s="93">
        <v>1299554.3461869673</v>
      </c>
      <c r="MC152" s="93">
        <v>1593297.9420534465</v>
      </c>
      <c r="MD152" s="93">
        <v>1750578.2346627689</v>
      </c>
      <c r="ME152" s="93">
        <v>1433385.4798710085</v>
      </c>
      <c r="MF152" s="93">
        <v>836417.87805496564</v>
      </c>
      <c r="MG152" s="93">
        <v>1235695.300946191</v>
      </c>
      <c r="MH152" s="93">
        <v>1738060.5917069868</v>
      </c>
      <c r="MI152" s="93">
        <v>1943806.0404246042</v>
      </c>
      <c r="MJ152" s="93">
        <v>2784083.1479382282</v>
      </c>
      <c r="MK152" s="93">
        <v>1691522.0828313294</v>
      </c>
      <c r="ML152" s="93">
        <v>884517.29019495111</v>
      </c>
      <c r="MM152" s="93">
        <v>1440056.4124531434</v>
      </c>
      <c r="MN152" s="93">
        <v>1299554.3461869673</v>
      </c>
      <c r="MO152" s="93">
        <v>1593297.9420534465</v>
      </c>
      <c r="MP152" s="93">
        <v>1750578.2346627689</v>
      </c>
      <c r="MQ152" s="93">
        <v>1433385.4798710085</v>
      </c>
      <c r="MR152" s="93">
        <v>836417.87805496564</v>
      </c>
      <c r="MS152" s="93">
        <v>1235695.300946191</v>
      </c>
      <c r="MT152" s="93">
        <v>1738060.5917069868</v>
      </c>
      <c r="MU152" s="93">
        <v>1943806.0404246042</v>
      </c>
      <c r="MV152" s="93">
        <v>2784083.1479382282</v>
      </c>
      <c r="MW152" s="93">
        <v>1691522.0828313294</v>
      </c>
      <c r="MX152" s="93">
        <v>884517.29019495111</v>
      </c>
      <c r="MY152" s="93">
        <v>1440056.4124531434</v>
      </c>
      <c r="MZ152" s="93">
        <v>1299554.3461869673</v>
      </c>
      <c r="NA152" s="93">
        <v>1593297.9420534465</v>
      </c>
      <c r="NB152" s="93">
        <v>1750578.2346627689</v>
      </c>
      <c r="NC152" s="93">
        <v>1433385.4798710085</v>
      </c>
      <c r="ND152" s="93">
        <v>836417.87805496564</v>
      </c>
      <c r="NE152" s="93">
        <v>1235695.300946191</v>
      </c>
      <c r="NF152" s="93">
        <v>1738060.5917069868</v>
      </c>
      <c r="NG152" s="93">
        <v>1943806.0404246042</v>
      </c>
      <c r="NH152" s="93">
        <v>2784083.1479382282</v>
      </c>
      <c r="NI152" s="93">
        <v>1691522.0828313294</v>
      </c>
      <c r="NJ152" s="93">
        <v>884517.29019495111</v>
      </c>
      <c r="NK152" s="93">
        <v>1440056.4124531434</v>
      </c>
      <c r="NL152" s="93">
        <v>1299554.3461869673</v>
      </c>
      <c r="NM152" s="93">
        <v>1593297.9420534465</v>
      </c>
      <c r="NN152" s="93">
        <v>1750578.2346627689</v>
      </c>
      <c r="NO152" s="93">
        <v>1433385.4798710085</v>
      </c>
      <c r="NP152" s="93">
        <v>836417.87805496564</v>
      </c>
      <c r="NQ152" s="93">
        <v>1235695.300946191</v>
      </c>
      <c r="NR152" s="93">
        <v>1738060.5917069868</v>
      </c>
      <c r="NS152" s="93">
        <v>1943806.0404246042</v>
      </c>
      <c r="NT152" s="93">
        <v>2784083.1479382282</v>
      </c>
      <c r="NU152" s="93">
        <v>1691522.0828313294</v>
      </c>
      <c r="NV152" s="93">
        <v>884517.29019495111</v>
      </c>
      <c r="NW152" s="93">
        <v>1440056.4124531434</v>
      </c>
      <c r="NX152" s="93">
        <v>1299554.3461869673</v>
      </c>
      <c r="NY152" s="93">
        <v>1593297.9420534465</v>
      </c>
      <c r="NZ152" s="93">
        <v>1750578.2346627689</v>
      </c>
      <c r="OA152" s="93">
        <v>1433385.4798710085</v>
      </c>
      <c r="OB152" s="93">
        <v>836417.87805496564</v>
      </c>
      <c r="OC152" s="93">
        <v>1235695.300946191</v>
      </c>
      <c r="OD152" s="93">
        <v>1738060.5917069868</v>
      </c>
      <c r="OE152" s="93">
        <v>1943806.0404246042</v>
      </c>
    </row>
    <row r="153" spans="4:395" x14ac:dyDescent="0.3">
      <c r="D153" s="133"/>
      <c r="E153" s="7"/>
      <c r="K153" s="76"/>
      <c r="L153" s="66"/>
      <c r="M153" s="66"/>
      <c r="N153" s="119"/>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c r="CY153" s="66"/>
      <c r="CZ153" s="66"/>
      <c r="DA153" s="66"/>
      <c r="DB153" s="66"/>
      <c r="DC153" s="66"/>
      <c r="DD153" s="66"/>
      <c r="DE153" s="66"/>
      <c r="DF153" s="66"/>
      <c r="DG153" s="66"/>
      <c r="DH153" s="66"/>
      <c r="DI153" s="66"/>
      <c r="DJ153" s="66"/>
      <c r="DK153" s="66"/>
      <c r="DL153" s="66"/>
      <c r="DM153" s="66"/>
      <c r="DN153" s="66"/>
      <c r="DO153" s="66"/>
      <c r="DP153" s="66"/>
      <c r="DQ153" s="66"/>
      <c r="DR153" s="66"/>
      <c r="DS153" s="66"/>
      <c r="DT153" s="66"/>
      <c r="DU153" s="66"/>
      <c r="DV153" s="66"/>
      <c r="DW153" s="66"/>
      <c r="DX153" s="66"/>
      <c r="DY153" s="66"/>
      <c r="DZ153" s="66"/>
      <c r="EA153" s="66"/>
      <c r="EB153" s="66"/>
      <c r="EC153" s="66"/>
      <c r="ED153" s="66"/>
      <c r="EE153" s="66"/>
      <c r="EF153" s="66"/>
      <c r="EG153" s="66"/>
      <c r="EH153" s="66"/>
      <c r="EI153" s="66"/>
      <c r="EJ153" s="66"/>
      <c r="EK153" s="66"/>
      <c r="EL153" s="66"/>
      <c r="EM153" s="66"/>
      <c r="EN153" s="66"/>
      <c r="EO153" s="66"/>
      <c r="EP153" s="66"/>
      <c r="EQ153" s="66"/>
      <c r="ER153" s="66"/>
      <c r="ES153" s="66"/>
      <c r="ET153" s="66"/>
      <c r="EU153" s="66"/>
      <c r="EV153" s="66"/>
      <c r="EW153" s="66"/>
      <c r="EX153" s="66"/>
      <c r="EY153" s="66"/>
      <c r="EZ153" s="66"/>
      <c r="FA153" s="66"/>
      <c r="FB153" s="66"/>
      <c r="FC153" s="66"/>
      <c r="FD153" s="66"/>
      <c r="FE153" s="66"/>
      <c r="FF153" s="66"/>
      <c r="FG153" s="66"/>
      <c r="FH153" s="66"/>
      <c r="FI153" s="66"/>
      <c r="FJ153" s="66"/>
      <c r="FK153" s="66"/>
      <c r="FL153" s="66"/>
      <c r="FM153" s="66"/>
      <c r="FN153" s="66"/>
      <c r="FO153" s="66"/>
      <c r="FP153" s="66"/>
      <c r="FQ153" s="66"/>
      <c r="FR153" s="66"/>
      <c r="FS153" s="66"/>
      <c r="FT153" s="66"/>
      <c r="FU153" s="66"/>
      <c r="FV153" s="66"/>
      <c r="FW153" s="66"/>
      <c r="FX153" s="66"/>
      <c r="FY153" s="66"/>
      <c r="FZ153" s="66"/>
      <c r="GA153" s="66"/>
      <c r="GB153" s="66"/>
      <c r="GC153" s="66"/>
      <c r="GD153" s="66"/>
      <c r="GE153" s="66"/>
      <c r="GF153" s="66"/>
      <c r="GG153" s="66"/>
      <c r="GH153" s="66"/>
      <c r="GI153" s="66"/>
      <c r="GJ153" s="66"/>
      <c r="GK153" s="66"/>
      <c r="GL153" s="66"/>
      <c r="GM153" s="66"/>
      <c r="GN153" s="66"/>
      <c r="GO153" s="66"/>
      <c r="GP153" s="66"/>
      <c r="GQ153" s="66"/>
      <c r="GR153" s="66"/>
      <c r="GS153" s="66"/>
      <c r="GT153" s="66"/>
      <c r="GU153" s="66"/>
      <c r="GV153" s="66"/>
      <c r="GW153" s="66"/>
      <c r="GX153" s="66"/>
      <c r="GY153" s="66"/>
      <c r="GZ153" s="66"/>
      <c r="HA153" s="66"/>
      <c r="HB153" s="66"/>
      <c r="HC153" s="66"/>
      <c r="HD153" s="66"/>
      <c r="HE153" s="66"/>
      <c r="HF153" s="66"/>
      <c r="HG153" s="66"/>
      <c r="HH153" s="66"/>
      <c r="HI153" s="66"/>
      <c r="HJ153" s="66"/>
      <c r="HK153" s="66"/>
      <c r="HL153" s="66"/>
      <c r="HM153" s="66"/>
      <c r="HN153" s="66"/>
      <c r="HO153" s="66"/>
      <c r="HP153" s="66"/>
      <c r="HQ153" s="66"/>
      <c r="HR153" s="66"/>
      <c r="HS153" s="66"/>
      <c r="HT153" s="66"/>
      <c r="HU153" s="66"/>
      <c r="HV153" s="66"/>
      <c r="HW153" s="66"/>
      <c r="HX153" s="66"/>
      <c r="HY153" s="66"/>
      <c r="HZ153" s="66"/>
      <c r="IA153" s="66"/>
      <c r="IB153" s="66"/>
      <c r="IC153" s="66"/>
      <c r="ID153" s="66"/>
      <c r="IE153" s="66"/>
      <c r="IF153" s="66"/>
      <c r="IG153" s="66"/>
      <c r="IH153" s="66"/>
      <c r="II153" s="66"/>
      <c r="IJ153" s="66"/>
      <c r="IK153" s="66"/>
      <c r="IL153" s="66"/>
      <c r="IM153" s="66"/>
      <c r="IN153" s="66"/>
      <c r="IO153" s="66"/>
      <c r="IP153" s="66"/>
      <c r="IQ153" s="66"/>
      <c r="IR153" s="66"/>
      <c r="IS153" s="66"/>
      <c r="IT153" s="66"/>
      <c r="IU153" s="66"/>
      <c r="IV153" s="66"/>
      <c r="IW153" s="66"/>
      <c r="IX153" s="66"/>
      <c r="IY153" s="66"/>
      <c r="IZ153" s="66"/>
      <c r="JA153" s="66"/>
      <c r="JB153" s="66"/>
      <c r="JC153" s="66"/>
      <c r="JD153" s="66"/>
      <c r="JE153" s="66"/>
      <c r="JF153" s="66"/>
      <c r="JG153" s="66"/>
      <c r="JH153" s="66"/>
      <c r="JI153" s="66"/>
      <c r="JJ153" s="66"/>
      <c r="JK153" s="66"/>
      <c r="JL153" s="66"/>
      <c r="JM153" s="66"/>
      <c r="JN153" s="66"/>
      <c r="JO153" s="66"/>
      <c r="JP153" s="66"/>
      <c r="JQ153" s="66"/>
      <c r="JR153" s="66"/>
      <c r="JS153" s="66"/>
      <c r="JT153" s="66"/>
      <c r="JU153" s="66"/>
      <c r="JV153" s="66"/>
      <c r="JW153" s="66"/>
      <c r="JX153" s="66"/>
      <c r="JY153" s="66"/>
      <c r="JZ153" s="66"/>
      <c r="KA153" s="66"/>
      <c r="KB153" s="66"/>
      <c r="KC153" s="66"/>
      <c r="KD153" s="66"/>
      <c r="KE153" s="66"/>
      <c r="KF153" s="66"/>
      <c r="KG153" s="66"/>
      <c r="KH153" s="66"/>
      <c r="KI153" s="66"/>
      <c r="KJ153" s="66"/>
      <c r="KK153" s="66"/>
      <c r="KL153" s="66"/>
      <c r="KM153" s="66"/>
      <c r="KN153" s="66"/>
      <c r="KO153" s="66"/>
      <c r="KP153" s="66"/>
      <c r="KQ153" s="66"/>
      <c r="KR153" s="66"/>
      <c r="KS153" s="66"/>
      <c r="KT153" s="66"/>
      <c r="KU153" s="66"/>
      <c r="KV153" s="66"/>
      <c r="KW153" s="66"/>
      <c r="KX153" s="66"/>
      <c r="KY153" s="66"/>
      <c r="KZ153" s="66"/>
      <c r="LA153" s="66"/>
      <c r="LB153" s="66"/>
      <c r="LC153" s="66"/>
      <c r="LD153" s="66"/>
      <c r="LE153" s="66"/>
      <c r="LF153" s="66"/>
      <c r="LG153" s="66"/>
      <c r="LH153" s="66"/>
      <c r="LI153" s="66"/>
      <c r="LJ153" s="66"/>
      <c r="LK153" s="66"/>
      <c r="LL153" s="66"/>
      <c r="LM153" s="66"/>
      <c r="LN153" s="66"/>
      <c r="LO153" s="66"/>
      <c r="LP153" s="66"/>
      <c r="LQ153" s="66"/>
      <c r="LR153" s="66"/>
      <c r="LS153" s="66"/>
      <c r="LT153" s="66"/>
      <c r="LU153" s="66"/>
      <c r="LV153" s="66"/>
      <c r="LW153" s="66"/>
      <c r="LX153" s="66"/>
      <c r="LY153" s="66"/>
      <c r="LZ153" s="66"/>
      <c r="MA153" s="66"/>
      <c r="MB153" s="66"/>
      <c r="MC153" s="66"/>
      <c r="MD153" s="66"/>
      <c r="ME153" s="66"/>
      <c r="MF153" s="66"/>
      <c r="MG153" s="66"/>
      <c r="MH153" s="66"/>
      <c r="MI153" s="66"/>
      <c r="MJ153" s="66"/>
      <c r="MK153" s="66"/>
      <c r="ML153" s="66"/>
      <c r="MM153" s="66"/>
      <c r="MN153" s="66"/>
      <c r="MO153" s="66"/>
      <c r="MP153" s="66"/>
      <c r="MQ153" s="66"/>
      <c r="MR153" s="66"/>
      <c r="MS153" s="66"/>
      <c r="MT153" s="66"/>
      <c r="MU153" s="66"/>
      <c r="MV153" s="66"/>
      <c r="MW153" s="66"/>
      <c r="MX153" s="66"/>
      <c r="MY153" s="66"/>
      <c r="MZ153" s="66"/>
      <c r="NA153" s="66"/>
      <c r="NB153" s="66"/>
      <c r="NC153" s="66"/>
      <c r="ND153" s="66"/>
      <c r="NE153" s="66"/>
      <c r="NF153" s="66"/>
      <c r="NG153" s="66"/>
      <c r="NH153" s="66"/>
      <c r="NI153" s="66"/>
      <c r="NJ153" s="66"/>
      <c r="NK153" s="66"/>
      <c r="NL153" s="66"/>
      <c r="NM153" s="66"/>
      <c r="NN153" s="66"/>
      <c r="NO153" s="66"/>
      <c r="NP153" s="66"/>
      <c r="NQ153" s="66"/>
      <c r="NR153" s="66"/>
      <c r="NS153" s="66"/>
      <c r="NT153" s="66"/>
      <c r="NU153" s="66"/>
      <c r="NV153" s="66"/>
      <c r="NW153" s="66"/>
      <c r="NX153" s="66"/>
      <c r="NY153" s="66"/>
      <c r="NZ153" s="66"/>
      <c r="OA153" s="66"/>
      <c r="OB153" s="66"/>
      <c r="OC153" s="66"/>
      <c r="OD153" s="66"/>
      <c r="OE153" s="66"/>
    </row>
    <row r="154" spans="4:395" x14ac:dyDescent="0.3">
      <c r="K154" s="76"/>
      <c r="L154" s="66"/>
      <c r="M154" s="66"/>
      <c r="N154" s="69"/>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66"/>
      <c r="IY154" s="66"/>
      <c r="IZ154" s="66"/>
      <c r="JA154" s="66"/>
      <c r="JB154" s="66"/>
      <c r="JC154" s="66"/>
      <c r="JD154" s="66"/>
      <c r="JE154" s="66"/>
      <c r="JF154" s="66"/>
      <c r="JG154" s="66"/>
      <c r="JH154" s="66"/>
      <c r="JI154" s="66"/>
      <c r="JJ154" s="66"/>
      <c r="JK154" s="66"/>
      <c r="JL154" s="66"/>
      <c r="JM154" s="66"/>
      <c r="JN154" s="66"/>
      <c r="JO154" s="66"/>
      <c r="JP154" s="66"/>
      <c r="JQ154" s="66"/>
      <c r="JR154" s="66"/>
      <c r="JS154" s="66"/>
      <c r="JT154" s="66"/>
      <c r="JU154" s="66"/>
      <c r="JV154" s="66"/>
      <c r="JW154" s="66"/>
      <c r="JX154" s="66"/>
      <c r="JY154" s="66"/>
      <c r="JZ154" s="66"/>
      <c r="KA154" s="66"/>
      <c r="KB154" s="66"/>
      <c r="KC154" s="66"/>
      <c r="KD154" s="66"/>
      <c r="KE154" s="66"/>
      <c r="KF154" s="66"/>
      <c r="KG154" s="66"/>
      <c r="KH154" s="66"/>
      <c r="KI154" s="66"/>
      <c r="KJ154" s="66"/>
      <c r="KK154" s="66"/>
      <c r="KL154" s="66"/>
      <c r="KM154" s="66"/>
      <c r="KN154" s="66"/>
      <c r="KO154" s="66"/>
      <c r="KP154" s="66"/>
      <c r="KQ154" s="66"/>
      <c r="KR154" s="66"/>
      <c r="KS154" s="66"/>
      <c r="KT154" s="66"/>
      <c r="KU154" s="66"/>
      <c r="KV154" s="66"/>
      <c r="KW154" s="66"/>
      <c r="KX154" s="66"/>
      <c r="KY154" s="66"/>
      <c r="KZ154" s="66"/>
      <c r="LA154" s="66"/>
      <c r="LB154" s="66"/>
      <c r="LC154" s="66"/>
      <c r="LD154" s="66"/>
      <c r="LE154" s="66"/>
      <c r="LF154" s="66"/>
      <c r="LG154" s="66"/>
      <c r="LH154" s="66"/>
      <c r="LI154" s="66"/>
      <c r="LJ154" s="66"/>
      <c r="LK154" s="66"/>
      <c r="LL154" s="66"/>
      <c r="LM154" s="66"/>
      <c r="LN154" s="66"/>
      <c r="LO154" s="66"/>
      <c r="LP154" s="66"/>
      <c r="LQ154" s="66"/>
      <c r="LR154" s="66"/>
      <c r="LS154" s="66"/>
      <c r="LT154" s="66"/>
      <c r="LU154" s="66"/>
      <c r="LV154" s="66"/>
      <c r="LW154" s="66"/>
      <c r="LX154" s="66"/>
      <c r="LY154" s="66"/>
      <c r="LZ154" s="66"/>
      <c r="MA154" s="66"/>
      <c r="MB154" s="66"/>
      <c r="MC154" s="66"/>
      <c r="MD154" s="66"/>
      <c r="ME154" s="66"/>
      <c r="MF154" s="66"/>
      <c r="MG154" s="66"/>
      <c r="MH154" s="66"/>
      <c r="MI154" s="66"/>
      <c r="MJ154" s="66"/>
      <c r="MK154" s="66"/>
      <c r="ML154" s="66"/>
      <c r="MM154" s="66"/>
      <c r="MN154" s="66"/>
      <c r="MO154" s="66"/>
      <c r="MP154" s="66"/>
      <c r="MQ154" s="66"/>
      <c r="MR154" s="66"/>
      <c r="MS154" s="66"/>
      <c r="MT154" s="66"/>
      <c r="MU154" s="66"/>
      <c r="MV154" s="66"/>
      <c r="MW154" s="66"/>
      <c r="MX154" s="66"/>
      <c r="MY154" s="66"/>
      <c r="MZ154" s="66"/>
      <c r="NA154" s="66"/>
      <c r="NB154" s="66"/>
      <c r="NC154" s="66"/>
      <c r="ND154" s="66"/>
      <c r="NE154" s="66"/>
      <c r="NF154" s="66"/>
      <c r="NG154" s="66"/>
      <c r="NH154" s="66"/>
      <c r="NI154" s="66"/>
      <c r="NJ154" s="66"/>
      <c r="NK154" s="66"/>
      <c r="NL154" s="66"/>
      <c r="NM154" s="66"/>
      <c r="NN154" s="66"/>
      <c r="NO154" s="66"/>
      <c r="NP154" s="66"/>
      <c r="NQ154" s="66"/>
      <c r="NR154" s="66"/>
      <c r="NS154" s="66"/>
      <c r="NT154" s="66"/>
      <c r="NU154" s="66"/>
      <c r="NV154" s="66"/>
      <c r="NW154" s="66"/>
      <c r="NX154" s="66"/>
      <c r="NY154" s="66"/>
      <c r="NZ154" s="66"/>
      <c r="OA154" s="66"/>
      <c r="OB154" s="66"/>
      <c r="OC154" s="66"/>
      <c r="OD154" s="66"/>
      <c r="OE154" s="66"/>
    </row>
    <row r="155" spans="4:395" x14ac:dyDescent="0.3">
      <c r="K155" s="76"/>
      <c r="L155" s="66"/>
      <c r="M155" s="77"/>
      <c r="N155" s="107" t="s">
        <v>213</v>
      </c>
      <c r="O155" s="108"/>
      <c r="P155" s="109"/>
      <c r="Q155" s="108"/>
      <c r="R155" s="30"/>
    </row>
    <row r="156" spans="4:395" x14ac:dyDescent="0.3">
      <c r="K156" s="76"/>
      <c r="L156" s="66"/>
      <c r="M156" s="77"/>
      <c r="N156" s="88"/>
      <c r="P156" s="90"/>
    </row>
    <row r="157" spans="4:395" x14ac:dyDescent="0.3">
      <c r="K157" s="76"/>
      <c r="L157" s="66"/>
      <c r="M157" s="77"/>
      <c r="P157" s="8"/>
      <c r="R157" s="30"/>
    </row>
    <row r="158" spans="4:395" x14ac:dyDescent="0.3">
      <c r="K158" s="76"/>
      <c r="L158" s="66"/>
      <c r="M158" s="77"/>
      <c r="N158" s="151" t="s">
        <v>221</v>
      </c>
      <c r="O158" s="152"/>
      <c r="P158" s="153"/>
      <c r="Q158" s="152"/>
      <c r="R158" s="30"/>
    </row>
    <row r="159" spans="4:395" x14ac:dyDescent="0.3">
      <c r="K159" s="76"/>
      <c r="L159" s="66"/>
      <c r="M159" s="77"/>
      <c r="N159" t="s">
        <v>278</v>
      </c>
      <c r="P159" s="8"/>
      <c r="R159" s="30"/>
    </row>
    <row r="160" spans="4:395" x14ac:dyDescent="0.3">
      <c r="K160" s="76"/>
      <c r="L160" s="66"/>
      <c r="M160" s="77"/>
      <c r="N160" t="s">
        <v>277</v>
      </c>
      <c r="P160" s="8"/>
      <c r="R160" s="30"/>
    </row>
    <row r="161" spans="11:18" x14ac:dyDescent="0.3">
      <c r="K161" s="76"/>
      <c r="L161" s="66"/>
      <c r="M161" s="77"/>
      <c r="N161" s="151" t="s">
        <v>216</v>
      </c>
      <c r="O161" s="152"/>
      <c r="P161" s="153"/>
      <c r="Q161" s="154"/>
      <c r="R161" s="30"/>
    </row>
    <row r="162" spans="11:18" x14ac:dyDescent="0.3">
      <c r="K162" s="76"/>
      <c r="L162" s="66"/>
      <c r="M162" s="77"/>
      <c r="P162" s="8"/>
      <c r="R162" s="30"/>
    </row>
    <row r="163" spans="11:18" x14ac:dyDescent="0.3">
      <c r="K163" s="76"/>
      <c r="L163" s="66"/>
      <c r="M163" s="77"/>
      <c r="O163" s="30"/>
      <c r="P163" s="32"/>
      <c r="Q163" s="60"/>
    </row>
    <row r="164" spans="11:18" x14ac:dyDescent="0.3">
      <c r="K164" s="76"/>
      <c r="L164" s="66"/>
      <c r="M164" s="77"/>
      <c r="N164" s="30"/>
      <c r="O164" s="30"/>
      <c r="P164" s="32"/>
      <c r="Q164" s="30"/>
    </row>
    <row r="165" spans="11:18" x14ac:dyDescent="0.3">
      <c r="K165" s="76"/>
      <c r="L165" s="66"/>
      <c r="M165" s="77"/>
      <c r="N165" s="147" t="s">
        <v>217</v>
      </c>
      <c r="O165" s="148"/>
      <c r="P165" s="149"/>
      <c r="Q165" s="150"/>
    </row>
    <row r="166" spans="11:18" x14ac:dyDescent="0.3">
      <c r="K166" s="76"/>
      <c r="L166" s="66"/>
      <c r="M166" s="77"/>
      <c r="N166" s="111" t="s">
        <v>6</v>
      </c>
      <c r="O166" s="112"/>
      <c r="P166" s="113"/>
      <c r="Q166" s="112"/>
    </row>
    <row r="167" spans="11:18" x14ac:dyDescent="0.3">
      <c r="K167" s="76"/>
      <c r="L167" s="66"/>
      <c r="M167" s="77"/>
      <c r="O167" s="110"/>
      <c r="P167" s="59"/>
      <c r="Q167" s="110"/>
    </row>
    <row r="168" spans="11:18" x14ac:dyDescent="0.3">
      <c r="K168" s="76"/>
      <c r="L168" s="66"/>
      <c r="M168" s="77"/>
      <c r="O168" s="30"/>
      <c r="P168" s="32"/>
      <c r="Q168" s="94"/>
    </row>
    <row r="169" spans="11:18" x14ac:dyDescent="0.3">
      <c r="K169" s="76"/>
      <c r="L169" s="66"/>
      <c r="M169" s="77"/>
      <c r="N169" s="147" t="s">
        <v>215</v>
      </c>
      <c r="O169" s="148"/>
      <c r="P169" s="149"/>
      <c r="Q169" s="148"/>
    </row>
    <row r="170" spans="11:18" x14ac:dyDescent="0.3">
      <c r="K170" s="76"/>
      <c r="L170" s="66"/>
      <c r="M170" s="77"/>
      <c r="O170" s="30"/>
      <c r="P170" s="32"/>
      <c r="Q170" s="65"/>
    </row>
    <row r="171" spans="11:18" x14ac:dyDescent="0.3">
      <c r="K171" s="76"/>
      <c r="L171" s="66"/>
      <c r="M171" s="77"/>
      <c r="O171" s="30"/>
      <c r="P171" s="32"/>
      <c r="Q171" s="30"/>
    </row>
    <row r="172" spans="11:18" x14ac:dyDescent="0.3">
      <c r="K172" s="76"/>
      <c r="L172" s="66"/>
      <c r="M172" s="77"/>
      <c r="N172" s="30"/>
      <c r="O172" s="30"/>
      <c r="P172" s="32"/>
      <c r="Q172" s="30"/>
    </row>
    <row r="173" spans="11:18" x14ac:dyDescent="0.3">
      <c r="K173" s="76"/>
      <c r="L173" s="66"/>
      <c r="M173" s="77"/>
      <c r="N173" s="147" t="s">
        <v>214</v>
      </c>
      <c r="O173" s="148"/>
      <c r="P173" s="149"/>
      <c r="Q173" s="148"/>
    </row>
    <row r="174" spans="11:18" x14ac:dyDescent="0.3">
      <c r="K174" s="76"/>
      <c r="L174" s="66"/>
      <c r="M174" s="77"/>
      <c r="N174" s="114" t="s">
        <v>222</v>
      </c>
      <c r="O174" s="115"/>
      <c r="P174" s="116" t="s">
        <v>81</v>
      </c>
      <c r="Q174" s="115"/>
    </row>
    <row r="175" spans="11:18" x14ac:dyDescent="0.3">
      <c r="K175" s="76"/>
      <c r="L175" s="66"/>
      <c r="M175" s="77"/>
      <c r="N175" s="101" t="s">
        <v>219</v>
      </c>
      <c r="O175" s="102"/>
      <c r="P175" s="103" t="s">
        <v>81</v>
      </c>
      <c r="Q175" s="102"/>
    </row>
    <row r="176" spans="11:18" x14ac:dyDescent="0.3">
      <c r="K176" s="76"/>
      <c r="L176" s="66"/>
      <c r="M176" s="66"/>
      <c r="N176" s="119"/>
      <c r="O176" s="66"/>
      <c r="P176" s="66"/>
      <c r="Q176" s="66"/>
    </row>
    <row r="177" spans="11:17" x14ac:dyDescent="0.3">
      <c r="K177" s="76"/>
      <c r="L177" s="66"/>
      <c r="M177" s="66"/>
      <c r="N177" s="66" t="s">
        <v>5</v>
      </c>
      <c r="O177" s="66"/>
      <c r="P177" s="66"/>
      <c r="Q177" s="66"/>
    </row>
    <row r="178" spans="11:17" x14ac:dyDescent="0.3">
      <c r="K178" s="76"/>
      <c r="L178" s="66"/>
      <c r="M178" s="66"/>
      <c r="N178" s="66" t="s">
        <v>250</v>
      </c>
      <c r="O178" s="66"/>
      <c r="P178" s="66"/>
      <c r="Q178" s="66"/>
    </row>
    <row r="179" spans="11:17" x14ac:dyDescent="0.3">
      <c r="K179" s="76"/>
      <c r="L179" s="66"/>
      <c r="M179" s="66"/>
      <c r="N179" s="66" t="s">
        <v>251</v>
      </c>
      <c r="O179" s="66"/>
      <c r="P179" s="66"/>
      <c r="Q179" s="66"/>
    </row>
    <row r="180" spans="11:17" x14ac:dyDescent="0.3">
      <c r="K180" s="76"/>
      <c r="L180" s="66"/>
      <c r="M180" s="66"/>
      <c r="N180" s="66" t="s">
        <v>252</v>
      </c>
      <c r="O180" s="66"/>
      <c r="P180" s="66"/>
      <c r="Q180" s="66"/>
    </row>
    <row r="181" spans="11:17" x14ac:dyDescent="0.3">
      <c r="K181" s="76"/>
      <c r="L181" s="66"/>
      <c r="M181" s="66"/>
      <c r="N181" s="66"/>
      <c r="O181" s="66"/>
      <c r="P181" s="66"/>
      <c r="Q181" s="66"/>
    </row>
    <row r="182" spans="11:17" x14ac:dyDescent="0.3">
      <c r="K182" s="76"/>
      <c r="L182" s="66"/>
      <c r="M182" s="77"/>
      <c r="N182" s="139" t="s">
        <v>1</v>
      </c>
      <c r="O182" s="140"/>
      <c r="P182" s="162"/>
      <c r="Q182" s="140"/>
    </row>
    <row r="183" spans="11:17" x14ac:dyDescent="0.3">
      <c r="K183" s="76"/>
      <c r="L183" s="66"/>
      <c r="M183" s="77"/>
      <c r="N183" t="s">
        <v>223</v>
      </c>
      <c r="P183" s="8"/>
    </row>
    <row r="184" spans="11:17" x14ac:dyDescent="0.3">
      <c r="K184" s="76"/>
      <c r="L184" s="66"/>
      <c r="M184" s="77"/>
      <c r="N184" s="184" t="s">
        <v>418</v>
      </c>
      <c r="O184" s="184"/>
      <c r="P184" s="234"/>
      <c r="Q184" s="184"/>
    </row>
    <row r="185" spans="11:17" x14ac:dyDescent="0.3">
      <c r="K185" s="76"/>
      <c r="L185" s="66"/>
      <c r="M185" s="77"/>
      <c r="N185" s="184" t="s">
        <v>419</v>
      </c>
      <c r="O185" s="184"/>
      <c r="P185" s="234"/>
      <c r="Q185" s="184"/>
    </row>
    <row r="186" spans="11:17" x14ac:dyDescent="0.3">
      <c r="K186" s="76"/>
      <c r="L186" s="66"/>
      <c r="M186" s="77"/>
      <c r="N186" s="184" t="s">
        <v>254</v>
      </c>
      <c r="O186" s="184"/>
      <c r="P186" s="234"/>
      <c r="Q186" s="184"/>
    </row>
    <row r="187" spans="11:17" x14ac:dyDescent="0.3">
      <c r="K187" s="76"/>
      <c r="L187" s="66"/>
      <c r="M187" s="77"/>
      <c r="N187" s="184" t="s">
        <v>421</v>
      </c>
      <c r="O187" s="184"/>
      <c r="P187" s="234"/>
      <c r="Q187" s="288"/>
    </row>
    <row r="188" spans="11:17" x14ac:dyDescent="0.3">
      <c r="K188" s="76"/>
      <c r="L188" s="66"/>
      <c r="M188" s="77"/>
      <c r="N188" s="184" t="s">
        <v>420</v>
      </c>
      <c r="O188" s="184"/>
      <c r="P188" s="234"/>
      <c r="Q188" s="288"/>
    </row>
    <row r="189" spans="11:17" x14ac:dyDescent="0.3">
      <c r="K189" s="76"/>
      <c r="L189" s="66"/>
      <c r="M189" s="77"/>
      <c r="N189" s="289" t="s">
        <v>270</v>
      </c>
      <c r="O189" s="96"/>
      <c r="P189" s="95"/>
      <c r="Q189" s="96"/>
    </row>
    <row r="190" spans="11:17" x14ac:dyDescent="0.3">
      <c r="K190" s="76"/>
      <c r="L190" s="66"/>
      <c r="M190" s="77"/>
      <c r="N190" s="159" t="s">
        <v>271</v>
      </c>
      <c r="O190" s="159"/>
      <c r="P190" s="163" t="s">
        <v>81</v>
      </c>
      <c r="Q190" s="159"/>
    </row>
    <row r="191" spans="11:17" x14ac:dyDescent="0.3">
      <c r="K191" s="76"/>
      <c r="L191" s="66"/>
      <c r="M191" s="77"/>
      <c r="N191" s="139" t="s">
        <v>219</v>
      </c>
      <c r="O191" s="140"/>
      <c r="P191" s="162" t="s">
        <v>81</v>
      </c>
      <c r="Q191" s="140"/>
    </row>
    <row r="192" spans="11:17" x14ac:dyDescent="0.3">
      <c r="K192" s="76"/>
      <c r="L192" s="66"/>
      <c r="M192" s="66"/>
      <c r="N192" s="119"/>
      <c r="O192" s="66"/>
      <c r="P192" s="66"/>
      <c r="Q192" s="66"/>
    </row>
    <row r="193" spans="11:17" x14ac:dyDescent="0.3">
      <c r="K193" s="76"/>
      <c r="L193" s="66"/>
      <c r="M193" s="66"/>
      <c r="N193" s="66" t="s">
        <v>296</v>
      </c>
      <c r="O193" s="66"/>
      <c r="P193" s="66"/>
      <c r="Q193" s="66"/>
    </row>
    <row r="194" spans="11:17" x14ac:dyDescent="0.3">
      <c r="K194" s="76"/>
      <c r="L194" s="66"/>
      <c r="M194" s="66"/>
      <c r="N194" s="66" t="s">
        <v>297</v>
      </c>
      <c r="O194" s="66"/>
      <c r="P194" s="66"/>
      <c r="Q194" s="66"/>
    </row>
    <row r="195" spans="11:17" x14ac:dyDescent="0.3">
      <c r="K195" s="76"/>
      <c r="L195" s="66"/>
      <c r="M195" s="66"/>
      <c r="N195" s="66"/>
      <c r="O195" s="66"/>
      <c r="P195" s="66"/>
      <c r="Q195" s="66"/>
    </row>
    <row r="196" spans="11:17" ht="14.4" thickBot="1" x14ac:dyDescent="0.35">
      <c r="K196" s="157"/>
      <c r="L196" s="156"/>
      <c r="M196" s="155" t="s">
        <v>255</v>
      </c>
      <c r="N196" s="156"/>
      <c r="O196" s="156"/>
      <c r="P196" s="156"/>
      <c r="Q196" s="156"/>
    </row>
    <row r="197" spans="11:17" x14ac:dyDescent="0.3">
      <c r="K197" s="76"/>
      <c r="L197" s="66"/>
      <c r="M197" s="126" t="s">
        <v>413</v>
      </c>
      <c r="N197" s="66"/>
      <c r="O197" s="66"/>
      <c r="P197" s="66"/>
      <c r="Q197" s="66"/>
    </row>
    <row r="198" spans="11:17" x14ac:dyDescent="0.3">
      <c r="K198" s="76"/>
      <c r="L198" s="66"/>
      <c r="M198" s="126"/>
      <c r="N198" s="66"/>
      <c r="O198" s="66"/>
      <c r="P198" s="66"/>
      <c r="Q198" s="66"/>
    </row>
    <row r="199" spans="11:17" x14ac:dyDescent="0.3">
      <c r="K199" s="76"/>
      <c r="L199" s="66"/>
      <c r="M199" s="77"/>
      <c r="N199" s="135" t="s">
        <v>276</v>
      </c>
      <c r="O199" s="136"/>
      <c r="P199" s="164"/>
      <c r="Q199" s="136"/>
    </row>
    <row r="200" spans="11:17" x14ac:dyDescent="0.3">
      <c r="K200" s="76"/>
      <c r="L200" s="66"/>
      <c r="M200" s="77"/>
      <c r="N200" s="158" t="s">
        <v>251</v>
      </c>
      <c r="O200" s="85"/>
      <c r="P200" s="86" t="s">
        <v>81</v>
      </c>
      <c r="Q200" s="85"/>
    </row>
    <row r="201" spans="11:17" x14ac:dyDescent="0.3">
      <c r="K201" s="76"/>
      <c r="L201" s="66"/>
      <c r="M201" s="77"/>
      <c r="N201" s="158" t="s">
        <v>1</v>
      </c>
      <c r="O201" s="85"/>
      <c r="P201" s="86" t="s">
        <v>81</v>
      </c>
      <c r="Q201" s="85"/>
    </row>
    <row r="202" spans="11:17" x14ac:dyDescent="0.3">
      <c r="K202" s="76"/>
      <c r="L202" s="66"/>
      <c r="M202" s="77"/>
      <c r="N202" s="30" t="s">
        <v>266</v>
      </c>
      <c r="O202" s="30"/>
      <c r="P202" s="32" t="s">
        <v>269</v>
      </c>
      <c r="Q202" s="30"/>
    </row>
    <row r="203" spans="11:17" x14ac:dyDescent="0.3">
      <c r="K203" s="76"/>
      <c r="L203" s="66"/>
      <c r="M203" s="77"/>
      <c r="N203" s="30" t="s">
        <v>267</v>
      </c>
      <c r="O203" s="30"/>
      <c r="P203" s="32"/>
      <c r="Q203" s="30"/>
    </row>
    <row r="204" spans="11:17" x14ac:dyDescent="0.3">
      <c r="K204" s="76"/>
      <c r="L204" s="66"/>
      <c r="M204" s="77"/>
      <c r="N204" s="30" t="s">
        <v>268</v>
      </c>
      <c r="O204" s="30"/>
      <c r="P204" s="32"/>
      <c r="Q204" s="30"/>
    </row>
    <row r="205" spans="11:17" x14ac:dyDescent="0.3">
      <c r="K205" s="76"/>
      <c r="L205" s="66"/>
      <c r="M205" s="77"/>
      <c r="N205" s="87" t="s">
        <v>264</v>
      </c>
      <c r="O205" s="6"/>
      <c r="P205" s="33" t="s">
        <v>81</v>
      </c>
      <c r="Q205" s="6"/>
    </row>
    <row r="206" spans="11:17" x14ac:dyDescent="0.3">
      <c r="K206" s="76"/>
      <c r="L206" s="66"/>
      <c r="M206" s="77"/>
      <c r="N206" s="2" t="s">
        <v>258</v>
      </c>
      <c r="O206" s="160"/>
      <c r="P206" s="165"/>
      <c r="Q206" s="160"/>
    </row>
    <row r="207" spans="11:17" x14ac:dyDescent="0.3">
      <c r="K207" s="76"/>
      <c r="L207" s="66"/>
      <c r="M207" s="77"/>
      <c r="N207" s="161" t="s">
        <v>265</v>
      </c>
      <c r="O207" s="161"/>
      <c r="P207" s="166" t="s">
        <v>81</v>
      </c>
      <c r="Q207" s="161"/>
    </row>
    <row r="208" spans="11:17" x14ac:dyDescent="0.3">
      <c r="K208" s="76"/>
      <c r="L208" s="66"/>
      <c r="M208" s="77"/>
      <c r="N208" s="135" t="s">
        <v>219</v>
      </c>
      <c r="O208" s="136"/>
      <c r="P208" s="164" t="s">
        <v>81</v>
      </c>
      <c r="Q208" s="136"/>
    </row>
    <row r="209" spans="11:17" x14ac:dyDescent="0.3">
      <c r="K209" s="76"/>
      <c r="L209" s="66"/>
      <c r="M209" s="66"/>
      <c r="N209" s="66"/>
      <c r="O209" s="66"/>
      <c r="P209" s="66"/>
      <c r="Q209" s="66"/>
    </row>
    <row r="210" spans="11:17" x14ac:dyDescent="0.3">
      <c r="K210" s="76"/>
      <c r="L210" s="66"/>
      <c r="M210" s="66"/>
      <c r="N210" s="66"/>
      <c r="O210" s="66"/>
      <c r="P210" s="66"/>
      <c r="Q210" s="66"/>
    </row>
    <row r="211" spans="11:17" x14ac:dyDescent="0.3">
      <c r="K211" s="76"/>
      <c r="L211" s="66"/>
      <c r="M211" s="77"/>
      <c r="N211" s="137" t="s">
        <v>316</v>
      </c>
      <c r="O211" s="138"/>
      <c r="P211" s="167"/>
      <c r="Q211" s="138"/>
    </row>
    <row r="212" spans="11:17" x14ac:dyDescent="0.3">
      <c r="K212" s="76"/>
      <c r="L212" s="66"/>
      <c r="M212" s="77"/>
      <c r="N212" t="s">
        <v>318</v>
      </c>
      <c r="P212" s="8"/>
    </row>
    <row r="213" spans="11:17" x14ac:dyDescent="0.3">
      <c r="K213" s="76"/>
      <c r="L213" s="66"/>
      <c r="M213" s="77"/>
      <c r="N213" t="s">
        <v>319</v>
      </c>
      <c r="P213" s="8"/>
    </row>
    <row r="214" spans="11:17" x14ac:dyDescent="0.3">
      <c r="K214" s="76"/>
      <c r="L214" s="66"/>
      <c r="M214" s="77"/>
      <c r="N214" t="s">
        <v>320</v>
      </c>
      <c r="P214" s="8"/>
    </row>
    <row r="215" spans="11:17" x14ac:dyDescent="0.3">
      <c r="K215" s="76"/>
      <c r="L215" s="66"/>
      <c r="M215" s="77"/>
      <c r="N215" t="s">
        <v>321</v>
      </c>
      <c r="P215" s="8"/>
    </row>
    <row r="216" spans="11:17" x14ac:dyDescent="0.3">
      <c r="K216" s="76"/>
      <c r="L216" s="66"/>
      <c r="M216" s="77"/>
      <c r="N216" s="193" t="s">
        <v>317</v>
      </c>
      <c r="O216" s="194"/>
      <c r="P216" s="195"/>
      <c r="Q216" s="194"/>
    </row>
    <row r="217" spans="11:17" x14ac:dyDescent="0.3">
      <c r="K217" s="76"/>
      <c r="L217" s="66"/>
      <c r="M217" s="77"/>
      <c r="N217" t="s">
        <v>322</v>
      </c>
      <c r="P217" s="8"/>
    </row>
    <row r="218" spans="11:17" x14ac:dyDescent="0.3">
      <c r="K218" s="76"/>
      <c r="L218" s="66"/>
      <c r="M218" s="77"/>
      <c r="N218" t="s">
        <v>323</v>
      </c>
      <c r="P218" s="8"/>
    </row>
    <row r="219" spans="11:17" x14ac:dyDescent="0.3">
      <c r="K219" s="76"/>
      <c r="L219" s="66"/>
      <c r="M219" s="77"/>
      <c r="N219" t="s">
        <v>325</v>
      </c>
      <c r="P219" s="8"/>
    </row>
    <row r="220" spans="11:17" x14ac:dyDescent="0.3">
      <c r="K220" s="76"/>
      <c r="L220" s="66"/>
      <c r="M220" s="77"/>
      <c r="N220" t="s">
        <v>326</v>
      </c>
      <c r="P220" s="8"/>
    </row>
    <row r="221" spans="11:17" x14ac:dyDescent="0.3">
      <c r="K221" s="76"/>
      <c r="L221" s="66"/>
      <c r="M221" s="77"/>
      <c r="N221" t="s">
        <v>324</v>
      </c>
      <c r="P221" s="8"/>
    </row>
    <row r="222" spans="11:17" x14ac:dyDescent="0.3">
      <c r="K222" s="76"/>
      <c r="L222" s="66"/>
      <c r="M222" s="77"/>
      <c r="N222" t="s">
        <v>327</v>
      </c>
      <c r="P222" s="8"/>
    </row>
    <row r="223" spans="11:17" x14ac:dyDescent="0.3">
      <c r="K223" s="76"/>
      <c r="L223" s="66"/>
      <c r="M223" s="77"/>
      <c r="N223" s="193" t="s">
        <v>331</v>
      </c>
      <c r="O223" s="194"/>
      <c r="P223" s="195"/>
      <c r="Q223" s="194"/>
    </row>
    <row r="224" spans="11:17" x14ac:dyDescent="0.3">
      <c r="K224" s="76"/>
      <c r="L224" s="66"/>
      <c r="M224" s="77"/>
      <c r="N224" t="s">
        <v>328</v>
      </c>
      <c r="P224" s="8"/>
    </row>
    <row r="225" spans="11:17" x14ac:dyDescent="0.3">
      <c r="K225" s="76"/>
      <c r="L225" s="66"/>
      <c r="M225" s="77"/>
      <c r="N225" t="s">
        <v>329</v>
      </c>
      <c r="P225" s="8"/>
    </row>
    <row r="226" spans="11:17" x14ac:dyDescent="0.3">
      <c r="K226" s="76"/>
      <c r="L226" s="66"/>
      <c r="M226" s="77"/>
      <c r="N226" t="s">
        <v>330</v>
      </c>
      <c r="P226" s="8"/>
    </row>
    <row r="227" spans="11:17" x14ac:dyDescent="0.3">
      <c r="K227" s="76"/>
      <c r="L227" s="66"/>
      <c r="M227" s="77"/>
      <c r="N227" s="193" t="s">
        <v>260</v>
      </c>
      <c r="O227" s="194"/>
      <c r="P227" s="195"/>
      <c r="Q227" s="194"/>
    </row>
    <row r="228" spans="11:17" x14ac:dyDescent="0.3">
      <c r="K228" s="76"/>
      <c r="L228" s="66"/>
      <c r="M228" s="77"/>
      <c r="N228" s="137" t="s">
        <v>219</v>
      </c>
      <c r="O228" s="138"/>
      <c r="P228" s="167"/>
      <c r="Q228" s="138"/>
    </row>
    <row r="229" spans="11:17" x14ac:dyDescent="0.3">
      <c r="K229" s="76"/>
      <c r="L229" s="66"/>
      <c r="M229" s="66"/>
      <c r="N229" s="66"/>
      <c r="O229" s="66"/>
      <c r="P229" s="66"/>
      <c r="Q229" s="66"/>
    </row>
    <row r="230" spans="11:17" x14ac:dyDescent="0.3">
      <c r="K230" s="76"/>
      <c r="L230" s="66"/>
      <c r="M230" s="66"/>
      <c r="N230" s="66"/>
      <c r="O230" s="66"/>
      <c r="P230" s="66"/>
      <c r="Q230" s="66"/>
    </row>
    <row r="231" spans="11:17" x14ac:dyDescent="0.3">
      <c r="K231" s="76"/>
      <c r="L231" s="66"/>
      <c r="M231" s="77"/>
      <c r="N231" s="199" t="s">
        <v>259</v>
      </c>
      <c r="O231" s="142"/>
      <c r="P231" s="168"/>
      <c r="Q231" s="142"/>
    </row>
    <row r="232" spans="11:17" x14ac:dyDescent="0.3">
      <c r="K232" s="76"/>
      <c r="L232" s="66"/>
      <c r="M232" s="77"/>
      <c r="N232" s="133" t="s">
        <v>406</v>
      </c>
      <c r="P232" s="8"/>
    </row>
    <row r="233" spans="11:17" x14ac:dyDescent="0.3">
      <c r="K233" s="76"/>
      <c r="L233" s="66"/>
      <c r="M233" s="77"/>
      <c r="N233" s="133" t="s">
        <v>399</v>
      </c>
      <c r="P233" s="8"/>
    </row>
    <row r="234" spans="11:17" x14ac:dyDescent="0.3">
      <c r="K234" s="76"/>
      <c r="L234" s="66"/>
      <c r="M234" s="77"/>
      <c r="N234" s="133" t="s">
        <v>400</v>
      </c>
      <c r="P234" s="8"/>
    </row>
    <row r="235" spans="11:17" x14ac:dyDescent="0.3">
      <c r="K235" s="76"/>
      <c r="L235" s="66"/>
      <c r="M235" s="77"/>
      <c r="N235" s="21" t="s">
        <v>401</v>
      </c>
      <c r="P235" s="8"/>
    </row>
    <row r="236" spans="11:17" x14ac:dyDescent="0.3">
      <c r="K236" s="76"/>
      <c r="L236" s="66"/>
      <c r="M236" s="77"/>
      <c r="N236" s="21" t="s">
        <v>402</v>
      </c>
      <c r="P236" s="8"/>
    </row>
    <row r="237" spans="11:17" x14ac:dyDescent="0.3">
      <c r="K237" s="76"/>
      <c r="L237" s="66"/>
      <c r="M237" s="77"/>
      <c r="N237" s="21" t="s">
        <v>403</v>
      </c>
      <c r="P237" s="8"/>
    </row>
    <row r="238" spans="11:17" x14ac:dyDescent="0.3">
      <c r="K238" s="76"/>
      <c r="L238" s="66"/>
      <c r="M238" s="77"/>
      <c r="N238" s="21" t="s">
        <v>404</v>
      </c>
      <c r="P238" s="8"/>
    </row>
    <row r="239" spans="11:17" x14ac:dyDescent="0.3">
      <c r="K239" s="76"/>
      <c r="L239" s="66"/>
      <c r="M239" s="77"/>
      <c r="N239" s="21" t="s">
        <v>226</v>
      </c>
      <c r="P239" s="8"/>
    </row>
    <row r="240" spans="11:17" x14ac:dyDescent="0.3">
      <c r="K240" s="76"/>
      <c r="L240" s="66"/>
      <c r="M240" s="77"/>
      <c r="N240" s="133" t="s">
        <v>405</v>
      </c>
      <c r="P240" s="8"/>
    </row>
    <row r="241" spans="4:395" x14ac:dyDescent="0.3">
      <c r="K241" s="76"/>
      <c r="L241" s="66"/>
      <c r="M241" s="77"/>
      <c r="N241" s="269" t="s">
        <v>224</v>
      </c>
      <c r="O241" s="270"/>
      <c r="P241" s="271"/>
      <c r="Q241" s="270"/>
    </row>
    <row r="242" spans="4:395" x14ac:dyDescent="0.3">
      <c r="K242" s="76"/>
      <c r="L242" s="66"/>
      <c r="M242" s="77"/>
      <c r="P242" s="8"/>
    </row>
    <row r="243" spans="4:395" x14ac:dyDescent="0.3">
      <c r="K243" s="76"/>
      <c r="L243" s="66"/>
      <c r="M243" s="77"/>
      <c r="P243" s="8"/>
    </row>
    <row r="244" spans="4:395" x14ac:dyDescent="0.3">
      <c r="K244" s="76"/>
      <c r="L244" s="66"/>
      <c r="M244" s="77"/>
      <c r="P244" s="8"/>
    </row>
    <row r="245" spans="4:395" x14ac:dyDescent="0.3">
      <c r="K245" s="76"/>
      <c r="L245" s="66"/>
      <c r="M245" s="77"/>
      <c r="P245" s="8"/>
    </row>
    <row r="246" spans="4:395" x14ac:dyDescent="0.3">
      <c r="K246" s="76"/>
      <c r="L246" s="66"/>
      <c r="M246" s="77"/>
      <c r="P246" s="8"/>
    </row>
    <row r="247" spans="4:395" x14ac:dyDescent="0.3">
      <c r="K247" s="76"/>
      <c r="L247" s="66"/>
      <c r="M247" s="77"/>
      <c r="P247" s="8"/>
    </row>
    <row r="248" spans="4:395" x14ac:dyDescent="0.3">
      <c r="K248" s="76"/>
      <c r="L248" s="66"/>
      <c r="M248" s="77"/>
      <c r="P248" s="8"/>
    </row>
    <row r="249" spans="4:395" x14ac:dyDescent="0.3">
      <c r="K249" s="76"/>
      <c r="L249" s="66"/>
      <c r="M249" s="77"/>
      <c r="P249" s="8"/>
    </row>
    <row r="250" spans="4:395" x14ac:dyDescent="0.3">
      <c r="K250" s="76"/>
      <c r="L250" s="66"/>
      <c r="M250" s="77"/>
      <c r="N250" s="269" t="s">
        <v>233</v>
      </c>
      <c r="O250" s="270"/>
      <c r="P250" s="271"/>
      <c r="Q250" s="270"/>
    </row>
    <row r="251" spans="4:395" x14ac:dyDescent="0.3">
      <c r="D251" s="133"/>
      <c r="E251" s="7"/>
      <c r="K251" s="76"/>
      <c r="L251" s="66"/>
      <c r="M251" s="77"/>
      <c r="N251" s="196" t="s">
        <v>220</v>
      </c>
      <c r="O251" s="197"/>
      <c r="P251" s="198"/>
      <c r="Q251" s="197"/>
    </row>
    <row r="252" spans="4:395" x14ac:dyDescent="0.3">
      <c r="D252" s="133"/>
      <c r="E252" s="7"/>
      <c r="K252" s="76"/>
      <c r="L252" s="66"/>
      <c r="M252" s="77"/>
      <c r="P252" s="8"/>
    </row>
    <row r="253" spans="4:395" x14ac:dyDescent="0.3">
      <c r="D253" s="133"/>
      <c r="E253" s="7"/>
      <c r="K253" s="76"/>
      <c r="L253" s="66"/>
      <c r="M253" s="77"/>
      <c r="P253" s="8"/>
      <c r="R253" s="63"/>
      <c r="X253" s="63"/>
      <c r="Y253" s="63"/>
      <c r="Z253" s="63"/>
      <c r="AA253" s="63"/>
      <c r="AB253" s="63"/>
      <c r="AC253" s="63"/>
      <c r="AD253" s="63"/>
      <c r="AE253" s="63"/>
      <c r="AF253" s="63"/>
      <c r="AG253" s="63"/>
      <c r="AH253" s="63"/>
      <c r="AI253" s="63"/>
      <c r="AJ253" s="63"/>
      <c r="AK253" s="63"/>
      <c r="AL253" s="63"/>
      <c r="AM253" s="63"/>
      <c r="AN253" s="63"/>
      <c r="AO253" s="63"/>
      <c r="AP253" s="63"/>
      <c r="AQ253" s="63"/>
      <c r="AR253" s="63"/>
      <c r="AS253" s="63"/>
      <c r="AT253" s="63"/>
      <c r="AU253" s="63"/>
      <c r="AV253" s="63"/>
      <c r="AW253" s="63"/>
      <c r="AX253" s="63"/>
      <c r="AY253" s="63"/>
      <c r="AZ253" s="63"/>
      <c r="BA253" s="63"/>
      <c r="BB253" s="63"/>
      <c r="BC253" s="63"/>
      <c r="BD253" s="63"/>
      <c r="BE253" s="63"/>
      <c r="BF253" s="63"/>
      <c r="BG253" s="63"/>
      <c r="BH253" s="63"/>
      <c r="BI253" s="63"/>
      <c r="BJ253" s="63"/>
      <c r="BK253" s="63"/>
      <c r="BL253" s="63"/>
      <c r="BM253" s="63"/>
      <c r="BN253" s="63"/>
      <c r="BO253" s="63"/>
      <c r="BP253" s="63"/>
      <c r="BQ253" s="63"/>
      <c r="BR253" s="63"/>
      <c r="BS253" s="63"/>
      <c r="BT253" s="63"/>
      <c r="BU253" s="63"/>
      <c r="BV253" s="63"/>
      <c r="BW253" s="63"/>
      <c r="BX253" s="63"/>
      <c r="BY253" s="63"/>
      <c r="BZ253" s="63"/>
      <c r="CA253" s="63"/>
      <c r="CB253" s="63"/>
      <c r="CC253" s="63"/>
      <c r="CD253" s="63"/>
      <c r="CE253" s="63"/>
      <c r="CF253" s="63"/>
      <c r="CG253" s="63"/>
      <c r="CH253" s="63"/>
      <c r="CI253" s="63"/>
      <c r="CJ253" s="63"/>
      <c r="CK253" s="63"/>
      <c r="CL253" s="63"/>
      <c r="CM253" s="63"/>
      <c r="CN253" s="63"/>
      <c r="CO253" s="63"/>
      <c r="CP253" s="63"/>
      <c r="CQ253" s="63"/>
      <c r="CR253" s="63"/>
      <c r="CS253" s="63"/>
      <c r="CT253" s="63"/>
      <c r="CU253" s="63"/>
      <c r="CV253" s="63"/>
      <c r="CW253" s="63"/>
      <c r="CX253" s="63"/>
      <c r="CY253" s="63"/>
      <c r="CZ253" s="63"/>
      <c r="DA253" s="63"/>
      <c r="DB253" s="63"/>
      <c r="DC253" s="63"/>
      <c r="DD253" s="63"/>
      <c r="DE253" s="63"/>
      <c r="DF253" s="63"/>
      <c r="DG253" s="63"/>
      <c r="DH253" s="63"/>
      <c r="DI253" s="63"/>
      <c r="DJ253" s="63"/>
      <c r="DK253" s="63"/>
      <c r="DL253" s="63"/>
      <c r="DM253" s="63"/>
      <c r="DN253" s="63"/>
      <c r="DO253" s="63"/>
      <c r="DP253" s="63"/>
      <c r="DQ253" s="63"/>
      <c r="DR253" s="63"/>
      <c r="DS253" s="63"/>
      <c r="DT253" s="63"/>
      <c r="DU253" s="63"/>
      <c r="DV253" s="63"/>
      <c r="DW253" s="63"/>
      <c r="DX253" s="63"/>
      <c r="DY253" s="63"/>
      <c r="DZ253" s="63"/>
      <c r="EA253" s="63"/>
      <c r="EB253" s="63"/>
      <c r="EC253" s="63"/>
      <c r="ED253" s="63"/>
      <c r="EE253" s="63"/>
      <c r="EF253" s="63"/>
      <c r="EG253" s="63"/>
      <c r="EH253" s="63"/>
      <c r="EI253" s="63"/>
      <c r="EJ253" s="63"/>
      <c r="EK253" s="63"/>
      <c r="EL253" s="63"/>
      <c r="EM253" s="63"/>
      <c r="EN253" s="63"/>
      <c r="EO253" s="63"/>
      <c r="EP253" s="63"/>
      <c r="EQ253" s="63"/>
      <c r="ER253" s="63"/>
      <c r="ES253" s="63"/>
      <c r="ET253" s="63"/>
      <c r="EU253" s="63"/>
      <c r="EV253" s="63"/>
      <c r="EW253" s="63"/>
      <c r="EX253" s="63"/>
      <c r="EY253" s="63"/>
      <c r="EZ253" s="63"/>
      <c r="FA253" s="63"/>
      <c r="FB253" s="63"/>
      <c r="FC253" s="63"/>
      <c r="FD253" s="63"/>
      <c r="FE253" s="63"/>
      <c r="FF253" s="63"/>
      <c r="FG253" s="63"/>
      <c r="FH253" s="63"/>
      <c r="FI253" s="63"/>
      <c r="FJ253" s="63"/>
      <c r="FK253" s="63"/>
      <c r="FL253" s="63"/>
      <c r="FM253" s="63"/>
      <c r="FN253" s="63"/>
      <c r="FO253" s="63"/>
      <c r="FP253" s="63"/>
      <c r="FQ253" s="63"/>
      <c r="FR253" s="63"/>
      <c r="FS253" s="63"/>
      <c r="FT253" s="63"/>
      <c r="FU253" s="63"/>
      <c r="FV253" s="63"/>
      <c r="FW253" s="63"/>
      <c r="FX253" s="63"/>
      <c r="FY253" s="63"/>
      <c r="FZ253" s="63"/>
      <c r="GA253" s="63"/>
      <c r="GB253" s="63"/>
      <c r="GC253" s="63"/>
      <c r="GD253" s="63"/>
      <c r="GE253" s="63"/>
      <c r="GF253" s="63"/>
      <c r="GG253" s="63"/>
      <c r="GH253" s="63"/>
      <c r="GI253" s="63"/>
      <c r="GJ253" s="63"/>
      <c r="GK253" s="63"/>
      <c r="GL253" s="63"/>
      <c r="GM253" s="63"/>
      <c r="GN253" s="63"/>
      <c r="GO253" s="63"/>
      <c r="GP253" s="63"/>
      <c r="GQ253" s="63"/>
      <c r="GR253" s="63"/>
      <c r="GS253" s="63"/>
      <c r="GT253" s="63"/>
      <c r="GU253" s="63"/>
      <c r="GV253" s="63"/>
      <c r="GW253" s="63"/>
      <c r="GX253" s="63"/>
      <c r="GY253" s="63"/>
      <c r="GZ253" s="63"/>
      <c r="HA253" s="63"/>
      <c r="HB253" s="63"/>
      <c r="HC253" s="63"/>
      <c r="HD253" s="63"/>
      <c r="HE253" s="63"/>
      <c r="HF253" s="63"/>
      <c r="HG253" s="63"/>
      <c r="HH253" s="63"/>
      <c r="HI253" s="63"/>
      <c r="HJ253" s="63"/>
      <c r="HK253" s="63"/>
      <c r="HL253" s="63"/>
      <c r="HM253" s="63"/>
      <c r="HN253" s="63"/>
      <c r="HO253" s="63"/>
      <c r="HP253" s="63"/>
      <c r="HQ253" s="63"/>
      <c r="HR253" s="63"/>
      <c r="HS253" s="63"/>
      <c r="HT253" s="63"/>
      <c r="HU253" s="63"/>
      <c r="HV253" s="63"/>
      <c r="HW253" s="63"/>
      <c r="HX253" s="63"/>
      <c r="HY253" s="63"/>
      <c r="HZ253" s="63"/>
      <c r="IA253" s="63"/>
      <c r="IB253" s="63"/>
      <c r="IC253" s="63"/>
      <c r="ID253" s="63"/>
      <c r="IE253" s="63"/>
      <c r="IF253" s="63"/>
      <c r="IG253" s="63"/>
      <c r="IH253" s="63"/>
      <c r="II253" s="63"/>
      <c r="IJ253" s="63"/>
      <c r="IK253" s="63"/>
      <c r="IL253" s="63"/>
      <c r="IM253" s="63"/>
      <c r="IN253" s="63"/>
      <c r="IO253" s="63"/>
      <c r="IP253" s="63"/>
      <c r="IQ253" s="63"/>
      <c r="IR253" s="63"/>
      <c r="IS253" s="63"/>
      <c r="IT253" s="63"/>
      <c r="IU253" s="63"/>
      <c r="IV253" s="63"/>
      <c r="IW253" s="63"/>
      <c r="IX253" s="63"/>
      <c r="IY253" s="63"/>
      <c r="IZ253" s="63"/>
      <c r="JA253" s="63"/>
      <c r="JB253" s="63"/>
      <c r="JC253" s="63"/>
      <c r="JD253" s="63"/>
      <c r="JE253" s="63"/>
      <c r="JF253" s="63"/>
      <c r="JG253" s="63"/>
      <c r="JH253" s="63"/>
      <c r="JI253" s="63"/>
      <c r="JJ253" s="63"/>
      <c r="JK253" s="63"/>
      <c r="JL253" s="63"/>
      <c r="JM253" s="63"/>
      <c r="JN253" s="63"/>
      <c r="JO253" s="63"/>
      <c r="JP253" s="63"/>
      <c r="JQ253" s="63"/>
      <c r="JR253" s="63"/>
      <c r="JS253" s="63"/>
      <c r="JT253" s="63"/>
      <c r="JU253" s="63"/>
      <c r="JV253" s="63"/>
      <c r="JW253" s="63"/>
      <c r="JX253" s="63"/>
      <c r="JY253" s="63"/>
      <c r="JZ253" s="63"/>
      <c r="KA253" s="63"/>
      <c r="KB253" s="63"/>
      <c r="KC253" s="63"/>
      <c r="KD253" s="63"/>
      <c r="KE253" s="63"/>
      <c r="KF253" s="63"/>
      <c r="KG253" s="63"/>
      <c r="KH253" s="63"/>
      <c r="KI253" s="63"/>
      <c r="KJ253" s="63"/>
      <c r="KK253" s="63"/>
      <c r="KL253" s="63"/>
      <c r="KM253" s="63"/>
      <c r="KN253" s="63"/>
      <c r="KO253" s="63"/>
      <c r="KP253" s="63"/>
      <c r="KQ253" s="63"/>
      <c r="KR253" s="63"/>
      <c r="KS253" s="63"/>
      <c r="KT253" s="63"/>
      <c r="KU253" s="63"/>
      <c r="KV253" s="63"/>
      <c r="KW253" s="63"/>
      <c r="KX253" s="63"/>
      <c r="KY253" s="63"/>
      <c r="KZ253" s="63"/>
      <c r="LA253" s="63"/>
      <c r="LB253" s="63"/>
      <c r="LC253" s="63"/>
      <c r="LD253" s="63"/>
      <c r="LE253" s="63"/>
      <c r="LF253" s="63"/>
      <c r="LG253" s="63"/>
      <c r="LH253" s="63"/>
      <c r="LI253" s="63"/>
      <c r="LJ253" s="63"/>
      <c r="LK253" s="63"/>
      <c r="LL253" s="63"/>
      <c r="LM253" s="63"/>
      <c r="LN253" s="63"/>
      <c r="LO253" s="63"/>
      <c r="LP253" s="63"/>
      <c r="LQ253" s="63"/>
      <c r="LR253" s="63"/>
      <c r="LS253" s="63"/>
      <c r="LT253" s="63"/>
      <c r="LU253" s="63"/>
      <c r="LV253" s="63"/>
      <c r="LW253" s="63"/>
      <c r="LX253" s="63"/>
      <c r="LY253" s="63"/>
      <c r="LZ253" s="63"/>
      <c r="MA253" s="63"/>
      <c r="MB253" s="63"/>
      <c r="MC253" s="63"/>
      <c r="MD253" s="63"/>
      <c r="ME253" s="63"/>
      <c r="MF253" s="63"/>
      <c r="MG253" s="63"/>
      <c r="MH253" s="63"/>
      <c r="MI253" s="63"/>
      <c r="MJ253" s="63"/>
      <c r="MK253" s="63"/>
      <c r="ML253" s="63"/>
      <c r="MM253" s="63"/>
      <c r="MN253" s="63"/>
      <c r="MO253" s="63"/>
      <c r="MP253" s="63"/>
      <c r="MQ253" s="63"/>
      <c r="MR253" s="63"/>
      <c r="MS253" s="63"/>
      <c r="MT253" s="63"/>
      <c r="MU253" s="63"/>
      <c r="MV253" s="63"/>
      <c r="MW253" s="63"/>
      <c r="MX253" s="63"/>
      <c r="MY253" s="63"/>
      <c r="MZ253" s="63"/>
      <c r="NA253" s="63"/>
      <c r="NB253" s="63"/>
      <c r="NC253" s="63"/>
      <c r="ND253" s="63"/>
      <c r="NE253" s="63"/>
      <c r="NF253" s="63"/>
      <c r="NG253" s="63"/>
      <c r="NH253" s="63"/>
      <c r="NI253" s="63"/>
      <c r="NJ253" s="63"/>
      <c r="NK253" s="63"/>
      <c r="NL253" s="63"/>
      <c r="NM253" s="63"/>
      <c r="NN253" s="63"/>
      <c r="NO253" s="63"/>
      <c r="NP253" s="63"/>
      <c r="NQ253" s="63"/>
      <c r="NR253" s="63"/>
      <c r="NS253" s="63"/>
      <c r="NT253" s="63"/>
      <c r="NU253" s="63"/>
      <c r="NV253" s="63"/>
      <c r="NW253" s="63"/>
      <c r="NX253" s="63"/>
      <c r="NY253" s="63"/>
      <c r="NZ253" s="63"/>
      <c r="OA253" s="63"/>
      <c r="OB253" s="63"/>
      <c r="OC253" s="63"/>
      <c r="OD253" s="63"/>
      <c r="OE253" s="63"/>
    </row>
    <row r="254" spans="4:395" x14ac:dyDescent="0.3">
      <c r="D254" s="133"/>
      <c r="E254" s="7"/>
      <c r="K254" s="76"/>
      <c r="L254" s="66"/>
      <c r="M254" s="77"/>
      <c r="N254" s="196" t="s">
        <v>332</v>
      </c>
      <c r="O254" s="197"/>
      <c r="P254" s="198"/>
      <c r="Q254" s="197"/>
      <c r="R254" s="63"/>
      <c r="X254" s="63"/>
      <c r="Y254" s="63"/>
      <c r="Z254" s="63"/>
      <c r="AA254" s="63"/>
      <c r="AB254" s="63"/>
      <c r="AC254" s="63"/>
      <c r="AD254" s="63"/>
      <c r="AE254" s="63"/>
      <c r="AF254" s="63"/>
      <c r="AG254" s="63"/>
      <c r="AH254" s="63"/>
      <c r="AI254" s="63"/>
      <c r="AJ254" s="63"/>
      <c r="AK254" s="63"/>
      <c r="AL254" s="63"/>
      <c r="AM254" s="63"/>
      <c r="AN254" s="63"/>
      <c r="AO254" s="63"/>
      <c r="AP254" s="63"/>
      <c r="AQ254" s="63"/>
      <c r="AR254" s="63"/>
      <c r="AS254" s="63"/>
      <c r="AT254" s="63"/>
      <c r="AU254" s="63"/>
      <c r="AV254" s="63"/>
      <c r="AW254" s="63"/>
      <c r="AX254" s="63"/>
      <c r="AY254" s="63"/>
      <c r="AZ254" s="63"/>
      <c r="BA254" s="63"/>
      <c r="BB254" s="63"/>
      <c r="BC254" s="63"/>
      <c r="BD254" s="63"/>
      <c r="BE254" s="63"/>
      <c r="BF254" s="63"/>
      <c r="BG254" s="63"/>
      <c r="BH254" s="63"/>
      <c r="BI254" s="63"/>
      <c r="BJ254" s="63"/>
      <c r="BK254" s="63"/>
      <c r="BL254" s="63"/>
      <c r="BM254" s="63"/>
      <c r="BN254" s="63"/>
      <c r="BO254" s="63"/>
      <c r="BP254" s="63"/>
      <c r="BQ254" s="63"/>
      <c r="BR254" s="63"/>
      <c r="BS254" s="63"/>
      <c r="BT254" s="63"/>
      <c r="BU254" s="63"/>
      <c r="BV254" s="63"/>
      <c r="BW254" s="63"/>
      <c r="BX254" s="63"/>
      <c r="BY254" s="63"/>
      <c r="BZ254" s="63"/>
      <c r="CA254" s="63"/>
      <c r="CB254" s="63"/>
      <c r="CC254" s="63"/>
      <c r="CD254" s="63"/>
      <c r="CE254" s="63"/>
      <c r="CF254" s="63"/>
      <c r="CG254" s="63"/>
      <c r="CH254" s="63"/>
      <c r="CI254" s="63"/>
      <c r="CJ254" s="63"/>
      <c r="CK254" s="63"/>
      <c r="CL254" s="63"/>
      <c r="CM254" s="63"/>
      <c r="CN254" s="63"/>
      <c r="CO254" s="63"/>
      <c r="CP254" s="63"/>
      <c r="CQ254" s="63"/>
      <c r="CR254" s="63"/>
      <c r="CS254" s="63"/>
      <c r="CT254" s="63"/>
      <c r="CU254" s="63"/>
      <c r="CV254" s="63"/>
      <c r="CW254" s="63"/>
      <c r="CX254" s="63"/>
      <c r="CY254" s="63"/>
      <c r="CZ254" s="63"/>
      <c r="DA254" s="63"/>
      <c r="DB254" s="63"/>
      <c r="DC254" s="63"/>
      <c r="DD254" s="63"/>
      <c r="DE254" s="63"/>
      <c r="DF254" s="63"/>
      <c r="DG254" s="63"/>
      <c r="DH254" s="63"/>
      <c r="DI254" s="63"/>
      <c r="DJ254" s="63"/>
      <c r="DK254" s="63"/>
      <c r="DL254" s="63"/>
      <c r="DM254" s="63"/>
      <c r="DN254" s="63"/>
      <c r="DO254" s="63"/>
      <c r="DP254" s="63"/>
      <c r="DQ254" s="63"/>
      <c r="DR254" s="63"/>
      <c r="DS254" s="63"/>
      <c r="DT254" s="63"/>
      <c r="DU254" s="63"/>
      <c r="DV254" s="63"/>
      <c r="DW254" s="63"/>
      <c r="DX254" s="63"/>
      <c r="DY254" s="63"/>
      <c r="DZ254" s="63"/>
      <c r="EA254" s="63"/>
      <c r="EB254" s="63"/>
      <c r="EC254" s="63"/>
      <c r="ED254" s="63"/>
      <c r="EE254" s="63"/>
      <c r="EF254" s="63"/>
      <c r="EG254" s="63"/>
      <c r="EH254" s="63"/>
      <c r="EI254" s="63"/>
      <c r="EJ254" s="63"/>
      <c r="EK254" s="63"/>
      <c r="EL254" s="63"/>
      <c r="EM254" s="63"/>
      <c r="EN254" s="63"/>
      <c r="EO254" s="63"/>
      <c r="EP254" s="63"/>
      <c r="EQ254" s="63"/>
      <c r="ER254" s="63"/>
      <c r="ES254" s="63"/>
      <c r="ET254" s="63"/>
      <c r="EU254" s="63"/>
      <c r="EV254" s="63"/>
      <c r="EW254" s="63"/>
      <c r="EX254" s="63"/>
      <c r="EY254" s="63"/>
      <c r="EZ254" s="63"/>
      <c r="FA254" s="63"/>
      <c r="FB254" s="63"/>
      <c r="FC254" s="63"/>
      <c r="FD254" s="63"/>
      <c r="FE254" s="63"/>
      <c r="FF254" s="63"/>
      <c r="FG254" s="63"/>
      <c r="FH254" s="63"/>
      <c r="FI254" s="63"/>
      <c r="FJ254" s="63"/>
      <c r="FK254" s="63"/>
      <c r="FL254" s="63"/>
      <c r="FM254" s="63"/>
      <c r="FN254" s="63"/>
      <c r="FO254" s="63"/>
      <c r="FP254" s="63"/>
      <c r="FQ254" s="63"/>
      <c r="FR254" s="63"/>
      <c r="FS254" s="63"/>
      <c r="FT254" s="63"/>
      <c r="FU254" s="63"/>
      <c r="FV254" s="63"/>
      <c r="FW254" s="63"/>
      <c r="FX254" s="63"/>
      <c r="FY254" s="63"/>
      <c r="FZ254" s="63"/>
      <c r="GA254" s="63"/>
      <c r="GB254" s="63"/>
      <c r="GC254" s="63"/>
      <c r="GD254" s="63"/>
      <c r="GE254" s="63"/>
      <c r="GF254" s="63"/>
      <c r="GG254" s="63"/>
      <c r="GH254" s="63"/>
      <c r="GI254" s="63"/>
      <c r="GJ254" s="63"/>
      <c r="GK254" s="63"/>
      <c r="GL254" s="63"/>
      <c r="GM254" s="63"/>
      <c r="GN254" s="63"/>
      <c r="GO254" s="63"/>
      <c r="GP254" s="63"/>
      <c r="GQ254" s="63"/>
      <c r="GR254" s="63"/>
      <c r="GS254" s="63"/>
      <c r="GT254" s="63"/>
      <c r="GU254" s="63"/>
      <c r="GV254" s="63"/>
      <c r="GW254" s="63"/>
      <c r="GX254" s="63"/>
      <c r="GY254" s="63"/>
      <c r="GZ254" s="63"/>
      <c r="HA254" s="63"/>
      <c r="HB254" s="63"/>
      <c r="HC254" s="63"/>
      <c r="HD254" s="63"/>
      <c r="HE254" s="63"/>
      <c r="HF254" s="63"/>
      <c r="HG254" s="63"/>
      <c r="HH254" s="63"/>
      <c r="HI254" s="63"/>
      <c r="HJ254" s="63"/>
      <c r="HK254" s="63"/>
      <c r="HL254" s="63"/>
      <c r="HM254" s="63"/>
      <c r="HN254" s="63"/>
      <c r="HO254" s="63"/>
      <c r="HP254" s="63"/>
      <c r="HQ254" s="63"/>
      <c r="HR254" s="63"/>
      <c r="HS254" s="63"/>
      <c r="HT254" s="63"/>
      <c r="HU254" s="63"/>
      <c r="HV254" s="63"/>
      <c r="HW254" s="63"/>
      <c r="HX254" s="63"/>
      <c r="HY254" s="63"/>
      <c r="HZ254" s="63"/>
      <c r="IA254" s="63"/>
      <c r="IB254" s="63"/>
      <c r="IC254" s="63"/>
      <c r="ID254" s="63"/>
      <c r="IE254" s="63"/>
      <c r="IF254" s="63"/>
      <c r="IG254" s="63"/>
      <c r="IH254" s="63"/>
      <c r="II254" s="63"/>
      <c r="IJ254" s="63"/>
      <c r="IK254" s="63"/>
      <c r="IL254" s="63"/>
      <c r="IM254" s="63"/>
      <c r="IN254" s="63"/>
      <c r="IO254" s="63"/>
      <c r="IP254" s="63"/>
      <c r="IQ254" s="63"/>
      <c r="IR254" s="63"/>
      <c r="IS254" s="63"/>
      <c r="IT254" s="63"/>
      <c r="IU254" s="63"/>
      <c r="IV254" s="63"/>
      <c r="IW254" s="63"/>
      <c r="IX254" s="63"/>
      <c r="IY254" s="63"/>
      <c r="IZ254" s="63"/>
      <c r="JA254" s="63"/>
      <c r="JB254" s="63"/>
      <c r="JC254" s="63"/>
      <c r="JD254" s="63"/>
      <c r="JE254" s="63"/>
      <c r="JF254" s="63"/>
      <c r="JG254" s="63"/>
      <c r="JH254" s="63"/>
      <c r="JI254" s="63"/>
      <c r="JJ254" s="63"/>
      <c r="JK254" s="63"/>
      <c r="JL254" s="63"/>
      <c r="JM254" s="63"/>
      <c r="JN254" s="63"/>
      <c r="JO254" s="63"/>
      <c r="JP254" s="63"/>
      <c r="JQ254" s="63"/>
      <c r="JR254" s="63"/>
      <c r="JS254" s="63"/>
      <c r="JT254" s="63"/>
      <c r="JU254" s="63"/>
      <c r="JV254" s="63"/>
      <c r="JW254" s="63"/>
      <c r="JX254" s="63"/>
      <c r="JY254" s="63"/>
      <c r="JZ254" s="63"/>
      <c r="KA254" s="63"/>
      <c r="KB254" s="63"/>
      <c r="KC254" s="63"/>
      <c r="KD254" s="63"/>
      <c r="KE254" s="63"/>
      <c r="KF254" s="63"/>
      <c r="KG254" s="63"/>
      <c r="KH254" s="63"/>
      <c r="KI254" s="63"/>
      <c r="KJ254" s="63"/>
      <c r="KK254" s="63"/>
      <c r="KL254" s="63"/>
      <c r="KM254" s="63"/>
      <c r="KN254" s="63"/>
      <c r="KO254" s="63"/>
      <c r="KP254" s="63"/>
      <c r="KQ254" s="63"/>
      <c r="KR254" s="63"/>
      <c r="KS254" s="63"/>
      <c r="KT254" s="63"/>
      <c r="KU254" s="63"/>
      <c r="KV254" s="63"/>
      <c r="KW254" s="63"/>
      <c r="KX254" s="63"/>
      <c r="KY254" s="63"/>
      <c r="KZ254" s="63"/>
      <c r="LA254" s="63"/>
      <c r="LB254" s="63"/>
      <c r="LC254" s="63"/>
      <c r="LD254" s="63"/>
      <c r="LE254" s="63"/>
      <c r="LF254" s="63"/>
      <c r="LG254" s="63"/>
      <c r="LH254" s="63"/>
      <c r="LI254" s="63"/>
      <c r="LJ254" s="63"/>
      <c r="LK254" s="63"/>
      <c r="LL254" s="63"/>
      <c r="LM254" s="63"/>
      <c r="LN254" s="63"/>
      <c r="LO254" s="63"/>
      <c r="LP254" s="63"/>
      <c r="LQ254" s="63"/>
      <c r="LR254" s="63"/>
      <c r="LS254" s="63"/>
      <c r="LT254" s="63"/>
      <c r="LU254" s="63"/>
      <c r="LV254" s="63"/>
      <c r="LW254" s="63"/>
      <c r="LX254" s="63"/>
      <c r="LY254" s="63"/>
      <c r="LZ254" s="63"/>
      <c r="MA254" s="63"/>
      <c r="MB254" s="63"/>
      <c r="MC254" s="63"/>
      <c r="MD254" s="63"/>
      <c r="ME254" s="63"/>
      <c r="MF254" s="63"/>
      <c r="MG254" s="63"/>
      <c r="MH254" s="63"/>
      <c r="MI254" s="63"/>
      <c r="MJ254" s="63"/>
      <c r="MK254" s="63"/>
      <c r="ML254" s="63"/>
      <c r="MM254" s="63"/>
      <c r="MN254" s="63"/>
      <c r="MO254" s="63"/>
      <c r="MP254" s="63"/>
      <c r="MQ254" s="63"/>
      <c r="MR254" s="63"/>
      <c r="MS254" s="63"/>
      <c r="MT254" s="63"/>
      <c r="MU254" s="63"/>
      <c r="MV254" s="63"/>
      <c r="MW254" s="63"/>
      <c r="MX254" s="63"/>
      <c r="MY254" s="63"/>
      <c r="MZ254" s="63"/>
      <c r="NA254" s="63"/>
      <c r="NB254" s="63"/>
      <c r="NC254" s="63"/>
      <c r="ND254" s="63"/>
      <c r="NE254" s="63"/>
      <c r="NF254" s="63"/>
      <c r="NG254" s="63"/>
      <c r="NH254" s="63"/>
      <c r="NI254" s="63"/>
      <c r="NJ254" s="63"/>
      <c r="NK254" s="63"/>
      <c r="NL254" s="63"/>
      <c r="NM254" s="63"/>
      <c r="NN254" s="63"/>
      <c r="NO254" s="63"/>
      <c r="NP254" s="63"/>
      <c r="NQ254" s="63"/>
      <c r="NR254" s="63"/>
      <c r="NS254" s="63"/>
      <c r="NT254" s="63"/>
      <c r="NU254" s="63"/>
      <c r="NV254" s="63"/>
      <c r="NW254" s="63"/>
      <c r="NX254" s="63"/>
      <c r="NY254" s="63"/>
      <c r="NZ254" s="63"/>
      <c r="OA254" s="63"/>
      <c r="OB254" s="63"/>
      <c r="OC254" s="63"/>
      <c r="OD254" s="63"/>
      <c r="OE254" s="63"/>
    </row>
    <row r="255" spans="4:395" x14ac:dyDescent="0.3">
      <c r="D255" s="133"/>
      <c r="E255" s="7"/>
      <c r="K255" s="76"/>
      <c r="L255" s="66"/>
      <c r="M255" s="77"/>
      <c r="N255" s="141" t="s">
        <v>219</v>
      </c>
      <c r="O255" s="142"/>
      <c r="P255" s="168"/>
      <c r="Q255" s="142"/>
    </row>
    <row r="256" spans="4:395" x14ac:dyDescent="0.3">
      <c r="D256" s="133"/>
      <c r="K256" s="76"/>
      <c r="L256" s="66"/>
      <c r="M256" s="66"/>
      <c r="N256" s="66"/>
      <c r="O256" s="66"/>
      <c r="P256" s="66"/>
      <c r="Q256" s="66"/>
    </row>
    <row r="257" spans="2:395" x14ac:dyDescent="0.3">
      <c r="D257" s="133"/>
      <c r="K257" s="76"/>
      <c r="L257" s="66"/>
      <c r="M257" s="66"/>
      <c r="N257" s="66" t="s">
        <v>415</v>
      </c>
      <c r="O257" s="66"/>
      <c r="P257" s="66"/>
      <c r="Q257" s="66"/>
    </row>
    <row r="258" spans="2:395" x14ac:dyDescent="0.3">
      <c r="K258" s="76"/>
      <c r="L258" s="66"/>
      <c r="M258" s="66"/>
      <c r="N258" s="66" t="s">
        <v>283</v>
      </c>
      <c r="O258" s="66"/>
      <c r="P258" s="66"/>
      <c r="Q258" s="66"/>
    </row>
    <row r="259" spans="2:395" x14ac:dyDescent="0.3">
      <c r="K259" s="76"/>
      <c r="L259" s="66"/>
      <c r="M259" s="66"/>
      <c r="N259" s="66" t="s">
        <v>281</v>
      </c>
      <c r="O259" s="66"/>
      <c r="P259" s="66"/>
      <c r="Q259" s="66"/>
    </row>
    <row r="260" spans="2:395" x14ac:dyDescent="0.3">
      <c r="D260" s="133"/>
      <c r="K260" s="76"/>
      <c r="L260" s="66"/>
      <c r="M260" s="66"/>
      <c r="N260" s="66"/>
      <c r="O260" s="66"/>
      <c r="P260" s="66"/>
      <c r="Q260" s="66"/>
    </row>
    <row r="261" spans="2:395" x14ac:dyDescent="0.3">
      <c r="D261" s="133"/>
      <c r="K261" s="76"/>
      <c r="L261" s="66"/>
      <c r="M261" s="66"/>
      <c r="N261" s="66" t="s">
        <v>262</v>
      </c>
      <c r="O261" s="66"/>
      <c r="P261" s="66"/>
      <c r="Q261" s="66"/>
    </row>
    <row r="262" spans="2:395" x14ac:dyDescent="0.3">
      <c r="D262" s="133"/>
      <c r="K262" s="76"/>
      <c r="L262" s="66"/>
      <c r="M262" s="66"/>
      <c r="N262" s="66" t="s">
        <v>284</v>
      </c>
      <c r="O262" s="66"/>
      <c r="P262" s="66"/>
      <c r="Q262" s="66"/>
    </row>
    <row r="263" spans="2:395" x14ac:dyDescent="0.3">
      <c r="D263" s="133"/>
      <c r="K263" s="76"/>
      <c r="L263" s="66"/>
      <c r="M263" s="66"/>
      <c r="N263" s="66" t="s">
        <v>282</v>
      </c>
      <c r="O263" s="66"/>
      <c r="P263" s="66"/>
      <c r="Q263" s="66"/>
    </row>
    <row r="264" spans="2:395" x14ac:dyDescent="0.3">
      <c r="D264" s="133"/>
      <c r="K264" s="76"/>
      <c r="L264" s="66"/>
      <c r="M264" s="66"/>
      <c r="N264" s="66"/>
      <c r="O264" s="66"/>
      <c r="P264" s="66"/>
      <c r="Q264" s="66"/>
    </row>
    <row r="265" spans="2:395" x14ac:dyDescent="0.3">
      <c r="D265" s="133"/>
      <c r="K265" s="76"/>
      <c r="L265" s="66"/>
      <c r="M265" s="77"/>
      <c r="N265" s="143" t="s">
        <v>295</v>
      </c>
      <c r="O265" s="144"/>
      <c r="P265" s="169"/>
      <c r="Q265" s="144"/>
    </row>
    <row r="266" spans="2:395" x14ac:dyDescent="0.3">
      <c r="D266" s="133"/>
      <c r="E266" s="15"/>
      <c r="F266" s="11"/>
      <c r="K266" s="76"/>
      <c r="L266" s="66"/>
      <c r="M266" s="77"/>
      <c r="N266" s="30" t="s">
        <v>294</v>
      </c>
      <c r="O266" s="30"/>
      <c r="P266" s="32" t="s">
        <v>31</v>
      </c>
      <c r="Q266" s="4" cm="1">
        <f t="array" ref="Q266:OE266">IF(($E$125&lt;=_xlfn.ANCHORARRAY(Q2))*(_xlfn.ANCHORARRAY(Q2)&lt;$E$131),$E$128,0%)</f>
        <v>0</v>
      </c>
      <c r="R266" s="4">
        <v>0</v>
      </c>
      <c r="S266" s="4">
        <v>0.5</v>
      </c>
      <c r="T266" s="4">
        <v>0.5</v>
      </c>
      <c r="U266" s="4">
        <v>0</v>
      </c>
      <c r="V266" s="4">
        <v>0</v>
      </c>
      <c r="W266" s="4">
        <v>0</v>
      </c>
      <c r="X266" s="4">
        <v>0</v>
      </c>
      <c r="Y266" s="4">
        <v>0</v>
      </c>
      <c r="Z266" s="4">
        <v>0</v>
      </c>
      <c r="AA266" s="4">
        <v>0</v>
      </c>
      <c r="AB266" s="4">
        <v>0</v>
      </c>
      <c r="AC266" s="4">
        <v>0</v>
      </c>
      <c r="AD266" s="4">
        <v>0</v>
      </c>
      <c r="AE266" s="4">
        <v>0</v>
      </c>
      <c r="AF266" s="4">
        <v>0</v>
      </c>
      <c r="AG266" s="4">
        <v>0</v>
      </c>
      <c r="AH266" s="4">
        <v>0</v>
      </c>
      <c r="AI266" s="4">
        <v>0</v>
      </c>
      <c r="AJ266" s="4">
        <v>0</v>
      </c>
      <c r="AK266" s="4">
        <v>0</v>
      </c>
      <c r="AL266" s="4">
        <v>0</v>
      </c>
      <c r="AM266" s="4">
        <v>0</v>
      </c>
      <c r="AN266" s="4">
        <v>0</v>
      </c>
      <c r="AO266" s="4">
        <v>0</v>
      </c>
      <c r="AP266" s="4">
        <v>0</v>
      </c>
      <c r="AQ266" s="4">
        <v>0</v>
      </c>
      <c r="AR266" s="4">
        <v>0</v>
      </c>
      <c r="AS266" s="4">
        <v>0</v>
      </c>
      <c r="AT266" s="4">
        <v>0</v>
      </c>
      <c r="AU266" s="4">
        <v>0</v>
      </c>
      <c r="AV266" s="4">
        <v>0</v>
      </c>
      <c r="AW266" s="4">
        <v>0</v>
      </c>
      <c r="AX266" s="4">
        <v>0</v>
      </c>
      <c r="AY266" s="4">
        <v>0</v>
      </c>
      <c r="AZ266" s="4">
        <v>0</v>
      </c>
      <c r="BA266" s="4">
        <v>0</v>
      </c>
      <c r="BB266" s="4">
        <v>0</v>
      </c>
      <c r="BC266" s="4">
        <v>0</v>
      </c>
      <c r="BD266" s="4">
        <v>0</v>
      </c>
      <c r="BE266" s="4">
        <v>0</v>
      </c>
      <c r="BF266" s="4">
        <v>0</v>
      </c>
      <c r="BG266" s="4">
        <v>0</v>
      </c>
      <c r="BH266" s="4">
        <v>0</v>
      </c>
      <c r="BI266" s="4">
        <v>0</v>
      </c>
      <c r="BJ266" s="4">
        <v>0</v>
      </c>
      <c r="BK266" s="4">
        <v>0</v>
      </c>
      <c r="BL266" s="4">
        <v>0</v>
      </c>
      <c r="BM266" s="4">
        <v>0</v>
      </c>
      <c r="BN266" s="4">
        <v>0</v>
      </c>
      <c r="BO266" s="4">
        <v>0</v>
      </c>
      <c r="BP266" s="4">
        <v>0</v>
      </c>
      <c r="BQ266" s="4">
        <v>0</v>
      </c>
      <c r="BR266" s="4">
        <v>0</v>
      </c>
      <c r="BS266" s="4">
        <v>0</v>
      </c>
      <c r="BT266" s="4">
        <v>0</v>
      </c>
      <c r="BU266" s="4">
        <v>0</v>
      </c>
      <c r="BV266" s="4">
        <v>0</v>
      </c>
      <c r="BW266" s="4">
        <v>0</v>
      </c>
      <c r="BX266" s="4">
        <v>0</v>
      </c>
      <c r="BY266" s="4">
        <v>0</v>
      </c>
      <c r="BZ266" s="4">
        <v>0</v>
      </c>
      <c r="CA266" s="4">
        <v>0</v>
      </c>
      <c r="CB266" s="4">
        <v>0</v>
      </c>
      <c r="CC266" s="4">
        <v>0</v>
      </c>
      <c r="CD266" s="4">
        <v>0</v>
      </c>
      <c r="CE266" s="4">
        <v>0</v>
      </c>
      <c r="CF266" s="4">
        <v>0</v>
      </c>
      <c r="CG266" s="4">
        <v>0</v>
      </c>
      <c r="CH266" s="4">
        <v>0</v>
      </c>
      <c r="CI266" s="4">
        <v>0</v>
      </c>
      <c r="CJ266" s="4">
        <v>0</v>
      </c>
      <c r="CK266" s="4">
        <v>0</v>
      </c>
      <c r="CL266" s="4">
        <v>0</v>
      </c>
      <c r="CM266" s="4">
        <v>0</v>
      </c>
      <c r="CN266" s="4">
        <v>0</v>
      </c>
      <c r="CO266" s="4">
        <v>0</v>
      </c>
      <c r="CP266" s="4">
        <v>0</v>
      </c>
      <c r="CQ266" s="4">
        <v>0</v>
      </c>
      <c r="CR266" s="4">
        <v>0</v>
      </c>
      <c r="CS266" s="4">
        <v>0</v>
      </c>
      <c r="CT266" s="4">
        <v>0</v>
      </c>
      <c r="CU266" s="4">
        <v>0</v>
      </c>
      <c r="CV266" s="4">
        <v>0</v>
      </c>
      <c r="CW266" s="4">
        <v>0</v>
      </c>
      <c r="CX266" s="4">
        <v>0</v>
      </c>
      <c r="CY266" s="4">
        <v>0</v>
      </c>
      <c r="CZ266" s="4">
        <v>0</v>
      </c>
      <c r="DA266" s="4">
        <v>0</v>
      </c>
      <c r="DB266" s="4">
        <v>0</v>
      </c>
      <c r="DC266" s="4">
        <v>0</v>
      </c>
      <c r="DD266" s="4">
        <v>0</v>
      </c>
      <c r="DE266" s="4">
        <v>0</v>
      </c>
      <c r="DF266" s="4">
        <v>0</v>
      </c>
      <c r="DG266" s="4">
        <v>0</v>
      </c>
      <c r="DH266" s="4">
        <v>0</v>
      </c>
      <c r="DI266" s="4">
        <v>0</v>
      </c>
      <c r="DJ266" s="4">
        <v>0</v>
      </c>
      <c r="DK266" s="4">
        <v>0</v>
      </c>
      <c r="DL266" s="4">
        <v>0</v>
      </c>
      <c r="DM266" s="4">
        <v>0</v>
      </c>
      <c r="DN266" s="4">
        <v>0</v>
      </c>
      <c r="DO266" s="4">
        <v>0</v>
      </c>
      <c r="DP266" s="4">
        <v>0</v>
      </c>
      <c r="DQ266" s="4">
        <v>0</v>
      </c>
      <c r="DR266" s="4">
        <v>0</v>
      </c>
      <c r="DS266" s="4">
        <v>0</v>
      </c>
      <c r="DT266" s="4">
        <v>0</v>
      </c>
      <c r="DU266" s="4">
        <v>0</v>
      </c>
      <c r="DV266" s="4">
        <v>0</v>
      </c>
      <c r="DW266" s="4">
        <v>0</v>
      </c>
      <c r="DX266" s="4">
        <v>0</v>
      </c>
      <c r="DY266" s="4">
        <v>0</v>
      </c>
      <c r="DZ266" s="4">
        <v>0</v>
      </c>
      <c r="EA266" s="4">
        <v>0</v>
      </c>
      <c r="EB266" s="4">
        <v>0</v>
      </c>
      <c r="EC266" s="4">
        <v>0</v>
      </c>
      <c r="ED266" s="4">
        <v>0</v>
      </c>
      <c r="EE266" s="4">
        <v>0</v>
      </c>
      <c r="EF266" s="4">
        <v>0</v>
      </c>
      <c r="EG266" s="4">
        <v>0</v>
      </c>
      <c r="EH266" s="4">
        <v>0</v>
      </c>
      <c r="EI266" s="4">
        <v>0</v>
      </c>
      <c r="EJ266" s="4">
        <v>0</v>
      </c>
      <c r="EK266" s="4">
        <v>0</v>
      </c>
      <c r="EL266" s="4">
        <v>0</v>
      </c>
      <c r="EM266" s="4">
        <v>0</v>
      </c>
      <c r="EN266" s="4">
        <v>0</v>
      </c>
      <c r="EO266" s="4">
        <v>0</v>
      </c>
      <c r="EP266" s="4">
        <v>0</v>
      </c>
      <c r="EQ266" s="4">
        <v>0</v>
      </c>
      <c r="ER266" s="4">
        <v>0</v>
      </c>
      <c r="ES266" s="4">
        <v>0</v>
      </c>
      <c r="ET266" s="4">
        <v>0</v>
      </c>
      <c r="EU266" s="4">
        <v>0</v>
      </c>
      <c r="EV266" s="4">
        <v>0</v>
      </c>
      <c r="EW266" s="4">
        <v>0</v>
      </c>
      <c r="EX266" s="4">
        <v>0</v>
      </c>
      <c r="EY266" s="4">
        <v>0</v>
      </c>
      <c r="EZ266" s="4">
        <v>0</v>
      </c>
      <c r="FA266" s="4">
        <v>0</v>
      </c>
      <c r="FB266" s="4">
        <v>0</v>
      </c>
      <c r="FC266" s="4">
        <v>0</v>
      </c>
      <c r="FD266" s="4">
        <v>0</v>
      </c>
      <c r="FE266" s="4">
        <v>0</v>
      </c>
      <c r="FF266" s="4">
        <v>0</v>
      </c>
      <c r="FG266" s="4">
        <v>0</v>
      </c>
      <c r="FH266" s="4">
        <v>0</v>
      </c>
      <c r="FI266" s="4">
        <v>0</v>
      </c>
      <c r="FJ266" s="4">
        <v>0</v>
      </c>
      <c r="FK266" s="4">
        <v>0</v>
      </c>
      <c r="FL266" s="4">
        <v>0</v>
      </c>
      <c r="FM266" s="4">
        <v>0</v>
      </c>
      <c r="FN266" s="4">
        <v>0</v>
      </c>
      <c r="FO266" s="4">
        <v>0</v>
      </c>
      <c r="FP266" s="4">
        <v>0</v>
      </c>
      <c r="FQ266" s="4">
        <v>0</v>
      </c>
      <c r="FR266" s="4">
        <v>0</v>
      </c>
      <c r="FS266" s="4">
        <v>0</v>
      </c>
      <c r="FT266" s="4">
        <v>0</v>
      </c>
      <c r="FU266" s="4">
        <v>0</v>
      </c>
      <c r="FV266" s="4">
        <v>0</v>
      </c>
      <c r="FW266" s="4">
        <v>0</v>
      </c>
      <c r="FX266" s="4">
        <v>0</v>
      </c>
      <c r="FY266" s="4">
        <v>0</v>
      </c>
      <c r="FZ266" s="4">
        <v>0</v>
      </c>
      <c r="GA266" s="4">
        <v>0</v>
      </c>
      <c r="GB266" s="4">
        <v>0</v>
      </c>
      <c r="GC266" s="4">
        <v>0</v>
      </c>
      <c r="GD266" s="4">
        <v>0</v>
      </c>
      <c r="GE266" s="4">
        <v>0</v>
      </c>
      <c r="GF266" s="4">
        <v>0</v>
      </c>
      <c r="GG266" s="4">
        <v>0</v>
      </c>
      <c r="GH266" s="4">
        <v>0</v>
      </c>
      <c r="GI266" s="4">
        <v>0</v>
      </c>
      <c r="GJ266" s="4">
        <v>0</v>
      </c>
      <c r="GK266" s="4">
        <v>0</v>
      </c>
      <c r="GL266" s="4">
        <v>0</v>
      </c>
      <c r="GM266" s="4">
        <v>0</v>
      </c>
      <c r="GN266" s="4">
        <v>0</v>
      </c>
      <c r="GO266" s="4">
        <v>0</v>
      </c>
      <c r="GP266" s="4">
        <v>0</v>
      </c>
      <c r="GQ266" s="4">
        <v>0</v>
      </c>
      <c r="GR266" s="4">
        <v>0</v>
      </c>
      <c r="GS266" s="4">
        <v>0</v>
      </c>
      <c r="GT266" s="4">
        <v>0</v>
      </c>
      <c r="GU266" s="4">
        <v>0</v>
      </c>
      <c r="GV266" s="4">
        <v>0</v>
      </c>
      <c r="GW266" s="4">
        <v>0</v>
      </c>
      <c r="GX266" s="4">
        <v>0</v>
      </c>
      <c r="GY266" s="4">
        <v>0</v>
      </c>
      <c r="GZ266" s="4">
        <v>0</v>
      </c>
      <c r="HA266" s="4">
        <v>0</v>
      </c>
      <c r="HB266" s="4">
        <v>0</v>
      </c>
      <c r="HC266" s="4">
        <v>0</v>
      </c>
      <c r="HD266" s="4">
        <v>0</v>
      </c>
      <c r="HE266" s="4">
        <v>0</v>
      </c>
      <c r="HF266" s="4">
        <v>0</v>
      </c>
      <c r="HG266" s="4">
        <v>0</v>
      </c>
      <c r="HH266" s="4">
        <v>0</v>
      </c>
      <c r="HI266" s="4">
        <v>0</v>
      </c>
      <c r="HJ266" s="4">
        <v>0</v>
      </c>
      <c r="HK266" s="4">
        <v>0</v>
      </c>
      <c r="HL266" s="4">
        <v>0</v>
      </c>
      <c r="HM266" s="4">
        <v>0</v>
      </c>
      <c r="HN266" s="4">
        <v>0</v>
      </c>
      <c r="HO266" s="4">
        <v>0</v>
      </c>
      <c r="HP266" s="4">
        <v>0</v>
      </c>
      <c r="HQ266" s="4">
        <v>0</v>
      </c>
      <c r="HR266" s="4">
        <v>0</v>
      </c>
      <c r="HS266" s="4">
        <v>0</v>
      </c>
      <c r="HT266" s="4">
        <v>0</v>
      </c>
      <c r="HU266" s="4">
        <v>0</v>
      </c>
      <c r="HV266" s="4">
        <v>0</v>
      </c>
      <c r="HW266" s="4">
        <v>0</v>
      </c>
      <c r="HX266" s="4">
        <v>0</v>
      </c>
      <c r="HY266" s="4">
        <v>0</v>
      </c>
      <c r="HZ266" s="4">
        <v>0</v>
      </c>
      <c r="IA266" s="4">
        <v>0</v>
      </c>
      <c r="IB266" s="4">
        <v>0</v>
      </c>
      <c r="IC266" s="4">
        <v>0</v>
      </c>
      <c r="ID266" s="4">
        <v>0</v>
      </c>
      <c r="IE266" s="4">
        <v>0</v>
      </c>
      <c r="IF266" s="4">
        <v>0</v>
      </c>
      <c r="IG266" s="4">
        <v>0</v>
      </c>
      <c r="IH266" s="4">
        <v>0</v>
      </c>
      <c r="II266" s="4">
        <v>0</v>
      </c>
      <c r="IJ266" s="4">
        <v>0</v>
      </c>
      <c r="IK266" s="4">
        <v>0</v>
      </c>
      <c r="IL266" s="4">
        <v>0</v>
      </c>
      <c r="IM266" s="4">
        <v>0</v>
      </c>
      <c r="IN266" s="4">
        <v>0</v>
      </c>
      <c r="IO266" s="4">
        <v>0</v>
      </c>
      <c r="IP266" s="4">
        <v>0</v>
      </c>
      <c r="IQ266" s="4">
        <v>0</v>
      </c>
      <c r="IR266" s="4">
        <v>0</v>
      </c>
      <c r="IS266" s="4">
        <v>0</v>
      </c>
      <c r="IT266" s="4">
        <v>0</v>
      </c>
      <c r="IU266" s="4">
        <v>0</v>
      </c>
      <c r="IV266" s="4">
        <v>0</v>
      </c>
      <c r="IW266" s="4">
        <v>0</v>
      </c>
      <c r="IX266" s="4">
        <v>0</v>
      </c>
      <c r="IY266" s="4">
        <v>0</v>
      </c>
      <c r="IZ266" s="4">
        <v>0</v>
      </c>
      <c r="JA266" s="4">
        <v>0</v>
      </c>
      <c r="JB266" s="4">
        <v>0</v>
      </c>
      <c r="JC266" s="4">
        <v>0</v>
      </c>
      <c r="JD266" s="4">
        <v>0</v>
      </c>
      <c r="JE266" s="4">
        <v>0</v>
      </c>
      <c r="JF266" s="4">
        <v>0</v>
      </c>
      <c r="JG266" s="4">
        <v>0</v>
      </c>
      <c r="JH266" s="4">
        <v>0</v>
      </c>
      <c r="JI266" s="4">
        <v>0</v>
      </c>
      <c r="JJ266" s="4">
        <v>0</v>
      </c>
      <c r="JK266" s="4">
        <v>0</v>
      </c>
      <c r="JL266" s="4">
        <v>0</v>
      </c>
      <c r="JM266" s="4">
        <v>0</v>
      </c>
      <c r="JN266" s="4">
        <v>0</v>
      </c>
      <c r="JO266" s="4">
        <v>0</v>
      </c>
      <c r="JP266" s="4">
        <v>0</v>
      </c>
      <c r="JQ266" s="4">
        <v>0</v>
      </c>
      <c r="JR266" s="4">
        <v>0</v>
      </c>
      <c r="JS266" s="4">
        <v>0</v>
      </c>
      <c r="JT266" s="4">
        <v>0</v>
      </c>
      <c r="JU266" s="4">
        <v>0</v>
      </c>
      <c r="JV266" s="4">
        <v>0</v>
      </c>
      <c r="JW266" s="4">
        <v>0</v>
      </c>
      <c r="JX266" s="4">
        <v>0</v>
      </c>
      <c r="JY266" s="4">
        <v>0</v>
      </c>
      <c r="JZ266" s="4">
        <v>0</v>
      </c>
      <c r="KA266" s="4">
        <v>0</v>
      </c>
      <c r="KB266" s="4">
        <v>0</v>
      </c>
      <c r="KC266" s="4">
        <v>0</v>
      </c>
      <c r="KD266" s="4">
        <v>0</v>
      </c>
      <c r="KE266" s="4">
        <v>0</v>
      </c>
      <c r="KF266" s="4">
        <v>0</v>
      </c>
      <c r="KG266" s="4">
        <v>0</v>
      </c>
      <c r="KH266" s="4">
        <v>0</v>
      </c>
      <c r="KI266" s="4">
        <v>0</v>
      </c>
      <c r="KJ266" s="4">
        <v>0</v>
      </c>
      <c r="KK266" s="4">
        <v>0</v>
      </c>
      <c r="KL266" s="4">
        <v>0</v>
      </c>
      <c r="KM266" s="4">
        <v>0</v>
      </c>
      <c r="KN266" s="4">
        <v>0</v>
      </c>
      <c r="KO266" s="4">
        <v>0</v>
      </c>
      <c r="KP266" s="4">
        <v>0</v>
      </c>
      <c r="KQ266" s="4">
        <v>0</v>
      </c>
      <c r="KR266" s="4">
        <v>0</v>
      </c>
      <c r="KS266" s="4">
        <v>0</v>
      </c>
      <c r="KT266" s="4">
        <v>0</v>
      </c>
      <c r="KU266" s="4">
        <v>0</v>
      </c>
      <c r="KV266" s="4">
        <v>0</v>
      </c>
      <c r="KW266" s="4">
        <v>0</v>
      </c>
      <c r="KX266" s="4">
        <v>0</v>
      </c>
      <c r="KY266" s="4">
        <v>0</v>
      </c>
      <c r="KZ266" s="4">
        <v>0</v>
      </c>
      <c r="LA266" s="4">
        <v>0</v>
      </c>
      <c r="LB266" s="4">
        <v>0</v>
      </c>
      <c r="LC266" s="4">
        <v>0</v>
      </c>
      <c r="LD266" s="4">
        <v>0</v>
      </c>
      <c r="LE266" s="4">
        <v>0</v>
      </c>
      <c r="LF266" s="4">
        <v>0</v>
      </c>
      <c r="LG266" s="4">
        <v>0</v>
      </c>
      <c r="LH266" s="4">
        <v>0</v>
      </c>
      <c r="LI266" s="4">
        <v>0</v>
      </c>
      <c r="LJ266" s="4">
        <v>0</v>
      </c>
      <c r="LK266" s="4">
        <v>0</v>
      </c>
      <c r="LL266" s="4">
        <v>0</v>
      </c>
      <c r="LM266" s="4">
        <v>0</v>
      </c>
      <c r="LN266" s="4">
        <v>0</v>
      </c>
      <c r="LO266" s="4">
        <v>0</v>
      </c>
      <c r="LP266" s="4">
        <v>0</v>
      </c>
      <c r="LQ266" s="4">
        <v>0</v>
      </c>
      <c r="LR266" s="4">
        <v>0</v>
      </c>
      <c r="LS266" s="4">
        <v>0</v>
      </c>
      <c r="LT266" s="4">
        <v>0</v>
      </c>
      <c r="LU266" s="4">
        <v>0</v>
      </c>
      <c r="LV266" s="4">
        <v>0</v>
      </c>
      <c r="LW266" s="4">
        <v>0</v>
      </c>
      <c r="LX266" s="4">
        <v>0</v>
      </c>
      <c r="LY266" s="4">
        <v>0</v>
      </c>
      <c r="LZ266" s="4">
        <v>0</v>
      </c>
      <c r="MA266" s="4">
        <v>0</v>
      </c>
      <c r="MB266" s="4">
        <v>0</v>
      </c>
      <c r="MC266" s="4">
        <v>0</v>
      </c>
      <c r="MD266" s="4">
        <v>0</v>
      </c>
      <c r="ME266" s="4">
        <v>0</v>
      </c>
      <c r="MF266" s="4">
        <v>0</v>
      </c>
      <c r="MG266" s="4">
        <v>0</v>
      </c>
      <c r="MH266" s="4">
        <v>0</v>
      </c>
      <c r="MI266" s="4">
        <v>0</v>
      </c>
      <c r="MJ266" s="4">
        <v>0</v>
      </c>
      <c r="MK266" s="4">
        <v>0</v>
      </c>
      <c r="ML266" s="4">
        <v>0</v>
      </c>
      <c r="MM266" s="4">
        <v>0</v>
      </c>
      <c r="MN266" s="4">
        <v>0</v>
      </c>
      <c r="MO266" s="4">
        <v>0</v>
      </c>
      <c r="MP266" s="4">
        <v>0</v>
      </c>
      <c r="MQ266" s="4">
        <v>0</v>
      </c>
      <c r="MR266" s="4">
        <v>0</v>
      </c>
      <c r="MS266" s="4">
        <v>0</v>
      </c>
      <c r="MT266" s="4">
        <v>0</v>
      </c>
      <c r="MU266" s="4">
        <v>0</v>
      </c>
      <c r="MV266" s="4">
        <v>0</v>
      </c>
      <c r="MW266" s="4">
        <v>0</v>
      </c>
      <c r="MX266" s="4">
        <v>0</v>
      </c>
      <c r="MY266" s="4">
        <v>0</v>
      </c>
      <c r="MZ266" s="4">
        <v>0</v>
      </c>
      <c r="NA266" s="4">
        <v>0</v>
      </c>
      <c r="NB266" s="4">
        <v>0</v>
      </c>
      <c r="NC266" s="4">
        <v>0</v>
      </c>
      <c r="ND266" s="4">
        <v>0</v>
      </c>
      <c r="NE266" s="4">
        <v>0</v>
      </c>
      <c r="NF266" s="4">
        <v>0</v>
      </c>
      <c r="NG266" s="4">
        <v>0</v>
      </c>
      <c r="NH266" s="4">
        <v>0</v>
      </c>
      <c r="NI266" s="4">
        <v>0</v>
      </c>
      <c r="NJ266" s="4">
        <v>0</v>
      </c>
      <c r="NK266" s="4">
        <v>0</v>
      </c>
      <c r="NL266" s="4">
        <v>0</v>
      </c>
      <c r="NM266" s="4">
        <v>0</v>
      </c>
      <c r="NN266" s="4">
        <v>0</v>
      </c>
      <c r="NO266" s="4">
        <v>0</v>
      </c>
      <c r="NP266" s="4">
        <v>0</v>
      </c>
      <c r="NQ266" s="4">
        <v>0</v>
      </c>
      <c r="NR266" s="4">
        <v>0</v>
      </c>
      <c r="NS266" s="4">
        <v>0</v>
      </c>
      <c r="NT266" s="4">
        <v>0</v>
      </c>
      <c r="NU266" s="4">
        <v>0</v>
      </c>
      <c r="NV266" s="4">
        <v>0</v>
      </c>
      <c r="NW266" s="4">
        <v>0</v>
      </c>
      <c r="NX266" s="4">
        <v>0</v>
      </c>
      <c r="NY266" s="4">
        <v>0</v>
      </c>
      <c r="NZ266" s="4">
        <v>0</v>
      </c>
      <c r="OA266" s="4">
        <v>0</v>
      </c>
      <c r="OB266" s="4">
        <v>0</v>
      </c>
      <c r="OC266" s="4">
        <v>0</v>
      </c>
      <c r="OD266" s="4">
        <v>0</v>
      </c>
      <c r="OE266" s="4">
        <v>0</v>
      </c>
    </row>
    <row r="267" spans="2:395" x14ac:dyDescent="0.3">
      <c r="B267" s="130"/>
      <c r="D267" s="133"/>
      <c r="K267" s="76"/>
      <c r="L267" s="66"/>
      <c r="M267" s="77"/>
      <c r="N267" s="175" t="s">
        <v>293</v>
      </c>
      <c r="O267" s="204"/>
      <c r="P267" s="205" t="s">
        <v>31</v>
      </c>
      <c r="Q267" s="173" cm="1">
        <f t="array" ref="Q267:OE267">100%-_xlfn.ANCHORARRAY(Q266)</f>
        <v>1</v>
      </c>
      <c r="R267" s="173">
        <v>1</v>
      </c>
      <c r="S267" s="173">
        <v>0.5</v>
      </c>
      <c r="T267" s="173">
        <v>0.5</v>
      </c>
      <c r="U267" s="173">
        <v>1</v>
      </c>
      <c r="V267" s="173">
        <v>1</v>
      </c>
      <c r="W267" s="173">
        <v>1</v>
      </c>
      <c r="X267" s="173">
        <v>1</v>
      </c>
      <c r="Y267" s="173">
        <v>1</v>
      </c>
      <c r="Z267" s="173">
        <v>1</v>
      </c>
      <c r="AA267" s="173">
        <v>1</v>
      </c>
      <c r="AB267" s="173">
        <v>1</v>
      </c>
      <c r="AC267" s="173">
        <v>1</v>
      </c>
      <c r="AD267" s="173">
        <v>1</v>
      </c>
      <c r="AE267" s="173">
        <v>1</v>
      </c>
      <c r="AF267" s="173">
        <v>1</v>
      </c>
      <c r="AG267" s="173">
        <v>1</v>
      </c>
      <c r="AH267" s="173">
        <v>1</v>
      </c>
      <c r="AI267" s="173">
        <v>1</v>
      </c>
      <c r="AJ267" s="173">
        <v>1</v>
      </c>
      <c r="AK267" s="173">
        <v>1</v>
      </c>
      <c r="AL267" s="173">
        <v>1</v>
      </c>
      <c r="AM267" s="173">
        <v>1</v>
      </c>
      <c r="AN267" s="173">
        <v>1</v>
      </c>
      <c r="AO267" s="173">
        <v>1</v>
      </c>
      <c r="AP267" s="173">
        <v>1</v>
      </c>
      <c r="AQ267" s="173">
        <v>1</v>
      </c>
      <c r="AR267" s="173">
        <v>1</v>
      </c>
      <c r="AS267" s="173">
        <v>1</v>
      </c>
      <c r="AT267" s="173">
        <v>1</v>
      </c>
      <c r="AU267" s="173">
        <v>1</v>
      </c>
      <c r="AV267" s="173">
        <v>1</v>
      </c>
      <c r="AW267" s="173">
        <v>1</v>
      </c>
      <c r="AX267" s="173">
        <v>1</v>
      </c>
      <c r="AY267" s="173">
        <v>1</v>
      </c>
      <c r="AZ267" s="173">
        <v>1</v>
      </c>
      <c r="BA267" s="173">
        <v>1</v>
      </c>
      <c r="BB267" s="173">
        <v>1</v>
      </c>
      <c r="BC267" s="173">
        <v>1</v>
      </c>
      <c r="BD267" s="173">
        <v>1</v>
      </c>
      <c r="BE267" s="173">
        <v>1</v>
      </c>
      <c r="BF267" s="173">
        <v>1</v>
      </c>
      <c r="BG267" s="173">
        <v>1</v>
      </c>
      <c r="BH267" s="173">
        <v>1</v>
      </c>
      <c r="BI267" s="173">
        <v>1</v>
      </c>
      <c r="BJ267" s="173">
        <v>1</v>
      </c>
      <c r="BK267" s="173">
        <v>1</v>
      </c>
      <c r="BL267" s="173">
        <v>1</v>
      </c>
      <c r="BM267" s="173">
        <v>1</v>
      </c>
      <c r="BN267" s="173">
        <v>1</v>
      </c>
      <c r="BO267" s="173">
        <v>1</v>
      </c>
      <c r="BP267" s="173">
        <v>1</v>
      </c>
      <c r="BQ267" s="173">
        <v>1</v>
      </c>
      <c r="BR267" s="173">
        <v>1</v>
      </c>
      <c r="BS267" s="173">
        <v>1</v>
      </c>
      <c r="BT267" s="173">
        <v>1</v>
      </c>
      <c r="BU267" s="173">
        <v>1</v>
      </c>
      <c r="BV267" s="173">
        <v>1</v>
      </c>
      <c r="BW267" s="173">
        <v>1</v>
      </c>
      <c r="BX267" s="173">
        <v>1</v>
      </c>
      <c r="BY267" s="173">
        <v>1</v>
      </c>
      <c r="BZ267" s="173">
        <v>1</v>
      </c>
      <c r="CA267" s="173">
        <v>1</v>
      </c>
      <c r="CB267" s="173">
        <v>1</v>
      </c>
      <c r="CC267" s="173">
        <v>1</v>
      </c>
      <c r="CD267" s="173">
        <v>1</v>
      </c>
      <c r="CE267" s="173">
        <v>1</v>
      </c>
      <c r="CF267" s="173">
        <v>1</v>
      </c>
      <c r="CG267" s="173">
        <v>1</v>
      </c>
      <c r="CH267" s="173">
        <v>1</v>
      </c>
      <c r="CI267" s="173">
        <v>1</v>
      </c>
      <c r="CJ267" s="173">
        <v>1</v>
      </c>
      <c r="CK267" s="173">
        <v>1</v>
      </c>
      <c r="CL267" s="173">
        <v>1</v>
      </c>
      <c r="CM267" s="173">
        <v>1</v>
      </c>
      <c r="CN267" s="173">
        <v>1</v>
      </c>
      <c r="CO267" s="173">
        <v>1</v>
      </c>
      <c r="CP267" s="173">
        <v>1</v>
      </c>
      <c r="CQ267" s="173">
        <v>1</v>
      </c>
      <c r="CR267" s="173">
        <v>1</v>
      </c>
      <c r="CS267" s="173">
        <v>1</v>
      </c>
      <c r="CT267" s="173">
        <v>1</v>
      </c>
      <c r="CU267" s="173">
        <v>1</v>
      </c>
      <c r="CV267" s="173">
        <v>1</v>
      </c>
      <c r="CW267" s="173">
        <v>1</v>
      </c>
      <c r="CX267" s="173">
        <v>1</v>
      </c>
      <c r="CY267" s="173">
        <v>1</v>
      </c>
      <c r="CZ267" s="173">
        <v>1</v>
      </c>
      <c r="DA267" s="173">
        <v>1</v>
      </c>
      <c r="DB267" s="173">
        <v>1</v>
      </c>
      <c r="DC267" s="173">
        <v>1</v>
      </c>
      <c r="DD267" s="173">
        <v>1</v>
      </c>
      <c r="DE267" s="173">
        <v>1</v>
      </c>
      <c r="DF267" s="173">
        <v>1</v>
      </c>
      <c r="DG267" s="173">
        <v>1</v>
      </c>
      <c r="DH267" s="173">
        <v>1</v>
      </c>
      <c r="DI267" s="173">
        <v>1</v>
      </c>
      <c r="DJ267" s="173">
        <v>1</v>
      </c>
      <c r="DK267" s="173">
        <v>1</v>
      </c>
      <c r="DL267" s="173">
        <v>1</v>
      </c>
      <c r="DM267" s="173">
        <v>1</v>
      </c>
      <c r="DN267" s="173">
        <v>1</v>
      </c>
      <c r="DO267" s="173">
        <v>1</v>
      </c>
      <c r="DP267" s="173">
        <v>1</v>
      </c>
      <c r="DQ267" s="173">
        <v>1</v>
      </c>
      <c r="DR267" s="173">
        <v>1</v>
      </c>
      <c r="DS267" s="173">
        <v>1</v>
      </c>
      <c r="DT267" s="173">
        <v>1</v>
      </c>
      <c r="DU267" s="173">
        <v>1</v>
      </c>
      <c r="DV267" s="173">
        <v>1</v>
      </c>
      <c r="DW267" s="173">
        <v>1</v>
      </c>
      <c r="DX267" s="173">
        <v>1</v>
      </c>
      <c r="DY267" s="173">
        <v>1</v>
      </c>
      <c r="DZ267" s="173">
        <v>1</v>
      </c>
      <c r="EA267" s="173">
        <v>1</v>
      </c>
      <c r="EB267" s="173">
        <v>1</v>
      </c>
      <c r="EC267" s="173">
        <v>1</v>
      </c>
      <c r="ED267" s="173">
        <v>1</v>
      </c>
      <c r="EE267" s="173">
        <v>1</v>
      </c>
      <c r="EF267" s="173">
        <v>1</v>
      </c>
      <c r="EG267" s="173">
        <v>1</v>
      </c>
      <c r="EH267" s="173">
        <v>1</v>
      </c>
      <c r="EI267" s="173">
        <v>1</v>
      </c>
      <c r="EJ267" s="173">
        <v>1</v>
      </c>
      <c r="EK267" s="173">
        <v>1</v>
      </c>
      <c r="EL267" s="173">
        <v>1</v>
      </c>
      <c r="EM267" s="173">
        <v>1</v>
      </c>
      <c r="EN267" s="173">
        <v>1</v>
      </c>
      <c r="EO267" s="173">
        <v>1</v>
      </c>
      <c r="EP267" s="173">
        <v>1</v>
      </c>
      <c r="EQ267" s="173">
        <v>1</v>
      </c>
      <c r="ER267" s="173">
        <v>1</v>
      </c>
      <c r="ES267" s="173">
        <v>1</v>
      </c>
      <c r="ET267" s="173">
        <v>1</v>
      </c>
      <c r="EU267" s="173">
        <v>1</v>
      </c>
      <c r="EV267" s="173">
        <v>1</v>
      </c>
      <c r="EW267" s="173">
        <v>1</v>
      </c>
      <c r="EX267" s="173">
        <v>1</v>
      </c>
      <c r="EY267" s="173">
        <v>1</v>
      </c>
      <c r="EZ267" s="173">
        <v>1</v>
      </c>
      <c r="FA267" s="173">
        <v>1</v>
      </c>
      <c r="FB267" s="173">
        <v>1</v>
      </c>
      <c r="FC267" s="173">
        <v>1</v>
      </c>
      <c r="FD267" s="173">
        <v>1</v>
      </c>
      <c r="FE267" s="173">
        <v>1</v>
      </c>
      <c r="FF267" s="173">
        <v>1</v>
      </c>
      <c r="FG267" s="173">
        <v>1</v>
      </c>
      <c r="FH267" s="173">
        <v>1</v>
      </c>
      <c r="FI267" s="173">
        <v>1</v>
      </c>
      <c r="FJ267" s="173">
        <v>1</v>
      </c>
      <c r="FK267" s="173">
        <v>1</v>
      </c>
      <c r="FL267" s="173">
        <v>1</v>
      </c>
      <c r="FM267" s="173">
        <v>1</v>
      </c>
      <c r="FN267" s="173">
        <v>1</v>
      </c>
      <c r="FO267" s="173">
        <v>1</v>
      </c>
      <c r="FP267" s="173">
        <v>1</v>
      </c>
      <c r="FQ267" s="173">
        <v>1</v>
      </c>
      <c r="FR267" s="173">
        <v>1</v>
      </c>
      <c r="FS267" s="173">
        <v>1</v>
      </c>
      <c r="FT267" s="173">
        <v>1</v>
      </c>
      <c r="FU267" s="173">
        <v>1</v>
      </c>
      <c r="FV267" s="173">
        <v>1</v>
      </c>
      <c r="FW267" s="173">
        <v>1</v>
      </c>
      <c r="FX267" s="173">
        <v>1</v>
      </c>
      <c r="FY267" s="173">
        <v>1</v>
      </c>
      <c r="FZ267" s="173">
        <v>1</v>
      </c>
      <c r="GA267" s="173">
        <v>1</v>
      </c>
      <c r="GB267" s="173">
        <v>1</v>
      </c>
      <c r="GC267" s="173">
        <v>1</v>
      </c>
      <c r="GD267" s="173">
        <v>1</v>
      </c>
      <c r="GE267" s="173">
        <v>1</v>
      </c>
      <c r="GF267" s="173">
        <v>1</v>
      </c>
      <c r="GG267" s="173">
        <v>1</v>
      </c>
      <c r="GH267" s="173">
        <v>1</v>
      </c>
      <c r="GI267" s="173">
        <v>1</v>
      </c>
      <c r="GJ267" s="173">
        <v>1</v>
      </c>
      <c r="GK267" s="173">
        <v>1</v>
      </c>
      <c r="GL267" s="173">
        <v>1</v>
      </c>
      <c r="GM267" s="173">
        <v>1</v>
      </c>
      <c r="GN267" s="173">
        <v>1</v>
      </c>
      <c r="GO267" s="173">
        <v>1</v>
      </c>
      <c r="GP267" s="173">
        <v>1</v>
      </c>
      <c r="GQ267" s="173">
        <v>1</v>
      </c>
      <c r="GR267" s="173">
        <v>1</v>
      </c>
      <c r="GS267" s="173">
        <v>1</v>
      </c>
      <c r="GT267" s="173">
        <v>1</v>
      </c>
      <c r="GU267" s="173">
        <v>1</v>
      </c>
      <c r="GV267" s="173">
        <v>1</v>
      </c>
      <c r="GW267" s="173">
        <v>1</v>
      </c>
      <c r="GX267" s="173">
        <v>1</v>
      </c>
      <c r="GY267" s="173">
        <v>1</v>
      </c>
      <c r="GZ267" s="173">
        <v>1</v>
      </c>
      <c r="HA267" s="173">
        <v>1</v>
      </c>
      <c r="HB267" s="173">
        <v>1</v>
      </c>
      <c r="HC267" s="173">
        <v>1</v>
      </c>
      <c r="HD267" s="173">
        <v>1</v>
      </c>
      <c r="HE267" s="173">
        <v>1</v>
      </c>
      <c r="HF267" s="173">
        <v>1</v>
      </c>
      <c r="HG267" s="173">
        <v>1</v>
      </c>
      <c r="HH267" s="173">
        <v>1</v>
      </c>
      <c r="HI267" s="173">
        <v>1</v>
      </c>
      <c r="HJ267" s="173">
        <v>1</v>
      </c>
      <c r="HK267" s="173">
        <v>1</v>
      </c>
      <c r="HL267" s="173">
        <v>1</v>
      </c>
      <c r="HM267" s="173">
        <v>1</v>
      </c>
      <c r="HN267" s="173">
        <v>1</v>
      </c>
      <c r="HO267" s="173">
        <v>1</v>
      </c>
      <c r="HP267" s="173">
        <v>1</v>
      </c>
      <c r="HQ267" s="173">
        <v>1</v>
      </c>
      <c r="HR267" s="173">
        <v>1</v>
      </c>
      <c r="HS267" s="173">
        <v>1</v>
      </c>
      <c r="HT267" s="173">
        <v>1</v>
      </c>
      <c r="HU267" s="173">
        <v>1</v>
      </c>
      <c r="HV267" s="173">
        <v>1</v>
      </c>
      <c r="HW267" s="173">
        <v>1</v>
      </c>
      <c r="HX267" s="173">
        <v>1</v>
      </c>
      <c r="HY267" s="173">
        <v>1</v>
      </c>
      <c r="HZ267" s="173">
        <v>1</v>
      </c>
      <c r="IA267" s="173">
        <v>1</v>
      </c>
      <c r="IB267" s="173">
        <v>1</v>
      </c>
      <c r="IC267" s="173">
        <v>1</v>
      </c>
      <c r="ID267" s="173">
        <v>1</v>
      </c>
      <c r="IE267" s="173">
        <v>1</v>
      </c>
      <c r="IF267" s="173">
        <v>1</v>
      </c>
      <c r="IG267" s="173">
        <v>1</v>
      </c>
      <c r="IH267" s="173">
        <v>1</v>
      </c>
      <c r="II267" s="173">
        <v>1</v>
      </c>
      <c r="IJ267" s="173">
        <v>1</v>
      </c>
      <c r="IK267" s="173">
        <v>1</v>
      </c>
      <c r="IL267" s="173">
        <v>1</v>
      </c>
      <c r="IM267" s="173">
        <v>1</v>
      </c>
      <c r="IN267" s="173">
        <v>1</v>
      </c>
      <c r="IO267" s="173">
        <v>1</v>
      </c>
      <c r="IP267" s="173">
        <v>1</v>
      </c>
      <c r="IQ267" s="173">
        <v>1</v>
      </c>
      <c r="IR267" s="173">
        <v>1</v>
      </c>
      <c r="IS267" s="173">
        <v>1</v>
      </c>
      <c r="IT267" s="173">
        <v>1</v>
      </c>
      <c r="IU267" s="173">
        <v>1</v>
      </c>
      <c r="IV267" s="173">
        <v>1</v>
      </c>
      <c r="IW267" s="173">
        <v>1</v>
      </c>
      <c r="IX267" s="173">
        <v>1</v>
      </c>
      <c r="IY267" s="173">
        <v>1</v>
      </c>
      <c r="IZ267" s="173">
        <v>1</v>
      </c>
      <c r="JA267" s="173">
        <v>1</v>
      </c>
      <c r="JB267" s="173">
        <v>1</v>
      </c>
      <c r="JC267" s="173">
        <v>1</v>
      </c>
      <c r="JD267" s="173">
        <v>1</v>
      </c>
      <c r="JE267" s="173">
        <v>1</v>
      </c>
      <c r="JF267" s="173">
        <v>1</v>
      </c>
      <c r="JG267" s="173">
        <v>1</v>
      </c>
      <c r="JH267" s="173">
        <v>1</v>
      </c>
      <c r="JI267" s="173">
        <v>1</v>
      </c>
      <c r="JJ267" s="173">
        <v>1</v>
      </c>
      <c r="JK267" s="173">
        <v>1</v>
      </c>
      <c r="JL267" s="173">
        <v>1</v>
      </c>
      <c r="JM267" s="173">
        <v>1</v>
      </c>
      <c r="JN267" s="173">
        <v>1</v>
      </c>
      <c r="JO267" s="173">
        <v>1</v>
      </c>
      <c r="JP267" s="173">
        <v>1</v>
      </c>
      <c r="JQ267" s="173">
        <v>1</v>
      </c>
      <c r="JR267" s="173">
        <v>1</v>
      </c>
      <c r="JS267" s="173">
        <v>1</v>
      </c>
      <c r="JT267" s="173">
        <v>1</v>
      </c>
      <c r="JU267" s="173">
        <v>1</v>
      </c>
      <c r="JV267" s="173">
        <v>1</v>
      </c>
      <c r="JW267" s="173">
        <v>1</v>
      </c>
      <c r="JX267" s="173">
        <v>1</v>
      </c>
      <c r="JY267" s="173">
        <v>1</v>
      </c>
      <c r="JZ267" s="173">
        <v>1</v>
      </c>
      <c r="KA267" s="173">
        <v>1</v>
      </c>
      <c r="KB267" s="173">
        <v>1</v>
      </c>
      <c r="KC267" s="173">
        <v>1</v>
      </c>
      <c r="KD267" s="173">
        <v>1</v>
      </c>
      <c r="KE267" s="173">
        <v>1</v>
      </c>
      <c r="KF267" s="173">
        <v>1</v>
      </c>
      <c r="KG267" s="173">
        <v>1</v>
      </c>
      <c r="KH267" s="173">
        <v>1</v>
      </c>
      <c r="KI267" s="173">
        <v>1</v>
      </c>
      <c r="KJ267" s="173">
        <v>1</v>
      </c>
      <c r="KK267" s="173">
        <v>1</v>
      </c>
      <c r="KL267" s="173">
        <v>1</v>
      </c>
      <c r="KM267" s="173">
        <v>1</v>
      </c>
      <c r="KN267" s="173">
        <v>1</v>
      </c>
      <c r="KO267" s="173">
        <v>1</v>
      </c>
      <c r="KP267" s="173">
        <v>1</v>
      </c>
      <c r="KQ267" s="173">
        <v>1</v>
      </c>
      <c r="KR267" s="173">
        <v>1</v>
      </c>
      <c r="KS267" s="173">
        <v>1</v>
      </c>
      <c r="KT267" s="173">
        <v>1</v>
      </c>
      <c r="KU267" s="173">
        <v>1</v>
      </c>
      <c r="KV267" s="173">
        <v>1</v>
      </c>
      <c r="KW267" s="173">
        <v>1</v>
      </c>
      <c r="KX267" s="173">
        <v>1</v>
      </c>
      <c r="KY267" s="173">
        <v>1</v>
      </c>
      <c r="KZ267" s="173">
        <v>1</v>
      </c>
      <c r="LA267" s="173">
        <v>1</v>
      </c>
      <c r="LB267" s="173">
        <v>1</v>
      </c>
      <c r="LC267" s="173">
        <v>1</v>
      </c>
      <c r="LD267" s="173">
        <v>1</v>
      </c>
      <c r="LE267" s="173">
        <v>1</v>
      </c>
      <c r="LF267" s="173">
        <v>1</v>
      </c>
      <c r="LG267" s="173">
        <v>1</v>
      </c>
      <c r="LH267" s="173">
        <v>1</v>
      </c>
      <c r="LI267" s="173">
        <v>1</v>
      </c>
      <c r="LJ267" s="173">
        <v>1</v>
      </c>
      <c r="LK267" s="173">
        <v>1</v>
      </c>
      <c r="LL267" s="173">
        <v>1</v>
      </c>
      <c r="LM267" s="173">
        <v>1</v>
      </c>
      <c r="LN267" s="173">
        <v>1</v>
      </c>
      <c r="LO267" s="173">
        <v>1</v>
      </c>
      <c r="LP267" s="173">
        <v>1</v>
      </c>
      <c r="LQ267" s="173">
        <v>1</v>
      </c>
      <c r="LR267" s="173">
        <v>1</v>
      </c>
      <c r="LS267" s="173">
        <v>1</v>
      </c>
      <c r="LT267" s="173">
        <v>1</v>
      </c>
      <c r="LU267" s="173">
        <v>1</v>
      </c>
      <c r="LV267" s="173">
        <v>1</v>
      </c>
      <c r="LW267" s="173">
        <v>1</v>
      </c>
      <c r="LX267" s="173">
        <v>1</v>
      </c>
      <c r="LY267" s="173">
        <v>1</v>
      </c>
      <c r="LZ267" s="173">
        <v>1</v>
      </c>
      <c r="MA267" s="173">
        <v>1</v>
      </c>
      <c r="MB267" s="173">
        <v>1</v>
      </c>
      <c r="MC267" s="173">
        <v>1</v>
      </c>
      <c r="MD267" s="173">
        <v>1</v>
      </c>
      <c r="ME267" s="173">
        <v>1</v>
      </c>
      <c r="MF267" s="173">
        <v>1</v>
      </c>
      <c r="MG267" s="173">
        <v>1</v>
      </c>
      <c r="MH267" s="173">
        <v>1</v>
      </c>
      <c r="MI267" s="173">
        <v>1</v>
      </c>
      <c r="MJ267" s="173">
        <v>1</v>
      </c>
      <c r="MK267" s="173">
        <v>1</v>
      </c>
      <c r="ML267" s="173">
        <v>1</v>
      </c>
      <c r="MM267" s="173">
        <v>1</v>
      </c>
      <c r="MN267" s="173">
        <v>1</v>
      </c>
      <c r="MO267" s="173">
        <v>1</v>
      </c>
      <c r="MP267" s="173">
        <v>1</v>
      </c>
      <c r="MQ267" s="173">
        <v>1</v>
      </c>
      <c r="MR267" s="173">
        <v>1</v>
      </c>
      <c r="MS267" s="173">
        <v>1</v>
      </c>
      <c r="MT267" s="173">
        <v>1</v>
      </c>
      <c r="MU267" s="173">
        <v>1</v>
      </c>
      <c r="MV267" s="173">
        <v>1</v>
      </c>
      <c r="MW267" s="173">
        <v>1</v>
      </c>
      <c r="MX267" s="173">
        <v>1</v>
      </c>
      <c r="MY267" s="173">
        <v>1</v>
      </c>
      <c r="MZ267" s="173">
        <v>1</v>
      </c>
      <c r="NA267" s="173">
        <v>1</v>
      </c>
      <c r="NB267" s="173">
        <v>1</v>
      </c>
      <c r="NC267" s="173">
        <v>1</v>
      </c>
      <c r="ND267" s="173">
        <v>1</v>
      </c>
      <c r="NE267" s="173">
        <v>1</v>
      </c>
      <c r="NF267" s="173">
        <v>1</v>
      </c>
      <c r="NG267" s="173">
        <v>1</v>
      </c>
      <c r="NH267" s="173">
        <v>1</v>
      </c>
      <c r="NI267" s="173">
        <v>1</v>
      </c>
      <c r="NJ267" s="173">
        <v>1</v>
      </c>
      <c r="NK267" s="173">
        <v>1</v>
      </c>
      <c r="NL267" s="173">
        <v>1</v>
      </c>
      <c r="NM267" s="173">
        <v>1</v>
      </c>
      <c r="NN267" s="173">
        <v>1</v>
      </c>
      <c r="NO267" s="173">
        <v>1</v>
      </c>
      <c r="NP267" s="173">
        <v>1</v>
      </c>
      <c r="NQ267" s="173">
        <v>1</v>
      </c>
      <c r="NR267" s="173">
        <v>1</v>
      </c>
      <c r="NS267" s="173">
        <v>1</v>
      </c>
      <c r="NT267" s="173">
        <v>1</v>
      </c>
      <c r="NU267" s="173">
        <v>1</v>
      </c>
      <c r="NV267" s="173">
        <v>1</v>
      </c>
      <c r="NW267" s="173">
        <v>1</v>
      </c>
      <c r="NX267" s="173">
        <v>1</v>
      </c>
      <c r="NY267" s="173">
        <v>1</v>
      </c>
      <c r="NZ267" s="173">
        <v>1</v>
      </c>
      <c r="OA267" s="173">
        <v>1</v>
      </c>
      <c r="OB267" s="173">
        <v>1</v>
      </c>
      <c r="OC267" s="173">
        <v>1</v>
      </c>
      <c r="OD267" s="173">
        <v>1</v>
      </c>
      <c r="OE267" s="173">
        <v>1</v>
      </c>
    </row>
    <row r="268" spans="2:395" x14ac:dyDescent="0.3">
      <c r="B268" s="130"/>
      <c r="D268" s="133"/>
      <c r="K268" s="76"/>
      <c r="L268" s="66"/>
      <c r="M268" s="77"/>
      <c r="N268" s="200" t="s">
        <v>261</v>
      </c>
      <c r="O268" s="201"/>
      <c r="P268" s="202"/>
      <c r="Q268" s="203" t="e" cm="1">
        <f t="array" ref="Q268">IF(_xlfn.ANCHORARRAY(Q261)&lt;0,-_xlfn.ANCHORARRAY(Q261),0)</f>
        <v>#REF!</v>
      </c>
    </row>
    <row r="269" spans="2:395" x14ac:dyDescent="0.3">
      <c r="B269" s="130"/>
      <c r="D269" s="133"/>
      <c r="K269" s="76"/>
      <c r="L269" s="66"/>
      <c r="M269" s="77"/>
      <c r="N269" s="174" t="s">
        <v>290</v>
      </c>
      <c r="P269" s="8"/>
      <c r="Q269" t="e" cm="1">
        <f t="array" ref="Q269:OE269">_xlfn.ANCHORARRAY(Q268)*_xlfn.ANCHORARRAY(Q266)</f>
        <v>#REF!</v>
      </c>
      <c r="R269" t="e">
        <v>#REF!</v>
      </c>
      <c r="S269" t="e">
        <v>#REF!</v>
      </c>
      <c r="T269" t="e">
        <v>#REF!</v>
      </c>
      <c r="U269" t="e">
        <v>#REF!</v>
      </c>
      <c r="V269" t="e">
        <v>#REF!</v>
      </c>
      <c r="W269" t="e">
        <v>#REF!</v>
      </c>
      <c r="X269" t="e">
        <v>#REF!</v>
      </c>
      <c r="Y269" t="e">
        <v>#REF!</v>
      </c>
      <c r="Z269" t="e">
        <v>#REF!</v>
      </c>
      <c r="AA269" t="e">
        <v>#REF!</v>
      </c>
      <c r="AB269" t="e">
        <v>#REF!</v>
      </c>
      <c r="AC269" t="e">
        <v>#REF!</v>
      </c>
      <c r="AD269" t="e">
        <v>#REF!</v>
      </c>
      <c r="AE269" t="e">
        <v>#REF!</v>
      </c>
      <c r="AF269" t="e">
        <v>#REF!</v>
      </c>
      <c r="AG269" t="e">
        <v>#REF!</v>
      </c>
      <c r="AH269" t="e">
        <v>#REF!</v>
      </c>
      <c r="AI269" t="e">
        <v>#REF!</v>
      </c>
      <c r="AJ269" t="e">
        <v>#REF!</v>
      </c>
      <c r="AK269" t="e">
        <v>#REF!</v>
      </c>
      <c r="AL269" t="e">
        <v>#REF!</v>
      </c>
      <c r="AM269" t="e">
        <v>#REF!</v>
      </c>
      <c r="AN269" t="e">
        <v>#REF!</v>
      </c>
      <c r="AO269" t="e">
        <v>#REF!</v>
      </c>
      <c r="AP269" t="e">
        <v>#REF!</v>
      </c>
      <c r="AQ269" t="e">
        <v>#REF!</v>
      </c>
      <c r="AR269" t="e">
        <v>#REF!</v>
      </c>
      <c r="AS269" t="e">
        <v>#REF!</v>
      </c>
      <c r="AT269" t="e">
        <v>#REF!</v>
      </c>
      <c r="AU269" t="e">
        <v>#REF!</v>
      </c>
      <c r="AV269" t="e">
        <v>#REF!</v>
      </c>
      <c r="AW269" t="e">
        <v>#REF!</v>
      </c>
      <c r="AX269" t="e">
        <v>#REF!</v>
      </c>
      <c r="AY269" t="e">
        <v>#REF!</v>
      </c>
      <c r="AZ269" t="e">
        <v>#REF!</v>
      </c>
      <c r="BA269" t="e">
        <v>#REF!</v>
      </c>
      <c r="BB269" t="e">
        <v>#REF!</v>
      </c>
      <c r="BC269" t="e">
        <v>#REF!</v>
      </c>
      <c r="BD269" t="e">
        <v>#REF!</v>
      </c>
      <c r="BE269" t="e">
        <v>#REF!</v>
      </c>
      <c r="BF269" t="e">
        <v>#REF!</v>
      </c>
      <c r="BG269" t="e">
        <v>#REF!</v>
      </c>
      <c r="BH269" t="e">
        <v>#REF!</v>
      </c>
      <c r="BI269" t="e">
        <v>#REF!</v>
      </c>
      <c r="BJ269" t="e">
        <v>#REF!</v>
      </c>
      <c r="BK269" t="e">
        <v>#REF!</v>
      </c>
      <c r="BL269" t="e">
        <v>#REF!</v>
      </c>
      <c r="BM269" t="e">
        <v>#REF!</v>
      </c>
      <c r="BN269" t="e">
        <v>#REF!</v>
      </c>
      <c r="BO269" t="e">
        <v>#REF!</v>
      </c>
      <c r="BP269" t="e">
        <v>#REF!</v>
      </c>
      <c r="BQ269" t="e">
        <v>#REF!</v>
      </c>
      <c r="BR269" t="e">
        <v>#REF!</v>
      </c>
      <c r="BS269" t="e">
        <v>#REF!</v>
      </c>
      <c r="BT269" t="e">
        <v>#REF!</v>
      </c>
      <c r="BU269" t="e">
        <v>#REF!</v>
      </c>
      <c r="BV269" t="e">
        <v>#REF!</v>
      </c>
      <c r="BW269" t="e">
        <v>#REF!</v>
      </c>
      <c r="BX269" t="e">
        <v>#REF!</v>
      </c>
      <c r="BY269" t="e">
        <v>#REF!</v>
      </c>
      <c r="BZ269" t="e">
        <v>#REF!</v>
      </c>
      <c r="CA269" t="e">
        <v>#REF!</v>
      </c>
      <c r="CB269" t="e">
        <v>#REF!</v>
      </c>
      <c r="CC269" t="e">
        <v>#REF!</v>
      </c>
      <c r="CD269" t="e">
        <v>#REF!</v>
      </c>
      <c r="CE269" t="e">
        <v>#REF!</v>
      </c>
      <c r="CF269" t="e">
        <v>#REF!</v>
      </c>
      <c r="CG269" t="e">
        <v>#REF!</v>
      </c>
      <c r="CH269" t="e">
        <v>#REF!</v>
      </c>
      <c r="CI269" t="e">
        <v>#REF!</v>
      </c>
      <c r="CJ269" t="e">
        <v>#REF!</v>
      </c>
      <c r="CK269" t="e">
        <v>#REF!</v>
      </c>
      <c r="CL269" t="e">
        <v>#REF!</v>
      </c>
      <c r="CM269" t="e">
        <v>#REF!</v>
      </c>
      <c r="CN269" t="e">
        <v>#REF!</v>
      </c>
      <c r="CO269" t="e">
        <v>#REF!</v>
      </c>
      <c r="CP269" t="e">
        <v>#REF!</v>
      </c>
      <c r="CQ269" t="e">
        <v>#REF!</v>
      </c>
      <c r="CR269" t="e">
        <v>#REF!</v>
      </c>
      <c r="CS269" t="e">
        <v>#REF!</v>
      </c>
      <c r="CT269" t="e">
        <v>#REF!</v>
      </c>
      <c r="CU269" t="e">
        <v>#REF!</v>
      </c>
      <c r="CV269" t="e">
        <v>#REF!</v>
      </c>
      <c r="CW269" t="e">
        <v>#REF!</v>
      </c>
      <c r="CX269" t="e">
        <v>#REF!</v>
      </c>
      <c r="CY269" t="e">
        <v>#REF!</v>
      </c>
      <c r="CZ269" t="e">
        <v>#REF!</v>
      </c>
      <c r="DA269" t="e">
        <v>#REF!</v>
      </c>
      <c r="DB269" t="e">
        <v>#REF!</v>
      </c>
      <c r="DC269" t="e">
        <v>#REF!</v>
      </c>
      <c r="DD269" t="e">
        <v>#REF!</v>
      </c>
      <c r="DE269" t="e">
        <v>#REF!</v>
      </c>
      <c r="DF269" t="e">
        <v>#REF!</v>
      </c>
      <c r="DG269" t="e">
        <v>#REF!</v>
      </c>
      <c r="DH269" t="e">
        <v>#REF!</v>
      </c>
      <c r="DI269" t="e">
        <v>#REF!</v>
      </c>
      <c r="DJ269" t="e">
        <v>#REF!</v>
      </c>
      <c r="DK269" t="e">
        <v>#REF!</v>
      </c>
      <c r="DL269" t="e">
        <v>#REF!</v>
      </c>
      <c r="DM269" t="e">
        <v>#REF!</v>
      </c>
      <c r="DN269" t="e">
        <v>#REF!</v>
      </c>
      <c r="DO269" t="e">
        <v>#REF!</v>
      </c>
      <c r="DP269" t="e">
        <v>#REF!</v>
      </c>
      <c r="DQ269" t="e">
        <v>#REF!</v>
      </c>
      <c r="DR269" t="e">
        <v>#REF!</v>
      </c>
      <c r="DS269" t="e">
        <v>#REF!</v>
      </c>
      <c r="DT269" t="e">
        <v>#REF!</v>
      </c>
      <c r="DU269" t="e">
        <v>#REF!</v>
      </c>
      <c r="DV269" t="e">
        <v>#REF!</v>
      </c>
      <c r="DW269" t="e">
        <v>#REF!</v>
      </c>
      <c r="DX269" t="e">
        <v>#REF!</v>
      </c>
      <c r="DY269" t="e">
        <v>#REF!</v>
      </c>
      <c r="DZ269" t="e">
        <v>#REF!</v>
      </c>
      <c r="EA269" t="e">
        <v>#REF!</v>
      </c>
      <c r="EB269" t="e">
        <v>#REF!</v>
      </c>
      <c r="EC269" t="e">
        <v>#REF!</v>
      </c>
      <c r="ED269" t="e">
        <v>#REF!</v>
      </c>
      <c r="EE269" t="e">
        <v>#REF!</v>
      </c>
      <c r="EF269" t="e">
        <v>#REF!</v>
      </c>
      <c r="EG269" t="e">
        <v>#REF!</v>
      </c>
      <c r="EH269" t="e">
        <v>#REF!</v>
      </c>
      <c r="EI269" t="e">
        <v>#REF!</v>
      </c>
      <c r="EJ269" t="e">
        <v>#REF!</v>
      </c>
      <c r="EK269" t="e">
        <v>#REF!</v>
      </c>
      <c r="EL269" t="e">
        <v>#REF!</v>
      </c>
      <c r="EM269" t="e">
        <v>#REF!</v>
      </c>
      <c r="EN269" t="e">
        <v>#REF!</v>
      </c>
      <c r="EO269" t="e">
        <v>#REF!</v>
      </c>
      <c r="EP269" t="e">
        <v>#REF!</v>
      </c>
      <c r="EQ269" t="e">
        <v>#REF!</v>
      </c>
      <c r="ER269" t="e">
        <v>#REF!</v>
      </c>
      <c r="ES269" t="e">
        <v>#REF!</v>
      </c>
      <c r="ET269" t="e">
        <v>#REF!</v>
      </c>
      <c r="EU269" t="e">
        <v>#REF!</v>
      </c>
      <c r="EV269" t="e">
        <v>#REF!</v>
      </c>
      <c r="EW269" t="e">
        <v>#REF!</v>
      </c>
      <c r="EX269" t="e">
        <v>#REF!</v>
      </c>
      <c r="EY269" t="e">
        <v>#REF!</v>
      </c>
      <c r="EZ269" t="e">
        <v>#REF!</v>
      </c>
      <c r="FA269" t="e">
        <v>#REF!</v>
      </c>
      <c r="FB269" t="e">
        <v>#REF!</v>
      </c>
      <c r="FC269" t="e">
        <v>#REF!</v>
      </c>
      <c r="FD269" t="e">
        <v>#REF!</v>
      </c>
      <c r="FE269" t="e">
        <v>#REF!</v>
      </c>
      <c r="FF269" t="e">
        <v>#REF!</v>
      </c>
      <c r="FG269" t="e">
        <v>#REF!</v>
      </c>
      <c r="FH269" t="e">
        <v>#REF!</v>
      </c>
      <c r="FI269" t="e">
        <v>#REF!</v>
      </c>
      <c r="FJ269" t="e">
        <v>#REF!</v>
      </c>
      <c r="FK269" t="e">
        <v>#REF!</v>
      </c>
      <c r="FL269" t="e">
        <v>#REF!</v>
      </c>
      <c r="FM269" t="e">
        <v>#REF!</v>
      </c>
      <c r="FN269" t="e">
        <v>#REF!</v>
      </c>
      <c r="FO269" t="e">
        <v>#REF!</v>
      </c>
      <c r="FP269" t="e">
        <v>#REF!</v>
      </c>
      <c r="FQ269" t="e">
        <v>#REF!</v>
      </c>
      <c r="FR269" t="e">
        <v>#REF!</v>
      </c>
      <c r="FS269" t="e">
        <v>#REF!</v>
      </c>
      <c r="FT269" t="e">
        <v>#REF!</v>
      </c>
      <c r="FU269" t="e">
        <v>#REF!</v>
      </c>
      <c r="FV269" t="e">
        <v>#REF!</v>
      </c>
      <c r="FW269" t="e">
        <v>#REF!</v>
      </c>
      <c r="FX269" t="e">
        <v>#REF!</v>
      </c>
      <c r="FY269" t="e">
        <v>#REF!</v>
      </c>
      <c r="FZ269" t="e">
        <v>#REF!</v>
      </c>
      <c r="GA269" t="e">
        <v>#REF!</v>
      </c>
      <c r="GB269" t="e">
        <v>#REF!</v>
      </c>
      <c r="GC269" t="e">
        <v>#REF!</v>
      </c>
      <c r="GD269" t="e">
        <v>#REF!</v>
      </c>
      <c r="GE269" t="e">
        <v>#REF!</v>
      </c>
      <c r="GF269" t="e">
        <v>#REF!</v>
      </c>
      <c r="GG269" t="e">
        <v>#REF!</v>
      </c>
      <c r="GH269" t="e">
        <v>#REF!</v>
      </c>
      <c r="GI269" t="e">
        <v>#REF!</v>
      </c>
      <c r="GJ269" t="e">
        <v>#REF!</v>
      </c>
      <c r="GK269" t="e">
        <v>#REF!</v>
      </c>
      <c r="GL269" t="e">
        <v>#REF!</v>
      </c>
      <c r="GM269" t="e">
        <v>#REF!</v>
      </c>
      <c r="GN269" t="e">
        <v>#REF!</v>
      </c>
      <c r="GO269" t="e">
        <v>#REF!</v>
      </c>
      <c r="GP269" t="e">
        <v>#REF!</v>
      </c>
      <c r="GQ269" t="e">
        <v>#REF!</v>
      </c>
      <c r="GR269" t="e">
        <v>#REF!</v>
      </c>
      <c r="GS269" t="e">
        <v>#REF!</v>
      </c>
      <c r="GT269" t="e">
        <v>#REF!</v>
      </c>
      <c r="GU269" t="e">
        <v>#REF!</v>
      </c>
      <c r="GV269" t="e">
        <v>#REF!</v>
      </c>
      <c r="GW269" t="e">
        <v>#REF!</v>
      </c>
      <c r="GX269" t="e">
        <v>#REF!</v>
      </c>
      <c r="GY269" t="e">
        <v>#REF!</v>
      </c>
      <c r="GZ269" t="e">
        <v>#REF!</v>
      </c>
      <c r="HA269" t="e">
        <v>#REF!</v>
      </c>
      <c r="HB269" t="e">
        <v>#REF!</v>
      </c>
      <c r="HC269" t="e">
        <v>#REF!</v>
      </c>
      <c r="HD269" t="e">
        <v>#REF!</v>
      </c>
      <c r="HE269" t="e">
        <v>#REF!</v>
      </c>
      <c r="HF269" t="e">
        <v>#REF!</v>
      </c>
      <c r="HG269" t="e">
        <v>#REF!</v>
      </c>
      <c r="HH269" t="e">
        <v>#REF!</v>
      </c>
      <c r="HI269" t="e">
        <v>#REF!</v>
      </c>
      <c r="HJ269" t="e">
        <v>#REF!</v>
      </c>
      <c r="HK269" t="e">
        <v>#REF!</v>
      </c>
      <c r="HL269" t="e">
        <v>#REF!</v>
      </c>
      <c r="HM269" t="e">
        <v>#REF!</v>
      </c>
      <c r="HN269" t="e">
        <v>#REF!</v>
      </c>
      <c r="HO269" t="e">
        <v>#REF!</v>
      </c>
      <c r="HP269" t="e">
        <v>#REF!</v>
      </c>
      <c r="HQ269" t="e">
        <v>#REF!</v>
      </c>
      <c r="HR269" t="e">
        <v>#REF!</v>
      </c>
      <c r="HS269" t="e">
        <v>#REF!</v>
      </c>
      <c r="HT269" t="e">
        <v>#REF!</v>
      </c>
      <c r="HU269" t="e">
        <v>#REF!</v>
      </c>
      <c r="HV269" t="e">
        <v>#REF!</v>
      </c>
      <c r="HW269" t="e">
        <v>#REF!</v>
      </c>
      <c r="HX269" t="e">
        <v>#REF!</v>
      </c>
      <c r="HY269" t="e">
        <v>#REF!</v>
      </c>
      <c r="HZ269" t="e">
        <v>#REF!</v>
      </c>
      <c r="IA269" t="e">
        <v>#REF!</v>
      </c>
      <c r="IB269" t="e">
        <v>#REF!</v>
      </c>
      <c r="IC269" t="e">
        <v>#REF!</v>
      </c>
      <c r="ID269" t="e">
        <v>#REF!</v>
      </c>
      <c r="IE269" t="e">
        <v>#REF!</v>
      </c>
      <c r="IF269" t="e">
        <v>#REF!</v>
      </c>
      <c r="IG269" t="e">
        <v>#REF!</v>
      </c>
      <c r="IH269" t="e">
        <v>#REF!</v>
      </c>
      <c r="II269" t="e">
        <v>#REF!</v>
      </c>
      <c r="IJ269" t="e">
        <v>#REF!</v>
      </c>
      <c r="IK269" t="e">
        <v>#REF!</v>
      </c>
      <c r="IL269" t="e">
        <v>#REF!</v>
      </c>
      <c r="IM269" t="e">
        <v>#REF!</v>
      </c>
      <c r="IN269" t="e">
        <v>#REF!</v>
      </c>
      <c r="IO269" t="e">
        <v>#REF!</v>
      </c>
      <c r="IP269" t="e">
        <v>#REF!</v>
      </c>
      <c r="IQ269" t="e">
        <v>#REF!</v>
      </c>
      <c r="IR269" t="e">
        <v>#REF!</v>
      </c>
      <c r="IS269" t="e">
        <v>#REF!</v>
      </c>
      <c r="IT269" t="e">
        <v>#REF!</v>
      </c>
      <c r="IU269" t="e">
        <v>#REF!</v>
      </c>
      <c r="IV269" t="e">
        <v>#REF!</v>
      </c>
      <c r="IW269" t="e">
        <v>#REF!</v>
      </c>
      <c r="IX269" t="e">
        <v>#REF!</v>
      </c>
      <c r="IY269" t="e">
        <v>#REF!</v>
      </c>
      <c r="IZ269" t="e">
        <v>#REF!</v>
      </c>
      <c r="JA269" t="e">
        <v>#REF!</v>
      </c>
      <c r="JB269" t="e">
        <v>#REF!</v>
      </c>
      <c r="JC269" t="e">
        <v>#REF!</v>
      </c>
      <c r="JD269" t="e">
        <v>#REF!</v>
      </c>
      <c r="JE269" t="e">
        <v>#REF!</v>
      </c>
      <c r="JF269" t="e">
        <v>#REF!</v>
      </c>
      <c r="JG269" t="e">
        <v>#REF!</v>
      </c>
      <c r="JH269" t="e">
        <v>#REF!</v>
      </c>
      <c r="JI269" t="e">
        <v>#REF!</v>
      </c>
      <c r="JJ269" t="e">
        <v>#REF!</v>
      </c>
      <c r="JK269" t="e">
        <v>#REF!</v>
      </c>
      <c r="JL269" t="e">
        <v>#REF!</v>
      </c>
      <c r="JM269" t="e">
        <v>#REF!</v>
      </c>
      <c r="JN269" t="e">
        <v>#REF!</v>
      </c>
      <c r="JO269" t="e">
        <v>#REF!</v>
      </c>
      <c r="JP269" t="e">
        <v>#REF!</v>
      </c>
      <c r="JQ269" t="e">
        <v>#REF!</v>
      </c>
      <c r="JR269" t="e">
        <v>#REF!</v>
      </c>
      <c r="JS269" t="e">
        <v>#REF!</v>
      </c>
      <c r="JT269" t="e">
        <v>#REF!</v>
      </c>
      <c r="JU269" t="e">
        <v>#REF!</v>
      </c>
      <c r="JV269" t="e">
        <v>#REF!</v>
      </c>
      <c r="JW269" t="e">
        <v>#REF!</v>
      </c>
      <c r="JX269" t="e">
        <v>#REF!</v>
      </c>
      <c r="JY269" t="e">
        <v>#REF!</v>
      </c>
      <c r="JZ269" t="e">
        <v>#REF!</v>
      </c>
      <c r="KA269" t="e">
        <v>#REF!</v>
      </c>
      <c r="KB269" t="e">
        <v>#REF!</v>
      </c>
      <c r="KC269" t="e">
        <v>#REF!</v>
      </c>
      <c r="KD269" t="e">
        <v>#REF!</v>
      </c>
      <c r="KE269" t="e">
        <v>#REF!</v>
      </c>
      <c r="KF269" t="e">
        <v>#REF!</v>
      </c>
      <c r="KG269" t="e">
        <v>#REF!</v>
      </c>
      <c r="KH269" t="e">
        <v>#REF!</v>
      </c>
      <c r="KI269" t="e">
        <v>#REF!</v>
      </c>
      <c r="KJ269" t="e">
        <v>#REF!</v>
      </c>
      <c r="KK269" t="e">
        <v>#REF!</v>
      </c>
      <c r="KL269" t="e">
        <v>#REF!</v>
      </c>
      <c r="KM269" t="e">
        <v>#REF!</v>
      </c>
      <c r="KN269" t="e">
        <v>#REF!</v>
      </c>
      <c r="KO269" t="e">
        <v>#REF!</v>
      </c>
      <c r="KP269" t="e">
        <v>#REF!</v>
      </c>
      <c r="KQ269" t="e">
        <v>#REF!</v>
      </c>
      <c r="KR269" t="e">
        <v>#REF!</v>
      </c>
      <c r="KS269" t="e">
        <v>#REF!</v>
      </c>
      <c r="KT269" t="e">
        <v>#REF!</v>
      </c>
      <c r="KU269" t="e">
        <v>#REF!</v>
      </c>
      <c r="KV269" t="e">
        <v>#REF!</v>
      </c>
      <c r="KW269" t="e">
        <v>#REF!</v>
      </c>
      <c r="KX269" t="e">
        <v>#REF!</v>
      </c>
      <c r="KY269" t="e">
        <v>#REF!</v>
      </c>
      <c r="KZ269" t="e">
        <v>#REF!</v>
      </c>
      <c r="LA269" t="e">
        <v>#REF!</v>
      </c>
      <c r="LB269" t="e">
        <v>#REF!</v>
      </c>
      <c r="LC269" t="e">
        <v>#REF!</v>
      </c>
      <c r="LD269" t="e">
        <v>#REF!</v>
      </c>
      <c r="LE269" t="e">
        <v>#REF!</v>
      </c>
      <c r="LF269" t="e">
        <v>#REF!</v>
      </c>
      <c r="LG269" t="e">
        <v>#REF!</v>
      </c>
      <c r="LH269" t="e">
        <v>#REF!</v>
      </c>
      <c r="LI269" t="e">
        <v>#REF!</v>
      </c>
      <c r="LJ269" t="e">
        <v>#REF!</v>
      </c>
      <c r="LK269" t="e">
        <v>#REF!</v>
      </c>
      <c r="LL269" t="e">
        <v>#REF!</v>
      </c>
      <c r="LM269" t="e">
        <v>#REF!</v>
      </c>
      <c r="LN269" t="e">
        <v>#REF!</v>
      </c>
      <c r="LO269" t="e">
        <v>#REF!</v>
      </c>
      <c r="LP269" t="e">
        <v>#REF!</v>
      </c>
      <c r="LQ269" t="e">
        <v>#REF!</v>
      </c>
      <c r="LR269" t="e">
        <v>#REF!</v>
      </c>
      <c r="LS269" t="e">
        <v>#REF!</v>
      </c>
      <c r="LT269" t="e">
        <v>#REF!</v>
      </c>
      <c r="LU269" t="e">
        <v>#REF!</v>
      </c>
      <c r="LV269" t="e">
        <v>#REF!</v>
      </c>
      <c r="LW269" t="e">
        <v>#REF!</v>
      </c>
      <c r="LX269" t="e">
        <v>#REF!</v>
      </c>
      <c r="LY269" t="e">
        <v>#REF!</v>
      </c>
      <c r="LZ269" t="e">
        <v>#REF!</v>
      </c>
      <c r="MA269" t="e">
        <v>#REF!</v>
      </c>
      <c r="MB269" t="e">
        <v>#REF!</v>
      </c>
      <c r="MC269" t="e">
        <v>#REF!</v>
      </c>
      <c r="MD269" t="e">
        <v>#REF!</v>
      </c>
      <c r="ME269" t="e">
        <v>#REF!</v>
      </c>
      <c r="MF269" t="e">
        <v>#REF!</v>
      </c>
      <c r="MG269" t="e">
        <v>#REF!</v>
      </c>
      <c r="MH269" t="e">
        <v>#REF!</v>
      </c>
      <c r="MI269" t="e">
        <v>#REF!</v>
      </c>
      <c r="MJ269" t="e">
        <v>#REF!</v>
      </c>
      <c r="MK269" t="e">
        <v>#REF!</v>
      </c>
      <c r="ML269" t="e">
        <v>#REF!</v>
      </c>
      <c r="MM269" t="e">
        <v>#REF!</v>
      </c>
      <c r="MN269" t="e">
        <v>#REF!</v>
      </c>
      <c r="MO269" t="e">
        <v>#REF!</v>
      </c>
      <c r="MP269" t="e">
        <v>#REF!</v>
      </c>
      <c r="MQ269" t="e">
        <v>#REF!</v>
      </c>
      <c r="MR269" t="e">
        <v>#REF!</v>
      </c>
      <c r="MS269" t="e">
        <v>#REF!</v>
      </c>
      <c r="MT269" t="e">
        <v>#REF!</v>
      </c>
      <c r="MU269" t="e">
        <v>#REF!</v>
      </c>
      <c r="MV269" t="e">
        <v>#REF!</v>
      </c>
      <c r="MW269" t="e">
        <v>#REF!</v>
      </c>
      <c r="MX269" t="e">
        <v>#REF!</v>
      </c>
      <c r="MY269" t="e">
        <v>#REF!</v>
      </c>
      <c r="MZ269" t="e">
        <v>#REF!</v>
      </c>
      <c r="NA269" t="e">
        <v>#REF!</v>
      </c>
      <c r="NB269" t="e">
        <v>#REF!</v>
      </c>
      <c r="NC269" t="e">
        <v>#REF!</v>
      </c>
      <c r="ND269" t="e">
        <v>#REF!</v>
      </c>
      <c r="NE269" t="e">
        <v>#REF!</v>
      </c>
      <c r="NF269" t="e">
        <v>#REF!</v>
      </c>
      <c r="NG269" t="e">
        <v>#REF!</v>
      </c>
      <c r="NH269" t="e">
        <v>#REF!</v>
      </c>
      <c r="NI269" t="e">
        <v>#REF!</v>
      </c>
      <c r="NJ269" t="e">
        <v>#REF!</v>
      </c>
      <c r="NK269" t="e">
        <v>#REF!</v>
      </c>
      <c r="NL269" t="e">
        <v>#REF!</v>
      </c>
      <c r="NM269" t="e">
        <v>#REF!</v>
      </c>
      <c r="NN269" t="e">
        <v>#REF!</v>
      </c>
      <c r="NO269" t="e">
        <v>#REF!</v>
      </c>
      <c r="NP269" t="e">
        <v>#REF!</v>
      </c>
      <c r="NQ269" t="e">
        <v>#REF!</v>
      </c>
      <c r="NR269" t="e">
        <v>#REF!</v>
      </c>
      <c r="NS269" t="e">
        <v>#REF!</v>
      </c>
      <c r="NT269" t="e">
        <v>#REF!</v>
      </c>
      <c r="NU269" t="e">
        <v>#REF!</v>
      </c>
      <c r="NV269" t="e">
        <v>#REF!</v>
      </c>
      <c r="NW269" t="e">
        <v>#REF!</v>
      </c>
      <c r="NX269" t="e">
        <v>#REF!</v>
      </c>
      <c r="NY269" t="e">
        <v>#REF!</v>
      </c>
      <c r="NZ269" t="e">
        <v>#REF!</v>
      </c>
      <c r="OA269" t="e">
        <v>#REF!</v>
      </c>
      <c r="OB269" t="e">
        <v>#REF!</v>
      </c>
      <c r="OC269" t="e">
        <v>#REF!</v>
      </c>
      <c r="OD269" t="e">
        <v>#REF!</v>
      </c>
      <c r="OE269" t="e">
        <v>#REF!</v>
      </c>
    </row>
    <row r="270" spans="2:395" x14ac:dyDescent="0.3">
      <c r="B270" s="131"/>
      <c r="D270" s="133"/>
      <c r="K270" s="76"/>
      <c r="L270" s="66"/>
      <c r="M270" s="77"/>
      <c r="N270" s="175" t="s">
        <v>291</v>
      </c>
      <c r="O270" s="6"/>
      <c r="P270" s="33"/>
      <c r="Q270" s="6" t="e" cm="1">
        <f t="array" ref="Q270:OE270">_xlfn.ANCHORARRAY(Q268)*_xlfn.ANCHORARRAY(Q267)</f>
        <v>#REF!</v>
      </c>
      <c r="R270" s="6" t="e">
        <v>#REF!</v>
      </c>
      <c r="S270" s="6" t="e">
        <v>#REF!</v>
      </c>
      <c r="T270" s="6" t="e">
        <v>#REF!</v>
      </c>
      <c r="U270" s="6" t="e">
        <v>#REF!</v>
      </c>
      <c r="V270" s="6" t="e">
        <v>#REF!</v>
      </c>
      <c r="W270" s="6" t="e">
        <v>#REF!</v>
      </c>
      <c r="X270" s="6" t="e">
        <v>#REF!</v>
      </c>
      <c r="Y270" s="6" t="e">
        <v>#REF!</v>
      </c>
      <c r="Z270" s="6" t="e">
        <v>#REF!</v>
      </c>
      <c r="AA270" s="6" t="e">
        <v>#REF!</v>
      </c>
      <c r="AB270" s="6" t="e">
        <v>#REF!</v>
      </c>
      <c r="AC270" s="6" t="e">
        <v>#REF!</v>
      </c>
      <c r="AD270" s="6" t="e">
        <v>#REF!</v>
      </c>
      <c r="AE270" s="6" t="e">
        <v>#REF!</v>
      </c>
      <c r="AF270" s="6" t="e">
        <v>#REF!</v>
      </c>
      <c r="AG270" s="6" t="e">
        <v>#REF!</v>
      </c>
      <c r="AH270" s="6" t="e">
        <v>#REF!</v>
      </c>
      <c r="AI270" s="6" t="e">
        <v>#REF!</v>
      </c>
      <c r="AJ270" s="6" t="e">
        <v>#REF!</v>
      </c>
      <c r="AK270" s="6" t="e">
        <v>#REF!</v>
      </c>
      <c r="AL270" s="6" t="e">
        <v>#REF!</v>
      </c>
      <c r="AM270" s="6" t="e">
        <v>#REF!</v>
      </c>
      <c r="AN270" s="6" t="e">
        <v>#REF!</v>
      </c>
      <c r="AO270" s="6" t="e">
        <v>#REF!</v>
      </c>
      <c r="AP270" s="6" t="e">
        <v>#REF!</v>
      </c>
      <c r="AQ270" s="6" t="e">
        <v>#REF!</v>
      </c>
      <c r="AR270" s="6" t="e">
        <v>#REF!</v>
      </c>
      <c r="AS270" s="6" t="e">
        <v>#REF!</v>
      </c>
      <c r="AT270" s="6" t="e">
        <v>#REF!</v>
      </c>
      <c r="AU270" s="6" t="e">
        <v>#REF!</v>
      </c>
      <c r="AV270" s="6" t="e">
        <v>#REF!</v>
      </c>
      <c r="AW270" s="6" t="e">
        <v>#REF!</v>
      </c>
      <c r="AX270" s="6" t="e">
        <v>#REF!</v>
      </c>
      <c r="AY270" s="6" t="e">
        <v>#REF!</v>
      </c>
      <c r="AZ270" s="6" t="e">
        <v>#REF!</v>
      </c>
      <c r="BA270" s="6" t="e">
        <v>#REF!</v>
      </c>
      <c r="BB270" s="6" t="e">
        <v>#REF!</v>
      </c>
      <c r="BC270" s="6" t="e">
        <v>#REF!</v>
      </c>
      <c r="BD270" s="6" t="e">
        <v>#REF!</v>
      </c>
      <c r="BE270" s="6" t="e">
        <v>#REF!</v>
      </c>
      <c r="BF270" s="6" t="e">
        <v>#REF!</v>
      </c>
      <c r="BG270" s="6" t="e">
        <v>#REF!</v>
      </c>
      <c r="BH270" s="6" t="e">
        <v>#REF!</v>
      </c>
      <c r="BI270" s="6" t="e">
        <v>#REF!</v>
      </c>
      <c r="BJ270" s="6" t="e">
        <v>#REF!</v>
      </c>
      <c r="BK270" s="6" t="e">
        <v>#REF!</v>
      </c>
      <c r="BL270" s="6" t="e">
        <v>#REF!</v>
      </c>
      <c r="BM270" s="6" t="e">
        <v>#REF!</v>
      </c>
      <c r="BN270" s="6" t="e">
        <v>#REF!</v>
      </c>
      <c r="BO270" s="6" t="e">
        <v>#REF!</v>
      </c>
      <c r="BP270" s="6" t="e">
        <v>#REF!</v>
      </c>
      <c r="BQ270" s="6" t="e">
        <v>#REF!</v>
      </c>
      <c r="BR270" s="6" t="e">
        <v>#REF!</v>
      </c>
      <c r="BS270" s="6" t="e">
        <v>#REF!</v>
      </c>
      <c r="BT270" s="6" t="e">
        <v>#REF!</v>
      </c>
      <c r="BU270" s="6" t="e">
        <v>#REF!</v>
      </c>
      <c r="BV270" s="6" t="e">
        <v>#REF!</v>
      </c>
      <c r="BW270" s="6" t="e">
        <v>#REF!</v>
      </c>
      <c r="BX270" s="6" t="e">
        <v>#REF!</v>
      </c>
      <c r="BY270" s="6" t="e">
        <v>#REF!</v>
      </c>
      <c r="BZ270" s="6" t="e">
        <v>#REF!</v>
      </c>
      <c r="CA270" s="6" t="e">
        <v>#REF!</v>
      </c>
      <c r="CB270" s="6" t="e">
        <v>#REF!</v>
      </c>
      <c r="CC270" s="6" t="e">
        <v>#REF!</v>
      </c>
      <c r="CD270" s="6" t="e">
        <v>#REF!</v>
      </c>
      <c r="CE270" s="6" t="e">
        <v>#REF!</v>
      </c>
      <c r="CF270" s="6" t="e">
        <v>#REF!</v>
      </c>
      <c r="CG270" s="6" t="e">
        <v>#REF!</v>
      </c>
      <c r="CH270" s="6" t="e">
        <v>#REF!</v>
      </c>
      <c r="CI270" s="6" t="e">
        <v>#REF!</v>
      </c>
      <c r="CJ270" s="6" t="e">
        <v>#REF!</v>
      </c>
      <c r="CK270" s="6" t="e">
        <v>#REF!</v>
      </c>
      <c r="CL270" s="6" t="e">
        <v>#REF!</v>
      </c>
      <c r="CM270" s="6" t="e">
        <v>#REF!</v>
      </c>
      <c r="CN270" s="6" t="e">
        <v>#REF!</v>
      </c>
      <c r="CO270" s="6" t="e">
        <v>#REF!</v>
      </c>
      <c r="CP270" s="6" t="e">
        <v>#REF!</v>
      </c>
      <c r="CQ270" s="6" t="e">
        <v>#REF!</v>
      </c>
      <c r="CR270" s="6" t="e">
        <v>#REF!</v>
      </c>
      <c r="CS270" s="6" t="e">
        <v>#REF!</v>
      </c>
      <c r="CT270" s="6" t="e">
        <v>#REF!</v>
      </c>
      <c r="CU270" s="6" t="e">
        <v>#REF!</v>
      </c>
      <c r="CV270" s="6" t="e">
        <v>#REF!</v>
      </c>
      <c r="CW270" s="6" t="e">
        <v>#REF!</v>
      </c>
      <c r="CX270" s="6" t="e">
        <v>#REF!</v>
      </c>
      <c r="CY270" s="6" t="e">
        <v>#REF!</v>
      </c>
      <c r="CZ270" s="6" t="e">
        <v>#REF!</v>
      </c>
      <c r="DA270" s="6" t="e">
        <v>#REF!</v>
      </c>
      <c r="DB270" s="6" t="e">
        <v>#REF!</v>
      </c>
      <c r="DC270" s="6" t="e">
        <v>#REF!</v>
      </c>
      <c r="DD270" s="6" t="e">
        <v>#REF!</v>
      </c>
      <c r="DE270" s="6" t="e">
        <v>#REF!</v>
      </c>
      <c r="DF270" s="6" t="e">
        <v>#REF!</v>
      </c>
      <c r="DG270" s="6" t="e">
        <v>#REF!</v>
      </c>
      <c r="DH270" s="6" t="e">
        <v>#REF!</v>
      </c>
      <c r="DI270" s="6" t="e">
        <v>#REF!</v>
      </c>
      <c r="DJ270" s="6" t="e">
        <v>#REF!</v>
      </c>
      <c r="DK270" s="6" t="e">
        <v>#REF!</v>
      </c>
      <c r="DL270" s="6" t="e">
        <v>#REF!</v>
      </c>
      <c r="DM270" s="6" t="e">
        <v>#REF!</v>
      </c>
      <c r="DN270" s="6" t="e">
        <v>#REF!</v>
      </c>
      <c r="DO270" s="6" t="e">
        <v>#REF!</v>
      </c>
      <c r="DP270" s="6" t="e">
        <v>#REF!</v>
      </c>
      <c r="DQ270" s="6" t="e">
        <v>#REF!</v>
      </c>
      <c r="DR270" s="6" t="e">
        <v>#REF!</v>
      </c>
      <c r="DS270" s="6" t="e">
        <v>#REF!</v>
      </c>
      <c r="DT270" s="6" t="e">
        <v>#REF!</v>
      </c>
      <c r="DU270" s="6" t="e">
        <v>#REF!</v>
      </c>
      <c r="DV270" s="6" t="e">
        <v>#REF!</v>
      </c>
      <c r="DW270" s="6" t="e">
        <v>#REF!</v>
      </c>
      <c r="DX270" s="6" t="e">
        <v>#REF!</v>
      </c>
      <c r="DY270" s="6" t="e">
        <v>#REF!</v>
      </c>
      <c r="DZ270" s="6" t="e">
        <v>#REF!</v>
      </c>
      <c r="EA270" s="6" t="e">
        <v>#REF!</v>
      </c>
      <c r="EB270" s="6" t="e">
        <v>#REF!</v>
      </c>
      <c r="EC270" s="6" t="e">
        <v>#REF!</v>
      </c>
      <c r="ED270" s="6" t="e">
        <v>#REF!</v>
      </c>
      <c r="EE270" s="6" t="e">
        <v>#REF!</v>
      </c>
      <c r="EF270" s="6" t="e">
        <v>#REF!</v>
      </c>
      <c r="EG270" s="6" t="e">
        <v>#REF!</v>
      </c>
      <c r="EH270" s="6" t="e">
        <v>#REF!</v>
      </c>
      <c r="EI270" s="6" t="e">
        <v>#REF!</v>
      </c>
      <c r="EJ270" s="6" t="e">
        <v>#REF!</v>
      </c>
      <c r="EK270" s="6" t="e">
        <v>#REF!</v>
      </c>
      <c r="EL270" s="6" t="e">
        <v>#REF!</v>
      </c>
      <c r="EM270" s="6" t="e">
        <v>#REF!</v>
      </c>
      <c r="EN270" s="6" t="e">
        <v>#REF!</v>
      </c>
      <c r="EO270" s="6" t="e">
        <v>#REF!</v>
      </c>
      <c r="EP270" s="6" t="e">
        <v>#REF!</v>
      </c>
      <c r="EQ270" s="6" t="e">
        <v>#REF!</v>
      </c>
      <c r="ER270" s="6" t="e">
        <v>#REF!</v>
      </c>
      <c r="ES270" s="6" t="e">
        <v>#REF!</v>
      </c>
      <c r="ET270" s="6" t="e">
        <v>#REF!</v>
      </c>
      <c r="EU270" s="6" t="e">
        <v>#REF!</v>
      </c>
      <c r="EV270" s="6" t="e">
        <v>#REF!</v>
      </c>
      <c r="EW270" s="6" t="e">
        <v>#REF!</v>
      </c>
      <c r="EX270" s="6" t="e">
        <v>#REF!</v>
      </c>
      <c r="EY270" s="6" t="e">
        <v>#REF!</v>
      </c>
      <c r="EZ270" s="6" t="e">
        <v>#REF!</v>
      </c>
      <c r="FA270" s="6" t="e">
        <v>#REF!</v>
      </c>
      <c r="FB270" s="6" t="e">
        <v>#REF!</v>
      </c>
      <c r="FC270" s="6" t="e">
        <v>#REF!</v>
      </c>
      <c r="FD270" s="6" t="e">
        <v>#REF!</v>
      </c>
      <c r="FE270" s="6" t="e">
        <v>#REF!</v>
      </c>
      <c r="FF270" s="6" t="e">
        <v>#REF!</v>
      </c>
      <c r="FG270" s="6" t="e">
        <v>#REF!</v>
      </c>
      <c r="FH270" s="6" t="e">
        <v>#REF!</v>
      </c>
      <c r="FI270" s="6" t="e">
        <v>#REF!</v>
      </c>
      <c r="FJ270" s="6" t="e">
        <v>#REF!</v>
      </c>
      <c r="FK270" s="6" t="e">
        <v>#REF!</v>
      </c>
      <c r="FL270" s="6" t="e">
        <v>#REF!</v>
      </c>
      <c r="FM270" s="6" t="e">
        <v>#REF!</v>
      </c>
      <c r="FN270" s="6" t="e">
        <v>#REF!</v>
      </c>
      <c r="FO270" s="6" t="e">
        <v>#REF!</v>
      </c>
      <c r="FP270" s="6" t="e">
        <v>#REF!</v>
      </c>
      <c r="FQ270" s="6" t="e">
        <v>#REF!</v>
      </c>
      <c r="FR270" s="6" t="e">
        <v>#REF!</v>
      </c>
      <c r="FS270" s="6" t="e">
        <v>#REF!</v>
      </c>
      <c r="FT270" s="6" t="e">
        <v>#REF!</v>
      </c>
      <c r="FU270" s="6" t="e">
        <v>#REF!</v>
      </c>
      <c r="FV270" s="6" t="e">
        <v>#REF!</v>
      </c>
      <c r="FW270" s="6" t="e">
        <v>#REF!</v>
      </c>
      <c r="FX270" s="6" t="e">
        <v>#REF!</v>
      </c>
      <c r="FY270" s="6" t="e">
        <v>#REF!</v>
      </c>
      <c r="FZ270" s="6" t="e">
        <v>#REF!</v>
      </c>
      <c r="GA270" s="6" t="e">
        <v>#REF!</v>
      </c>
      <c r="GB270" s="6" t="e">
        <v>#REF!</v>
      </c>
      <c r="GC270" s="6" t="e">
        <v>#REF!</v>
      </c>
      <c r="GD270" s="6" t="e">
        <v>#REF!</v>
      </c>
      <c r="GE270" s="6" t="e">
        <v>#REF!</v>
      </c>
      <c r="GF270" s="6" t="e">
        <v>#REF!</v>
      </c>
      <c r="GG270" s="6" t="e">
        <v>#REF!</v>
      </c>
      <c r="GH270" s="6" t="e">
        <v>#REF!</v>
      </c>
      <c r="GI270" s="6" t="e">
        <v>#REF!</v>
      </c>
      <c r="GJ270" s="6" t="e">
        <v>#REF!</v>
      </c>
      <c r="GK270" s="6" t="e">
        <v>#REF!</v>
      </c>
      <c r="GL270" s="6" t="e">
        <v>#REF!</v>
      </c>
      <c r="GM270" s="6" t="e">
        <v>#REF!</v>
      </c>
      <c r="GN270" s="6" t="e">
        <v>#REF!</v>
      </c>
      <c r="GO270" s="6" t="e">
        <v>#REF!</v>
      </c>
      <c r="GP270" s="6" t="e">
        <v>#REF!</v>
      </c>
      <c r="GQ270" s="6" t="e">
        <v>#REF!</v>
      </c>
      <c r="GR270" s="6" t="e">
        <v>#REF!</v>
      </c>
      <c r="GS270" s="6" t="e">
        <v>#REF!</v>
      </c>
      <c r="GT270" s="6" t="e">
        <v>#REF!</v>
      </c>
      <c r="GU270" s="6" t="e">
        <v>#REF!</v>
      </c>
      <c r="GV270" s="6" t="e">
        <v>#REF!</v>
      </c>
      <c r="GW270" s="6" t="e">
        <v>#REF!</v>
      </c>
      <c r="GX270" s="6" t="e">
        <v>#REF!</v>
      </c>
      <c r="GY270" s="6" t="e">
        <v>#REF!</v>
      </c>
      <c r="GZ270" s="6" t="e">
        <v>#REF!</v>
      </c>
      <c r="HA270" s="6" t="e">
        <v>#REF!</v>
      </c>
      <c r="HB270" s="6" t="e">
        <v>#REF!</v>
      </c>
      <c r="HC270" s="6" t="e">
        <v>#REF!</v>
      </c>
      <c r="HD270" s="6" t="e">
        <v>#REF!</v>
      </c>
      <c r="HE270" s="6" t="e">
        <v>#REF!</v>
      </c>
      <c r="HF270" s="6" t="e">
        <v>#REF!</v>
      </c>
      <c r="HG270" s="6" t="e">
        <v>#REF!</v>
      </c>
      <c r="HH270" s="6" t="e">
        <v>#REF!</v>
      </c>
      <c r="HI270" s="6" t="e">
        <v>#REF!</v>
      </c>
      <c r="HJ270" s="6" t="e">
        <v>#REF!</v>
      </c>
      <c r="HK270" s="6" t="e">
        <v>#REF!</v>
      </c>
      <c r="HL270" s="6" t="e">
        <v>#REF!</v>
      </c>
      <c r="HM270" s="6" t="e">
        <v>#REF!</v>
      </c>
      <c r="HN270" s="6" t="e">
        <v>#REF!</v>
      </c>
      <c r="HO270" s="6" t="e">
        <v>#REF!</v>
      </c>
      <c r="HP270" s="6" t="e">
        <v>#REF!</v>
      </c>
      <c r="HQ270" s="6" t="e">
        <v>#REF!</v>
      </c>
      <c r="HR270" s="6" t="e">
        <v>#REF!</v>
      </c>
      <c r="HS270" s="6" t="e">
        <v>#REF!</v>
      </c>
      <c r="HT270" s="6" t="e">
        <v>#REF!</v>
      </c>
      <c r="HU270" s="6" t="e">
        <v>#REF!</v>
      </c>
      <c r="HV270" s="6" t="e">
        <v>#REF!</v>
      </c>
      <c r="HW270" s="6" t="e">
        <v>#REF!</v>
      </c>
      <c r="HX270" s="6" t="e">
        <v>#REF!</v>
      </c>
      <c r="HY270" s="6" t="e">
        <v>#REF!</v>
      </c>
      <c r="HZ270" s="6" t="e">
        <v>#REF!</v>
      </c>
      <c r="IA270" s="6" t="e">
        <v>#REF!</v>
      </c>
      <c r="IB270" s="6" t="e">
        <v>#REF!</v>
      </c>
      <c r="IC270" s="6" t="e">
        <v>#REF!</v>
      </c>
      <c r="ID270" s="6" t="e">
        <v>#REF!</v>
      </c>
      <c r="IE270" s="6" t="e">
        <v>#REF!</v>
      </c>
      <c r="IF270" s="6" t="e">
        <v>#REF!</v>
      </c>
      <c r="IG270" s="6" t="e">
        <v>#REF!</v>
      </c>
      <c r="IH270" s="6" t="e">
        <v>#REF!</v>
      </c>
      <c r="II270" s="6" t="e">
        <v>#REF!</v>
      </c>
      <c r="IJ270" s="6" t="e">
        <v>#REF!</v>
      </c>
      <c r="IK270" s="6" t="e">
        <v>#REF!</v>
      </c>
      <c r="IL270" s="6" t="e">
        <v>#REF!</v>
      </c>
      <c r="IM270" s="6" t="e">
        <v>#REF!</v>
      </c>
      <c r="IN270" s="6" t="e">
        <v>#REF!</v>
      </c>
      <c r="IO270" s="6" t="e">
        <v>#REF!</v>
      </c>
      <c r="IP270" s="6" t="e">
        <v>#REF!</v>
      </c>
      <c r="IQ270" s="6" t="e">
        <v>#REF!</v>
      </c>
      <c r="IR270" s="6" t="e">
        <v>#REF!</v>
      </c>
      <c r="IS270" s="6" t="e">
        <v>#REF!</v>
      </c>
      <c r="IT270" s="6" t="e">
        <v>#REF!</v>
      </c>
      <c r="IU270" s="6" t="e">
        <v>#REF!</v>
      </c>
      <c r="IV270" s="6" t="e">
        <v>#REF!</v>
      </c>
      <c r="IW270" s="6" t="e">
        <v>#REF!</v>
      </c>
      <c r="IX270" s="6" t="e">
        <v>#REF!</v>
      </c>
      <c r="IY270" s="6" t="e">
        <v>#REF!</v>
      </c>
      <c r="IZ270" s="6" t="e">
        <v>#REF!</v>
      </c>
      <c r="JA270" s="6" t="e">
        <v>#REF!</v>
      </c>
      <c r="JB270" s="6" t="e">
        <v>#REF!</v>
      </c>
      <c r="JC270" s="6" t="e">
        <v>#REF!</v>
      </c>
      <c r="JD270" s="6" t="e">
        <v>#REF!</v>
      </c>
      <c r="JE270" s="6" t="e">
        <v>#REF!</v>
      </c>
      <c r="JF270" s="6" t="e">
        <v>#REF!</v>
      </c>
      <c r="JG270" s="6" t="e">
        <v>#REF!</v>
      </c>
      <c r="JH270" s="6" t="e">
        <v>#REF!</v>
      </c>
      <c r="JI270" s="6" t="e">
        <v>#REF!</v>
      </c>
      <c r="JJ270" s="6" t="e">
        <v>#REF!</v>
      </c>
      <c r="JK270" s="6" t="e">
        <v>#REF!</v>
      </c>
      <c r="JL270" s="6" t="e">
        <v>#REF!</v>
      </c>
      <c r="JM270" s="6" t="e">
        <v>#REF!</v>
      </c>
      <c r="JN270" s="6" t="e">
        <v>#REF!</v>
      </c>
      <c r="JO270" s="6" t="e">
        <v>#REF!</v>
      </c>
      <c r="JP270" s="6" t="e">
        <v>#REF!</v>
      </c>
      <c r="JQ270" s="6" t="e">
        <v>#REF!</v>
      </c>
      <c r="JR270" s="6" t="e">
        <v>#REF!</v>
      </c>
      <c r="JS270" s="6" t="e">
        <v>#REF!</v>
      </c>
      <c r="JT270" s="6" t="e">
        <v>#REF!</v>
      </c>
      <c r="JU270" s="6" t="e">
        <v>#REF!</v>
      </c>
      <c r="JV270" s="6" t="e">
        <v>#REF!</v>
      </c>
      <c r="JW270" s="6" t="e">
        <v>#REF!</v>
      </c>
      <c r="JX270" s="6" t="e">
        <v>#REF!</v>
      </c>
      <c r="JY270" s="6" t="e">
        <v>#REF!</v>
      </c>
      <c r="JZ270" s="6" t="e">
        <v>#REF!</v>
      </c>
      <c r="KA270" s="6" t="e">
        <v>#REF!</v>
      </c>
      <c r="KB270" s="6" t="e">
        <v>#REF!</v>
      </c>
      <c r="KC270" s="6" t="e">
        <v>#REF!</v>
      </c>
      <c r="KD270" s="6" t="e">
        <v>#REF!</v>
      </c>
      <c r="KE270" s="6" t="e">
        <v>#REF!</v>
      </c>
      <c r="KF270" s="6" t="e">
        <v>#REF!</v>
      </c>
      <c r="KG270" s="6" t="e">
        <v>#REF!</v>
      </c>
      <c r="KH270" s="6" t="e">
        <v>#REF!</v>
      </c>
      <c r="KI270" s="6" t="e">
        <v>#REF!</v>
      </c>
      <c r="KJ270" s="6" t="e">
        <v>#REF!</v>
      </c>
      <c r="KK270" s="6" t="e">
        <v>#REF!</v>
      </c>
      <c r="KL270" s="6" t="e">
        <v>#REF!</v>
      </c>
      <c r="KM270" s="6" t="e">
        <v>#REF!</v>
      </c>
      <c r="KN270" s="6" t="e">
        <v>#REF!</v>
      </c>
      <c r="KO270" s="6" t="e">
        <v>#REF!</v>
      </c>
      <c r="KP270" s="6" t="e">
        <v>#REF!</v>
      </c>
      <c r="KQ270" s="6" t="e">
        <v>#REF!</v>
      </c>
      <c r="KR270" s="6" t="e">
        <v>#REF!</v>
      </c>
      <c r="KS270" s="6" t="e">
        <v>#REF!</v>
      </c>
      <c r="KT270" s="6" t="e">
        <v>#REF!</v>
      </c>
      <c r="KU270" s="6" t="e">
        <v>#REF!</v>
      </c>
      <c r="KV270" s="6" t="e">
        <v>#REF!</v>
      </c>
      <c r="KW270" s="6" t="e">
        <v>#REF!</v>
      </c>
      <c r="KX270" s="6" t="e">
        <v>#REF!</v>
      </c>
      <c r="KY270" s="6" t="e">
        <v>#REF!</v>
      </c>
      <c r="KZ270" s="6" t="e">
        <v>#REF!</v>
      </c>
      <c r="LA270" s="6" t="e">
        <v>#REF!</v>
      </c>
      <c r="LB270" s="6" t="e">
        <v>#REF!</v>
      </c>
      <c r="LC270" s="6" t="e">
        <v>#REF!</v>
      </c>
      <c r="LD270" s="6" t="e">
        <v>#REF!</v>
      </c>
      <c r="LE270" s="6" t="e">
        <v>#REF!</v>
      </c>
      <c r="LF270" s="6" t="e">
        <v>#REF!</v>
      </c>
      <c r="LG270" s="6" t="e">
        <v>#REF!</v>
      </c>
      <c r="LH270" s="6" t="e">
        <v>#REF!</v>
      </c>
      <c r="LI270" s="6" t="e">
        <v>#REF!</v>
      </c>
      <c r="LJ270" s="6" t="e">
        <v>#REF!</v>
      </c>
      <c r="LK270" s="6" t="e">
        <v>#REF!</v>
      </c>
      <c r="LL270" s="6" t="e">
        <v>#REF!</v>
      </c>
      <c r="LM270" s="6" t="e">
        <v>#REF!</v>
      </c>
      <c r="LN270" s="6" t="e">
        <v>#REF!</v>
      </c>
      <c r="LO270" s="6" t="e">
        <v>#REF!</v>
      </c>
      <c r="LP270" s="6" t="e">
        <v>#REF!</v>
      </c>
      <c r="LQ270" s="6" t="e">
        <v>#REF!</v>
      </c>
      <c r="LR270" s="6" t="e">
        <v>#REF!</v>
      </c>
      <c r="LS270" s="6" t="e">
        <v>#REF!</v>
      </c>
      <c r="LT270" s="6" t="e">
        <v>#REF!</v>
      </c>
      <c r="LU270" s="6" t="e">
        <v>#REF!</v>
      </c>
      <c r="LV270" s="6" t="e">
        <v>#REF!</v>
      </c>
      <c r="LW270" s="6" t="e">
        <v>#REF!</v>
      </c>
      <c r="LX270" s="6" t="e">
        <v>#REF!</v>
      </c>
      <c r="LY270" s="6" t="e">
        <v>#REF!</v>
      </c>
      <c r="LZ270" s="6" t="e">
        <v>#REF!</v>
      </c>
      <c r="MA270" s="6" t="e">
        <v>#REF!</v>
      </c>
      <c r="MB270" s="6" t="e">
        <v>#REF!</v>
      </c>
      <c r="MC270" s="6" t="e">
        <v>#REF!</v>
      </c>
      <c r="MD270" s="6" t="e">
        <v>#REF!</v>
      </c>
      <c r="ME270" s="6" t="e">
        <v>#REF!</v>
      </c>
      <c r="MF270" s="6" t="e">
        <v>#REF!</v>
      </c>
      <c r="MG270" s="6" t="e">
        <v>#REF!</v>
      </c>
      <c r="MH270" s="6" t="e">
        <v>#REF!</v>
      </c>
      <c r="MI270" s="6" t="e">
        <v>#REF!</v>
      </c>
      <c r="MJ270" s="6" t="e">
        <v>#REF!</v>
      </c>
      <c r="MK270" s="6" t="e">
        <v>#REF!</v>
      </c>
      <c r="ML270" s="6" t="e">
        <v>#REF!</v>
      </c>
      <c r="MM270" s="6" t="e">
        <v>#REF!</v>
      </c>
      <c r="MN270" s="6" t="e">
        <v>#REF!</v>
      </c>
      <c r="MO270" s="6" t="e">
        <v>#REF!</v>
      </c>
      <c r="MP270" s="6" t="e">
        <v>#REF!</v>
      </c>
      <c r="MQ270" s="6" t="e">
        <v>#REF!</v>
      </c>
      <c r="MR270" s="6" t="e">
        <v>#REF!</v>
      </c>
      <c r="MS270" s="6" t="e">
        <v>#REF!</v>
      </c>
      <c r="MT270" s="6" t="e">
        <v>#REF!</v>
      </c>
      <c r="MU270" s="6" t="e">
        <v>#REF!</v>
      </c>
      <c r="MV270" s="6" t="e">
        <v>#REF!</v>
      </c>
      <c r="MW270" s="6" t="e">
        <v>#REF!</v>
      </c>
      <c r="MX270" s="6" t="e">
        <v>#REF!</v>
      </c>
      <c r="MY270" s="6" t="e">
        <v>#REF!</v>
      </c>
      <c r="MZ270" s="6" t="e">
        <v>#REF!</v>
      </c>
      <c r="NA270" s="6" t="e">
        <v>#REF!</v>
      </c>
      <c r="NB270" s="6" t="e">
        <v>#REF!</v>
      </c>
      <c r="NC270" s="6" t="e">
        <v>#REF!</v>
      </c>
      <c r="ND270" s="6" t="e">
        <v>#REF!</v>
      </c>
      <c r="NE270" s="6" t="e">
        <v>#REF!</v>
      </c>
      <c r="NF270" s="6" t="e">
        <v>#REF!</v>
      </c>
      <c r="NG270" s="6" t="e">
        <v>#REF!</v>
      </c>
      <c r="NH270" s="6" t="e">
        <v>#REF!</v>
      </c>
      <c r="NI270" s="6" t="e">
        <v>#REF!</v>
      </c>
      <c r="NJ270" s="6" t="e">
        <v>#REF!</v>
      </c>
      <c r="NK270" s="6" t="e">
        <v>#REF!</v>
      </c>
      <c r="NL270" s="6" t="e">
        <v>#REF!</v>
      </c>
      <c r="NM270" s="6" t="e">
        <v>#REF!</v>
      </c>
      <c r="NN270" s="6" t="e">
        <v>#REF!</v>
      </c>
      <c r="NO270" s="6" t="e">
        <v>#REF!</v>
      </c>
      <c r="NP270" s="6" t="e">
        <v>#REF!</v>
      </c>
      <c r="NQ270" s="6" t="e">
        <v>#REF!</v>
      </c>
      <c r="NR270" s="6" t="e">
        <v>#REF!</v>
      </c>
      <c r="NS270" s="6" t="e">
        <v>#REF!</v>
      </c>
      <c r="NT270" s="6" t="e">
        <v>#REF!</v>
      </c>
      <c r="NU270" s="6" t="e">
        <v>#REF!</v>
      </c>
      <c r="NV270" s="6" t="e">
        <v>#REF!</v>
      </c>
      <c r="NW270" s="6" t="e">
        <v>#REF!</v>
      </c>
      <c r="NX270" s="6" t="e">
        <v>#REF!</v>
      </c>
      <c r="NY270" s="6" t="e">
        <v>#REF!</v>
      </c>
      <c r="NZ270" s="6" t="e">
        <v>#REF!</v>
      </c>
      <c r="OA270" s="6" t="e">
        <v>#REF!</v>
      </c>
      <c r="OB270" s="6" t="e">
        <v>#REF!</v>
      </c>
      <c r="OC270" s="6" t="e">
        <v>#REF!</v>
      </c>
      <c r="OD270" s="6" t="e">
        <v>#REF!</v>
      </c>
      <c r="OE270" s="6" t="e">
        <v>#REF!</v>
      </c>
    </row>
    <row r="271" spans="2:395" x14ac:dyDescent="0.3">
      <c r="B271" s="130"/>
      <c r="D271" s="133"/>
      <c r="K271" s="76"/>
      <c r="L271" s="66"/>
      <c r="M271" s="77"/>
      <c r="N271" s="200" t="s">
        <v>2</v>
      </c>
      <c r="O271" s="201"/>
      <c r="P271" s="202"/>
      <c r="Q271" s="203" t="e" cm="1">
        <f t="array" ref="Q271">IF(_xlfn.ANCHORARRAY(Q261)&gt;=0,-_xlfn.ANCHORARRAY(Q261),0)</f>
        <v>#REF!</v>
      </c>
    </row>
    <row r="272" spans="2:395" x14ac:dyDescent="0.3">
      <c r="D272" s="134"/>
      <c r="E272" s="61"/>
      <c r="F272" s="61"/>
      <c r="K272" s="76"/>
      <c r="L272" s="66"/>
      <c r="M272" s="77"/>
      <c r="N272" s="174" t="s">
        <v>288</v>
      </c>
      <c r="P272" s="8"/>
      <c r="Q272" t="e" cm="1">
        <f t="array" ref="Q272:OE272">_xlfn.ANCHORARRAY(Q271)*_xlfn.ANCHORARRAY(Q266)</f>
        <v>#REF!</v>
      </c>
      <c r="R272" t="e">
        <v>#REF!</v>
      </c>
      <c r="S272" t="e">
        <v>#REF!</v>
      </c>
      <c r="T272" t="e">
        <v>#REF!</v>
      </c>
      <c r="U272" t="e">
        <v>#REF!</v>
      </c>
      <c r="V272" t="e">
        <v>#REF!</v>
      </c>
      <c r="W272" t="e">
        <v>#REF!</v>
      </c>
      <c r="X272" t="e">
        <v>#REF!</v>
      </c>
      <c r="Y272" t="e">
        <v>#REF!</v>
      </c>
      <c r="Z272" t="e">
        <v>#REF!</v>
      </c>
      <c r="AA272" t="e">
        <v>#REF!</v>
      </c>
      <c r="AB272" t="e">
        <v>#REF!</v>
      </c>
      <c r="AC272" t="e">
        <v>#REF!</v>
      </c>
      <c r="AD272" t="e">
        <v>#REF!</v>
      </c>
      <c r="AE272" t="e">
        <v>#REF!</v>
      </c>
      <c r="AF272" t="e">
        <v>#REF!</v>
      </c>
      <c r="AG272" t="e">
        <v>#REF!</v>
      </c>
      <c r="AH272" t="e">
        <v>#REF!</v>
      </c>
      <c r="AI272" t="e">
        <v>#REF!</v>
      </c>
      <c r="AJ272" t="e">
        <v>#REF!</v>
      </c>
      <c r="AK272" t="e">
        <v>#REF!</v>
      </c>
      <c r="AL272" t="e">
        <v>#REF!</v>
      </c>
      <c r="AM272" t="e">
        <v>#REF!</v>
      </c>
      <c r="AN272" t="e">
        <v>#REF!</v>
      </c>
      <c r="AO272" t="e">
        <v>#REF!</v>
      </c>
      <c r="AP272" t="e">
        <v>#REF!</v>
      </c>
      <c r="AQ272" t="e">
        <v>#REF!</v>
      </c>
      <c r="AR272" t="e">
        <v>#REF!</v>
      </c>
      <c r="AS272" t="e">
        <v>#REF!</v>
      </c>
      <c r="AT272" t="e">
        <v>#REF!</v>
      </c>
      <c r="AU272" t="e">
        <v>#REF!</v>
      </c>
      <c r="AV272" t="e">
        <v>#REF!</v>
      </c>
      <c r="AW272" t="e">
        <v>#REF!</v>
      </c>
      <c r="AX272" t="e">
        <v>#REF!</v>
      </c>
      <c r="AY272" t="e">
        <v>#REF!</v>
      </c>
      <c r="AZ272" t="e">
        <v>#REF!</v>
      </c>
      <c r="BA272" t="e">
        <v>#REF!</v>
      </c>
      <c r="BB272" t="e">
        <v>#REF!</v>
      </c>
      <c r="BC272" t="e">
        <v>#REF!</v>
      </c>
      <c r="BD272" t="e">
        <v>#REF!</v>
      </c>
      <c r="BE272" t="e">
        <v>#REF!</v>
      </c>
      <c r="BF272" t="e">
        <v>#REF!</v>
      </c>
      <c r="BG272" t="e">
        <v>#REF!</v>
      </c>
      <c r="BH272" t="e">
        <v>#REF!</v>
      </c>
      <c r="BI272" t="e">
        <v>#REF!</v>
      </c>
      <c r="BJ272" t="e">
        <v>#REF!</v>
      </c>
      <c r="BK272" t="e">
        <v>#REF!</v>
      </c>
      <c r="BL272" t="e">
        <v>#REF!</v>
      </c>
      <c r="BM272" t="e">
        <v>#REF!</v>
      </c>
      <c r="BN272" t="e">
        <v>#REF!</v>
      </c>
      <c r="BO272" t="e">
        <v>#REF!</v>
      </c>
      <c r="BP272" t="e">
        <v>#REF!</v>
      </c>
      <c r="BQ272" t="e">
        <v>#REF!</v>
      </c>
      <c r="BR272" t="e">
        <v>#REF!</v>
      </c>
      <c r="BS272" t="e">
        <v>#REF!</v>
      </c>
      <c r="BT272" t="e">
        <v>#REF!</v>
      </c>
      <c r="BU272" t="e">
        <v>#REF!</v>
      </c>
      <c r="BV272" t="e">
        <v>#REF!</v>
      </c>
      <c r="BW272" t="e">
        <v>#REF!</v>
      </c>
      <c r="BX272" t="e">
        <v>#REF!</v>
      </c>
      <c r="BY272" t="e">
        <v>#REF!</v>
      </c>
      <c r="BZ272" t="e">
        <v>#REF!</v>
      </c>
      <c r="CA272" t="e">
        <v>#REF!</v>
      </c>
      <c r="CB272" t="e">
        <v>#REF!</v>
      </c>
      <c r="CC272" t="e">
        <v>#REF!</v>
      </c>
      <c r="CD272" t="e">
        <v>#REF!</v>
      </c>
      <c r="CE272" t="e">
        <v>#REF!</v>
      </c>
      <c r="CF272" t="e">
        <v>#REF!</v>
      </c>
      <c r="CG272" t="e">
        <v>#REF!</v>
      </c>
      <c r="CH272" t="e">
        <v>#REF!</v>
      </c>
      <c r="CI272" t="e">
        <v>#REF!</v>
      </c>
      <c r="CJ272" t="e">
        <v>#REF!</v>
      </c>
      <c r="CK272" t="e">
        <v>#REF!</v>
      </c>
      <c r="CL272" t="e">
        <v>#REF!</v>
      </c>
      <c r="CM272" t="e">
        <v>#REF!</v>
      </c>
      <c r="CN272" t="e">
        <v>#REF!</v>
      </c>
      <c r="CO272" t="e">
        <v>#REF!</v>
      </c>
      <c r="CP272" t="e">
        <v>#REF!</v>
      </c>
      <c r="CQ272" t="e">
        <v>#REF!</v>
      </c>
      <c r="CR272" t="e">
        <v>#REF!</v>
      </c>
      <c r="CS272" t="e">
        <v>#REF!</v>
      </c>
      <c r="CT272" t="e">
        <v>#REF!</v>
      </c>
      <c r="CU272" t="e">
        <v>#REF!</v>
      </c>
      <c r="CV272" t="e">
        <v>#REF!</v>
      </c>
      <c r="CW272" t="e">
        <v>#REF!</v>
      </c>
      <c r="CX272" t="e">
        <v>#REF!</v>
      </c>
      <c r="CY272" t="e">
        <v>#REF!</v>
      </c>
      <c r="CZ272" t="e">
        <v>#REF!</v>
      </c>
      <c r="DA272" t="e">
        <v>#REF!</v>
      </c>
      <c r="DB272" t="e">
        <v>#REF!</v>
      </c>
      <c r="DC272" t="e">
        <v>#REF!</v>
      </c>
      <c r="DD272" t="e">
        <v>#REF!</v>
      </c>
      <c r="DE272" t="e">
        <v>#REF!</v>
      </c>
      <c r="DF272" t="e">
        <v>#REF!</v>
      </c>
      <c r="DG272" t="e">
        <v>#REF!</v>
      </c>
      <c r="DH272" t="e">
        <v>#REF!</v>
      </c>
      <c r="DI272" t="e">
        <v>#REF!</v>
      </c>
      <c r="DJ272" t="e">
        <v>#REF!</v>
      </c>
      <c r="DK272" t="e">
        <v>#REF!</v>
      </c>
      <c r="DL272" t="e">
        <v>#REF!</v>
      </c>
      <c r="DM272" t="e">
        <v>#REF!</v>
      </c>
      <c r="DN272" t="e">
        <v>#REF!</v>
      </c>
      <c r="DO272" t="e">
        <v>#REF!</v>
      </c>
      <c r="DP272" t="e">
        <v>#REF!</v>
      </c>
      <c r="DQ272" t="e">
        <v>#REF!</v>
      </c>
      <c r="DR272" t="e">
        <v>#REF!</v>
      </c>
      <c r="DS272" t="e">
        <v>#REF!</v>
      </c>
      <c r="DT272" t="e">
        <v>#REF!</v>
      </c>
      <c r="DU272" t="e">
        <v>#REF!</v>
      </c>
      <c r="DV272" t="e">
        <v>#REF!</v>
      </c>
      <c r="DW272" t="e">
        <v>#REF!</v>
      </c>
      <c r="DX272" t="e">
        <v>#REF!</v>
      </c>
      <c r="DY272" t="e">
        <v>#REF!</v>
      </c>
      <c r="DZ272" t="e">
        <v>#REF!</v>
      </c>
      <c r="EA272" t="e">
        <v>#REF!</v>
      </c>
      <c r="EB272" t="e">
        <v>#REF!</v>
      </c>
      <c r="EC272" t="e">
        <v>#REF!</v>
      </c>
      <c r="ED272" t="e">
        <v>#REF!</v>
      </c>
      <c r="EE272" t="e">
        <v>#REF!</v>
      </c>
      <c r="EF272" t="e">
        <v>#REF!</v>
      </c>
      <c r="EG272" t="e">
        <v>#REF!</v>
      </c>
      <c r="EH272" t="e">
        <v>#REF!</v>
      </c>
      <c r="EI272" t="e">
        <v>#REF!</v>
      </c>
      <c r="EJ272" t="e">
        <v>#REF!</v>
      </c>
      <c r="EK272" t="e">
        <v>#REF!</v>
      </c>
      <c r="EL272" t="e">
        <v>#REF!</v>
      </c>
      <c r="EM272" t="e">
        <v>#REF!</v>
      </c>
      <c r="EN272" t="e">
        <v>#REF!</v>
      </c>
      <c r="EO272" t="e">
        <v>#REF!</v>
      </c>
      <c r="EP272" t="e">
        <v>#REF!</v>
      </c>
      <c r="EQ272" t="e">
        <v>#REF!</v>
      </c>
      <c r="ER272" t="e">
        <v>#REF!</v>
      </c>
      <c r="ES272" t="e">
        <v>#REF!</v>
      </c>
      <c r="ET272" t="e">
        <v>#REF!</v>
      </c>
      <c r="EU272" t="e">
        <v>#REF!</v>
      </c>
      <c r="EV272" t="e">
        <v>#REF!</v>
      </c>
      <c r="EW272" t="e">
        <v>#REF!</v>
      </c>
      <c r="EX272" t="e">
        <v>#REF!</v>
      </c>
      <c r="EY272" t="e">
        <v>#REF!</v>
      </c>
      <c r="EZ272" t="e">
        <v>#REF!</v>
      </c>
      <c r="FA272" t="e">
        <v>#REF!</v>
      </c>
      <c r="FB272" t="e">
        <v>#REF!</v>
      </c>
      <c r="FC272" t="e">
        <v>#REF!</v>
      </c>
      <c r="FD272" t="e">
        <v>#REF!</v>
      </c>
      <c r="FE272" t="e">
        <v>#REF!</v>
      </c>
      <c r="FF272" t="e">
        <v>#REF!</v>
      </c>
      <c r="FG272" t="e">
        <v>#REF!</v>
      </c>
      <c r="FH272" t="e">
        <v>#REF!</v>
      </c>
      <c r="FI272" t="e">
        <v>#REF!</v>
      </c>
      <c r="FJ272" t="e">
        <v>#REF!</v>
      </c>
      <c r="FK272" t="e">
        <v>#REF!</v>
      </c>
      <c r="FL272" t="e">
        <v>#REF!</v>
      </c>
      <c r="FM272" t="e">
        <v>#REF!</v>
      </c>
      <c r="FN272" t="e">
        <v>#REF!</v>
      </c>
      <c r="FO272" t="e">
        <v>#REF!</v>
      </c>
      <c r="FP272" t="e">
        <v>#REF!</v>
      </c>
      <c r="FQ272" t="e">
        <v>#REF!</v>
      </c>
      <c r="FR272" t="e">
        <v>#REF!</v>
      </c>
      <c r="FS272" t="e">
        <v>#REF!</v>
      </c>
      <c r="FT272" t="e">
        <v>#REF!</v>
      </c>
      <c r="FU272" t="e">
        <v>#REF!</v>
      </c>
      <c r="FV272" t="e">
        <v>#REF!</v>
      </c>
      <c r="FW272" t="e">
        <v>#REF!</v>
      </c>
      <c r="FX272" t="e">
        <v>#REF!</v>
      </c>
      <c r="FY272" t="e">
        <v>#REF!</v>
      </c>
      <c r="FZ272" t="e">
        <v>#REF!</v>
      </c>
      <c r="GA272" t="e">
        <v>#REF!</v>
      </c>
      <c r="GB272" t="e">
        <v>#REF!</v>
      </c>
      <c r="GC272" t="e">
        <v>#REF!</v>
      </c>
      <c r="GD272" t="e">
        <v>#REF!</v>
      </c>
      <c r="GE272" t="e">
        <v>#REF!</v>
      </c>
      <c r="GF272" t="e">
        <v>#REF!</v>
      </c>
      <c r="GG272" t="e">
        <v>#REF!</v>
      </c>
      <c r="GH272" t="e">
        <v>#REF!</v>
      </c>
      <c r="GI272" t="e">
        <v>#REF!</v>
      </c>
      <c r="GJ272" t="e">
        <v>#REF!</v>
      </c>
      <c r="GK272" t="e">
        <v>#REF!</v>
      </c>
      <c r="GL272" t="e">
        <v>#REF!</v>
      </c>
      <c r="GM272" t="e">
        <v>#REF!</v>
      </c>
      <c r="GN272" t="e">
        <v>#REF!</v>
      </c>
      <c r="GO272" t="e">
        <v>#REF!</v>
      </c>
      <c r="GP272" t="e">
        <v>#REF!</v>
      </c>
      <c r="GQ272" t="e">
        <v>#REF!</v>
      </c>
      <c r="GR272" t="e">
        <v>#REF!</v>
      </c>
      <c r="GS272" t="e">
        <v>#REF!</v>
      </c>
      <c r="GT272" t="e">
        <v>#REF!</v>
      </c>
      <c r="GU272" t="e">
        <v>#REF!</v>
      </c>
      <c r="GV272" t="e">
        <v>#REF!</v>
      </c>
      <c r="GW272" t="e">
        <v>#REF!</v>
      </c>
      <c r="GX272" t="e">
        <v>#REF!</v>
      </c>
      <c r="GY272" t="e">
        <v>#REF!</v>
      </c>
      <c r="GZ272" t="e">
        <v>#REF!</v>
      </c>
      <c r="HA272" t="e">
        <v>#REF!</v>
      </c>
      <c r="HB272" t="e">
        <v>#REF!</v>
      </c>
      <c r="HC272" t="e">
        <v>#REF!</v>
      </c>
      <c r="HD272" t="e">
        <v>#REF!</v>
      </c>
      <c r="HE272" t="e">
        <v>#REF!</v>
      </c>
      <c r="HF272" t="e">
        <v>#REF!</v>
      </c>
      <c r="HG272" t="e">
        <v>#REF!</v>
      </c>
      <c r="HH272" t="e">
        <v>#REF!</v>
      </c>
      <c r="HI272" t="e">
        <v>#REF!</v>
      </c>
      <c r="HJ272" t="e">
        <v>#REF!</v>
      </c>
      <c r="HK272" t="e">
        <v>#REF!</v>
      </c>
      <c r="HL272" t="e">
        <v>#REF!</v>
      </c>
      <c r="HM272" t="e">
        <v>#REF!</v>
      </c>
      <c r="HN272" t="e">
        <v>#REF!</v>
      </c>
      <c r="HO272" t="e">
        <v>#REF!</v>
      </c>
      <c r="HP272" t="e">
        <v>#REF!</v>
      </c>
      <c r="HQ272" t="e">
        <v>#REF!</v>
      </c>
      <c r="HR272" t="e">
        <v>#REF!</v>
      </c>
      <c r="HS272" t="e">
        <v>#REF!</v>
      </c>
      <c r="HT272" t="e">
        <v>#REF!</v>
      </c>
      <c r="HU272" t="e">
        <v>#REF!</v>
      </c>
      <c r="HV272" t="e">
        <v>#REF!</v>
      </c>
      <c r="HW272" t="e">
        <v>#REF!</v>
      </c>
      <c r="HX272" t="e">
        <v>#REF!</v>
      </c>
      <c r="HY272" t="e">
        <v>#REF!</v>
      </c>
      <c r="HZ272" t="e">
        <v>#REF!</v>
      </c>
      <c r="IA272" t="e">
        <v>#REF!</v>
      </c>
      <c r="IB272" t="e">
        <v>#REF!</v>
      </c>
      <c r="IC272" t="e">
        <v>#REF!</v>
      </c>
      <c r="ID272" t="e">
        <v>#REF!</v>
      </c>
      <c r="IE272" t="e">
        <v>#REF!</v>
      </c>
      <c r="IF272" t="e">
        <v>#REF!</v>
      </c>
      <c r="IG272" t="e">
        <v>#REF!</v>
      </c>
      <c r="IH272" t="e">
        <v>#REF!</v>
      </c>
      <c r="II272" t="e">
        <v>#REF!</v>
      </c>
      <c r="IJ272" t="e">
        <v>#REF!</v>
      </c>
      <c r="IK272" t="e">
        <v>#REF!</v>
      </c>
      <c r="IL272" t="e">
        <v>#REF!</v>
      </c>
      <c r="IM272" t="e">
        <v>#REF!</v>
      </c>
      <c r="IN272" t="e">
        <v>#REF!</v>
      </c>
      <c r="IO272" t="e">
        <v>#REF!</v>
      </c>
      <c r="IP272" t="e">
        <v>#REF!</v>
      </c>
      <c r="IQ272" t="e">
        <v>#REF!</v>
      </c>
      <c r="IR272" t="e">
        <v>#REF!</v>
      </c>
      <c r="IS272" t="e">
        <v>#REF!</v>
      </c>
      <c r="IT272" t="e">
        <v>#REF!</v>
      </c>
      <c r="IU272" t="e">
        <v>#REF!</v>
      </c>
      <c r="IV272" t="e">
        <v>#REF!</v>
      </c>
      <c r="IW272" t="e">
        <v>#REF!</v>
      </c>
      <c r="IX272" t="e">
        <v>#REF!</v>
      </c>
      <c r="IY272" t="e">
        <v>#REF!</v>
      </c>
      <c r="IZ272" t="e">
        <v>#REF!</v>
      </c>
      <c r="JA272" t="e">
        <v>#REF!</v>
      </c>
      <c r="JB272" t="e">
        <v>#REF!</v>
      </c>
      <c r="JC272" t="e">
        <v>#REF!</v>
      </c>
      <c r="JD272" t="e">
        <v>#REF!</v>
      </c>
      <c r="JE272" t="e">
        <v>#REF!</v>
      </c>
      <c r="JF272" t="e">
        <v>#REF!</v>
      </c>
      <c r="JG272" t="e">
        <v>#REF!</v>
      </c>
      <c r="JH272" t="e">
        <v>#REF!</v>
      </c>
      <c r="JI272" t="e">
        <v>#REF!</v>
      </c>
      <c r="JJ272" t="e">
        <v>#REF!</v>
      </c>
      <c r="JK272" t="e">
        <v>#REF!</v>
      </c>
      <c r="JL272" t="e">
        <v>#REF!</v>
      </c>
      <c r="JM272" t="e">
        <v>#REF!</v>
      </c>
      <c r="JN272" t="e">
        <v>#REF!</v>
      </c>
      <c r="JO272" t="e">
        <v>#REF!</v>
      </c>
      <c r="JP272" t="e">
        <v>#REF!</v>
      </c>
      <c r="JQ272" t="e">
        <v>#REF!</v>
      </c>
      <c r="JR272" t="e">
        <v>#REF!</v>
      </c>
      <c r="JS272" t="e">
        <v>#REF!</v>
      </c>
      <c r="JT272" t="e">
        <v>#REF!</v>
      </c>
      <c r="JU272" t="e">
        <v>#REF!</v>
      </c>
      <c r="JV272" t="e">
        <v>#REF!</v>
      </c>
      <c r="JW272" t="e">
        <v>#REF!</v>
      </c>
      <c r="JX272" t="e">
        <v>#REF!</v>
      </c>
      <c r="JY272" t="e">
        <v>#REF!</v>
      </c>
      <c r="JZ272" t="e">
        <v>#REF!</v>
      </c>
      <c r="KA272" t="e">
        <v>#REF!</v>
      </c>
      <c r="KB272" t="e">
        <v>#REF!</v>
      </c>
      <c r="KC272" t="e">
        <v>#REF!</v>
      </c>
      <c r="KD272" t="e">
        <v>#REF!</v>
      </c>
      <c r="KE272" t="e">
        <v>#REF!</v>
      </c>
      <c r="KF272" t="e">
        <v>#REF!</v>
      </c>
      <c r="KG272" t="e">
        <v>#REF!</v>
      </c>
      <c r="KH272" t="e">
        <v>#REF!</v>
      </c>
      <c r="KI272" t="e">
        <v>#REF!</v>
      </c>
      <c r="KJ272" t="e">
        <v>#REF!</v>
      </c>
      <c r="KK272" t="e">
        <v>#REF!</v>
      </c>
      <c r="KL272" t="e">
        <v>#REF!</v>
      </c>
      <c r="KM272" t="e">
        <v>#REF!</v>
      </c>
      <c r="KN272" t="e">
        <v>#REF!</v>
      </c>
      <c r="KO272" t="e">
        <v>#REF!</v>
      </c>
      <c r="KP272" t="e">
        <v>#REF!</v>
      </c>
      <c r="KQ272" t="e">
        <v>#REF!</v>
      </c>
      <c r="KR272" t="e">
        <v>#REF!</v>
      </c>
      <c r="KS272" t="e">
        <v>#REF!</v>
      </c>
      <c r="KT272" t="e">
        <v>#REF!</v>
      </c>
      <c r="KU272" t="e">
        <v>#REF!</v>
      </c>
      <c r="KV272" t="e">
        <v>#REF!</v>
      </c>
      <c r="KW272" t="e">
        <v>#REF!</v>
      </c>
      <c r="KX272" t="e">
        <v>#REF!</v>
      </c>
      <c r="KY272" t="e">
        <v>#REF!</v>
      </c>
      <c r="KZ272" t="e">
        <v>#REF!</v>
      </c>
      <c r="LA272" t="e">
        <v>#REF!</v>
      </c>
      <c r="LB272" t="e">
        <v>#REF!</v>
      </c>
      <c r="LC272" t="e">
        <v>#REF!</v>
      </c>
      <c r="LD272" t="e">
        <v>#REF!</v>
      </c>
      <c r="LE272" t="e">
        <v>#REF!</v>
      </c>
      <c r="LF272" t="e">
        <v>#REF!</v>
      </c>
      <c r="LG272" t="e">
        <v>#REF!</v>
      </c>
      <c r="LH272" t="e">
        <v>#REF!</v>
      </c>
      <c r="LI272" t="e">
        <v>#REF!</v>
      </c>
      <c r="LJ272" t="e">
        <v>#REF!</v>
      </c>
      <c r="LK272" t="e">
        <v>#REF!</v>
      </c>
      <c r="LL272" t="e">
        <v>#REF!</v>
      </c>
      <c r="LM272" t="e">
        <v>#REF!</v>
      </c>
      <c r="LN272" t="e">
        <v>#REF!</v>
      </c>
      <c r="LO272" t="e">
        <v>#REF!</v>
      </c>
      <c r="LP272" t="e">
        <v>#REF!</v>
      </c>
      <c r="LQ272" t="e">
        <v>#REF!</v>
      </c>
      <c r="LR272" t="e">
        <v>#REF!</v>
      </c>
      <c r="LS272" t="e">
        <v>#REF!</v>
      </c>
      <c r="LT272" t="e">
        <v>#REF!</v>
      </c>
      <c r="LU272" t="e">
        <v>#REF!</v>
      </c>
      <c r="LV272" t="e">
        <v>#REF!</v>
      </c>
      <c r="LW272" t="e">
        <v>#REF!</v>
      </c>
      <c r="LX272" t="e">
        <v>#REF!</v>
      </c>
      <c r="LY272" t="e">
        <v>#REF!</v>
      </c>
      <c r="LZ272" t="e">
        <v>#REF!</v>
      </c>
      <c r="MA272" t="e">
        <v>#REF!</v>
      </c>
      <c r="MB272" t="e">
        <v>#REF!</v>
      </c>
      <c r="MC272" t="e">
        <v>#REF!</v>
      </c>
      <c r="MD272" t="e">
        <v>#REF!</v>
      </c>
      <c r="ME272" t="e">
        <v>#REF!</v>
      </c>
      <c r="MF272" t="e">
        <v>#REF!</v>
      </c>
      <c r="MG272" t="e">
        <v>#REF!</v>
      </c>
      <c r="MH272" t="e">
        <v>#REF!</v>
      </c>
      <c r="MI272" t="e">
        <v>#REF!</v>
      </c>
      <c r="MJ272" t="e">
        <v>#REF!</v>
      </c>
      <c r="MK272" t="e">
        <v>#REF!</v>
      </c>
      <c r="ML272" t="e">
        <v>#REF!</v>
      </c>
      <c r="MM272" t="e">
        <v>#REF!</v>
      </c>
      <c r="MN272" t="e">
        <v>#REF!</v>
      </c>
      <c r="MO272" t="e">
        <v>#REF!</v>
      </c>
      <c r="MP272" t="e">
        <v>#REF!</v>
      </c>
      <c r="MQ272" t="e">
        <v>#REF!</v>
      </c>
      <c r="MR272" t="e">
        <v>#REF!</v>
      </c>
      <c r="MS272" t="e">
        <v>#REF!</v>
      </c>
      <c r="MT272" t="e">
        <v>#REF!</v>
      </c>
      <c r="MU272" t="e">
        <v>#REF!</v>
      </c>
      <c r="MV272" t="e">
        <v>#REF!</v>
      </c>
      <c r="MW272" t="e">
        <v>#REF!</v>
      </c>
      <c r="MX272" t="e">
        <v>#REF!</v>
      </c>
      <c r="MY272" t="e">
        <v>#REF!</v>
      </c>
      <c r="MZ272" t="e">
        <v>#REF!</v>
      </c>
      <c r="NA272" t="e">
        <v>#REF!</v>
      </c>
      <c r="NB272" t="e">
        <v>#REF!</v>
      </c>
      <c r="NC272" t="e">
        <v>#REF!</v>
      </c>
      <c r="ND272" t="e">
        <v>#REF!</v>
      </c>
      <c r="NE272" t="e">
        <v>#REF!</v>
      </c>
      <c r="NF272" t="e">
        <v>#REF!</v>
      </c>
      <c r="NG272" t="e">
        <v>#REF!</v>
      </c>
      <c r="NH272" t="e">
        <v>#REF!</v>
      </c>
      <c r="NI272" t="e">
        <v>#REF!</v>
      </c>
      <c r="NJ272" t="e">
        <v>#REF!</v>
      </c>
      <c r="NK272" t="e">
        <v>#REF!</v>
      </c>
      <c r="NL272" t="e">
        <v>#REF!</v>
      </c>
      <c r="NM272" t="e">
        <v>#REF!</v>
      </c>
      <c r="NN272" t="e">
        <v>#REF!</v>
      </c>
      <c r="NO272" t="e">
        <v>#REF!</v>
      </c>
      <c r="NP272" t="e">
        <v>#REF!</v>
      </c>
      <c r="NQ272" t="e">
        <v>#REF!</v>
      </c>
      <c r="NR272" t="e">
        <v>#REF!</v>
      </c>
      <c r="NS272" t="e">
        <v>#REF!</v>
      </c>
      <c r="NT272" t="e">
        <v>#REF!</v>
      </c>
      <c r="NU272" t="e">
        <v>#REF!</v>
      </c>
      <c r="NV272" t="e">
        <v>#REF!</v>
      </c>
      <c r="NW272" t="e">
        <v>#REF!</v>
      </c>
      <c r="NX272" t="e">
        <v>#REF!</v>
      </c>
      <c r="NY272" t="e">
        <v>#REF!</v>
      </c>
      <c r="NZ272" t="e">
        <v>#REF!</v>
      </c>
      <c r="OA272" t="e">
        <v>#REF!</v>
      </c>
      <c r="OB272" t="e">
        <v>#REF!</v>
      </c>
      <c r="OC272" t="e">
        <v>#REF!</v>
      </c>
      <c r="OD272" t="e">
        <v>#REF!</v>
      </c>
      <c r="OE272" t="e">
        <v>#REF!</v>
      </c>
    </row>
    <row r="273" spans="2:395" x14ac:dyDescent="0.3">
      <c r="B273" s="130"/>
      <c r="D273" s="133"/>
      <c r="K273" s="76"/>
      <c r="L273" s="66"/>
      <c r="M273" s="77"/>
      <c r="N273" s="175" t="s">
        <v>289</v>
      </c>
      <c r="O273" s="6"/>
      <c r="P273" s="33"/>
      <c r="Q273" s="6" t="e" cm="1">
        <f t="array" ref="Q273:OE273">_xlfn.ANCHORARRAY(Q271)*_xlfn.ANCHORARRAY(Q267)</f>
        <v>#REF!</v>
      </c>
      <c r="R273" s="6" t="e">
        <v>#REF!</v>
      </c>
      <c r="S273" s="6" t="e">
        <v>#REF!</v>
      </c>
      <c r="T273" s="6" t="e">
        <v>#REF!</v>
      </c>
      <c r="U273" s="6" t="e">
        <v>#REF!</v>
      </c>
      <c r="V273" s="6" t="e">
        <v>#REF!</v>
      </c>
      <c r="W273" s="6" t="e">
        <v>#REF!</v>
      </c>
      <c r="X273" s="6" t="e">
        <v>#REF!</v>
      </c>
      <c r="Y273" s="6" t="e">
        <v>#REF!</v>
      </c>
      <c r="Z273" s="6" t="e">
        <v>#REF!</v>
      </c>
      <c r="AA273" s="6" t="e">
        <v>#REF!</v>
      </c>
      <c r="AB273" s="6" t="e">
        <v>#REF!</v>
      </c>
      <c r="AC273" s="6" t="e">
        <v>#REF!</v>
      </c>
      <c r="AD273" s="6" t="e">
        <v>#REF!</v>
      </c>
      <c r="AE273" s="6" t="e">
        <v>#REF!</v>
      </c>
      <c r="AF273" s="6" t="e">
        <v>#REF!</v>
      </c>
      <c r="AG273" s="6" t="e">
        <v>#REF!</v>
      </c>
      <c r="AH273" s="6" t="e">
        <v>#REF!</v>
      </c>
      <c r="AI273" s="6" t="e">
        <v>#REF!</v>
      </c>
      <c r="AJ273" s="6" t="e">
        <v>#REF!</v>
      </c>
      <c r="AK273" s="6" t="e">
        <v>#REF!</v>
      </c>
      <c r="AL273" s="6" t="e">
        <v>#REF!</v>
      </c>
      <c r="AM273" s="6" t="e">
        <v>#REF!</v>
      </c>
      <c r="AN273" s="6" t="e">
        <v>#REF!</v>
      </c>
      <c r="AO273" s="6" t="e">
        <v>#REF!</v>
      </c>
      <c r="AP273" s="6" t="e">
        <v>#REF!</v>
      </c>
      <c r="AQ273" s="6" t="e">
        <v>#REF!</v>
      </c>
      <c r="AR273" s="6" t="e">
        <v>#REF!</v>
      </c>
      <c r="AS273" s="6" t="e">
        <v>#REF!</v>
      </c>
      <c r="AT273" s="6" t="e">
        <v>#REF!</v>
      </c>
      <c r="AU273" s="6" t="e">
        <v>#REF!</v>
      </c>
      <c r="AV273" s="6" t="e">
        <v>#REF!</v>
      </c>
      <c r="AW273" s="6" t="e">
        <v>#REF!</v>
      </c>
      <c r="AX273" s="6" t="e">
        <v>#REF!</v>
      </c>
      <c r="AY273" s="6" t="e">
        <v>#REF!</v>
      </c>
      <c r="AZ273" s="6" t="e">
        <v>#REF!</v>
      </c>
      <c r="BA273" s="6" t="e">
        <v>#REF!</v>
      </c>
      <c r="BB273" s="6" t="e">
        <v>#REF!</v>
      </c>
      <c r="BC273" s="6" t="e">
        <v>#REF!</v>
      </c>
      <c r="BD273" s="6" t="e">
        <v>#REF!</v>
      </c>
      <c r="BE273" s="6" t="e">
        <v>#REF!</v>
      </c>
      <c r="BF273" s="6" t="e">
        <v>#REF!</v>
      </c>
      <c r="BG273" s="6" t="e">
        <v>#REF!</v>
      </c>
      <c r="BH273" s="6" t="e">
        <v>#REF!</v>
      </c>
      <c r="BI273" s="6" t="e">
        <v>#REF!</v>
      </c>
      <c r="BJ273" s="6" t="e">
        <v>#REF!</v>
      </c>
      <c r="BK273" s="6" t="e">
        <v>#REF!</v>
      </c>
      <c r="BL273" s="6" t="e">
        <v>#REF!</v>
      </c>
      <c r="BM273" s="6" t="e">
        <v>#REF!</v>
      </c>
      <c r="BN273" s="6" t="e">
        <v>#REF!</v>
      </c>
      <c r="BO273" s="6" t="e">
        <v>#REF!</v>
      </c>
      <c r="BP273" s="6" t="e">
        <v>#REF!</v>
      </c>
      <c r="BQ273" s="6" t="e">
        <v>#REF!</v>
      </c>
      <c r="BR273" s="6" t="e">
        <v>#REF!</v>
      </c>
      <c r="BS273" s="6" t="e">
        <v>#REF!</v>
      </c>
      <c r="BT273" s="6" t="e">
        <v>#REF!</v>
      </c>
      <c r="BU273" s="6" t="e">
        <v>#REF!</v>
      </c>
      <c r="BV273" s="6" t="e">
        <v>#REF!</v>
      </c>
      <c r="BW273" s="6" t="e">
        <v>#REF!</v>
      </c>
      <c r="BX273" s="6" t="e">
        <v>#REF!</v>
      </c>
      <c r="BY273" s="6" t="e">
        <v>#REF!</v>
      </c>
      <c r="BZ273" s="6" t="e">
        <v>#REF!</v>
      </c>
      <c r="CA273" s="6" t="e">
        <v>#REF!</v>
      </c>
      <c r="CB273" s="6" t="e">
        <v>#REF!</v>
      </c>
      <c r="CC273" s="6" t="e">
        <v>#REF!</v>
      </c>
      <c r="CD273" s="6" t="e">
        <v>#REF!</v>
      </c>
      <c r="CE273" s="6" t="e">
        <v>#REF!</v>
      </c>
      <c r="CF273" s="6" t="e">
        <v>#REF!</v>
      </c>
      <c r="CG273" s="6" t="e">
        <v>#REF!</v>
      </c>
      <c r="CH273" s="6" t="e">
        <v>#REF!</v>
      </c>
      <c r="CI273" s="6" t="e">
        <v>#REF!</v>
      </c>
      <c r="CJ273" s="6" t="e">
        <v>#REF!</v>
      </c>
      <c r="CK273" s="6" t="e">
        <v>#REF!</v>
      </c>
      <c r="CL273" s="6" t="e">
        <v>#REF!</v>
      </c>
      <c r="CM273" s="6" t="e">
        <v>#REF!</v>
      </c>
      <c r="CN273" s="6" t="e">
        <v>#REF!</v>
      </c>
      <c r="CO273" s="6" t="e">
        <v>#REF!</v>
      </c>
      <c r="CP273" s="6" t="e">
        <v>#REF!</v>
      </c>
      <c r="CQ273" s="6" t="e">
        <v>#REF!</v>
      </c>
      <c r="CR273" s="6" t="e">
        <v>#REF!</v>
      </c>
      <c r="CS273" s="6" t="e">
        <v>#REF!</v>
      </c>
      <c r="CT273" s="6" t="e">
        <v>#REF!</v>
      </c>
      <c r="CU273" s="6" t="e">
        <v>#REF!</v>
      </c>
      <c r="CV273" s="6" t="e">
        <v>#REF!</v>
      </c>
      <c r="CW273" s="6" t="e">
        <v>#REF!</v>
      </c>
      <c r="CX273" s="6" t="e">
        <v>#REF!</v>
      </c>
      <c r="CY273" s="6" t="e">
        <v>#REF!</v>
      </c>
      <c r="CZ273" s="6" t="e">
        <v>#REF!</v>
      </c>
      <c r="DA273" s="6" t="e">
        <v>#REF!</v>
      </c>
      <c r="DB273" s="6" t="e">
        <v>#REF!</v>
      </c>
      <c r="DC273" s="6" t="e">
        <v>#REF!</v>
      </c>
      <c r="DD273" s="6" t="e">
        <v>#REF!</v>
      </c>
      <c r="DE273" s="6" t="e">
        <v>#REF!</v>
      </c>
      <c r="DF273" s="6" t="e">
        <v>#REF!</v>
      </c>
      <c r="DG273" s="6" t="e">
        <v>#REF!</v>
      </c>
      <c r="DH273" s="6" t="e">
        <v>#REF!</v>
      </c>
      <c r="DI273" s="6" t="e">
        <v>#REF!</v>
      </c>
      <c r="DJ273" s="6" t="e">
        <v>#REF!</v>
      </c>
      <c r="DK273" s="6" t="e">
        <v>#REF!</v>
      </c>
      <c r="DL273" s="6" t="e">
        <v>#REF!</v>
      </c>
      <c r="DM273" s="6" t="e">
        <v>#REF!</v>
      </c>
      <c r="DN273" s="6" t="e">
        <v>#REF!</v>
      </c>
      <c r="DO273" s="6" t="e">
        <v>#REF!</v>
      </c>
      <c r="DP273" s="6" t="e">
        <v>#REF!</v>
      </c>
      <c r="DQ273" s="6" t="e">
        <v>#REF!</v>
      </c>
      <c r="DR273" s="6" t="e">
        <v>#REF!</v>
      </c>
      <c r="DS273" s="6" t="e">
        <v>#REF!</v>
      </c>
      <c r="DT273" s="6" t="e">
        <v>#REF!</v>
      </c>
      <c r="DU273" s="6" t="e">
        <v>#REF!</v>
      </c>
      <c r="DV273" s="6" t="e">
        <v>#REF!</v>
      </c>
      <c r="DW273" s="6" t="e">
        <v>#REF!</v>
      </c>
      <c r="DX273" s="6" t="e">
        <v>#REF!</v>
      </c>
      <c r="DY273" s="6" t="e">
        <v>#REF!</v>
      </c>
      <c r="DZ273" s="6" t="e">
        <v>#REF!</v>
      </c>
      <c r="EA273" s="6" t="e">
        <v>#REF!</v>
      </c>
      <c r="EB273" s="6" t="e">
        <v>#REF!</v>
      </c>
      <c r="EC273" s="6" t="e">
        <v>#REF!</v>
      </c>
      <c r="ED273" s="6" t="e">
        <v>#REF!</v>
      </c>
      <c r="EE273" s="6" t="e">
        <v>#REF!</v>
      </c>
      <c r="EF273" s="6" t="e">
        <v>#REF!</v>
      </c>
      <c r="EG273" s="6" t="e">
        <v>#REF!</v>
      </c>
      <c r="EH273" s="6" t="e">
        <v>#REF!</v>
      </c>
      <c r="EI273" s="6" t="e">
        <v>#REF!</v>
      </c>
      <c r="EJ273" s="6" t="e">
        <v>#REF!</v>
      </c>
      <c r="EK273" s="6" t="e">
        <v>#REF!</v>
      </c>
      <c r="EL273" s="6" t="e">
        <v>#REF!</v>
      </c>
      <c r="EM273" s="6" t="e">
        <v>#REF!</v>
      </c>
      <c r="EN273" s="6" t="e">
        <v>#REF!</v>
      </c>
      <c r="EO273" s="6" t="e">
        <v>#REF!</v>
      </c>
      <c r="EP273" s="6" t="e">
        <v>#REF!</v>
      </c>
      <c r="EQ273" s="6" t="e">
        <v>#REF!</v>
      </c>
      <c r="ER273" s="6" t="e">
        <v>#REF!</v>
      </c>
      <c r="ES273" s="6" t="e">
        <v>#REF!</v>
      </c>
      <c r="ET273" s="6" t="e">
        <v>#REF!</v>
      </c>
      <c r="EU273" s="6" t="e">
        <v>#REF!</v>
      </c>
      <c r="EV273" s="6" t="e">
        <v>#REF!</v>
      </c>
      <c r="EW273" s="6" t="e">
        <v>#REF!</v>
      </c>
      <c r="EX273" s="6" t="e">
        <v>#REF!</v>
      </c>
      <c r="EY273" s="6" t="e">
        <v>#REF!</v>
      </c>
      <c r="EZ273" s="6" t="e">
        <v>#REF!</v>
      </c>
      <c r="FA273" s="6" t="e">
        <v>#REF!</v>
      </c>
      <c r="FB273" s="6" t="e">
        <v>#REF!</v>
      </c>
      <c r="FC273" s="6" t="e">
        <v>#REF!</v>
      </c>
      <c r="FD273" s="6" t="e">
        <v>#REF!</v>
      </c>
      <c r="FE273" s="6" t="e">
        <v>#REF!</v>
      </c>
      <c r="FF273" s="6" t="e">
        <v>#REF!</v>
      </c>
      <c r="FG273" s="6" t="e">
        <v>#REF!</v>
      </c>
      <c r="FH273" s="6" t="e">
        <v>#REF!</v>
      </c>
      <c r="FI273" s="6" t="e">
        <v>#REF!</v>
      </c>
      <c r="FJ273" s="6" t="e">
        <v>#REF!</v>
      </c>
      <c r="FK273" s="6" t="e">
        <v>#REF!</v>
      </c>
      <c r="FL273" s="6" t="e">
        <v>#REF!</v>
      </c>
      <c r="FM273" s="6" t="e">
        <v>#REF!</v>
      </c>
      <c r="FN273" s="6" t="e">
        <v>#REF!</v>
      </c>
      <c r="FO273" s="6" t="e">
        <v>#REF!</v>
      </c>
      <c r="FP273" s="6" t="e">
        <v>#REF!</v>
      </c>
      <c r="FQ273" s="6" t="e">
        <v>#REF!</v>
      </c>
      <c r="FR273" s="6" t="e">
        <v>#REF!</v>
      </c>
      <c r="FS273" s="6" t="e">
        <v>#REF!</v>
      </c>
      <c r="FT273" s="6" t="e">
        <v>#REF!</v>
      </c>
      <c r="FU273" s="6" t="e">
        <v>#REF!</v>
      </c>
      <c r="FV273" s="6" t="e">
        <v>#REF!</v>
      </c>
      <c r="FW273" s="6" t="e">
        <v>#REF!</v>
      </c>
      <c r="FX273" s="6" t="e">
        <v>#REF!</v>
      </c>
      <c r="FY273" s="6" t="e">
        <v>#REF!</v>
      </c>
      <c r="FZ273" s="6" t="e">
        <v>#REF!</v>
      </c>
      <c r="GA273" s="6" t="e">
        <v>#REF!</v>
      </c>
      <c r="GB273" s="6" t="e">
        <v>#REF!</v>
      </c>
      <c r="GC273" s="6" t="e">
        <v>#REF!</v>
      </c>
      <c r="GD273" s="6" t="e">
        <v>#REF!</v>
      </c>
      <c r="GE273" s="6" t="e">
        <v>#REF!</v>
      </c>
      <c r="GF273" s="6" t="e">
        <v>#REF!</v>
      </c>
      <c r="GG273" s="6" t="e">
        <v>#REF!</v>
      </c>
      <c r="GH273" s="6" t="e">
        <v>#REF!</v>
      </c>
      <c r="GI273" s="6" t="e">
        <v>#REF!</v>
      </c>
      <c r="GJ273" s="6" t="e">
        <v>#REF!</v>
      </c>
      <c r="GK273" s="6" t="e">
        <v>#REF!</v>
      </c>
      <c r="GL273" s="6" t="e">
        <v>#REF!</v>
      </c>
      <c r="GM273" s="6" t="e">
        <v>#REF!</v>
      </c>
      <c r="GN273" s="6" t="e">
        <v>#REF!</v>
      </c>
      <c r="GO273" s="6" t="e">
        <v>#REF!</v>
      </c>
      <c r="GP273" s="6" t="e">
        <v>#REF!</v>
      </c>
      <c r="GQ273" s="6" t="e">
        <v>#REF!</v>
      </c>
      <c r="GR273" s="6" t="e">
        <v>#REF!</v>
      </c>
      <c r="GS273" s="6" t="e">
        <v>#REF!</v>
      </c>
      <c r="GT273" s="6" t="e">
        <v>#REF!</v>
      </c>
      <c r="GU273" s="6" t="e">
        <v>#REF!</v>
      </c>
      <c r="GV273" s="6" t="e">
        <v>#REF!</v>
      </c>
      <c r="GW273" s="6" t="e">
        <v>#REF!</v>
      </c>
      <c r="GX273" s="6" t="e">
        <v>#REF!</v>
      </c>
      <c r="GY273" s="6" t="e">
        <v>#REF!</v>
      </c>
      <c r="GZ273" s="6" t="e">
        <v>#REF!</v>
      </c>
      <c r="HA273" s="6" t="e">
        <v>#REF!</v>
      </c>
      <c r="HB273" s="6" t="e">
        <v>#REF!</v>
      </c>
      <c r="HC273" s="6" t="e">
        <v>#REF!</v>
      </c>
      <c r="HD273" s="6" t="e">
        <v>#REF!</v>
      </c>
      <c r="HE273" s="6" t="e">
        <v>#REF!</v>
      </c>
      <c r="HF273" s="6" t="e">
        <v>#REF!</v>
      </c>
      <c r="HG273" s="6" t="e">
        <v>#REF!</v>
      </c>
      <c r="HH273" s="6" t="e">
        <v>#REF!</v>
      </c>
      <c r="HI273" s="6" t="e">
        <v>#REF!</v>
      </c>
      <c r="HJ273" s="6" t="e">
        <v>#REF!</v>
      </c>
      <c r="HK273" s="6" t="e">
        <v>#REF!</v>
      </c>
      <c r="HL273" s="6" t="e">
        <v>#REF!</v>
      </c>
      <c r="HM273" s="6" t="e">
        <v>#REF!</v>
      </c>
      <c r="HN273" s="6" t="e">
        <v>#REF!</v>
      </c>
      <c r="HO273" s="6" t="e">
        <v>#REF!</v>
      </c>
      <c r="HP273" s="6" t="e">
        <v>#REF!</v>
      </c>
      <c r="HQ273" s="6" t="e">
        <v>#REF!</v>
      </c>
      <c r="HR273" s="6" t="e">
        <v>#REF!</v>
      </c>
      <c r="HS273" s="6" t="e">
        <v>#REF!</v>
      </c>
      <c r="HT273" s="6" t="e">
        <v>#REF!</v>
      </c>
      <c r="HU273" s="6" t="e">
        <v>#REF!</v>
      </c>
      <c r="HV273" s="6" t="e">
        <v>#REF!</v>
      </c>
      <c r="HW273" s="6" t="e">
        <v>#REF!</v>
      </c>
      <c r="HX273" s="6" t="e">
        <v>#REF!</v>
      </c>
      <c r="HY273" s="6" t="e">
        <v>#REF!</v>
      </c>
      <c r="HZ273" s="6" t="e">
        <v>#REF!</v>
      </c>
      <c r="IA273" s="6" t="e">
        <v>#REF!</v>
      </c>
      <c r="IB273" s="6" t="e">
        <v>#REF!</v>
      </c>
      <c r="IC273" s="6" t="e">
        <v>#REF!</v>
      </c>
      <c r="ID273" s="6" t="e">
        <v>#REF!</v>
      </c>
      <c r="IE273" s="6" t="e">
        <v>#REF!</v>
      </c>
      <c r="IF273" s="6" t="e">
        <v>#REF!</v>
      </c>
      <c r="IG273" s="6" t="e">
        <v>#REF!</v>
      </c>
      <c r="IH273" s="6" t="e">
        <v>#REF!</v>
      </c>
      <c r="II273" s="6" t="e">
        <v>#REF!</v>
      </c>
      <c r="IJ273" s="6" t="e">
        <v>#REF!</v>
      </c>
      <c r="IK273" s="6" t="e">
        <v>#REF!</v>
      </c>
      <c r="IL273" s="6" t="e">
        <v>#REF!</v>
      </c>
      <c r="IM273" s="6" t="e">
        <v>#REF!</v>
      </c>
      <c r="IN273" s="6" t="e">
        <v>#REF!</v>
      </c>
      <c r="IO273" s="6" t="e">
        <v>#REF!</v>
      </c>
      <c r="IP273" s="6" t="e">
        <v>#REF!</v>
      </c>
      <c r="IQ273" s="6" t="e">
        <v>#REF!</v>
      </c>
      <c r="IR273" s="6" t="e">
        <v>#REF!</v>
      </c>
      <c r="IS273" s="6" t="e">
        <v>#REF!</v>
      </c>
      <c r="IT273" s="6" t="e">
        <v>#REF!</v>
      </c>
      <c r="IU273" s="6" t="e">
        <v>#REF!</v>
      </c>
      <c r="IV273" s="6" t="e">
        <v>#REF!</v>
      </c>
      <c r="IW273" s="6" t="e">
        <v>#REF!</v>
      </c>
      <c r="IX273" s="6" t="e">
        <v>#REF!</v>
      </c>
      <c r="IY273" s="6" t="e">
        <v>#REF!</v>
      </c>
      <c r="IZ273" s="6" t="e">
        <v>#REF!</v>
      </c>
      <c r="JA273" s="6" t="e">
        <v>#REF!</v>
      </c>
      <c r="JB273" s="6" t="e">
        <v>#REF!</v>
      </c>
      <c r="JC273" s="6" t="e">
        <v>#REF!</v>
      </c>
      <c r="JD273" s="6" t="e">
        <v>#REF!</v>
      </c>
      <c r="JE273" s="6" t="e">
        <v>#REF!</v>
      </c>
      <c r="JF273" s="6" t="e">
        <v>#REF!</v>
      </c>
      <c r="JG273" s="6" t="e">
        <v>#REF!</v>
      </c>
      <c r="JH273" s="6" t="e">
        <v>#REF!</v>
      </c>
      <c r="JI273" s="6" t="e">
        <v>#REF!</v>
      </c>
      <c r="JJ273" s="6" t="e">
        <v>#REF!</v>
      </c>
      <c r="JK273" s="6" t="e">
        <v>#REF!</v>
      </c>
      <c r="JL273" s="6" t="e">
        <v>#REF!</v>
      </c>
      <c r="JM273" s="6" t="e">
        <v>#REF!</v>
      </c>
      <c r="JN273" s="6" t="e">
        <v>#REF!</v>
      </c>
      <c r="JO273" s="6" t="e">
        <v>#REF!</v>
      </c>
      <c r="JP273" s="6" t="e">
        <v>#REF!</v>
      </c>
      <c r="JQ273" s="6" t="e">
        <v>#REF!</v>
      </c>
      <c r="JR273" s="6" t="e">
        <v>#REF!</v>
      </c>
      <c r="JS273" s="6" t="e">
        <v>#REF!</v>
      </c>
      <c r="JT273" s="6" t="e">
        <v>#REF!</v>
      </c>
      <c r="JU273" s="6" t="e">
        <v>#REF!</v>
      </c>
      <c r="JV273" s="6" t="e">
        <v>#REF!</v>
      </c>
      <c r="JW273" s="6" t="e">
        <v>#REF!</v>
      </c>
      <c r="JX273" s="6" t="e">
        <v>#REF!</v>
      </c>
      <c r="JY273" s="6" t="e">
        <v>#REF!</v>
      </c>
      <c r="JZ273" s="6" t="e">
        <v>#REF!</v>
      </c>
      <c r="KA273" s="6" t="e">
        <v>#REF!</v>
      </c>
      <c r="KB273" s="6" t="e">
        <v>#REF!</v>
      </c>
      <c r="KC273" s="6" t="e">
        <v>#REF!</v>
      </c>
      <c r="KD273" s="6" t="e">
        <v>#REF!</v>
      </c>
      <c r="KE273" s="6" t="e">
        <v>#REF!</v>
      </c>
      <c r="KF273" s="6" t="e">
        <v>#REF!</v>
      </c>
      <c r="KG273" s="6" t="e">
        <v>#REF!</v>
      </c>
      <c r="KH273" s="6" t="e">
        <v>#REF!</v>
      </c>
      <c r="KI273" s="6" t="e">
        <v>#REF!</v>
      </c>
      <c r="KJ273" s="6" t="e">
        <v>#REF!</v>
      </c>
      <c r="KK273" s="6" t="e">
        <v>#REF!</v>
      </c>
      <c r="KL273" s="6" t="e">
        <v>#REF!</v>
      </c>
      <c r="KM273" s="6" t="e">
        <v>#REF!</v>
      </c>
      <c r="KN273" s="6" t="e">
        <v>#REF!</v>
      </c>
      <c r="KO273" s="6" t="e">
        <v>#REF!</v>
      </c>
      <c r="KP273" s="6" t="e">
        <v>#REF!</v>
      </c>
      <c r="KQ273" s="6" t="e">
        <v>#REF!</v>
      </c>
      <c r="KR273" s="6" t="e">
        <v>#REF!</v>
      </c>
      <c r="KS273" s="6" t="e">
        <v>#REF!</v>
      </c>
      <c r="KT273" s="6" t="e">
        <v>#REF!</v>
      </c>
      <c r="KU273" s="6" t="e">
        <v>#REF!</v>
      </c>
      <c r="KV273" s="6" t="e">
        <v>#REF!</v>
      </c>
      <c r="KW273" s="6" t="e">
        <v>#REF!</v>
      </c>
      <c r="KX273" s="6" t="e">
        <v>#REF!</v>
      </c>
      <c r="KY273" s="6" t="e">
        <v>#REF!</v>
      </c>
      <c r="KZ273" s="6" t="e">
        <v>#REF!</v>
      </c>
      <c r="LA273" s="6" t="e">
        <v>#REF!</v>
      </c>
      <c r="LB273" s="6" t="e">
        <v>#REF!</v>
      </c>
      <c r="LC273" s="6" t="e">
        <v>#REF!</v>
      </c>
      <c r="LD273" s="6" t="e">
        <v>#REF!</v>
      </c>
      <c r="LE273" s="6" t="e">
        <v>#REF!</v>
      </c>
      <c r="LF273" s="6" t="e">
        <v>#REF!</v>
      </c>
      <c r="LG273" s="6" t="e">
        <v>#REF!</v>
      </c>
      <c r="LH273" s="6" t="e">
        <v>#REF!</v>
      </c>
      <c r="LI273" s="6" t="e">
        <v>#REF!</v>
      </c>
      <c r="LJ273" s="6" t="e">
        <v>#REF!</v>
      </c>
      <c r="LK273" s="6" t="e">
        <v>#REF!</v>
      </c>
      <c r="LL273" s="6" t="e">
        <v>#REF!</v>
      </c>
      <c r="LM273" s="6" t="e">
        <v>#REF!</v>
      </c>
      <c r="LN273" s="6" t="e">
        <v>#REF!</v>
      </c>
      <c r="LO273" s="6" t="e">
        <v>#REF!</v>
      </c>
      <c r="LP273" s="6" t="e">
        <v>#REF!</v>
      </c>
      <c r="LQ273" s="6" t="e">
        <v>#REF!</v>
      </c>
      <c r="LR273" s="6" t="e">
        <v>#REF!</v>
      </c>
      <c r="LS273" s="6" t="e">
        <v>#REF!</v>
      </c>
      <c r="LT273" s="6" t="e">
        <v>#REF!</v>
      </c>
      <c r="LU273" s="6" t="e">
        <v>#REF!</v>
      </c>
      <c r="LV273" s="6" t="e">
        <v>#REF!</v>
      </c>
      <c r="LW273" s="6" t="e">
        <v>#REF!</v>
      </c>
      <c r="LX273" s="6" t="e">
        <v>#REF!</v>
      </c>
      <c r="LY273" s="6" t="e">
        <v>#REF!</v>
      </c>
      <c r="LZ273" s="6" t="e">
        <v>#REF!</v>
      </c>
      <c r="MA273" s="6" t="e">
        <v>#REF!</v>
      </c>
      <c r="MB273" s="6" t="e">
        <v>#REF!</v>
      </c>
      <c r="MC273" s="6" t="e">
        <v>#REF!</v>
      </c>
      <c r="MD273" s="6" t="e">
        <v>#REF!</v>
      </c>
      <c r="ME273" s="6" t="e">
        <v>#REF!</v>
      </c>
      <c r="MF273" s="6" t="e">
        <v>#REF!</v>
      </c>
      <c r="MG273" s="6" t="e">
        <v>#REF!</v>
      </c>
      <c r="MH273" s="6" t="e">
        <v>#REF!</v>
      </c>
      <c r="MI273" s="6" t="e">
        <v>#REF!</v>
      </c>
      <c r="MJ273" s="6" t="e">
        <v>#REF!</v>
      </c>
      <c r="MK273" s="6" t="e">
        <v>#REF!</v>
      </c>
      <c r="ML273" s="6" t="e">
        <v>#REF!</v>
      </c>
      <c r="MM273" s="6" t="e">
        <v>#REF!</v>
      </c>
      <c r="MN273" s="6" t="e">
        <v>#REF!</v>
      </c>
      <c r="MO273" s="6" t="e">
        <v>#REF!</v>
      </c>
      <c r="MP273" s="6" t="e">
        <v>#REF!</v>
      </c>
      <c r="MQ273" s="6" t="e">
        <v>#REF!</v>
      </c>
      <c r="MR273" s="6" t="e">
        <v>#REF!</v>
      </c>
      <c r="MS273" s="6" t="e">
        <v>#REF!</v>
      </c>
      <c r="MT273" s="6" t="e">
        <v>#REF!</v>
      </c>
      <c r="MU273" s="6" t="e">
        <v>#REF!</v>
      </c>
      <c r="MV273" s="6" t="e">
        <v>#REF!</v>
      </c>
      <c r="MW273" s="6" t="e">
        <v>#REF!</v>
      </c>
      <c r="MX273" s="6" t="e">
        <v>#REF!</v>
      </c>
      <c r="MY273" s="6" t="e">
        <v>#REF!</v>
      </c>
      <c r="MZ273" s="6" t="e">
        <v>#REF!</v>
      </c>
      <c r="NA273" s="6" t="e">
        <v>#REF!</v>
      </c>
      <c r="NB273" s="6" t="e">
        <v>#REF!</v>
      </c>
      <c r="NC273" s="6" t="e">
        <v>#REF!</v>
      </c>
      <c r="ND273" s="6" t="e">
        <v>#REF!</v>
      </c>
      <c r="NE273" s="6" t="e">
        <v>#REF!</v>
      </c>
      <c r="NF273" s="6" t="e">
        <v>#REF!</v>
      </c>
      <c r="NG273" s="6" t="e">
        <v>#REF!</v>
      </c>
      <c r="NH273" s="6" t="e">
        <v>#REF!</v>
      </c>
      <c r="NI273" s="6" t="e">
        <v>#REF!</v>
      </c>
      <c r="NJ273" s="6" t="e">
        <v>#REF!</v>
      </c>
      <c r="NK273" s="6" t="e">
        <v>#REF!</v>
      </c>
      <c r="NL273" s="6" t="e">
        <v>#REF!</v>
      </c>
      <c r="NM273" s="6" t="e">
        <v>#REF!</v>
      </c>
      <c r="NN273" s="6" t="e">
        <v>#REF!</v>
      </c>
      <c r="NO273" s="6" t="e">
        <v>#REF!</v>
      </c>
      <c r="NP273" s="6" t="e">
        <v>#REF!</v>
      </c>
      <c r="NQ273" s="6" t="e">
        <v>#REF!</v>
      </c>
      <c r="NR273" s="6" t="e">
        <v>#REF!</v>
      </c>
      <c r="NS273" s="6" t="e">
        <v>#REF!</v>
      </c>
      <c r="NT273" s="6" t="e">
        <v>#REF!</v>
      </c>
      <c r="NU273" s="6" t="e">
        <v>#REF!</v>
      </c>
      <c r="NV273" s="6" t="e">
        <v>#REF!</v>
      </c>
      <c r="NW273" s="6" t="e">
        <v>#REF!</v>
      </c>
      <c r="NX273" s="6" t="e">
        <v>#REF!</v>
      </c>
      <c r="NY273" s="6" t="e">
        <v>#REF!</v>
      </c>
      <c r="NZ273" s="6" t="e">
        <v>#REF!</v>
      </c>
      <c r="OA273" s="6" t="e">
        <v>#REF!</v>
      </c>
      <c r="OB273" s="6" t="e">
        <v>#REF!</v>
      </c>
      <c r="OC273" s="6" t="e">
        <v>#REF!</v>
      </c>
      <c r="OD273" s="6" t="e">
        <v>#REF!</v>
      </c>
      <c r="OE273" s="6" t="e">
        <v>#REF!</v>
      </c>
    </row>
    <row r="274" spans="2:395" x14ac:dyDescent="0.3">
      <c r="D274" s="133"/>
      <c r="K274" s="76"/>
      <c r="L274" s="66"/>
      <c r="M274" s="77"/>
      <c r="N274" s="143" t="s">
        <v>219</v>
      </c>
      <c r="O274" s="144"/>
      <c r="P274" s="169"/>
      <c r="Q274" s="144" t="e" cm="1">
        <f t="array" ref="Q274">_xlfn.ANCHORARRAY(Q261)+_xlfn.ANCHORARRAY(Q268)-_xlfn.ANCHORARRAY(Q271)</f>
        <v>#REF!</v>
      </c>
    </row>
    <row r="275" spans="2:395" x14ac:dyDescent="0.3">
      <c r="D275" s="133"/>
      <c r="K275" s="76"/>
      <c r="L275" s="66"/>
      <c r="M275" s="66"/>
      <c r="N275" s="66"/>
      <c r="O275" s="66"/>
      <c r="P275" s="66"/>
      <c r="Q275" s="66"/>
    </row>
    <row r="276" spans="2:395" x14ac:dyDescent="0.3">
      <c r="D276" s="133"/>
      <c r="K276" s="76"/>
      <c r="L276" s="66"/>
      <c r="M276" s="66"/>
      <c r="N276" s="66" t="s">
        <v>416</v>
      </c>
      <c r="O276" s="66"/>
      <c r="P276" s="66"/>
      <c r="Q276" s="66"/>
    </row>
    <row r="277" spans="2:395" x14ac:dyDescent="0.3">
      <c r="D277" s="133"/>
      <c r="K277" s="76"/>
      <c r="L277" s="66"/>
      <c r="M277" s="66"/>
      <c r="N277" s="66" t="s">
        <v>272</v>
      </c>
      <c r="O277" s="66"/>
      <c r="P277" s="66"/>
      <c r="Q277" s="66"/>
    </row>
    <row r="278" spans="2:395" x14ac:dyDescent="0.3">
      <c r="D278" s="133"/>
      <c r="K278" s="76"/>
      <c r="L278" s="66"/>
      <c r="M278" s="66"/>
      <c r="N278" s="66" t="s">
        <v>274</v>
      </c>
      <c r="O278" s="66"/>
      <c r="P278" s="66"/>
      <c r="Q278" s="66"/>
    </row>
    <row r="279" spans="2:395" ht="14.4" thickBot="1" x14ac:dyDescent="0.35">
      <c r="D279" s="133"/>
      <c r="K279" s="157"/>
      <c r="L279" s="156"/>
      <c r="M279" s="155" t="s">
        <v>263</v>
      </c>
      <c r="N279" s="156"/>
      <c r="O279" s="156"/>
      <c r="P279" s="156"/>
      <c r="Q279" s="156"/>
    </row>
    <row r="280" spans="2:395" x14ac:dyDescent="0.3">
      <c r="D280" s="133"/>
      <c r="K280" s="210"/>
      <c r="L280" s="211"/>
      <c r="M280" s="212" t="s">
        <v>414</v>
      </c>
      <c r="N280" s="211"/>
      <c r="O280" s="207"/>
      <c r="P280" s="207"/>
      <c r="Q280" s="207"/>
    </row>
    <row r="281" spans="2:395" x14ac:dyDescent="0.3">
      <c r="D281" s="133"/>
      <c r="K281" s="76"/>
      <c r="L281" s="207"/>
      <c r="M281" s="207"/>
      <c r="N281" s="207"/>
      <c r="O281" s="207"/>
      <c r="P281" s="207"/>
      <c r="Q281" s="207"/>
    </row>
    <row r="282" spans="2:395" x14ac:dyDescent="0.3">
      <c r="D282" s="133"/>
      <c r="K282" s="76"/>
      <c r="L282" s="66"/>
      <c r="M282" s="77"/>
      <c r="N282" s="208" t="s">
        <v>300</v>
      </c>
      <c r="O282" s="176"/>
      <c r="P282" s="177"/>
      <c r="Q282" s="176"/>
    </row>
    <row r="283" spans="2:395" x14ac:dyDescent="0.3">
      <c r="D283" s="133"/>
      <c r="K283" s="76"/>
      <c r="L283" s="66"/>
      <c r="M283" s="77"/>
      <c r="N283" s="180" t="s">
        <v>305</v>
      </c>
      <c r="O283" s="180"/>
      <c r="P283" s="232"/>
      <c r="Q283" s="181"/>
    </row>
    <row r="284" spans="2:395" x14ac:dyDescent="0.3">
      <c r="D284" s="133"/>
      <c r="K284" s="76"/>
      <c r="L284" s="66"/>
      <c r="M284" s="77"/>
      <c r="N284" s="182" t="s">
        <v>301</v>
      </c>
      <c r="O284" s="182"/>
      <c r="P284" s="233"/>
      <c r="Q284" s="183"/>
    </row>
    <row r="285" spans="2:395" x14ac:dyDescent="0.3">
      <c r="D285" s="133"/>
      <c r="K285" s="76"/>
      <c r="L285" s="66"/>
      <c r="M285" s="77"/>
      <c r="N285" s="96" t="s">
        <v>302</v>
      </c>
      <c r="O285" s="96"/>
      <c r="P285" s="95"/>
      <c r="Q285" s="96"/>
    </row>
    <row r="286" spans="2:395" x14ac:dyDescent="0.3">
      <c r="D286" s="133"/>
      <c r="K286" s="76"/>
      <c r="L286" s="66"/>
      <c r="M286" s="77"/>
      <c r="N286" s="184" t="s">
        <v>303</v>
      </c>
      <c r="O286" s="184"/>
      <c r="P286" s="234"/>
      <c r="Q286" s="184"/>
    </row>
    <row r="287" spans="2:395" x14ac:dyDescent="0.3">
      <c r="D287" s="133"/>
      <c r="K287" s="76"/>
      <c r="L287" s="66"/>
      <c r="M287" s="77"/>
      <c r="N287" s="184" t="s">
        <v>304</v>
      </c>
      <c r="O287" s="184"/>
      <c r="P287" s="234"/>
      <c r="Q287" s="184"/>
    </row>
    <row r="288" spans="2:395" x14ac:dyDescent="0.3">
      <c r="D288" t="s">
        <v>381</v>
      </c>
      <c r="K288" s="76"/>
      <c r="L288" s="66"/>
      <c r="M288" s="77"/>
      <c r="N288" s="209" t="s">
        <v>219</v>
      </c>
      <c r="O288" s="178"/>
      <c r="P288" s="179"/>
      <c r="Q288" s="178"/>
    </row>
    <row r="289" spans="4:17" x14ac:dyDescent="0.3">
      <c r="D289" s="133"/>
      <c r="K289" s="76"/>
      <c r="L289" s="66"/>
      <c r="M289" s="207"/>
      <c r="N289" s="213"/>
      <c r="O289" s="207"/>
      <c r="P289" s="207"/>
      <c r="Q289" s="207"/>
    </row>
    <row r="290" spans="4:17" ht="14.4" customHeight="1" x14ac:dyDescent="0.3">
      <c r="D290" s="133"/>
      <c r="K290" s="76"/>
      <c r="L290" s="66"/>
      <c r="M290" s="207"/>
      <c r="N290" s="214"/>
      <c r="O290" s="207"/>
      <c r="P290" s="207"/>
      <c r="Q290" s="207"/>
    </row>
    <row r="291" spans="4:17" ht="14.4" customHeight="1" x14ac:dyDescent="0.3">
      <c r="D291" s="133"/>
      <c r="K291" s="76"/>
      <c r="L291" s="66"/>
      <c r="M291" s="77"/>
      <c r="N291" s="208" t="s">
        <v>306</v>
      </c>
      <c r="O291" s="176"/>
      <c r="P291" s="177"/>
      <c r="Q291" s="176"/>
    </row>
    <row r="292" spans="4:17" ht="14.4" customHeight="1" x14ac:dyDescent="0.3">
      <c r="D292" s="133"/>
      <c r="K292" s="76"/>
      <c r="L292" s="66"/>
      <c r="M292" s="77"/>
      <c r="N292" t="s">
        <v>362</v>
      </c>
      <c r="P292" t="s">
        <v>352</v>
      </c>
    </row>
    <row r="293" spans="4:17" ht="14.4" customHeight="1" x14ac:dyDescent="0.3">
      <c r="D293" s="133"/>
      <c r="K293" s="76"/>
      <c r="L293" s="66"/>
      <c r="M293" s="77"/>
      <c r="N293" t="s">
        <v>363</v>
      </c>
      <c r="P293" t="s">
        <v>352</v>
      </c>
    </row>
    <row r="294" spans="4:17" ht="14.4" customHeight="1" x14ac:dyDescent="0.3">
      <c r="D294" s="133"/>
      <c r="K294" s="76"/>
      <c r="L294" s="66"/>
      <c r="M294" s="77"/>
      <c r="N294" t="s">
        <v>311</v>
      </c>
      <c r="P294" t="s">
        <v>352</v>
      </c>
    </row>
    <row r="295" spans="4:17" ht="14.4" customHeight="1" x14ac:dyDescent="0.3">
      <c r="D295" s="133"/>
      <c r="K295" s="76"/>
      <c r="L295" s="66"/>
      <c r="M295" s="77"/>
      <c r="N295" t="s">
        <v>310</v>
      </c>
      <c r="P295" t="s">
        <v>352</v>
      </c>
    </row>
    <row r="296" spans="4:17" ht="14.4" customHeight="1" x14ac:dyDescent="0.3">
      <c r="D296" s="133"/>
      <c r="K296" s="76"/>
      <c r="L296" s="66"/>
      <c r="M296" s="77"/>
      <c r="N296" t="s">
        <v>283</v>
      </c>
      <c r="P296" t="s">
        <v>81</v>
      </c>
    </row>
    <row r="297" spans="4:17" ht="14.4" customHeight="1" x14ac:dyDescent="0.3">
      <c r="D297" s="133"/>
      <c r="K297" s="76"/>
      <c r="L297" s="66"/>
      <c r="M297" s="77"/>
      <c r="N297" s="184" t="s">
        <v>281</v>
      </c>
      <c r="P297" t="s">
        <v>31</v>
      </c>
    </row>
    <row r="298" spans="4:17" ht="14.4" customHeight="1" x14ac:dyDescent="0.3">
      <c r="D298" s="133"/>
      <c r="K298" s="76"/>
      <c r="L298" s="66"/>
      <c r="M298" s="77"/>
      <c r="N298" t="s">
        <v>361</v>
      </c>
      <c r="P298" t="s">
        <v>81</v>
      </c>
    </row>
    <row r="299" spans="4:17" ht="14.4" customHeight="1" x14ac:dyDescent="0.3">
      <c r="D299" s="133"/>
      <c r="K299" s="76"/>
      <c r="L299" s="66"/>
      <c r="M299" s="77"/>
      <c r="N299" s="87" t="s">
        <v>307</v>
      </c>
      <c r="O299" s="6"/>
      <c r="P299" s="6" t="s">
        <v>31</v>
      </c>
      <c r="Q299" s="6"/>
    </row>
    <row r="300" spans="4:17" ht="14.4" customHeight="1" x14ac:dyDescent="0.3">
      <c r="D300" s="133"/>
      <c r="K300" s="76"/>
      <c r="L300" s="66"/>
      <c r="M300" s="66"/>
      <c r="N300" s="66"/>
      <c r="O300" s="66"/>
      <c r="P300" s="66"/>
      <c r="Q300" s="66"/>
    </row>
    <row r="301" spans="4:17" ht="14.4" customHeight="1" thickBot="1" x14ac:dyDescent="0.35">
      <c r="D301" s="133"/>
      <c r="K301" s="157"/>
      <c r="L301" s="156"/>
      <c r="M301" s="155" t="s">
        <v>334</v>
      </c>
      <c r="N301" s="156"/>
      <c r="O301" s="156"/>
      <c r="P301" s="156"/>
      <c r="Q301" s="156"/>
    </row>
    <row r="302" spans="4:17" ht="14.4" customHeight="1" x14ac:dyDescent="0.3">
      <c r="D302" s="133"/>
      <c r="M302" s="88" t="s">
        <v>394</v>
      </c>
    </row>
    <row r="303" spans="4:17" ht="14.4" customHeight="1" x14ac:dyDescent="0.3">
      <c r="D303" s="133"/>
      <c r="M303" s="88"/>
    </row>
    <row r="304" spans="4:17" ht="19.95" customHeight="1" x14ac:dyDescent="0.3">
      <c r="D304" s="133"/>
      <c r="F304" s="268" t="str">
        <f>""</f>
        <v/>
      </c>
      <c r="G304" s="268" t="str">
        <f>""</f>
        <v/>
      </c>
      <c r="H304" s="268" t="str">
        <f>""</f>
        <v/>
      </c>
      <c r="I304" s="91" t="s">
        <v>30</v>
      </c>
      <c r="J304" s="91" t="s">
        <v>53</v>
      </c>
    </row>
    <row r="305" spans="4:13" ht="19.95" customHeight="1" x14ac:dyDescent="0.3">
      <c r="D305" s="133"/>
      <c r="F305" s="290" t="s">
        <v>48</v>
      </c>
      <c r="G305" s="268" t="s">
        <v>279</v>
      </c>
      <c r="H305" s="268" t="s">
        <v>29</v>
      </c>
    </row>
    <row r="306" spans="4:13" ht="19.95" customHeight="1" x14ac:dyDescent="0.3">
      <c r="D306" s="133"/>
      <c r="F306" s="290"/>
      <c r="G306" s="268" t="s">
        <v>49</v>
      </c>
      <c r="H306" s="268" t="s">
        <v>14</v>
      </c>
    </row>
    <row r="307" spans="4:13" ht="19.95" customHeight="1" x14ac:dyDescent="0.3">
      <c r="D307" s="133"/>
      <c r="F307" s="290" t="s">
        <v>390</v>
      </c>
      <c r="G307" s="268" t="s">
        <v>417</v>
      </c>
      <c r="H307" s="268" t="s">
        <v>388</v>
      </c>
    </row>
    <row r="308" spans="4:13" ht="19.95" customHeight="1" x14ac:dyDescent="0.3">
      <c r="D308" s="133"/>
      <c r="F308" s="290"/>
      <c r="G308" s="268" t="s">
        <v>387</v>
      </c>
      <c r="H308" s="268" t="s">
        <v>15</v>
      </c>
    </row>
    <row r="309" spans="4:13" ht="19.95" customHeight="1" x14ac:dyDescent="0.3">
      <c r="D309" s="133"/>
      <c r="F309" s="290" t="s">
        <v>391</v>
      </c>
      <c r="G309" s="268" t="s">
        <v>220</v>
      </c>
      <c r="H309" s="268" t="s">
        <v>389</v>
      </c>
    </row>
    <row r="310" spans="4:13" ht="19.95" customHeight="1" x14ac:dyDescent="0.3">
      <c r="D310" s="133"/>
      <c r="F310" s="290"/>
      <c r="G310" s="268" t="s">
        <v>385</v>
      </c>
      <c r="H310" s="268" t="s">
        <v>389</v>
      </c>
    </row>
    <row r="311" spans="4:13" ht="19.95" customHeight="1" x14ac:dyDescent="0.3">
      <c r="D311" s="133"/>
      <c r="F311" s="290"/>
      <c r="G311" s="268" t="s">
        <v>382</v>
      </c>
      <c r="H311" s="268" t="s">
        <v>389</v>
      </c>
    </row>
    <row r="312" spans="4:13" ht="19.95" customHeight="1" x14ac:dyDescent="0.3">
      <c r="D312" s="133"/>
      <c r="F312" s="290"/>
      <c r="G312" s="268" t="s">
        <v>383</v>
      </c>
      <c r="H312" s="268" t="s">
        <v>389</v>
      </c>
    </row>
    <row r="313" spans="4:13" ht="19.95" customHeight="1" x14ac:dyDescent="0.3">
      <c r="D313" s="133"/>
      <c r="F313" s="290"/>
      <c r="G313" s="268" t="s">
        <v>384</v>
      </c>
      <c r="H313" s="268" t="s">
        <v>389</v>
      </c>
    </row>
    <row r="314" spans="4:13" ht="19.95" customHeight="1" x14ac:dyDescent="0.3">
      <c r="D314" s="133"/>
      <c r="F314" s="290" t="s">
        <v>392</v>
      </c>
      <c r="G314" s="268" t="s">
        <v>386</v>
      </c>
      <c r="H314" s="268" t="s">
        <v>389</v>
      </c>
    </row>
    <row r="315" spans="4:13" ht="19.95" customHeight="1" x14ac:dyDescent="0.3">
      <c r="D315" s="133"/>
      <c r="F315" s="290"/>
      <c r="G315" s="268" t="s">
        <v>362</v>
      </c>
      <c r="H315" s="268" t="s">
        <v>132</v>
      </c>
      <c r="I315" s="248"/>
      <c r="J315" s="248"/>
      <c r="K315" s="248"/>
      <c r="L315" s="248"/>
      <c r="M315" s="248"/>
    </row>
    <row r="316" spans="4:13" ht="19.95" customHeight="1" x14ac:dyDescent="0.3">
      <c r="D316" s="133"/>
      <c r="F316" s="290"/>
      <c r="G316" s="268" t="s">
        <v>363</v>
      </c>
      <c r="H316" s="268" t="s">
        <v>132</v>
      </c>
      <c r="I316" s="248"/>
      <c r="J316" s="248"/>
      <c r="K316" s="248"/>
      <c r="L316" s="248"/>
      <c r="M316" s="248"/>
    </row>
    <row r="317" spans="4:13" ht="19.95" customHeight="1" x14ac:dyDescent="0.3">
      <c r="D317" s="133"/>
      <c r="F317" s="290"/>
      <c r="G317" s="268" t="s">
        <v>311</v>
      </c>
      <c r="H317" s="268" t="s">
        <v>132</v>
      </c>
      <c r="I317" s="248"/>
      <c r="J317" s="248"/>
      <c r="K317" s="248"/>
      <c r="L317" s="248"/>
      <c r="M317" s="248"/>
    </row>
    <row r="318" spans="4:13" ht="19.95" customHeight="1" x14ac:dyDescent="0.3">
      <c r="D318" s="133"/>
      <c r="F318" s="290"/>
      <c r="G318" s="268" t="s">
        <v>310</v>
      </c>
      <c r="H318" s="268" t="s">
        <v>132</v>
      </c>
      <c r="I318" s="248"/>
      <c r="J318" s="248"/>
      <c r="K318" s="248"/>
      <c r="L318" s="248"/>
      <c r="M318" s="248"/>
    </row>
    <row r="319" spans="4:13" ht="19.95" customHeight="1" x14ac:dyDescent="0.3">
      <c r="F319" s="290" t="s">
        <v>393</v>
      </c>
      <c r="G319" s="268" t="s">
        <v>283</v>
      </c>
      <c r="H319" s="268" t="s">
        <v>389</v>
      </c>
    </row>
    <row r="320" spans="4:13" ht="19.95" customHeight="1" x14ac:dyDescent="0.3">
      <c r="F320" s="290"/>
      <c r="G320" s="268" t="s">
        <v>281</v>
      </c>
      <c r="H320" s="268" t="s">
        <v>31</v>
      </c>
    </row>
    <row r="321" spans="4:395" ht="19.95" customHeight="1" x14ac:dyDescent="0.3">
      <c r="F321" s="290"/>
      <c r="G321" s="268" t="s">
        <v>361</v>
      </c>
      <c r="H321" s="268" t="s">
        <v>389</v>
      </c>
    </row>
    <row r="322" spans="4:395" ht="19.95" customHeight="1" x14ac:dyDescent="0.3">
      <c r="F322" s="290"/>
      <c r="G322" s="268" t="s">
        <v>307</v>
      </c>
      <c r="H322" s="268" t="s">
        <v>31</v>
      </c>
    </row>
    <row r="323" spans="4:395" x14ac:dyDescent="0.3"/>
    <row r="324" spans="4:395" x14ac:dyDescent="0.3"/>
    <row r="325" spans="4:395" x14ac:dyDescent="0.3"/>
    <row r="326" spans="4:395" x14ac:dyDescent="0.3"/>
    <row r="327" spans="4:395" x14ac:dyDescent="0.3"/>
    <row r="330" spans="4:395" ht="13.8" customHeight="1" x14ac:dyDescent="0.3">
      <c r="D330" s="133"/>
      <c r="I330" s="248"/>
      <c r="J330" s="248"/>
      <c r="K330" s="248"/>
      <c r="L330" s="248"/>
      <c r="M330" s="248"/>
    </row>
    <row r="331" spans="4:395" ht="13.8" customHeight="1" x14ac:dyDescent="0.3">
      <c r="D331" s="133"/>
      <c r="I331" s="248"/>
      <c r="J331" s="248"/>
      <c r="K331" s="248"/>
      <c r="L331" s="248"/>
      <c r="M331" s="248"/>
      <c r="N331" s="36" t="s">
        <v>0</v>
      </c>
      <c r="O331" s="6"/>
      <c r="P331" s="33"/>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6"/>
      <c r="BX331" s="6"/>
      <c r="BY331" s="6"/>
      <c r="BZ331" s="6"/>
      <c r="CA331" s="6"/>
      <c r="CB331" s="6"/>
      <c r="CC331" s="6"/>
      <c r="CD331" s="6"/>
      <c r="CE331" s="6"/>
      <c r="CF331" s="6"/>
      <c r="CG331" s="6"/>
      <c r="CH331" s="6"/>
      <c r="CI331" s="6"/>
      <c r="CJ331" s="6"/>
      <c r="CK331" s="6"/>
      <c r="CL331" s="6"/>
      <c r="CM331" s="6"/>
      <c r="CN331" s="6"/>
      <c r="CO331" s="6"/>
      <c r="CP331" s="6"/>
      <c r="CQ331" s="6"/>
      <c r="CR331" s="6"/>
      <c r="CS331" s="6"/>
      <c r="CT331" s="6"/>
      <c r="CU331" s="6"/>
      <c r="CV331" s="6"/>
      <c r="CW331" s="6"/>
      <c r="CX331" s="6"/>
      <c r="CY331" s="6"/>
      <c r="CZ331" s="6"/>
      <c r="DA331" s="6"/>
      <c r="DB331" s="6"/>
      <c r="DC331" s="6"/>
      <c r="DD331" s="6"/>
      <c r="DE331" s="6"/>
      <c r="DF331" s="6"/>
      <c r="DG331" s="6"/>
      <c r="DH331" s="6"/>
      <c r="DI331" s="6"/>
      <c r="DJ331" s="6"/>
      <c r="DK331" s="6"/>
      <c r="DL331" s="6"/>
      <c r="DM331" s="6"/>
      <c r="DN331" s="6"/>
      <c r="DO331" s="6"/>
      <c r="DP331" s="6"/>
      <c r="DQ331" s="6"/>
      <c r="DR331" s="6"/>
      <c r="DS331" s="6"/>
      <c r="DT331" s="6"/>
      <c r="DU331" s="6"/>
      <c r="DV331" s="6"/>
      <c r="DW331" s="6"/>
      <c r="DX331" s="6"/>
      <c r="DY331" s="6"/>
      <c r="DZ331" s="6"/>
      <c r="EA331" s="6"/>
      <c r="EB331" s="6"/>
      <c r="EC331" s="6"/>
      <c r="ED331" s="6"/>
      <c r="EE331" s="6"/>
      <c r="EF331" s="6"/>
      <c r="EG331" s="6"/>
      <c r="EH331" s="6"/>
      <c r="EI331" s="6"/>
      <c r="EJ331" s="6"/>
      <c r="EK331" s="6"/>
      <c r="EL331" s="6"/>
      <c r="EM331" s="6"/>
      <c r="EN331" s="6"/>
      <c r="EO331" s="6"/>
      <c r="EP331" s="6"/>
      <c r="EQ331" s="6"/>
      <c r="ER331" s="6"/>
      <c r="ES331" s="6"/>
      <c r="ET331" s="6"/>
      <c r="EU331" s="6"/>
      <c r="EV331" s="6"/>
      <c r="EW331" s="6"/>
      <c r="EX331" s="6"/>
      <c r="EY331" s="6"/>
      <c r="EZ331" s="6"/>
      <c r="FA331" s="6"/>
      <c r="FB331" s="6"/>
      <c r="FC331" s="6"/>
      <c r="FD331" s="6"/>
      <c r="FE331" s="6"/>
      <c r="FF331" s="6"/>
      <c r="FG331" s="6"/>
      <c r="FH331" s="6"/>
      <c r="FI331" s="6"/>
      <c r="FJ331" s="6"/>
      <c r="FK331" s="6"/>
      <c r="FL331" s="6"/>
      <c r="FM331" s="6"/>
      <c r="FN331" s="6"/>
      <c r="FO331" s="6"/>
      <c r="FP331" s="6"/>
      <c r="FQ331" s="6"/>
      <c r="FR331" s="6"/>
      <c r="FS331" s="6"/>
      <c r="FT331" s="6"/>
      <c r="FU331" s="6"/>
      <c r="FV331" s="6"/>
      <c r="FW331" s="6"/>
      <c r="FX331" s="6"/>
      <c r="FY331" s="6"/>
      <c r="FZ331" s="6"/>
      <c r="GA331" s="6"/>
      <c r="GB331" s="6"/>
      <c r="GC331" s="6"/>
      <c r="GD331" s="6"/>
      <c r="GE331" s="6"/>
      <c r="GF331" s="6"/>
      <c r="GG331" s="6"/>
      <c r="GH331" s="6"/>
      <c r="GI331" s="6"/>
      <c r="GJ331" s="6"/>
      <c r="GK331" s="6"/>
      <c r="GL331" s="6"/>
      <c r="GM331" s="6"/>
      <c r="GN331" s="6"/>
      <c r="GO331" s="6"/>
      <c r="GP331" s="6"/>
      <c r="GQ331" s="6"/>
      <c r="GR331" s="6"/>
      <c r="GS331" s="6"/>
      <c r="GT331" s="6"/>
      <c r="GU331" s="6"/>
      <c r="GV331" s="6"/>
      <c r="GW331" s="6"/>
      <c r="GX331" s="6"/>
      <c r="GY331" s="6"/>
      <c r="GZ331" s="6"/>
      <c r="HA331" s="6"/>
      <c r="HB331" s="6"/>
      <c r="HC331" s="6"/>
      <c r="HD331" s="6"/>
      <c r="HE331" s="6"/>
      <c r="HF331" s="6"/>
      <c r="HG331" s="6"/>
      <c r="HH331" s="6"/>
      <c r="HI331" s="6"/>
      <c r="HJ331" s="6"/>
      <c r="HK331" s="6"/>
      <c r="HL331" s="6"/>
      <c r="HM331" s="6"/>
      <c r="HN331" s="6"/>
      <c r="HO331" s="6"/>
      <c r="HP331" s="6"/>
      <c r="HQ331" s="6"/>
      <c r="HR331" s="6"/>
      <c r="HS331" s="6"/>
      <c r="HT331" s="6"/>
      <c r="HU331" s="6"/>
      <c r="HV331" s="6"/>
      <c r="HW331" s="6"/>
      <c r="HX331" s="6"/>
      <c r="HY331" s="6"/>
      <c r="HZ331" s="6"/>
      <c r="IA331" s="6"/>
      <c r="IB331" s="6"/>
      <c r="IC331" s="6"/>
      <c r="ID331" s="6"/>
      <c r="IE331" s="6"/>
      <c r="IF331" s="6"/>
      <c r="IG331" s="6"/>
      <c r="IH331" s="6"/>
      <c r="II331" s="6"/>
      <c r="IJ331" s="6"/>
      <c r="IK331" s="6"/>
      <c r="IL331" s="6"/>
      <c r="IM331" s="6"/>
      <c r="IN331" s="6"/>
      <c r="IO331" s="6"/>
      <c r="IP331" s="6"/>
      <c r="IQ331" s="6"/>
      <c r="IR331" s="6"/>
      <c r="IS331" s="6"/>
      <c r="IT331" s="6"/>
      <c r="IU331" s="6"/>
      <c r="IV331" s="6"/>
      <c r="IW331" s="6"/>
      <c r="IX331" s="6"/>
      <c r="IY331" s="6"/>
      <c r="IZ331" s="6"/>
      <c r="JA331" s="6"/>
      <c r="JB331" s="6"/>
      <c r="JC331" s="6"/>
      <c r="JD331" s="6"/>
      <c r="JE331" s="6"/>
      <c r="JF331" s="6"/>
      <c r="JG331" s="6"/>
      <c r="JH331" s="6"/>
      <c r="JI331" s="6"/>
      <c r="JJ331" s="6"/>
      <c r="JK331" s="6"/>
      <c r="JL331" s="6"/>
      <c r="JM331" s="6"/>
      <c r="JN331" s="6"/>
      <c r="JO331" s="6"/>
      <c r="JP331" s="6"/>
      <c r="JQ331" s="6"/>
      <c r="JR331" s="6"/>
      <c r="JS331" s="6"/>
      <c r="JT331" s="6"/>
      <c r="JU331" s="6"/>
      <c r="JV331" s="6"/>
      <c r="JW331" s="6"/>
      <c r="JX331" s="6"/>
      <c r="JY331" s="6"/>
      <c r="JZ331" s="6"/>
      <c r="KA331" s="6"/>
      <c r="KB331" s="6"/>
      <c r="KC331" s="6"/>
      <c r="KD331" s="6"/>
      <c r="KE331" s="6"/>
      <c r="KF331" s="6"/>
      <c r="KG331" s="6"/>
      <c r="KH331" s="6"/>
      <c r="KI331" s="6"/>
      <c r="KJ331" s="6"/>
      <c r="KK331" s="6"/>
      <c r="KL331" s="6"/>
      <c r="KM331" s="6"/>
      <c r="KN331" s="6"/>
      <c r="KO331" s="6"/>
      <c r="KP331" s="6"/>
      <c r="KQ331" s="6"/>
      <c r="KR331" s="6"/>
      <c r="KS331" s="6"/>
      <c r="KT331" s="6"/>
      <c r="KU331" s="6"/>
      <c r="KV331" s="6"/>
      <c r="KW331" s="6"/>
      <c r="KX331" s="6"/>
      <c r="KY331" s="6"/>
      <c r="KZ331" s="6"/>
      <c r="LA331" s="6"/>
      <c r="LB331" s="6"/>
      <c r="LC331" s="6"/>
      <c r="LD331" s="6"/>
      <c r="LE331" s="6"/>
      <c r="LF331" s="6"/>
      <c r="LG331" s="6"/>
      <c r="LH331" s="6"/>
      <c r="LI331" s="6"/>
      <c r="LJ331" s="6"/>
      <c r="LK331" s="6"/>
      <c r="LL331" s="6"/>
      <c r="LM331" s="6"/>
      <c r="LN331" s="6"/>
      <c r="LO331" s="6"/>
      <c r="LP331" s="6"/>
      <c r="LQ331" s="6"/>
      <c r="LR331" s="6"/>
      <c r="LS331" s="6"/>
      <c r="LT331" s="6"/>
      <c r="LU331" s="6"/>
      <c r="LV331" s="6"/>
      <c r="LW331" s="6"/>
      <c r="LX331" s="6"/>
      <c r="LY331" s="6"/>
      <c r="LZ331" s="6"/>
      <c r="MA331" s="6"/>
      <c r="MB331" s="6"/>
      <c r="MC331" s="6"/>
      <c r="MD331" s="6"/>
      <c r="ME331" s="6"/>
      <c r="MF331" s="6"/>
      <c r="MG331" s="6"/>
      <c r="MH331" s="6"/>
      <c r="MI331" s="6"/>
      <c r="MJ331" s="6"/>
      <c r="MK331" s="6"/>
      <c r="ML331" s="6"/>
      <c r="MM331" s="6"/>
      <c r="MN331" s="6"/>
      <c r="MO331" s="6"/>
      <c r="MP331" s="6"/>
      <c r="MQ331" s="6"/>
      <c r="MR331" s="6"/>
      <c r="MS331" s="6"/>
      <c r="MT331" s="6"/>
      <c r="MU331" s="6"/>
      <c r="MV331" s="6"/>
      <c r="MW331" s="6"/>
      <c r="MX331" s="6"/>
      <c r="MY331" s="6"/>
      <c r="MZ331" s="6"/>
      <c r="NA331" s="6"/>
      <c r="NB331" s="6"/>
      <c r="NC331" s="6"/>
      <c r="ND331" s="6"/>
      <c r="NE331" s="6"/>
      <c r="NF331" s="6"/>
      <c r="NG331" s="6"/>
      <c r="NH331" s="6"/>
      <c r="NI331" s="6"/>
      <c r="NJ331" s="6"/>
      <c r="NK331" s="6"/>
      <c r="NL331" s="6"/>
      <c r="NM331" s="6"/>
      <c r="NN331" s="6"/>
      <c r="NO331" s="6"/>
      <c r="NP331" s="6"/>
      <c r="NQ331" s="6"/>
      <c r="NR331" s="6"/>
      <c r="NS331" s="6"/>
      <c r="NT331" s="6"/>
      <c r="NU331" s="6"/>
      <c r="NV331" s="6"/>
      <c r="NW331" s="6"/>
      <c r="NX331" s="6"/>
      <c r="NY331" s="6"/>
      <c r="NZ331" s="6"/>
      <c r="OA331" s="6"/>
      <c r="OB331" s="6"/>
      <c r="OC331" s="6"/>
      <c r="OD331" s="6"/>
      <c r="OE331" s="6"/>
    </row>
    <row r="332" spans="4:395" ht="13.8" customHeight="1" x14ac:dyDescent="0.3">
      <c r="D332" s="133"/>
      <c r="I332" s="248"/>
      <c r="J332" s="248"/>
      <c r="K332" s="248"/>
      <c r="L332" s="248"/>
      <c r="M332" s="248"/>
      <c r="N332" s="30" t="s">
        <v>60</v>
      </c>
      <c r="O332" s="30"/>
      <c r="P332" s="32" t="s">
        <v>65</v>
      </c>
      <c r="Q332" s="30" cm="1">
        <f t="array" ref="Q332:OE332">E358+(_xlfn.ANCHORARRAY(Q6)-1)*E360</f>
        <v>230</v>
      </c>
      <c r="R332" s="30">
        <v>230</v>
      </c>
      <c r="S332" s="30">
        <v>230</v>
      </c>
      <c r="T332" s="30">
        <v>230</v>
      </c>
      <c r="U332" s="30">
        <v>230</v>
      </c>
      <c r="V332" s="30">
        <v>230</v>
      </c>
      <c r="W332" s="30">
        <v>230</v>
      </c>
      <c r="X332" s="30">
        <v>230</v>
      </c>
      <c r="Y332" s="30">
        <v>230</v>
      </c>
      <c r="Z332" s="30">
        <v>230</v>
      </c>
      <c r="AA332" s="30">
        <v>230</v>
      </c>
      <c r="AB332" s="30">
        <v>230</v>
      </c>
      <c r="AC332" s="30">
        <v>227</v>
      </c>
      <c r="AD332" s="30">
        <v>227</v>
      </c>
      <c r="AE332" s="30">
        <v>227</v>
      </c>
      <c r="AF332" s="30">
        <v>227</v>
      </c>
      <c r="AG332" s="30">
        <v>227</v>
      </c>
      <c r="AH332" s="30">
        <v>227</v>
      </c>
      <c r="AI332" s="30">
        <v>227</v>
      </c>
      <c r="AJ332" s="30">
        <v>227</v>
      </c>
      <c r="AK332" s="30">
        <v>227</v>
      </c>
      <c r="AL332" s="30">
        <v>227</v>
      </c>
      <c r="AM332" s="30">
        <v>227</v>
      </c>
      <c r="AN332" s="30">
        <v>227</v>
      </c>
      <c r="AO332" s="30">
        <v>224</v>
      </c>
      <c r="AP332" s="30">
        <v>224</v>
      </c>
      <c r="AQ332" s="30">
        <v>224</v>
      </c>
      <c r="AR332" s="30">
        <v>224</v>
      </c>
      <c r="AS332" s="30">
        <v>224</v>
      </c>
      <c r="AT332" s="30">
        <v>224</v>
      </c>
      <c r="AU332" s="30">
        <v>224</v>
      </c>
      <c r="AV332" s="30">
        <v>224</v>
      </c>
      <c r="AW332" s="30">
        <v>224</v>
      </c>
      <c r="AX332" s="30">
        <v>224</v>
      </c>
      <c r="AY332" s="30">
        <v>224</v>
      </c>
      <c r="AZ332" s="30">
        <v>224</v>
      </c>
      <c r="BA332" s="30">
        <v>221</v>
      </c>
      <c r="BB332" s="30">
        <v>221</v>
      </c>
      <c r="BC332" s="30">
        <v>221</v>
      </c>
      <c r="BD332" s="30">
        <v>221</v>
      </c>
      <c r="BE332" s="30">
        <v>221</v>
      </c>
      <c r="BF332" s="30">
        <v>221</v>
      </c>
      <c r="BG332" s="30">
        <v>221</v>
      </c>
      <c r="BH332" s="30">
        <v>221</v>
      </c>
      <c r="BI332" s="30">
        <v>221</v>
      </c>
      <c r="BJ332" s="30">
        <v>221</v>
      </c>
      <c r="BK332" s="30">
        <v>221</v>
      </c>
      <c r="BL332" s="30">
        <v>221</v>
      </c>
      <c r="BM332" s="30">
        <v>218</v>
      </c>
      <c r="BN332" s="30">
        <v>218</v>
      </c>
      <c r="BO332" s="30">
        <v>218</v>
      </c>
      <c r="BP332" s="30">
        <v>218</v>
      </c>
      <c r="BQ332" s="30">
        <v>218</v>
      </c>
      <c r="BR332" s="30">
        <v>218</v>
      </c>
      <c r="BS332" s="30">
        <v>218</v>
      </c>
      <c r="BT332" s="30">
        <v>218</v>
      </c>
      <c r="BU332" s="30">
        <v>218</v>
      </c>
      <c r="BV332" s="30">
        <v>218</v>
      </c>
      <c r="BW332" s="30">
        <v>218</v>
      </c>
      <c r="BX332" s="30">
        <v>218</v>
      </c>
      <c r="BY332" s="30">
        <v>215</v>
      </c>
      <c r="BZ332" s="30">
        <v>215</v>
      </c>
      <c r="CA332" s="30">
        <v>215</v>
      </c>
      <c r="CB332" s="30">
        <v>215</v>
      </c>
      <c r="CC332" s="30">
        <v>215</v>
      </c>
      <c r="CD332" s="30">
        <v>215</v>
      </c>
      <c r="CE332" s="30">
        <v>215</v>
      </c>
      <c r="CF332" s="30">
        <v>215</v>
      </c>
      <c r="CG332" s="30">
        <v>215</v>
      </c>
      <c r="CH332" s="30">
        <v>215</v>
      </c>
      <c r="CI332" s="30">
        <v>215</v>
      </c>
      <c r="CJ332" s="30">
        <v>215</v>
      </c>
      <c r="CK332" s="30">
        <v>212</v>
      </c>
      <c r="CL332" s="30">
        <v>212</v>
      </c>
      <c r="CM332" s="30">
        <v>212</v>
      </c>
      <c r="CN332" s="30">
        <v>212</v>
      </c>
      <c r="CO332" s="30">
        <v>212</v>
      </c>
      <c r="CP332" s="30">
        <v>212</v>
      </c>
      <c r="CQ332" s="30">
        <v>212</v>
      </c>
      <c r="CR332" s="30">
        <v>212</v>
      </c>
      <c r="CS332" s="30">
        <v>212</v>
      </c>
      <c r="CT332" s="30">
        <v>212</v>
      </c>
      <c r="CU332" s="30">
        <v>212</v>
      </c>
      <c r="CV332" s="30">
        <v>212</v>
      </c>
      <c r="CW332" s="30">
        <v>209</v>
      </c>
      <c r="CX332" s="30">
        <v>209</v>
      </c>
      <c r="CY332" s="30">
        <v>209</v>
      </c>
      <c r="CZ332" s="30">
        <v>209</v>
      </c>
      <c r="DA332" s="30">
        <v>209</v>
      </c>
      <c r="DB332" s="30">
        <v>209</v>
      </c>
      <c r="DC332" s="30">
        <v>209</v>
      </c>
      <c r="DD332" s="30">
        <v>209</v>
      </c>
      <c r="DE332" s="30">
        <v>209</v>
      </c>
      <c r="DF332" s="30">
        <v>209</v>
      </c>
      <c r="DG332" s="30">
        <v>209</v>
      </c>
      <c r="DH332" s="30">
        <v>209</v>
      </c>
      <c r="DI332" s="30">
        <v>206</v>
      </c>
      <c r="DJ332" s="30">
        <v>206</v>
      </c>
      <c r="DK332" s="30">
        <v>206</v>
      </c>
      <c r="DL332" s="30">
        <v>206</v>
      </c>
      <c r="DM332" s="30">
        <v>206</v>
      </c>
      <c r="DN332" s="30">
        <v>206</v>
      </c>
      <c r="DO332" s="30">
        <v>206</v>
      </c>
      <c r="DP332" s="30">
        <v>206</v>
      </c>
      <c r="DQ332" s="30">
        <v>206</v>
      </c>
      <c r="DR332" s="30">
        <v>206</v>
      </c>
      <c r="DS332" s="30">
        <v>206</v>
      </c>
      <c r="DT332" s="30">
        <v>206</v>
      </c>
      <c r="DU332" s="30">
        <v>203</v>
      </c>
      <c r="DV332" s="30">
        <v>203</v>
      </c>
      <c r="DW332" s="30">
        <v>203</v>
      </c>
      <c r="DX332" s="30">
        <v>203</v>
      </c>
      <c r="DY332" s="30">
        <v>203</v>
      </c>
      <c r="DZ332" s="30">
        <v>203</v>
      </c>
      <c r="EA332" s="30">
        <v>203</v>
      </c>
      <c r="EB332" s="30">
        <v>203</v>
      </c>
      <c r="EC332" s="30">
        <v>203</v>
      </c>
      <c r="ED332" s="30">
        <v>203</v>
      </c>
      <c r="EE332" s="30">
        <v>203</v>
      </c>
      <c r="EF332" s="30">
        <v>203</v>
      </c>
      <c r="EG332" s="30">
        <v>200</v>
      </c>
      <c r="EH332" s="30">
        <v>200</v>
      </c>
      <c r="EI332" s="30">
        <v>200</v>
      </c>
      <c r="EJ332" s="30">
        <v>200</v>
      </c>
      <c r="EK332" s="30">
        <v>200</v>
      </c>
      <c r="EL332" s="30">
        <v>200</v>
      </c>
      <c r="EM332" s="30">
        <v>200</v>
      </c>
      <c r="EN332" s="30">
        <v>200</v>
      </c>
      <c r="EO332" s="30">
        <v>200</v>
      </c>
      <c r="EP332" s="30">
        <v>200</v>
      </c>
      <c r="EQ332" s="30">
        <v>200</v>
      </c>
      <c r="ER332" s="30">
        <v>200</v>
      </c>
      <c r="ES332" s="30">
        <v>197</v>
      </c>
      <c r="ET332" s="30">
        <v>197</v>
      </c>
      <c r="EU332" s="30">
        <v>197</v>
      </c>
      <c r="EV332" s="30">
        <v>197</v>
      </c>
      <c r="EW332" s="30">
        <v>197</v>
      </c>
      <c r="EX332" s="30">
        <v>197</v>
      </c>
      <c r="EY332" s="30">
        <v>197</v>
      </c>
      <c r="EZ332" s="30">
        <v>197</v>
      </c>
      <c r="FA332" s="30">
        <v>197</v>
      </c>
      <c r="FB332" s="30">
        <v>197</v>
      </c>
      <c r="FC332" s="30">
        <v>197</v>
      </c>
      <c r="FD332" s="30">
        <v>197</v>
      </c>
      <c r="FE332" s="30">
        <v>194</v>
      </c>
      <c r="FF332" s="30">
        <v>194</v>
      </c>
      <c r="FG332" s="30">
        <v>194</v>
      </c>
      <c r="FH332" s="30">
        <v>194</v>
      </c>
      <c r="FI332" s="30">
        <v>194</v>
      </c>
      <c r="FJ332" s="30">
        <v>194</v>
      </c>
      <c r="FK332" s="30">
        <v>194</v>
      </c>
      <c r="FL332" s="30">
        <v>194</v>
      </c>
      <c r="FM332" s="30">
        <v>194</v>
      </c>
      <c r="FN332" s="30">
        <v>194</v>
      </c>
      <c r="FO332" s="30">
        <v>194</v>
      </c>
      <c r="FP332" s="30">
        <v>194</v>
      </c>
      <c r="FQ332" s="30">
        <v>191</v>
      </c>
      <c r="FR332" s="30">
        <v>191</v>
      </c>
      <c r="FS332" s="30">
        <v>191</v>
      </c>
      <c r="FT332" s="30">
        <v>191</v>
      </c>
      <c r="FU332" s="30">
        <v>191</v>
      </c>
      <c r="FV332" s="30">
        <v>191</v>
      </c>
      <c r="FW332" s="30">
        <v>191</v>
      </c>
      <c r="FX332" s="30">
        <v>191</v>
      </c>
      <c r="FY332" s="30">
        <v>191</v>
      </c>
      <c r="FZ332" s="30">
        <v>191</v>
      </c>
      <c r="GA332" s="30">
        <v>191</v>
      </c>
      <c r="GB332" s="30">
        <v>191</v>
      </c>
      <c r="GC332" s="30">
        <v>188</v>
      </c>
      <c r="GD332" s="30">
        <v>188</v>
      </c>
      <c r="GE332" s="30">
        <v>188</v>
      </c>
      <c r="GF332" s="30">
        <v>188</v>
      </c>
      <c r="GG332" s="30">
        <v>188</v>
      </c>
      <c r="GH332" s="30">
        <v>188</v>
      </c>
      <c r="GI332" s="30">
        <v>188</v>
      </c>
      <c r="GJ332" s="30">
        <v>188</v>
      </c>
      <c r="GK332" s="30">
        <v>188</v>
      </c>
      <c r="GL332" s="30">
        <v>188</v>
      </c>
      <c r="GM332" s="30">
        <v>188</v>
      </c>
      <c r="GN332" s="30">
        <v>188</v>
      </c>
      <c r="GO332" s="30">
        <v>185</v>
      </c>
      <c r="GP332" s="30">
        <v>185</v>
      </c>
      <c r="GQ332" s="30">
        <v>185</v>
      </c>
      <c r="GR332" s="30">
        <v>185</v>
      </c>
      <c r="GS332" s="30">
        <v>185</v>
      </c>
      <c r="GT332" s="30">
        <v>185</v>
      </c>
      <c r="GU332" s="30">
        <v>185</v>
      </c>
      <c r="GV332" s="30">
        <v>185</v>
      </c>
      <c r="GW332" s="30">
        <v>185</v>
      </c>
      <c r="GX332" s="30">
        <v>185</v>
      </c>
      <c r="GY332" s="30">
        <v>185</v>
      </c>
      <c r="GZ332" s="30">
        <v>185</v>
      </c>
      <c r="HA332" s="30">
        <v>182</v>
      </c>
      <c r="HB332" s="30">
        <v>182</v>
      </c>
      <c r="HC332" s="30">
        <v>182</v>
      </c>
      <c r="HD332" s="30">
        <v>182</v>
      </c>
      <c r="HE332" s="30">
        <v>182</v>
      </c>
      <c r="HF332" s="30">
        <v>182</v>
      </c>
      <c r="HG332" s="30">
        <v>182</v>
      </c>
      <c r="HH332" s="30">
        <v>182</v>
      </c>
      <c r="HI332" s="30">
        <v>182</v>
      </c>
      <c r="HJ332" s="30">
        <v>182</v>
      </c>
      <c r="HK332" s="30">
        <v>182</v>
      </c>
      <c r="HL332" s="30">
        <v>182</v>
      </c>
      <c r="HM332" s="30">
        <v>179</v>
      </c>
      <c r="HN332" s="30">
        <v>179</v>
      </c>
      <c r="HO332" s="30">
        <v>179</v>
      </c>
      <c r="HP332" s="30">
        <v>179</v>
      </c>
      <c r="HQ332" s="30">
        <v>179</v>
      </c>
      <c r="HR332" s="30">
        <v>179</v>
      </c>
      <c r="HS332" s="30">
        <v>179</v>
      </c>
      <c r="HT332" s="30">
        <v>179</v>
      </c>
      <c r="HU332" s="30">
        <v>179</v>
      </c>
      <c r="HV332" s="30">
        <v>179</v>
      </c>
      <c r="HW332" s="30">
        <v>179</v>
      </c>
      <c r="HX332" s="30">
        <v>179</v>
      </c>
      <c r="HY332" s="30">
        <v>176</v>
      </c>
      <c r="HZ332" s="30">
        <v>176</v>
      </c>
      <c r="IA332" s="30">
        <v>176</v>
      </c>
      <c r="IB332" s="30">
        <v>176</v>
      </c>
      <c r="IC332" s="30">
        <v>176</v>
      </c>
      <c r="ID332" s="30">
        <v>176</v>
      </c>
      <c r="IE332" s="30">
        <v>176</v>
      </c>
      <c r="IF332" s="30">
        <v>176</v>
      </c>
      <c r="IG332" s="30">
        <v>176</v>
      </c>
      <c r="IH332" s="30">
        <v>176</v>
      </c>
      <c r="II332" s="30">
        <v>176</v>
      </c>
      <c r="IJ332" s="30">
        <v>176</v>
      </c>
      <c r="IK332" s="30">
        <v>173</v>
      </c>
      <c r="IL332" s="30">
        <v>173</v>
      </c>
      <c r="IM332" s="30">
        <v>173</v>
      </c>
      <c r="IN332" s="30">
        <v>173</v>
      </c>
      <c r="IO332" s="30">
        <v>173</v>
      </c>
      <c r="IP332" s="30">
        <v>173</v>
      </c>
      <c r="IQ332" s="30">
        <v>173</v>
      </c>
      <c r="IR332" s="30">
        <v>173</v>
      </c>
      <c r="IS332" s="30">
        <v>173</v>
      </c>
      <c r="IT332" s="30">
        <v>173</v>
      </c>
      <c r="IU332" s="30">
        <v>173</v>
      </c>
      <c r="IV332" s="30">
        <v>173</v>
      </c>
      <c r="IW332" s="30">
        <v>170</v>
      </c>
      <c r="IX332" s="30">
        <v>170</v>
      </c>
      <c r="IY332" s="30">
        <v>170</v>
      </c>
      <c r="IZ332" s="30">
        <v>170</v>
      </c>
      <c r="JA332" s="30">
        <v>170</v>
      </c>
      <c r="JB332" s="30">
        <v>170</v>
      </c>
      <c r="JC332" s="30">
        <v>170</v>
      </c>
      <c r="JD332" s="30">
        <v>170</v>
      </c>
      <c r="JE332" s="30">
        <v>170</v>
      </c>
      <c r="JF332" s="30">
        <v>170</v>
      </c>
      <c r="JG332" s="30">
        <v>170</v>
      </c>
      <c r="JH332" s="30">
        <v>170</v>
      </c>
      <c r="JI332" s="30">
        <v>167</v>
      </c>
      <c r="JJ332" s="30">
        <v>167</v>
      </c>
      <c r="JK332" s="30">
        <v>167</v>
      </c>
      <c r="JL332" s="30">
        <v>167</v>
      </c>
      <c r="JM332" s="30">
        <v>167</v>
      </c>
      <c r="JN332" s="30">
        <v>167</v>
      </c>
      <c r="JO332" s="30">
        <v>167</v>
      </c>
      <c r="JP332" s="30">
        <v>167</v>
      </c>
      <c r="JQ332" s="30">
        <v>167</v>
      </c>
      <c r="JR332" s="30">
        <v>167</v>
      </c>
      <c r="JS332" s="30">
        <v>167</v>
      </c>
      <c r="JT332" s="30">
        <v>167</v>
      </c>
      <c r="JU332" s="30">
        <v>164</v>
      </c>
      <c r="JV332" s="30">
        <v>164</v>
      </c>
      <c r="JW332" s="30">
        <v>164</v>
      </c>
      <c r="JX332" s="30">
        <v>164</v>
      </c>
      <c r="JY332" s="30">
        <v>164</v>
      </c>
      <c r="JZ332" s="30">
        <v>164</v>
      </c>
      <c r="KA332" s="30">
        <v>164</v>
      </c>
      <c r="KB332" s="30">
        <v>164</v>
      </c>
      <c r="KC332" s="30">
        <v>164</v>
      </c>
      <c r="KD332" s="30">
        <v>164</v>
      </c>
      <c r="KE332" s="30">
        <v>164</v>
      </c>
      <c r="KF332" s="30">
        <v>164</v>
      </c>
      <c r="KG332" s="30">
        <v>161</v>
      </c>
      <c r="KH332" s="30">
        <v>161</v>
      </c>
      <c r="KI332" s="30">
        <v>161</v>
      </c>
      <c r="KJ332" s="30">
        <v>161</v>
      </c>
      <c r="KK332" s="30">
        <v>161</v>
      </c>
      <c r="KL332" s="30">
        <v>161</v>
      </c>
      <c r="KM332" s="30">
        <v>161</v>
      </c>
      <c r="KN332" s="30">
        <v>161</v>
      </c>
      <c r="KO332" s="30">
        <v>161</v>
      </c>
      <c r="KP332" s="30">
        <v>161</v>
      </c>
      <c r="KQ332" s="30">
        <v>161</v>
      </c>
      <c r="KR332" s="30">
        <v>161</v>
      </c>
      <c r="KS332" s="30">
        <v>158</v>
      </c>
      <c r="KT332" s="30">
        <v>158</v>
      </c>
      <c r="KU332" s="30">
        <v>158</v>
      </c>
      <c r="KV332" s="30">
        <v>158</v>
      </c>
      <c r="KW332" s="30">
        <v>158</v>
      </c>
      <c r="KX332" s="30">
        <v>158</v>
      </c>
      <c r="KY332" s="30">
        <v>158</v>
      </c>
      <c r="KZ332" s="30">
        <v>158</v>
      </c>
      <c r="LA332" s="30">
        <v>158</v>
      </c>
      <c r="LB332" s="30">
        <v>158</v>
      </c>
      <c r="LC332" s="30">
        <v>158</v>
      </c>
      <c r="LD332" s="30">
        <v>158</v>
      </c>
      <c r="LE332" s="30">
        <v>155</v>
      </c>
      <c r="LF332" s="30">
        <v>155</v>
      </c>
      <c r="LG332" s="30">
        <v>155</v>
      </c>
      <c r="LH332" s="30">
        <v>155</v>
      </c>
      <c r="LI332" s="30">
        <v>155</v>
      </c>
      <c r="LJ332" s="30">
        <v>155</v>
      </c>
      <c r="LK332" s="30">
        <v>155</v>
      </c>
      <c r="LL332" s="30">
        <v>155</v>
      </c>
      <c r="LM332" s="30">
        <v>155</v>
      </c>
      <c r="LN332" s="30">
        <v>155</v>
      </c>
      <c r="LO332" s="30">
        <v>155</v>
      </c>
      <c r="LP332" s="30">
        <v>155</v>
      </c>
      <c r="LQ332" s="30">
        <v>152</v>
      </c>
      <c r="LR332" s="30">
        <v>152</v>
      </c>
      <c r="LS332" s="30">
        <v>152</v>
      </c>
      <c r="LT332" s="30">
        <v>152</v>
      </c>
      <c r="LU332" s="30">
        <v>152</v>
      </c>
      <c r="LV332" s="30">
        <v>152</v>
      </c>
      <c r="LW332" s="30">
        <v>152</v>
      </c>
      <c r="LX332" s="30">
        <v>152</v>
      </c>
      <c r="LY332" s="30">
        <v>152</v>
      </c>
      <c r="LZ332" s="30">
        <v>152</v>
      </c>
      <c r="MA332" s="30">
        <v>152</v>
      </c>
      <c r="MB332" s="30">
        <v>152</v>
      </c>
      <c r="MC332" s="30">
        <v>149</v>
      </c>
      <c r="MD332" s="30">
        <v>149</v>
      </c>
      <c r="ME332" s="30">
        <v>149</v>
      </c>
      <c r="MF332" s="30">
        <v>149</v>
      </c>
      <c r="MG332" s="30">
        <v>149</v>
      </c>
      <c r="MH332" s="30">
        <v>149</v>
      </c>
      <c r="MI332" s="30">
        <v>149</v>
      </c>
      <c r="MJ332" s="30">
        <v>149</v>
      </c>
      <c r="MK332" s="30">
        <v>149</v>
      </c>
      <c r="ML332" s="30">
        <v>149</v>
      </c>
      <c r="MM332" s="30">
        <v>149</v>
      </c>
      <c r="MN332" s="30">
        <v>149</v>
      </c>
      <c r="MO332" s="30">
        <v>146</v>
      </c>
      <c r="MP332" s="30">
        <v>146</v>
      </c>
      <c r="MQ332" s="30">
        <v>146</v>
      </c>
      <c r="MR332" s="30">
        <v>146</v>
      </c>
      <c r="MS332" s="30">
        <v>146</v>
      </c>
      <c r="MT332" s="30">
        <v>146</v>
      </c>
      <c r="MU332" s="30">
        <v>146</v>
      </c>
      <c r="MV332" s="30">
        <v>146</v>
      </c>
      <c r="MW332" s="30">
        <v>146</v>
      </c>
      <c r="MX332" s="30">
        <v>146</v>
      </c>
      <c r="MY332" s="30">
        <v>146</v>
      </c>
      <c r="MZ332" s="30">
        <v>146</v>
      </c>
      <c r="NA332" s="30">
        <v>143</v>
      </c>
      <c r="NB332" s="30">
        <v>143</v>
      </c>
      <c r="NC332" s="30">
        <v>143</v>
      </c>
      <c r="ND332" s="30">
        <v>143</v>
      </c>
      <c r="NE332" s="30">
        <v>143</v>
      </c>
      <c r="NF332" s="30">
        <v>143</v>
      </c>
      <c r="NG332" s="30">
        <v>143</v>
      </c>
      <c r="NH332" s="30">
        <v>143</v>
      </c>
      <c r="NI332" s="30">
        <v>143</v>
      </c>
      <c r="NJ332" s="30">
        <v>143</v>
      </c>
      <c r="NK332" s="30">
        <v>143</v>
      </c>
      <c r="NL332" s="30">
        <v>143</v>
      </c>
      <c r="NM332" s="30">
        <v>140</v>
      </c>
      <c r="NN332" s="30">
        <v>140</v>
      </c>
      <c r="NO332" s="30">
        <v>140</v>
      </c>
      <c r="NP332" s="30">
        <v>140</v>
      </c>
      <c r="NQ332" s="30">
        <v>140</v>
      </c>
      <c r="NR332" s="30">
        <v>140</v>
      </c>
      <c r="NS332" s="30">
        <v>140</v>
      </c>
      <c r="NT332" s="30">
        <v>140</v>
      </c>
      <c r="NU332" s="30">
        <v>140</v>
      </c>
      <c r="NV332" s="30">
        <v>140</v>
      </c>
      <c r="NW332" s="30">
        <v>140</v>
      </c>
      <c r="NX332" s="30">
        <v>140</v>
      </c>
      <c r="NY332" s="30">
        <v>137</v>
      </c>
      <c r="NZ332" s="30">
        <v>137</v>
      </c>
      <c r="OA332" s="30">
        <v>137</v>
      </c>
      <c r="OB332" s="30">
        <v>137</v>
      </c>
      <c r="OC332" s="30">
        <v>137</v>
      </c>
      <c r="OD332" s="30">
        <v>137</v>
      </c>
      <c r="OE332" s="30">
        <v>137</v>
      </c>
    </row>
    <row r="333" spans="4:395" ht="13.8" customHeight="1" x14ac:dyDescent="0.3">
      <c r="D333" s="133"/>
      <c r="I333" s="248"/>
      <c r="J333" s="248"/>
      <c r="K333" s="248"/>
      <c r="L333" s="248"/>
      <c r="M333" s="248"/>
      <c r="N333" s="30" t="s">
        <v>72</v>
      </c>
      <c r="O333" s="30"/>
      <c r="P333" s="32" t="s">
        <v>73</v>
      </c>
      <c r="Q333" s="30" cm="1">
        <f t="array" ref="Q333:OE333">LOOKUP(_xlfn.ANCHORARRAY(Q332),'Water Properties'!A:A,'Water Properties'!E:E)</f>
        <v>990.26</v>
      </c>
      <c r="R333" s="30">
        <v>990.26</v>
      </c>
      <c r="S333" s="30">
        <v>990.26</v>
      </c>
      <c r="T333" s="30">
        <v>990.26</v>
      </c>
      <c r="U333" s="30">
        <v>990.26</v>
      </c>
      <c r="V333" s="30">
        <v>990.26</v>
      </c>
      <c r="W333" s="30">
        <v>990.26</v>
      </c>
      <c r="X333" s="30">
        <v>990.26</v>
      </c>
      <c r="Y333" s="30">
        <v>990.26</v>
      </c>
      <c r="Z333" s="30">
        <v>990.26</v>
      </c>
      <c r="AA333" s="30">
        <v>990.26</v>
      </c>
      <c r="AB333" s="30">
        <v>990.26</v>
      </c>
      <c r="AC333" s="30">
        <v>976.21</v>
      </c>
      <c r="AD333" s="30">
        <v>976.21</v>
      </c>
      <c r="AE333" s="30">
        <v>976.21</v>
      </c>
      <c r="AF333" s="30">
        <v>976.21</v>
      </c>
      <c r="AG333" s="30">
        <v>976.21</v>
      </c>
      <c r="AH333" s="30">
        <v>976.21</v>
      </c>
      <c r="AI333" s="30">
        <v>976.21</v>
      </c>
      <c r="AJ333" s="30">
        <v>976.21</v>
      </c>
      <c r="AK333" s="30">
        <v>976.21</v>
      </c>
      <c r="AL333" s="30">
        <v>976.21</v>
      </c>
      <c r="AM333" s="30">
        <v>976.21</v>
      </c>
      <c r="AN333" s="30">
        <v>976.21</v>
      </c>
      <c r="AO333" s="30">
        <v>962.22</v>
      </c>
      <c r="AP333" s="30">
        <v>962.22</v>
      </c>
      <c r="AQ333" s="30">
        <v>962.22</v>
      </c>
      <c r="AR333" s="30">
        <v>962.22</v>
      </c>
      <c r="AS333" s="30">
        <v>962.22</v>
      </c>
      <c r="AT333" s="30">
        <v>962.22</v>
      </c>
      <c r="AU333" s="30">
        <v>962.22</v>
      </c>
      <c r="AV333" s="30">
        <v>962.22</v>
      </c>
      <c r="AW333" s="30">
        <v>962.22</v>
      </c>
      <c r="AX333" s="30">
        <v>962.22</v>
      </c>
      <c r="AY333" s="30">
        <v>962.22</v>
      </c>
      <c r="AZ333" s="30">
        <v>962.22</v>
      </c>
      <c r="BA333" s="30">
        <v>948.3</v>
      </c>
      <c r="BB333" s="30">
        <v>948.3</v>
      </c>
      <c r="BC333" s="30">
        <v>948.3</v>
      </c>
      <c r="BD333" s="30">
        <v>948.3</v>
      </c>
      <c r="BE333" s="30">
        <v>948.3</v>
      </c>
      <c r="BF333" s="30">
        <v>948.3</v>
      </c>
      <c r="BG333" s="30">
        <v>948.3</v>
      </c>
      <c r="BH333" s="30">
        <v>948.3</v>
      </c>
      <c r="BI333" s="30">
        <v>948.3</v>
      </c>
      <c r="BJ333" s="30">
        <v>948.3</v>
      </c>
      <c r="BK333" s="30">
        <v>948.3</v>
      </c>
      <c r="BL333" s="30">
        <v>948.3</v>
      </c>
      <c r="BM333" s="30">
        <v>934.44</v>
      </c>
      <c r="BN333" s="30">
        <v>934.44</v>
      </c>
      <c r="BO333" s="30">
        <v>934.44</v>
      </c>
      <c r="BP333" s="30">
        <v>934.44</v>
      </c>
      <c r="BQ333" s="30">
        <v>934.44</v>
      </c>
      <c r="BR333" s="30">
        <v>934.44</v>
      </c>
      <c r="BS333" s="30">
        <v>934.44</v>
      </c>
      <c r="BT333" s="30">
        <v>934.44</v>
      </c>
      <c r="BU333" s="30">
        <v>934.44</v>
      </c>
      <c r="BV333" s="30">
        <v>934.44</v>
      </c>
      <c r="BW333" s="30">
        <v>934.44</v>
      </c>
      <c r="BX333" s="30">
        <v>934.44</v>
      </c>
      <c r="BY333" s="30">
        <v>920.63</v>
      </c>
      <c r="BZ333" s="30">
        <v>920.63</v>
      </c>
      <c r="CA333" s="30">
        <v>920.63</v>
      </c>
      <c r="CB333" s="30">
        <v>920.63</v>
      </c>
      <c r="CC333" s="30">
        <v>920.63</v>
      </c>
      <c r="CD333" s="30">
        <v>920.63</v>
      </c>
      <c r="CE333" s="30">
        <v>920.63</v>
      </c>
      <c r="CF333" s="30">
        <v>920.63</v>
      </c>
      <c r="CG333" s="30">
        <v>920.63</v>
      </c>
      <c r="CH333" s="30">
        <v>920.63</v>
      </c>
      <c r="CI333" s="30">
        <v>920.63</v>
      </c>
      <c r="CJ333" s="30">
        <v>920.63</v>
      </c>
      <c r="CK333" s="30">
        <v>906.87</v>
      </c>
      <c r="CL333" s="30">
        <v>906.87</v>
      </c>
      <c r="CM333" s="30">
        <v>906.87</v>
      </c>
      <c r="CN333" s="30">
        <v>906.87</v>
      </c>
      <c r="CO333" s="30">
        <v>906.87</v>
      </c>
      <c r="CP333" s="30">
        <v>906.87</v>
      </c>
      <c r="CQ333" s="30">
        <v>906.87</v>
      </c>
      <c r="CR333" s="30">
        <v>906.87</v>
      </c>
      <c r="CS333" s="30">
        <v>906.87</v>
      </c>
      <c r="CT333" s="30">
        <v>906.87</v>
      </c>
      <c r="CU333" s="30">
        <v>906.87</v>
      </c>
      <c r="CV333" s="30">
        <v>906.87</v>
      </c>
      <c r="CW333" s="30">
        <v>893.17</v>
      </c>
      <c r="CX333" s="30">
        <v>893.17</v>
      </c>
      <c r="CY333" s="30">
        <v>893.17</v>
      </c>
      <c r="CZ333" s="30">
        <v>893.17</v>
      </c>
      <c r="DA333" s="30">
        <v>893.17</v>
      </c>
      <c r="DB333" s="30">
        <v>893.17</v>
      </c>
      <c r="DC333" s="30">
        <v>893.17</v>
      </c>
      <c r="DD333" s="30">
        <v>893.17</v>
      </c>
      <c r="DE333" s="30">
        <v>893.17</v>
      </c>
      <c r="DF333" s="30">
        <v>893.17</v>
      </c>
      <c r="DG333" s="30">
        <v>893.17</v>
      </c>
      <c r="DH333" s="30">
        <v>893.17</v>
      </c>
      <c r="DI333" s="30">
        <v>879.53</v>
      </c>
      <c r="DJ333" s="30">
        <v>879.53</v>
      </c>
      <c r="DK333" s="30">
        <v>879.53</v>
      </c>
      <c r="DL333" s="30">
        <v>879.53</v>
      </c>
      <c r="DM333" s="30">
        <v>879.53</v>
      </c>
      <c r="DN333" s="30">
        <v>879.53</v>
      </c>
      <c r="DO333" s="30">
        <v>879.53</v>
      </c>
      <c r="DP333" s="30">
        <v>879.53</v>
      </c>
      <c r="DQ333" s="30">
        <v>879.53</v>
      </c>
      <c r="DR333" s="30">
        <v>879.53</v>
      </c>
      <c r="DS333" s="30">
        <v>879.53</v>
      </c>
      <c r="DT333" s="30">
        <v>879.53</v>
      </c>
      <c r="DU333" s="30">
        <v>865.92</v>
      </c>
      <c r="DV333" s="30">
        <v>865.92</v>
      </c>
      <c r="DW333" s="30">
        <v>865.92</v>
      </c>
      <c r="DX333" s="30">
        <v>865.92</v>
      </c>
      <c r="DY333" s="30">
        <v>865.92</v>
      </c>
      <c r="DZ333" s="30">
        <v>865.92</v>
      </c>
      <c r="EA333" s="30">
        <v>865.92</v>
      </c>
      <c r="EB333" s="30">
        <v>865.92</v>
      </c>
      <c r="EC333" s="30">
        <v>865.92</v>
      </c>
      <c r="ED333" s="30">
        <v>865.92</v>
      </c>
      <c r="EE333" s="30">
        <v>865.92</v>
      </c>
      <c r="EF333" s="30">
        <v>865.92</v>
      </c>
      <c r="EG333" s="30">
        <v>852.27</v>
      </c>
      <c r="EH333" s="30">
        <v>852.27</v>
      </c>
      <c r="EI333" s="30">
        <v>852.27</v>
      </c>
      <c r="EJ333" s="30">
        <v>852.27</v>
      </c>
      <c r="EK333" s="30">
        <v>852.27</v>
      </c>
      <c r="EL333" s="30">
        <v>852.27</v>
      </c>
      <c r="EM333" s="30">
        <v>852.27</v>
      </c>
      <c r="EN333" s="30">
        <v>852.27</v>
      </c>
      <c r="EO333" s="30">
        <v>852.27</v>
      </c>
      <c r="EP333" s="30">
        <v>852.27</v>
      </c>
      <c r="EQ333" s="30">
        <v>852.27</v>
      </c>
      <c r="ER333" s="30">
        <v>852.27</v>
      </c>
      <c r="ES333" s="30">
        <v>838.77</v>
      </c>
      <c r="ET333" s="30">
        <v>838.77</v>
      </c>
      <c r="EU333" s="30">
        <v>838.77</v>
      </c>
      <c r="EV333" s="30">
        <v>838.77</v>
      </c>
      <c r="EW333" s="30">
        <v>838.77</v>
      </c>
      <c r="EX333" s="30">
        <v>838.77</v>
      </c>
      <c r="EY333" s="30">
        <v>838.77</v>
      </c>
      <c r="EZ333" s="30">
        <v>838.77</v>
      </c>
      <c r="FA333" s="30">
        <v>838.77</v>
      </c>
      <c r="FB333" s="30">
        <v>838.77</v>
      </c>
      <c r="FC333" s="30">
        <v>838.77</v>
      </c>
      <c r="FD333" s="30">
        <v>838.77</v>
      </c>
      <c r="FE333" s="30">
        <v>825.31</v>
      </c>
      <c r="FF333" s="30">
        <v>825.31</v>
      </c>
      <c r="FG333" s="30">
        <v>825.31</v>
      </c>
      <c r="FH333" s="30">
        <v>825.31</v>
      </c>
      <c r="FI333" s="30">
        <v>825.31</v>
      </c>
      <c r="FJ333" s="30">
        <v>825.31</v>
      </c>
      <c r="FK333" s="30">
        <v>825.31</v>
      </c>
      <c r="FL333" s="30">
        <v>825.31</v>
      </c>
      <c r="FM333" s="30">
        <v>825.31</v>
      </c>
      <c r="FN333" s="30">
        <v>825.31</v>
      </c>
      <c r="FO333" s="30">
        <v>825.31</v>
      </c>
      <c r="FP333" s="30">
        <v>825.31</v>
      </c>
      <c r="FQ333" s="30">
        <v>811.89</v>
      </c>
      <c r="FR333" s="30">
        <v>811.89</v>
      </c>
      <c r="FS333" s="30">
        <v>811.89</v>
      </c>
      <c r="FT333" s="30">
        <v>811.89</v>
      </c>
      <c r="FU333" s="30">
        <v>811.89</v>
      </c>
      <c r="FV333" s="30">
        <v>811.89</v>
      </c>
      <c r="FW333" s="30">
        <v>811.89</v>
      </c>
      <c r="FX333" s="30">
        <v>811.89</v>
      </c>
      <c r="FY333" s="30">
        <v>811.89</v>
      </c>
      <c r="FZ333" s="30">
        <v>811.89</v>
      </c>
      <c r="GA333" s="30">
        <v>811.89</v>
      </c>
      <c r="GB333" s="30">
        <v>811.89</v>
      </c>
      <c r="GC333" s="30">
        <v>798.52</v>
      </c>
      <c r="GD333" s="30">
        <v>798.52</v>
      </c>
      <c r="GE333" s="30">
        <v>798.52</v>
      </c>
      <c r="GF333" s="30">
        <v>798.52</v>
      </c>
      <c r="GG333" s="30">
        <v>798.52</v>
      </c>
      <c r="GH333" s="30">
        <v>798.52</v>
      </c>
      <c r="GI333" s="30">
        <v>798.52</v>
      </c>
      <c r="GJ333" s="30">
        <v>798.52</v>
      </c>
      <c r="GK333" s="30">
        <v>798.52</v>
      </c>
      <c r="GL333" s="30">
        <v>798.52</v>
      </c>
      <c r="GM333" s="30">
        <v>798.52</v>
      </c>
      <c r="GN333" s="30">
        <v>798.52</v>
      </c>
      <c r="GO333" s="30">
        <v>785.19</v>
      </c>
      <c r="GP333" s="30">
        <v>785.19</v>
      </c>
      <c r="GQ333" s="30">
        <v>785.19</v>
      </c>
      <c r="GR333" s="30">
        <v>785.19</v>
      </c>
      <c r="GS333" s="30">
        <v>785.19</v>
      </c>
      <c r="GT333" s="30">
        <v>785.19</v>
      </c>
      <c r="GU333" s="30">
        <v>785.19</v>
      </c>
      <c r="GV333" s="30">
        <v>785.19</v>
      </c>
      <c r="GW333" s="30">
        <v>785.19</v>
      </c>
      <c r="GX333" s="30">
        <v>785.19</v>
      </c>
      <c r="GY333" s="30">
        <v>785.19</v>
      </c>
      <c r="GZ333" s="30">
        <v>785.19</v>
      </c>
      <c r="HA333" s="30">
        <v>771.9</v>
      </c>
      <c r="HB333" s="30">
        <v>771.9</v>
      </c>
      <c r="HC333" s="30">
        <v>771.9</v>
      </c>
      <c r="HD333" s="30">
        <v>771.9</v>
      </c>
      <c r="HE333" s="30">
        <v>771.9</v>
      </c>
      <c r="HF333" s="30">
        <v>771.9</v>
      </c>
      <c r="HG333" s="30">
        <v>771.9</v>
      </c>
      <c r="HH333" s="30">
        <v>771.9</v>
      </c>
      <c r="HI333" s="30">
        <v>771.9</v>
      </c>
      <c r="HJ333" s="30">
        <v>771.9</v>
      </c>
      <c r="HK333" s="30">
        <v>771.9</v>
      </c>
      <c r="HL333" s="30">
        <v>771.9</v>
      </c>
      <c r="HM333" s="30">
        <v>758.64</v>
      </c>
      <c r="HN333" s="30">
        <v>758.64</v>
      </c>
      <c r="HO333" s="30">
        <v>758.64</v>
      </c>
      <c r="HP333" s="30">
        <v>758.64</v>
      </c>
      <c r="HQ333" s="30">
        <v>758.64</v>
      </c>
      <c r="HR333" s="30">
        <v>758.64</v>
      </c>
      <c r="HS333" s="30">
        <v>758.64</v>
      </c>
      <c r="HT333" s="30">
        <v>758.64</v>
      </c>
      <c r="HU333" s="30">
        <v>758.64</v>
      </c>
      <c r="HV333" s="30">
        <v>758.64</v>
      </c>
      <c r="HW333" s="30">
        <v>758.64</v>
      </c>
      <c r="HX333" s="30">
        <v>758.64</v>
      </c>
      <c r="HY333" s="30">
        <v>745.42</v>
      </c>
      <c r="HZ333" s="30">
        <v>745.42</v>
      </c>
      <c r="IA333" s="30">
        <v>745.42</v>
      </c>
      <c r="IB333" s="30">
        <v>745.42</v>
      </c>
      <c r="IC333" s="30">
        <v>745.42</v>
      </c>
      <c r="ID333" s="30">
        <v>745.42</v>
      </c>
      <c r="IE333" s="30">
        <v>745.42</v>
      </c>
      <c r="IF333" s="30">
        <v>745.42</v>
      </c>
      <c r="IG333" s="30">
        <v>745.42</v>
      </c>
      <c r="IH333" s="30">
        <v>745.42</v>
      </c>
      <c r="II333" s="30">
        <v>745.42</v>
      </c>
      <c r="IJ333" s="30">
        <v>745.42</v>
      </c>
      <c r="IK333" s="30">
        <v>732.23</v>
      </c>
      <c r="IL333" s="30">
        <v>732.23</v>
      </c>
      <c r="IM333" s="30">
        <v>732.23</v>
      </c>
      <c r="IN333" s="30">
        <v>732.23</v>
      </c>
      <c r="IO333" s="30">
        <v>732.23</v>
      </c>
      <c r="IP333" s="30">
        <v>732.23</v>
      </c>
      <c r="IQ333" s="30">
        <v>732.23</v>
      </c>
      <c r="IR333" s="30">
        <v>732.23</v>
      </c>
      <c r="IS333" s="30">
        <v>732.23</v>
      </c>
      <c r="IT333" s="30">
        <v>732.23</v>
      </c>
      <c r="IU333" s="30">
        <v>732.23</v>
      </c>
      <c r="IV333" s="30">
        <v>732.23</v>
      </c>
      <c r="IW333" s="30">
        <v>719.08</v>
      </c>
      <c r="IX333" s="30">
        <v>719.08</v>
      </c>
      <c r="IY333" s="30">
        <v>719.08</v>
      </c>
      <c r="IZ333" s="30">
        <v>719.08</v>
      </c>
      <c r="JA333" s="30">
        <v>719.08</v>
      </c>
      <c r="JB333" s="30">
        <v>719.08</v>
      </c>
      <c r="JC333" s="30">
        <v>719.08</v>
      </c>
      <c r="JD333" s="30">
        <v>719.08</v>
      </c>
      <c r="JE333" s="30">
        <v>719.08</v>
      </c>
      <c r="JF333" s="30">
        <v>719.08</v>
      </c>
      <c r="JG333" s="30">
        <v>719.08</v>
      </c>
      <c r="JH333" s="30">
        <v>719.08</v>
      </c>
      <c r="JI333" s="30">
        <v>705.96</v>
      </c>
      <c r="JJ333" s="30">
        <v>705.96</v>
      </c>
      <c r="JK333" s="30">
        <v>705.96</v>
      </c>
      <c r="JL333" s="30">
        <v>705.96</v>
      </c>
      <c r="JM333" s="30">
        <v>705.96</v>
      </c>
      <c r="JN333" s="30">
        <v>705.96</v>
      </c>
      <c r="JO333" s="30">
        <v>705.96</v>
      </c>
      <c r="JP333" s="30">
        <v>705.96</v>
      </c>
      <c r="JQ333" s="30">
        <v>705.96</v>
      </c>
      <c r="JR333" s="30">
        <v>705.96</v>
      </c>
      <c r="JS333" s="30">
        <v>705.96</v>
      </c>
      <c r="JT333" s="30">
        <v>705.96</v>
      </c>
      <c r="JU333" s="30">
        <v>692.88</v>
      </c>
      <c r="JV333" s="30">
        <v>692.88</v>
      </c>
      <c r="JW333" s="30">
        <v>692.88</v>
      </c>
      <c r="JX333" s="30">
        <v>692.88</v>
      </c>
      <c r="JY333" s="30">
        <v>692.88</v>
      </c>
      <c r="JZ333" s="30">
        <v>692.88</v>
      </c>
      <c r="KA333" s="30">
        <v>692.88</v>
      </c>
      <c r="KB333" s="30">
        <v>692.88</v>
      </c>
      <c r="KC333" s="30">
        <v>692.88</v>
      </c>
      <c r="KD333" s="30">
        <v>692.88</v>
      </c>
      <c r="KE333" s="30">
        <v>692.88</v>
      </c>
      <c r="KF333" s="30">
        <v>692.88</v>
      </c>
      <c r="KG333" s="30">
        <v>679.82</v>
      </c>
      <c r="KH333" s="30">
        <v>679.82</v>
      </c>
      <c r="KI333" s="30">
        <v>679.82</v>
      </c>
      <c r="KJ333" s="30">
        <v>679.82</v>
      </c>
      <c r="KK333" s="30">
        <v>679.82</v>
      </c>
      <c r="KL333" s="30">
        <v>679.82</v>
      </c>
      <c r="KM333" s="30">
        <v>679.82</v>
      </c>
      <c r="KN333" s="30">
        <v>679.82</v>
      </c>
      <c r="KO333" s="30">
        <v>679.82</v>
      </c>
      <c r="KP333" s="30">
        <v>679.82</v>
      </c>
      <c r="KQ333" s="30">
        <v>679.82</v>
      </c>
      <c r="KR333" s="30">
        <v>679.82</v>
      </c>
      <c r="KS333" s="30">
        <v>666.79</v>
      </c>
      <c r="KT333" s="30">
        <v>666.79</v>
      </c>
      <c r="KU333" s="30">
        <v>666.79</v>
      </c>
      <c r="KV333" s="30">
        <v>666.79</v>
      </c>
      <c r="KW333" s="30">
        <v>666.79</v>
      </c>
      <c r="KX333" s="30">
        <v>666.79</v>
      </c>
      <c r="KY333" s="30">
        <v>666.79</v>
      </c>
      <c r="KZ333" s="30">
        <v>666.79</v>
      </c>
      <c r="LA333" s="30">
        <v>666.79</v>
      </c>
      <c r="LB333" s="30">
        <v>666.79</v>
      </c>
      <c r="LC333" s="30">
        <v>666.79</v>
      </c>
      <c r="LD333" s="30">
        <v>666.79</v>
      </c>
      <c r="LE333" s="30">
        <v>653.79</v>
      </c>
      <c r="LF333" s="30">
        <v>653.79</v>
      </c>
      <c r="LG333" s="30">
        <v>653.79</v>
      </c>
      <c r="LH333" s="30">
        <v>653.79</v>
      </c>
      <c r="LI333" s="30">
        <v>653.79</v>
      </c>
      <c r="LJ333" s="30">
        <v>653.79</v>
      </c>
      <c r="LK333" s="30">
        <v>653.79</v>
      </c>
      <c r="LL333" s="30">
        <v>653.79</v>
      </c>
      <c r="LM333" s="30">
        <v>653.79</v>
      </c>
      <c r="LN333" s="30">
        <v>653.79</v>
      </c>
      <c r="LO333" s="30">
        <v>653.79</v>
      </c>
      <c r="LP333" s="30">
        <v>653.79</v>
      </c>
      <c r="LQ333" s="30">
        <v>640.80999999999995</v>
      </c>
      <c r="LR333" s="30">
        <v>640.80999999999995</v>
      </c>
      <c r="LS333" s="30">
        <v>640.80999999999995</v>
      </c>
      <c r="LT333" s="30">
        <v>640.80999999999995</v>
      </c>
      <c r="LU333" s="30">
        <v>640.80999999999995</v>
      </c>
      <c r="LV333" s="30">
        <v>640.80999999999995</v>
      </c>
      <c r="LW333" s="30">
        <v>640.80999999999995</v>
      </c>
      <c r="LX333" s="30">
        <v>640.80999999999995</v>
      </c>
      <c r="LY333" s="30">
        <v>640.80999999999995</v>
      </c>
      <c r="LZ333" s="30">
        <v>640.80999999999995</v>
      </c>
      <c r="MA333" s="30">
        <v>640.80999999999995</v>
      </c>
      <c r="MB333" s="30">
        <v>640.80999999999995</v>
      </c>
      <c r="MC333" s="30">
        <v>627.87</v>
      </c>
      <c r="MD333" s="30">
        <v>627.87</v>
      </c>
      <c r="ME333" s="30">
        <v>627.87</v>
      </c>
      <c r="MF333" s="30">
        <v>627.87</v>
      </c>
      <c r="MG333" s="30">
        <v>627.87</v>
      </c>
      <c r="MH333" s="30">
        <v>627.87</v>
      </c>
      <c r="MI333" s="30">
        <v>627.87</v>
      </c>
      <c r="MJ333" s="30">
        <v>627.87</v>
      </c>
      <c r="MK333" s="30">
        <v>627.87</v>
      </c>
      <c r="ML333" s="30">
        <v>627.87</v>
      </c>
      <c r="MM333" s="30">
        <v>627.87</v>
      </c>
      <c r="MN333" s="30">
        <v>627.87</v>
      </c>
      <c r="MO333" s="30">
        <v>614.94000000000005</v>
      </c>
      <c r="MP333" s="30">
        <v>614.94000000000005</v>
      </c>
      <c r="MQ333" s="30">
        <v>614.94000000000005</v>
      </c>
      <c r="MR333" s="30">
        <v>614.94000000000005</v>
      </c>
      <c r="MS333" s="30">
        <v>614.94000000000005</v>
      </c>
      <c r="MT333" s="30">
        <v>614.94000000000005</v>
      </c>
      <c r="MU333" s="30">
        <v>614.94000000000005</v>
      </c>
      <c r="MV333" s="30">
        <v>614.94000000000005</v>
      </c>
      <c r="MW333" s="30">
        <v>614.94000000000005</v>
      </c>
      <c r="MX333" s="30">
        <v>614.94000000000005</v>
      </c>
      <c r="MY333" s="30">
        <v>614.94000000000005</v>
      </c>
      <c r="MZ333" s="30">
        <v>614.94000000000005</v>
      </c>
      <c r="NA333" s="30">
        <v>602.04</v>
      </c>
      <c r="NB333" s="30">
        <v>602.04</v>
      </c>
      <c r="NC333" s="30">
        <v>602.04</v>
      </c>
      <c r="ND333" s="30">
        <v>602.04</v>
      </c>
      <c r="NE333" s="30">
        <v>602.04</v>
      </c>
      <c r="NF333" s="30">
        <v>602.04</v>
      </c>
      <c r="NG333" s="30">
        <v>602.04</v>
      </c>
      <c r="NH333" s="30">
        <v>602.04</v>
      </c>
      <c r="NI333" s="30">
        <v>602.04</v>
      </c>
      <c r="NJ333" s="30">
        <v>602.04</v>
      </c>
      <c r="NK333" s="30">
        <v>602.04</v>
      </c>
      <c r="NL333" s="30">
        <v>602.04</v>
      </c>
      <c r="NM333" s="30">
        <v>589.16</v>
      </c>
      <c r="NN333" s="30">
        <v>589.16</v>
      </c>
      <c r="NO333" s="30">
        <v>589.16</v>
      </c>
      <c r="NP333" s="30">
        <v>589.16</v>
      </c>
      <c r="NQ333" s="30">
        <v>589.16</v>
      </c>
      <c r="NR333" s="30">
        <v>589.16</v>
      </c>
      <c r="NS333" s="30">
        <v>589.16</v>
      </c>
      <c r="NT333" s="30">
        <v>589.16</v>
      </c>
      <c r="NU333" s="30">
        <v>589.16</v>
      </c>
      <c r="NV333" s="30">
        <v>589.16</v>
      </c>
      <c r="NW333" s="30">
        <v>589.16</v>
      </c>
      <c r="NX333" s="30">
        <v>589.16</v>
      </c>
      <c r="NY333" s="30">
        <v>576.29999999999995</v>
      </c>
      <c r="NZ333" s="30">
        <v>576.29999999999995</v>
      </c>
      <c r="OA333" s="30">
        <v>576.29999999999995</v>
      </c>
      <c r="OB333" s="30">
        <v>576.29999999999995</v>
      </c>
      <c r="OC333" s="30">
        <v>576.29999999999995</v>
      </c>
      <c r="OD333" s="30">
        <v>576.29999999999995</v>
      </c>
      <c r="OE333" s="30">
        <v>576.29999999999995</v>
      </c>
    </row>
    <row r="334" spans="4:395" ht="13.8" customHeight="1" x14ac:dyDescent="0.3">
      <c r="D334" s="133"/>
      <c r="N334" s="30" t="s">
        <v>74</v>
      </c>
      <c r="O334" s="30"/>
      <c r="P334" s="32" t="s">
        <v>73</v>
      </c>
      <c r="Q334" s="30" cm="1">
        <f t="array" ref="Q334:OE334">LOOKUP(_xlfn.ANCHORARRAY(Q1)*E364,'Water Properties'!A:A,'Water Properties'!E:E)</f>
        <v>356.01</v>
      </c>
      <c r="R334" s="30">
        <v>356.01</v>
      </c>
      <c r="S334" s="30">
        <v>356.01</v>
      </c>
      <c r="T334" s="30">
        <v>356.01</v>
      </c>
      <c r="U334" s="30">
        <v>356.01</v>
      </c>
      <c r="V334" s="30">
        <v>356.01</v>
      </c>
      <c r="W334" s="30">
        <v>356.01</v>
      </c>
      <c r="X334" s="30">
        <v>356.01</v>
      </c>
      <c r="Y334" s="30">
        <v>356.01</v>
      </c>
      <c r="Z334" s="30">
        <v>356.01</v>
      </c>
      <c r="AA334" s="30">
        <v>356.01</v>
      </c>
      <c r="AB334" s="30">
        <v>356.01</v>
      </c>
      <c r="AC334" s="30">
        <v>356.01</v>
      </c>
      <c r="AD334" s="30">
        <v>356.01</v>
      </c>
      <c r="AE334" s="30">
        <v>356.01</v>
      </c>
      <c r="AF334" s="30">
        <v>356.01</v>
      </c>
      <c r="AG334" s="30">
        <v>356.01</v>
      </c>
      <c r="AH334" s="30">
        <v>356.01</v>
      </c>
      <c r="AI334" s="30">
        <v>356.01</v>
      </c>
      <c r="AJ334" s="30">
        <v>356.01</v>
      </c>
      <c r="AK334" s="30">
        <v>356.01</v>
      </c>
      <c r="AL334" s="30">
        <v>356.01</v>
      </c>
      <c r="AM334" s="30">
        <v>356.01</v>
      </c>
      <c r="AN334" s="30">
        <v>356.01</v>
      </c>
      <c r="AO334" s="30">
        <v>356.01</v>
      </c>
      <c r="AP334" s="30">
        <v>356.01</v>
      </c>
      <c r="AQ334" s="30">
        <v>356.01</v>
      </c>
      <c r="AR334" s="30">
        <v>356.01</v>
      </c>
      <c r="AS334" s="30">
        <v>356.01</v>
      </c>
      <c r="AT334" s="30">
        <v>356.01</v>
      </c>
      <c r="AU334" s="30">
        <v>356.01</v>
      </c>
      <c r="AV334" s="30">
        <v>356.01</v>
      </c>
      <c r="AW334" s="30">
        <v>356.01</v>
      </c>
      <c r="AX334" s="30">
        <v>356.01</v>
      </c>
      <c r="AY334" s="30">
        <v>356.01</v>
      </c>
      <c r="AZ334" s="30">
        <v>356.01</v>
      </c>
      <c r="BA334" s="30">
        <v>356.01</v>
      </c>
      <c r="BB334" s="30">
        <v>356.01</v>
      </c>
      <c r="BC334" s="30">
        <v>356.01</v>
      </c>
      <c r="BD334" s="30">
        <v>356.01</v>
      </c>
      <c r="BE334" s="30">
        <v>356.01</v>
      </c>
      <c r="BF334" s="30">
        <v>356.01</v>
      </c>
      <c r="BG334" s="30">
        <v>356.01</v>
      </c>
      <c r="BH334" s="30">
        <v>356.01</v>
      </c>
      <c r="BI334" s="30">
        <v>356.01</v>
      </c>
      <c r="BJ334" s="30">
        <v>356.01</v>
      </c>
      <c r="BK334" s="30">
        <v>356.01</v>
      </c>
      <c r="BL334" s="30">
        <v>356.01</v>
      </c>
      <c r="BM334" s="30">
        <v>356.01</v>
      </c>
      <c r="BN334" s="30">
        <v>356.01</v>
      </c>
      <c r="BO334" s="30">
        <v>356.01</v>
      </c>
      <c r="BP334" s="30">
        <v>356.01</v>
      </c>
      <c r="BQ334" s="30">
        <v>356.01</v>
      </c>
      <c r="BR334" s="30">
        <v>356.01</v>
      </c>
      <c r="BS334" s="30">
        <v>356.01</v>
      </c>
      <c r="BT334" s="30">
        <v>356.01</v>
      </c>
      <c r="BU334" s="30">
        <v>356.01</v>
      </c>
      <c r="BV334" s="30">
        <v>356.01</v>
      </c>
      <c r="BW334" s="30">
        <v>356.01</v>
      </c>
      <c r="BX334" s="30">
        <v>356.01</v>
      </c>
      <c r="BY334" s="30">
        <v>356.01</v>
      </c>
      <c r="BZ334" s="30">
        <v>356.01</v>
      </c>
      <c r="CA334" s="30">
        <v>356.01</v>
      </c>
      <c r="CB334" s="30">
        <v>356.01</v>
      </c>
      <c r="CC334" s="30">
        <v>356.01</v>
      </c>
      <c r="CD334" s="30">
        <v>356.01</v>
      </c>
      <c r="CE334" s="30">
        <v>356.01</v>
      </c>
      <c r="CF334" s="30">
        <v>356.01</v>
      </c>
      <c r="CG334" s="30">
        <v>356.01</v>
      </c>
      <c r="CH334" s="30">
        <v>356.01</v>
      </c>
      <c r="CI334" s="30">
        <v>356.01</v>
      </c>
      <c r="CJ334" s="30">
        <v>356.01</v>
      </c>
      <c r="CK334" s="30">
        <v>356.01</v>
      </c>
      <c r="CL334" s="30">
        <v>356.01</v>
      </c>
      <c r="CM334" s="30">
        <v>356.01</v>
      </c>
      <c r="CN334" s="30">
        <v>356.01</v>
      </c>
      <c r="CO334" s="30">
        <v>356.01</v>
      </c>
      <c r="CP334" s="30">
        <v>356.01</v>
      </c>
      <c r="CQ334" s="30">
        <v>356.01</v>
      </c>
      <c r="CR334" s="30">
        <v>356.01</v>
      </c>
      <c r="CS334" s="30">
        <v>356.01</v>
      </c>
      <c r="CT334" s="30">
        <v>356.01</v>
      </c>
      <c r="CU334" s="30">
        <v>356.01</v>
      </c>
      <c r="CV334" s="30">
        <v>356.01</v>
      </c>
      <c r="CW334" s="30">
        <v>356.01</v>
      </c>
      <c r="CX334" s="30">
        <v>356.01</v>
      </c>
      <c r="CY334" s="30">
        <v>356.01</v>
      </c>
      <c r="CZ334" s="30">
        <v>356.01</v>
      </c>
      <c r="DA334" s="30">
        <v>356.01</v>
      </c>
      <c r="DB334" s="30">
        <v>356.01</v>
      </c>
      <c r="DC334" s="30">
        <v>356.01</v>
      </c>
      <c r="DD334" s="30">
        <v>356.01</v>
      </c>
      <c r="DE334" s="30">
        <v>356.01</v>
      </c>
      <c r="DF334" s="30">
        <v>356.01</v>
      </c>
      <c r="DG334" s="30">
        <v>356.01</v>
      </c>
      <c r="DH334" s="30">
        <v>356.01</v>
      </c>
      <c r="DI334" s="30">
        <v>356.01</v>
      </c>
      <c r="DJ334" s="30">
        <v>356.01</v>
      </c>
      <c r="DK334" s="30">
        <v>356.01</v>
      </c>
      <c r="DL334" s="30">
        <v>356.01</v>
      </c>
      <c r="DM334" s="30">
        <v>356.01</v>
      </c>
      <c r="DN334" s="30">
        <v>356.01</v>
      </c>
      <c r="DO334" s="30">
        <v>356.01</v>
      </c>
      <c r="DP334" s="30">
        <v>356.01</v>
      </c>
      <c r="DQ334" s="30">
        <v>356.01</v>
      </c>
      <c r="DR334" s="30">
        <v>356.01</v>
      </c>
      <c r="DS334" s="30">
        <v>356.01</v>
      </c>
      <c r="DT334" s="30">
        <v>356.01</v>
      </c>
      <c r="DU334" s="30">
        <v>356.01</v>
      </c>
      <c r="DV334" s="30">
        <v>356.01</v>
      </c>
      <c r="DW334" s="30">
        <v>356.01</v>
      </c>
      <c r="DX334" s="30">
        <v>356.01</v>
      </c>
      <c r="DY334" s="30">
        <v>356.01</v>
      </c>
      <c r="DZ334" s="30">
        <v>356.01</v>
      </c>
      <c r="EA334" s="30">
        <v>356.01</v>
      </c>
      <c r="EB334" s="30">
        <v>356.01</v>
      </c>
      <c r="EC334" s="30">
        <v>356.01</v>
      </c>
      <c r="ED334" s="30">
        <v>356.01</v>
      </c>
      <c r="EE334" s="30">
        <v>356.01</v>
      </c>
      <c r="EF334" s="30">
        <v>356.01</v>
      </c>
      <c r="EG334" s="30">
        <v>356.01</v>
      </c>
      <c r="EH334" s="30">
        <v>356.01</v>
      </c>
      <c r="EI334" s="30">
        <v>356.01</v>
      </c>
      <c r="EJ334" s="30">
        <v>356.01</v>
      </c>
      <c r="EK334" s="30">
        <v>356.01</v>
      </c>
      <c r="EL334" s="30">
        <v>356.01</v>
      </c>
      <c r="EM334" s="30">
        <v>356.01</v>
      </c>
      <c r="EN334" s="30">
        <v>356.01</v>
      </c>
      <c r="EO334" s="30">
        <v>356.01</v>
      </c>
      <c r="EP334" s="30">
        <v>356.01</v>
      </c>
      <c r="EQ334" s="30">
        <v>356.01</v>
      </c>
      <c r="ER334" s="30">
        <v>356.01</v>
      </c>
      <c r="ES334" s="30">
        <v>356.01</v>
      </c>
      <c r="ET334" s="30">
        <v>356.01</v>
      </c>
      <c r="EU334" s="30">
        <v>356.01</v>
      </c>
      <c r="EV334" s="30">
        <v>356.01</v>
      </c>
      <c r="EW334" s="30">
        <v>356.01</v>
      </c>
      <c r="EX334" s="30">
        <v>356.01</v>
      </c>
      <c r="EY334" s="30">
        <v>356.01</v>
      </c>
      <c r="EZ334" s="30">
        <v>356.01</v>
      </c>
      <c r="FA334" s="30">
        <v>356.01</v>
      </c>
      <c r="FB334" s="30">
        <v>356.01</v>
      </c>
      <c r="FC334" s="30">
        <v>356.01</v>
      </c>
      <c r="FD334" s="30">
        <v>356.01</v>
      </c>
      <c r="FE334" s="30">
        <v>356.01</v>
      </c>
      <c r="FF334" s="30">
        <v>356.01</v>
      </c>
      <c r="FG334" s="30">
        <v>356.01</v>
      </c>
      <c r="FH334" s="30">
        <v>356.01</v>
      </c>
      <c r="FI334" s="30">
        <v>356.01</v>
      </c>
      <c r="FJ334" s="30">
        <v>356.01</v>
      </c>
      <c r="FK334" s="30">
        <v>356.01</v>
      </c>
      <c r="FL334" s="30">
        <v>356.01</v>
      </c>
      <c r="FM334" s="30">
        <v>356.01</v>
      </c>
      <c r="FN334" s="30">
        <v>356.01</v>
      </c>
      <c r="FO334" s="30">
        <v>356.01</v>
      </c>
      <c r="FP334" s="30">
        <v>356.01</v>
      </c>
      <c r="FQ334" s="30">
        <v>356.01</v>
      </c>
      <c r="FR334" s="30">
        <v>356.01</v>
      </c>
      <c r="FS334" s="30">
        <v>356.01</v>
      </c>
      <c r="FT334" s="30">
        <v>356.01</v>
      </c>
      <c r="FU334" s="30">
        <v>356.01</v>
      </c>
      <c r="FV334" s="30">
        <v>356.01</v>
      </c>
      <c r="FW334" s="30">
        <v>356.01</v>
      </c>
      <c r="FX334" s="30">
        <v>356.01</v>
      </c>
      <c r="FY334" s="30">
        <v>356.01</v>
      </c>
      <c r="FZ334" s="30">
        <v>356.01</v>
      </c>
      <c r="GA334" s="30">
        <v>356.01</v>
      </c>
      <c r="GB334" s="30">
        <v>356.01</v>
      </c>
      <c r="GC334" s="30">
        <v>356.01</v>
      </c>
      <c r="GD334" s="30">
        <v>356.01</v>
      </c>
      <c r="GE334" s="30">
        <v>356.01</v>
      </c>
      <c r="GF334" s="30">
        <v>356.01</v>
      </c>
      <c r="GG334" s="30">
        <v>356.01</v>
      </c>
      <c r="GH334" s="30">
        <v>356.01</v>
      </c>
      <c r="GI334" s="30">
        <v>356.01</v>
      </c>
      <c r="GJ334" s="30">
        <v>356.01</v>
      </c>
      <c r="GK334" s="30">
        <v>356.01</v>
      </c>
      <c r="GL334" s="30">
        <v>356.01</v>
      </c>
      <c r="GM334" s="30">
        <v>356.01</v>
      </c>
      <c r="GN334" s="30">
        <v>356.01</v>
      </c>
      <c r="GO334" s="30">
        <v>356.01</v>
      </c>
      <c r="GP334" s="30">
        <v>356.01</v>
      </c>
      <c r="GQ334" s="30">
        <v>356.01</v>
      </c>
      <c r="GR334" s="30">
        <v>356.01</v>
      </c>
      <c r="GS334" s="30">
        <v>356.01</v>
      </c>
      <c r="GT334" s="30">
        <v>356.01</v>
      </c>
      <c r="GU334" s="30">
        <v>356.01</v>
      </c>
      <c r="GV334" s="30">
        <v>356.01</v>
      </c>
      <c r="GW334" s="30">
        <v>356.01</v>
      </c>
      <c r="GX334" s="30">
        <v>356.01</v>
      </c>
      <c r="GY334" s="30">
        <v>356.01</v>
      </c>
      <c r="GZ334" s="30">
        <v>356.01</v>
      </c>
      <c r="HA334" s="30">
        <v>356.01</v>
      </c>
      <c r="HB334" s="30">
        <v>356.01</v>
      </c>
      <c r="HC334" s="30">
        <v>356.01</v>
      </c>
      <c r="HD334" s="30">
        <v>356.01</v>
      </c>
      <c r="HE334" s="30">
        <v>356.01</v>
      </c>
      <c r="HF334" s="30">
        <v>356.01</v>
      </c>
      <c r="HG334" s="30">
        <v>356.01</v>
      </c>
      <c r="HH334" s="30">
        <v>356.01</v>
      </c>
      <c r="HI334" s="30">
        <v>356.01</v>
      </c>
      <c r="HJ334" s="30">
        <v>356.01</v>
      </c>
      <c r="HK334" s="30">
        <v>356.01</v>
      </c>
      <c r="HL334" s="30">
        <v>356.01</v>
      </c>
      <c r="HM334" s="30">
        <v>356.01</v>
      </c>
      <c r="HN334" s="30">
        <v>356.01</v>
      </c>
      <c r="HO334" s="30">
        <v>356.01</v>
      </c>
      <c r="HP334" s="30">
        <v>356.01</v>
      </c>
      <c r="HQ334" s="30">
        <v>356.01</v>
      </c>
      <c r="HR334" s="30">
        <v>356.01</v>
      </c>
      <c r="HS334" s="30">
        <v>356.01</v>
      </c>
      <c r="HT334" s="30">
        <v>356.01</v>
      </c>
      <c r="HU334" s="30">
        <v>356.01</v>
      </c>
      <c r="HV334" s="30">
        <v>356.01</v>
      </c>
      <c r="HW334" s="30">
        <v>356.01</v>
      </c>
      <c r="HX334" s="30">
        <v>356.01</v>
      </c>
      <c r="HY334" s="30">
        <v>356.01</v>
      </c>
      <c r="HZ334" s="30">
        <v>356.01</v>
      </c>
      <c r="IA334" s="30">
        <v>356.01</v>
      </c>
      <c r="IB334" s="30">
        <v>356.01</v>
      </c>
      <c r="IC334" s="30">
        <v>356.01</v>
      </c>
      <c r="ID334" s="30">
        <v>356.01</v>
      </c>
      <c r="IE334" s="30">
        <v>356.01</v>
      </c>
      <c r="IF334" s="30">
        <v>356.01</v>
      </c>
      <c r="IG334" s="30">
        <v>356.01</v>
      </c>
      <c r="IH334" s="30">
        <v>356.01</v>
      </c>
      <c r="II334" s="30">
        <v>356.01</v>
      </c>
      <c r="IJ334" s="30">
        <v>356.01</v>
      </c>
      <c r="IK334" s="30">
        <v>356.01</v>
      </c>
      <c r="IL334" s="30">
        <v>356.01</v>
      </c>
      <c r="IM334" s="30">
        <v>356.01</v>
      </c>
      <c r="IN334" s="30">
        <v>356.01</v>
      </c>
      <c r="IO334" s="30">
        <v>356.01</v>
      </c>
      <c r="IP334" s="30">
        <v>356.01</v>
      </c>
      <c r="IQ334" s="30">
        <v>356.01</v>
      </c>
      <c r="IR334" s="30">
        <v>356.01</v>
      </c>
      <c r="IS334" s="30">
        <v>356.01</v>
      </c>
      <c r="IT334" s="30">
        <v>356.01</v>
      </c>
      <c r="IU334" s="30">
        <v>356.01</v>
      </c>
      <c r="IV334" s="30">
        <v>356.01</v>
      </c>
      <c r="IW334" s="30">
        <v>356.01</v>
      </c>
      <c r="IX334" s="30">
        <v>356.01</v>
      </c>
      <c r="IY334" s="30">
        <v>356.01</v>
      </c>
      <c r="IZ334" s="30">
        <v>356.01</v>
      </c>
      <c r="JA334" s="30">
        <v>356.01</v>
      </c>
      <c r="JB334" s="30">
        <v>356.01</v>
      </c>
      <c r="JC334" s="30">
        <v>356.01</v>
      </c>
      <c r="JD334" s="30">
        <v>356.01</v>
      </c>
      <c r="JE334" s="30">
        <v>356.01</v>
      </c>
      <c r="JF334" s="30">
        <v>356.01</v>
      </c>
      <c r="JG334" s="30">
        <v>356.01</v>
      </c>
      <c r="JH334" s="30">
        <v>356.01</v>
      </c>
      <c r="JI334" s="30">
        <v>356.01</v>
      </c>
      <c r="JJ334" s="30">
        <v>356.01</v>
      </c>
      <c r="JK334" s="30">
        <v>356.01</v>
      </c>
      <c r="JL334" s="30">
        <v>356.01</v>
      </c>
      <c r="JM334" s="30">
        <v>356.01</v>
      </c>
      <c r="JN334" s="30">
        <v>356.01</v>
      </c>
      <c r="JO334" s="30">
        <v>356.01</v>
      </c>
      <c r="JP334" s="30">
        <v>356.01</v>
      </c>
      <c r="JQ334" s="30">
        <v>356.01</v>
      </c>
      <c r="JR334" s="30">
        <v>356.01</v>
      </c>
      <c r="JS334" s="30">
        <v>356.01</v>
      </c>
      <c r="JT334" s="30">
        <v>356.01</v>
      </c>
      <c r="JU334" s="30">
        <v>356.01</v>
      </c>
      <c r="JV334" s="30">
        <v>356.01</v>
      </c>
      <c r="JW334" s="30">
        <v>356.01</v>
      </c>
      <c r="JX334" s="30">
        <v>356.01</v>
      </c>
      <c r="JY334" s="30">
        <v>356.01</v>
      </c>
      <c r="JZ334" s="30">
        <v>356.01</v>
      </c>
      <c r="KA334" s="30">
        <v>356.01</v>
      </c>
      <c r="KB334" s="30">
        <v>356.01</v>
      </c>
      <c r="KC334" s="30">
        <v>356.01</v>
      </c>
      <c r="KD334" s="30">
        <v>356.01</v>
      </c>
      <c r="KE334" s="30">
        <v>356.01</v>
      </c>
      <c r="KF334" s="30">
        <v>356.01</v>
      </c>
      <c r="KG334" s="30">
        <v>356.01</v>
      </c>
      <c r="KH334" s="30">
        <v>356.01</v>
      </c>
      <c r="KI334" s="30">
        <v>356.01</v>
      </c>
      <c r="KJ334" s="30">
        <v>356.01</v>
      </c>
      <c r="KK334" s="30">
        <v>356.01</v>
      </c>
      <c r="KL334" s="30">
        <v>356.01</v>
      </c>
      <c r="KM334" s="30">
        <v>356.01</v>
      </c>
      <c r="KN334" s="30">
        <v>356.01</v>
      </c>
      <c r="KO334" s="30">
        <v>356.01</v>
      </c>
      <c r="KP334" s="30">
        <v>356.01</v>
      </c>
      <c r="KQ334" s="30">
        <v>356.01</v>
      </c>
      <c r="KR334" s="30">
        <v>356.01</v>
      </c>
      <c r="KS334" s="30">
        <v>356.01</v>
      </c>
      <c r="KT334" s="30">
        <v>356.01</v>
      </c>
      <c r="KU334" s="30">
        <v>356.01</v>
      </c>
      <c r="KV334" s="30">
        <v>356.01</v>
      </c>
      <c r="KW334" s="30">
        <v>356.01</v>
      </c>
      <c r="KX334" s="30">
        <v>356.01</v>
      </c>
      <c r="KY334" s="30">
        <v>356.01</v>
      </c>
      <c r="KZ334" s="30">
        <v>356.01</v>
      </c>
      <c r="LA334" s="30">
        <v>356.01</v>
      </c>
      <c r="LB334" s="30">
        <v>356.01</v>
      </c>
      <c r="LC334" s="30">
        <v>356.01</v>
      </c>
      <c r="LD334" s="30">
        <v>356.01</v>
      </c>
      <c r="LE334" s="30">
        <v>356.01</v>
      </c>
      <c r="LF334" s="30">
        <v>356.01</v>
      </c>
      <c r="LG334" s="30">
        <v>356.01</v>
      </c>
      <c r="LH334" s="30">
        <v>356.01</v>
      </c>
      <c r="LI334" s="30">
        <v>356.01</v>
      </c>
      <c r="LJ334" s="30">
        <v>356.01</v>
      </c>
      <c r="LK334" s="30">
        <v>356.01</v>
      </c>
      <c r="LL334" s="30">
        <v>356.01</v>
      </c>
      <c r="LM334" s="30">
        <v>356.01</v>
      </c>
      <c r="LN334" s="30">
        <v>356.01</v>
      </c>
      <c r="LO334" s="30">
        <v>356.01</v>
      </c>
      <c r="LP334" s="30">
        <v>356.01</v>
      </c>
      <c r="LQ334" s="30">
        <v>356.01</v>
      </c>
      <c r="LR334" s="30">
        <v>356.01</v>
      </c>
      <c r="LS334" s="30">
        <v>356.01</v>
      </c>
      <c r="LT334" s="30">
        <v>356.01</v>
      </c>
      <c r="LU334" s="30">
        <v>356.01</v>
      </c>
      <c r="LV334" s="30">
        <v>356.01</v>
      </c>
      <c r="LW334" s="30">
        <v>356.01</v>
      </c>
      <c r="LX334" s="30">
        <v>356.01</v>
      </c>
      <c r="LY334" s="30">
        <v>356.01</v>
      </c>
      <c r="LZ334" s="30">
        <v>356.01</v>
      </c>
      <c r="MA334" s="30">
        <v>356.01</v>
      </c>
      <c r="MB334" s="30">
        <v>356.01</v>
      </c>
      <c r="MC334" s="30">
        <v>356.01</v>
      </c>
      <c r="MD334" s="30">
        <v>356.01</v>
      </c>
      <c r="ME334" s="30">
        <v>356.01</v>
      </c>
      <c r="MF334" s="30">
        <v>356.01</v>
      </c>
      <c r="MG334" s="30">
        <v>356.01</v>
      </c>
      <c r="MH334" s="30">
        <v>356.01</v>
      </c>
      <c r="MI334" s="30">
        <v>356.01</v>
      </c>
      <c r="MJ334" s="30">
        <v>356.01</v>
      </c>
      <c r="MK334" s="30">
        <v>356.01</v>
      </c>
      <c r="ML334" s="30">
        <v>356.01</v>
      </c>
      <c r="MM334" s="30">
        <v>356.01</v>
      </c>
      <c r="MN334" s="30">
        <v>356.01</v>
      </c>
      <c r="MO334" s="30">
        <v>356.01</v>
      </c>
      <c r="MP334" s="30">
        <v>356.01</v>
      </c>
      <c r="MQ334" s="30">
        <v>356.01</v>
      </c>
      <c r="MR334" s="30">
        <v>356.01</v>
      </c>
      <c r="MS334" s="30">
        <v>356.01</v>
      </c>
      <c r="MT334" s="30">
        <v>356.01</v>
      </c>
      <c r="MU334" s="30">
        <v>356.01</v>
      </c>
      <c r="MV334" s="30">
        <v>356.01</v>
      </c>
      <c r="MW334" s="30">
        <v>356.01</v>
      </c>
      <c r="MX334" s="30">
        <v>356.01</v>
      </c>
      <c r="MY334" s="30">
        <v>356.01</v>
      </c>
      <c r="MZ334" s="30">
        <v>356.01</v>
      </c>
      <c r="NA334" s="30">
        <v>356.01</v>
      </c>
      <c r="NB334" s="30">
        <v>356.01</v>
      </c>
      <c r="NC334" s="30">
        <v>356.01</v>
      </c>
      <c r="ND334" s="30">
        <v>356.01</v>
      </c>
      <c r="NE334" s="30">
        <v>356.01</v>
      </c>
      <c r="NF334" s="30">
        <v>356.01</v>
      </c>
      <c r="NG334" s="30">
        <v>356.01</v>
      </c>
      <c r="NH334" s="30">
        <v>356.01</v>
      </c>
      <c r="NI334" s="30">
        <v>356.01</v>
      </c>
      <c r="NJ334" s="30">
        <v>356.01</v>
      </c>
      <c r="NK334" s="30">
        <v>356.01</v>
      </c>
      <c r="NL334" s="30">
        <v>356.01</v>
      </c>
      <c r="NM334" s="30">
        <v>356.01</v>
      </c>
      <c r="NN334" s="30">
        <v>356.01</v>
      </c>
      <c r="NO334" s="30">
        <v>356.01</v>
      </c>
      <c r="NP334" s="30">
        <v>356.01</v>
      </c>
      <c r="NQ334" s="30">
        <v>356.01</v>
      </c>
      <c r="NR334" s="30">
        <v>356.01</v>
      </c>
      <c r="NS334" s="30">
        <v>356.01</v>
      </c>
      <c r="NT334" s="30">
        <v>356.01</v>
      </c>
      <c r="NU334" s="30">
        <v>356.01</v>
      </c>
      <c r="NV334" s="30">
        <v>356.01</v>
      </c>
      <c r="NW334" s="30">
        <v>356.01</v>
      </c>
      <c r="NX334" s="30">
        <v>356.01</v>
      </c>
      <c r="NY334" s="30">
        <v>356.01</v>
      </c>
      <c r="NZ334" s="30">
        <v>356.01</v>
      </c>
      <c r="OA334" s="30">
        <v>356.01</v>
      </c>
      <c r="OB334" s="30">
        <v>356.01</v>
      </c>
      <c r="OC334" s="30">
        <v>356.01</v>
      </c>
      <c r="OD334" s="30">
        <v>356.01</v>
      </c>
      <c r="OE334" s="30">
        <v>356.01</v>
      </c>
    </row>
    <row r="335" spans="4:395" ht="13.8" customHeight="1" x14ac:dyDescent="0.3">
      <c r="N335" s="30" t="s">
        <v>97</v>
      </c>
      <c r="O335" s="30"/>
      <c r="P335" s="32" t="s">
        <v>75</v>
      </c>
      <c r="Q335" s="65" cm="1">
        <f t="array" ref="Q335:OE335">_xlfn.ANCHORARRAY(Q1)*E353*E354/3.6</f>
        <v>277.77777777777777</v>
      </c>
      <c r="R335" s="65">
        <v>277.77777777777777</v>
      </c>
      <c r="S335" s="65">
        <v>277.77777777777777</v>
      </c>
      <c r="T335" s="65">
        <v>277.77777777777777</v>
      </c>
      <c r="U335" s="65">
        <v>277.77777777777777</v>
      </c>
      <c r="V335" s="65">
        <v>277.77777777777777</v>
      </c>
      <c r="W335" s="65">
        <v>277.77777777777777</v>
      </c>
      <c r="X335" s="65">
        <v>277.77777777777777</v>
      </c>
      <c r="Y335" s="65">
        <v>277.77777777777777</v>
      </c>
      <c r="Z335" s="65">
        <v>277.77777777777777</v>
      </c>
      <c r="AA335" s="65">
        <v>277.77777777777777</v>
      </c>
      <c r="AB335" s="65">
        <v>277.77777777777777</v>
      </c>
      <c r="AC335" s="65">
        <v>277.77777777777777</v>
      </c>
      <c r="AD335" s="65">
        <v>277.77777777777777</v>
      </c>
      <c r="AE335" s="65">
        <v>277.77777777777777</v>
      </c>
      <c r="AF335" s="65">
        <v>277.77777777777777</v>
      </c>
      <c r="AG335" s="65">
        <v>277.77777777777777</v>
      </c>
      <c r="AH335" s="65">
        <v>277.77777777777777</v>
      </c>
      <c r="AI335" s="65">
        <v>277.77777777777777</v>
      </c>
      <c r="AJ335" s="65">
        <v>277.77777777777777</v>
      </c>
      <c r="AK335" s="65">
        <v>277.77777777777777</v>
      </c>
      <c r="AL335" s="65">
        <v>277.77777777777777</v>
      </c>
      <c r="AM335" s="65">
        <v>277.77777777777777</v>
      </c>
      <c r="AN335" s="65">
        <v>277.77777777777777</v>
      </c>
      <c r="AO335" s="65">
        <v>277.77777777777777</v>
      </c>
      <c r="AP335" s="65">
        <v>277.77777777777777</v>
      </c>
      <c r="AQ335" s="65">
        <v>277.77777777777777</v>
      </c>
      <c r="AR335" s="65">
        <v>277.77777777777777</v>
      </c>
      <c r="AS335" s="65">
        <v>277.77777777777777</v>
      </c>
      <c r="AT335" s="65">
        <v>277.77777777777777</v>
      </c>
      <c r="AU335" s="65">
        <v>277.77777777777777</v>
      </c>
      <c r="AV335" s="65">
        <v>277.77777777777777</v>
      </c>
      <c r="AW335" s="65">
        <v>277.77777777777777</v>
      </c>
      <c r="AX335" s="65">
        <v>277.77777777777777</v>
      </c>
      <c r="AY335" s="65">
        <v>277.77777777777777</v>
      </c>
      <c r="AZ335" s="65">
        <v>277.77777777777777</v>
      </c>
      <c r="BA335" s="65">
        <v>277.77777777777777</v>
      </c>
      <c r="BB335" s="65">
        <v>277.77777777777777</v>
      </c>
      <c r="BC335" s="65">
        <v>277.77777777777777</v>
      </c>
      <c r="BD335" s="65">
        <v>277.77777777777777</v>
      </c>
      <c r="BE335" s="65">
        <v>277.77777777777777</v>
      </c>
      <c r="BF335" s="65">
        <v>277.77777777777777</v>
      </c>
      <c r="BG335" s="65">
        <v>277.77777777777777</v>
      </c>
      <c r="BH335" s="65">
        <v>277.77777777777777</v>
      </c>
      <c r="BI335" s="65">
        <v>277.77777777777777</v>
      </c>
      <c r="BJ335" s="65">
        <v>277.77777777777777</v>
      </c>
      <c r="BK335" s="65">
        <v>277.77777777777777</v>
      </c>
      <c r="BL335" s="65">
        <v>277.77777777777777</v>
      </c>
      <c r="BM335" s="65">
        <v>277.77777777777777</v>
      </c>
      <c r="BN335" s="65">
        <v>277.77777777777777</v>
      </c>
      <c r="BO335" s="65">
        <v>277.77777777777777</v>
      </c>
      <c r="BP335" s="65">
        <v>277.77777777777777</v>
      </c>
      <c r="BQ335" s="65">
        <v>277.77777777777777</v>
      </c>
      <c r="BR335" s="65">
        <v>277.77777777777777</v>
      </c>
      <c r="BS335" s="65">
        <v>277.77777777777777</v>
      </c>
      <c r="BT335" s="65">
        <v>277.77777777777777</v>
      </c>
      <c r="BU335" s="65">
        <v>277.77777777777777</v>
      </c>
      <c r="BV335" s="65">
        <v>277.77777777777777</v>
      </c>
      <c r="BW335" s="65">
        <v>277.77777777777777</v>
      </c>
      <c r="BX335" s="65">
        <v>277.77777777777777</v>
      </c>
      <c r="BY335" s="65">
        <v>277.77777777777777</v>
      </c>
      <c r="BZ335" s="65">
        <v>277.77777777777777</v>
      </c>
      <c r="CA335" s="65">
        <v>277.77777777777777</v>
      </c>
      <c r="CB335" s="65">
        <v>277.77777777777777</v>
      </c>
      <c r="CC335" s="65">
        <v>277.77777777777777</v>
      </c>
      <c r="CD335" s="65">
        <v>277.77777777777777</v>
      </c>
      <c r="CE335" s="65">
        <v>277.77777777777777</v>
      </c>
      <c r="CF335" s="65">
        <v>277.77777777777777</v>
      </c>
      <c r="CG335" s="65">
        <v>277.77777777777777</v>
      </c>
      <c r="CH335" s="65">
        <v>277.77777777777777</v>
      </c>
      <c r="CI335" s="65">
        <v>277.77777777777777</v>
      </c>
      <c r="CJ335" s="65">
        <v>277.77777777777777</v>
      </c>
      <c r="CK335" s="65">
        <v>277.77777777777777</v>
      </c>
      <c r="CL335" s="65">
        <v>277.77777777777777</v>
      </c>
      <c r="CM335" s="65">
        <v>277.77777777777777</v>
      </c>
      <c r="CN335" s="65">
        <v>277.77777777777777</v>
      </c>
      <c r="CO335" s="65">
        <v>277.77777777777777</v>
      </c>
      <c r="CP335" s="65">
        <v>277.77777777777777</v>
      </c>
      <c r="CQ335" s="65">
        <v>277.77777777777777</v>
      </c>
      <c r="CR335" s="65">
        <v>277.77777777777777</v>
      </c>
      <c r="CS335" s="65">
        <v>277.77777777777777</v>
      </c>
      <c r="CT335" s="65">
        <v>277.77777777777777</v>
      </c>
      <c r="CU335" s="65">
        <v>277.77777777777777</v>
      </c>
      <c r="CV335" s="65">
        <v>277.77777777777777</v>
      </c>
      <c r="CW335" s="65">
        <v>277.77777777777777</v>
      </c>
      <c r="CX335" s="65">
        <v>277.77777777777777</v>
      </c>
      <c r="CY335" s="65">
        <v>277.77777777777777</v>
      </c>
      <c r="CZ335" s="65">
        <v>277.77777777777777</v>
      </c>
      <c r="DA335" s="65">
        <v>277.77777777777777</v>
      </c>
      <c r="DB335" s="65">
        <v>277.77777777777777</v>
      </c>
      <c r="DC335" s="65">
        <v>277.77777777777777</v>
      </c>
      <c r="DD335" s="65">
        <v>277.77777777777777</v>
      </c>
      <c r="DE335" s="65">
        <v>277.77777777777777</v>
      </c>
      <c r="DF335" s="65">
        <v>277.77777777777777</v>
      </c>
      <c r="DG335" s="65">
        <v>277.77777777777777</v>
      </c>
      <c r="DH335" s="65">
        <v>277.77777777777777</v>
      </c>
      <c r="DI335" s="65">
        <v>277.77777777777777</v>
      </c>
      <c r="DJ335" s="65">
        <v>277.77777777777777</v>
      </c>
      <c r="DK335" s="65">
        <v>277.77777777777777</v>
      </c>
      <c r="DL335" s="65">
        <v>277.77777777777777</v>
      </c>
      <c r="DM335" s="65">
        <v>277.77777777777777</v>
      </c>
      <c r="DN335" s="65">
        <v>277.77777777777777</v>
      </c>
      <c r="DO335" s="65">
        <v>277.77777777777777</v>
      </c>
      <c r="DP335" s="65">
        <v>277.77777777777777</v>
      </c>
      <c r="DQ335" s="65">
        <v>277.77777777777777</v>
      </c>
      <c r="DR335" s="65">
        <v>277.77777777777777</v>
      </c>
      <c r="DS335" s="65">
        <v>277.77777777777777</v>
      </c>
      <c r="DT335" s="65">
        <v>277.77777777777777</v>
      </c>
      <c r="DU335" s="65">
        <v>277.77777777777777</v>
      </c>
      <c r="DV335" s="65">
        <v>277.77777777777777</v>
      </c>
      <c r="DW335" s="65">
        <v>277.77777777777777</v>
      </c>
      <c r="DX335" s="65">
        <v>277.77777777777777</v>
      </c>
      <c r="DY335" s="65">
        <v>277.77777777777777</v>
      </c>
      <c r="DZ335" s="65">
        <v>277.77777777777777</v>
      </c>
      <c r="EA335" s="65">
        <v>277.77777777777777</v>
      </c>
      <c r="EB335" s="65">
        <v>277.77777777777777</v>
      </c>
      <c r="EC335" s="65">
        <v>277.77777777777777</v>
      </c>
      <c r="ED335" s="65">
        <v>277.77777777777777</v>
      </c>
      <c r="EE335" s="65">
        <v>277.77777777777777</v>
      </c>
      <c r="EF335" s="65">
        <v>277.77777777777777</v>
      </c>
      <c r="EG335" s="65">
        <v>277.77777777777777</v>
      </c>
      <c r="EH335" s="65">
        <v>277.77777777777777</v>
      </c>
      <c r="EI335" s="65">
        <v>277.77777777777777</v>
      </c>
      <c r="EJ335" s="65">
        <v>277.77777777777777</v>
      </c>
      <c r="EK335" s="65">
        <v>277.77777777777777</v>
      </c>
      <c r="EL335" s="65">
        <v>277.77777777777777</v>
      </c>
      <c r="EM335" s="65">
        <v>277.77777777777777</v>
      </c>
      <c r="EN335" s="65">
        <v>277.77777777777777</v>
      </c>
      <c r="EO335" s="65">
        <v>277.77777777777777</v>
      </c>
      <c r="EP335" s="65">
        <v>277.77777777777777</v>
      </c>
      <c r="EQ335" s="65">
        <v>277.77777777777777</v>
      </c>
      <c r="ER335" s="65">
        <v>277.77777777777777</v>
      </c>
      <c r="ES335" s="65">
        <v>277.77777777777777</v>
      </c>
      <c r="ET335" s="65">
        <v>277.77777777777777</v>
      </c>
      <c r="EU335" s="65">
        <v>277.77777777777777</v>
      </c>
      <c r="EV335" s="65">
        <v>277.77777777777777</v>
      </c>
      <c r="EW335" s="65">
        <v>277.77777777777777</v>
      </c>
      <c r="EX335" s="65">
        <v>277.77777777777777</v>
      </c>
      <c r="EY335" s="65">
        <v>277.77777777777777</v>
      </c>
      <c r="EZ335" s="65">
        <v>277.77777777777777</v>
      </c>
      <c r="FA335" s="65">
        <v>277.77777777777777</v>
      </c>
      <c r="FB335" s="65">
        <v>277.77777777777777</v>
      </c>
      <c r="FC335" s="65">
        <v>277.77777777777777</v>
      </c>
      <c r="FD335" s="65">
        <v>277.77777777777777</v>
      </c>
      <c r="FE335" s="65">
        <v>277.77777777777777</v>
      </c>
      <c r="FF335" s="65">
        <v>277.77777777777777</v>
      </c>
      <c r="FG335" s="65">
        <v>277.77777777777777</v>
      </c>
      <c r="FH335" s="65">
        <v>277.77777777777777</v>
      </c>
      <c r="FI335" s="65">
        <v>277.77777777777777</v>
      </c>
      <c r="FJ335" s="65">
        <v>277.77777777777777</v>
      </c>
      <c r="FK335" s="65">
        <v>277.77777777777777</v>
      </c>
      <c r="FL335" s="65">
        <v>277.77777777777777</v>
      </c>
      <c r="FM335" s="65">
        <v>277.77777777777777</v>
      </c>
      <c r="FN335" s="65">
        <v>277.77777777777777</v>
      </c>
      <c r="FO335" s="65">
        <v>277.77777777777777</v>
      </c>
      <c r="FP335" s="65">
        <v>277.77777777777777</v>
      </c>
      <c r="FQ335" s="65">
        <v>277.77777777777777</v>
      </c>
      <c r="FR335" s="65">
        <v>277.77777777777777</v>
      </c>
      <c r="FS335" s="65">
        <v>277.77777777777777</v>
      </c>
      <c r="FT335" s="65">
        <v>277.77777777777777</v>
      </c>
      <c r="FU335" s="65">
        <v>277.77777777777777</v>
      </c>
      <c r="FV335" s="65">
        <v>277.77777777777777</v>
      </c>
      <c r="FW335" s="65">
        <v>277.77777777777777</v>
      </c>
      <c r="FX335" s="65">
        <v>277.77777777777777</v>
      </c>
      <c r="FY335" s="65">
        <v>277.77777777777777</v>
      </c>
      <c r="FZ335" s="65">
        <v>277.77777777777777</v>
      </c>
      <c r="GA335" s="65">
        <v>277.77777777777777</v>
      </c>
      <c r="GB335" s="65">
        <v>277.77777777777777</v>
      </c>
      <c r="GC335" s="65">
        <v>277.77777777777777</v>
      </c>
      <c r="GD335" s="65">
        <v>277.77777777777777</v>
      </c>
      <c r="GE335" s="65">
        <v>277.77777777777777</v>
      </c>
      <c r="GF335" s="65">
        <v>277.77777777777777</v>
      </c>
      <c r="GG335" s="65">
        <v>277.77777777777777</v>
      </c>
      <c r="GH335" s="65">
        <v>277.77777777777777</v>
      </c>
      <c r="GI335" s="65">
        <v>277.77777777777777</v>
      </c>
      <c r="GJ335" s="65">
        <v>277.77777777777777</v>
      </c>
      <c r="GK335" s="65">
        <v>277.77777777777777</v>
      </c>
      <c r="GL335" s="65">
        <v>277.77777777777777</v>
      </c>
      <c r="GM335" s="65">
        <v>277.77777777777777</v>
      </c>
      <c r="GN335" s="65">
        <v>277.77777777777777</v>
      </c>
      <c r="GO335" s="65">
        <v>277.77777777777777</v>
      </c>
      <c r="GP335" s="65">
        <v>277.77777777777777</v>
      </c>
      <c r="GQ335" s="65">
        <v>277.77777777777777</v>
      </c>
      <c r="GR335" s="65">
        <v>277.77777777777777</v>
      </c>
      <c r="GS335" s="65">
        <v>277.77777777777777</v>
      </c>
      <c r="GT335" s="65">
        <v>277.77777777777777</v>
      </c>
      <c r="GU335" s="65">
        <v>277.77777777777777</v>
      </c>
      <c r="GV335" s="65">
        <v>277.77777777777777</v>
      </c>
      <c r="GW335" s="65">
        <v>277.77777777777777</v>
      </c>
      <c r="GX335" s="65">
        <v>277.77777777777777</v>
      </c>
      <c r="GY335" s="65">
        <v>277.77777777777777</v>
      </c>
      <c r="GZ335" s="65">
        <v>277.77777777777777</v>
      </c>
      <c r="HA335" s="65">
        <v>277.77777777777777</v>
      </c>
      <c r="HB335" s="65">
        <v>277.77777777777777</v>
      </c>
      <c r="HC335" s="65">
        <v>277.77777777777777</v>
      </c>
      <c r="HD335" s="65">
        <v>277.77777777777777</v>
      </c>
      <c r="HE335" s="65">
        <v>277.77777777777777</v>
      </c>
      <c r="HF335" s="65">
        <v>277.77777777777777</v>
      </c>
      <c r="HG335" s="65">
        <v>277.77777777777777</v>
      </c>
      <c r="HH335" s="65">
        <v>277.77777777777777</v>
      </c>
      <c r="HI335" s="65">
        <v>277.77777777777777</v>
      </c>
      <c r="HJ335" s="65">
        <v>277.77777777777777</v>
      </c>
      <c r="HK335" s="65">
        <v>277.77777777777777</v>
      </c>
      <c r="HL335" s="65">
        <v>277.77777777777777</v>
      </c>
      <c r="HM335" s="65">
        <v>277.77777777777777</v>
      </c>
      <c r="HN335" s="65">
        <v>277.77777777777777</v>
      </c>
      <c r="HO335" s="65">
        <v>277.77777777777777</v>
      </c>
      <c r="HP335" s="65">
        <v>277.77777777777777</v>
      </c>
      <c r="HQ335" s="65">
        <v>277.77777777777777</v>
      </c>
      <c r="HR335" s="65">
        <v>277.77777777777777</v>
      </c>
      <c r="HS335" s="65">
        <v>277.77777777777777</v>
      </c>
      <c r="HT335" s="65">
        <v>277.77777777777777</v>
      </c>
      <c r="HU335" s="65">
        <v>277.77777777777777</v>
      </c>
      <c r="HV335" s="65">
        <v>277.77777777777777</v>
      </c>
      <c r="HW335" s="65">
        <v>277.77777777777777</v>
      </c>
      <c r="HX335" s="65">
        <v>277.77777777777777</v>
      </c>
      <c r="HY335" s="65">
        <v>277.77777777777777</v>
      </c>
      <c r="HZ335" s="65">
        <v>277.77777777777777</v>
      </c>
      <c r="IA335" s="65">
        <v>277.77777777777777</v>
      </c>
      <c r="IB335" s="65">
        <v>277.77777777777777</v>
      </c>
      <c r="IC335" s="65">
        <v>277.77777777777777</v>
      </c>
      <c r="ID335" s="65">
        <v>277.77777777777777</v>
      </c>
      <c r="IE335" s="65">
        <v>277.77777777777777</v>
      </c>
      <c r="IF335" s="65">
        <v>277.77777777777777</v>
      </c>
      <c r="IG335" s="65">
        <v>277.77777777777777</v>
      </c>
      <c r="IH335" s="65">
        <v>277.77777777777777</v>
      </c>
      <c r="II335" s="65">
        <v>277.77777777777777</v>
      </c>
      <c r="IJ335" s="65">
        <v>277.77777777777777</v>
      </c>
      <c r="IK335" s="65">
        <v>277.77777777777777</v>
      </c>
      <c r="IL335" s="65">
        <v>277.77777777777777</v>
      </c>
      <c r="IM335" s="65">
        <v>277.77777777777777</v>
      </c>
      <c r="IN335" s="65">
        <v>277.77777777777777</v>
      </c>
      <c r="IO335" s="65">
        <v>277.77777777777777</v>
      </c>
      <c r="IP335" s="65">
        <v>277.77777777777777</v>
      </c>
      <c r="IQ335" s="65">
        <v>277.77777777777777</v>
      </c>
      <c r="IR335" s="65">
        <v>277.77777777777777</v>
      </c>
      <c r="IS335" s="65">
        <v>277.77777777777777</v>
      </c>
      <c r="IT335" s="65">
        <v>277.77777777777777</v>
      </c>
      <c r="IU335" s="65">
        <v>277.77777777777777</v>
      </c>
      <c r="IV335" s="65">
        <v>277.77777777777777</v>
      </c>
      <c r="IW335" s="65">
        <v>277.77777777777777</v>
      </c>
      <c r="IX335" s="65">
        <v>277.77777777777777</v>
      </c>
      <c r="IY335" s="65">
        <v>277.77777777777777</v>
      </c>
      <c r="IZ335" s="65">
        <v>277.77777777777777</v>
      </c>
      <c r="JA335" s="65">
        <v>277.77777777777777</v>
      </c>
      <c r="JB335" s="65">
        <v>277.77777777777777</v>
      </c>
      <c r="JC335" s="65">
        <v>277.77777777777777</v>
      </c>
      <c r="JD335" s="65">
        <v>277.77777777777777</v>
      </c>
      <c r="JE335" s="65">
        <v>277.77777777777777</v>
      </c>
      <c r="JF335" s="65">
        <v>277.77777777777777</v>
      </c>
      <c r="JG335" s="65">
        <v>277.77777777777777</v>
      </c>
      <c r="JH335" s="65">
        <v>277.77777777777777</v>
      </c>
      <c r="JI335" s="65">
        <v>277.77777777777777</v>
      </c>
      <c r="JJ335" s="65">
        <v>277.77777777777777</v>
      </c>
      <c r="JK335" s="65">
        <v>277.77777777777777</v>
      </c>
      <c r="JL335" s="65">
        <v>277.77777777777777</v>
      </c>
      <c r="JM335" s="65">
        <v>277.77777777777777</v>
      </c>
      <c r="JN335" s="65">
        <v>277.77777777777777</v>
      </c>
      <c r="JO335" s="65">
        <v>277.77777777777777</v>
      </c>
      <c r="JP335" s="65">
        <v>277.77777777777777</v>
      </c>
      <c r="JQ335" s="65">
        <v>277.77777777777777</v>
      </c>
      <c r="JR335" s="65">
        <v>277.77777777777777</v>
      </c>
      <c r="JS335" s="65">
        <v>277.77777777777777</v>
      </c>
      <c r="JT335" s="65">
        <v>277.77777777777777</v>
      </c>
      <c r="JU335" s="65">
        <v>277.77777777777777</v>
      </c>
      <c r="JV335" s="65">
        <v>277.77777777777777</v>
      </c>
      <c r="JW335" s="65">
        <v>277.77777777777777</v>
      </c>
      <c r="JX335" s="65">
        <v>277.77777777777777</v>
      </c>
      <c r="JY335" s="65">
        <v>277.77777777777777</v>
      </c>
      <c r="JZ335" s="65">
        <v>277.77777777777777</v>
      </c>
      <c r="KA335" s="65">
        <v>277.77777777777777</v>
      </c>
      <c r="KB335" s="65">
        <v>277.77777777777777</v>
      </c>
      <c r="KC335" s="65">
        <v>277.77777777777777</v>
      </c>
      <c r="KD335" s="65">
        <v>277.77777777777777</v>
      </c>
      <c r="KE335" s="65">
        <v>277.77777777777777</v>
      </c>
      <c r="KF335" s="65">
        <v>277.77777777777777</v>
      </c>
      <c r="KG335" s="65">
        <v>277.77777777777777</v>
      </c>
      <c r="KH335" s="65">
        <v>277.77777777777777</v>
      </c>
      <c r="KI335" s="65">
        <v>277.77777777777777</v>
      </c>
      <c r="KJ335" s="65">
        <v>277.77777777777777</v>
      </c>
      <c r="KK335" s="65">
        <v>277.77777777777777</v>
      </c>
      <c r="KL335" s="65">
        <v>277.77777777777777</v>
      </c>
      <c r="KM335" s="65">
        <v>277.77777777777777</v>
      </c>
      <c r="KN335" s="65">
        <v>277.77777777777777</v>
      </c>
      <c r="KO335" s="65">
        <v>277.77777777777777</v>
      </c>
      <c r="KP335" s="65">
        <v>277.77777777777777</v>
      </c>
      <c r="KQ335" s="65">
        <v>277.77777777777777</v>
      </c>
      <c r="KR335" s="65">
        <v>277.77777777777777</v>
      </c>
      <c r="KS335" s="65">
        <v>277.77777777777777</v>
      </c>
      <c r="KT335" s="65">
        <v>277.77777777777777</v>
      </c>
      <c r="KU335" s="65">
        <v>277.77777777777777</v>
      </c>
      <c r="KV335" s="65">
        <v>277.77777777777777</v>
      </c>
      <c r="KW335" s="65">
        <v>277.77777777777777</v>
      </c>
      <c r="KX335" s="65">
        <v>277.77777777777777</v>
      </c>
      <c r="KY335" s="65">
        <v>277.77777777777777</v>
      </c>
      <c r="KZ335" s="65">
        <v>277.77777777777777</v>
      </c>
      <c r="LA335" s="65">
        <v>277.77777777777777</v>
      </c>
      <c r="LB335" s="65">
        <v>277.77777777777777</v>
      </c>
      <c r="LC335" s="65">
        <v>277.77777777777777</v>
      </c>
      <c r="LD335" s="65">
        <v>277.77777777777777</v>
      </c>
      <c r="LE335" s="65">
        <v>277.77777777777777</v>
      </c>
      <c r="LF335" s="65">
        <v>277.77777777777777</v>
      </c>
      <c r="LG335" s="65">
        <v>277.77777777777777</v>
      </c>
      <c r="LH335" s="65">
        <v>277.77777777777777</v>
      </c>
      <c r="LI335" s="65">
        <v>277.77777777777777</v>
      </c>
      <c r="LJ335" s="65">
        <v>277.77777777777777</v>
      </c>
      <c r="LK335" s="65">
        <v>277.77777777777777</v>
      </c>
      <c r="LL335" s="65">
        <v>277.77777777777777</v>
      </c>
      <c r="LM335" s="65">
        <v>277.77777777777777</v>
      </c>
      <c r="LN335" s="65">
        <v>277.77777777777777</v>
      </c>
      <c r="LO335" s="65">
        <v>277.77777777777777</v>
      </c>
      <c r="LP335" s="65">
        <v>277.77777777777777</v>
      </c>
      <c r="LQ335" s="65">
        <v>277.77777777777777</v>
      </c>
      <c r="LR335" s="65">
        <v>277.77777777777777</v>
      </c>
      <c r="LS335" s="65">
        <v>277.77777777777777</v>
      </c>
      <c r="LT335" s="65">
        <v>277.77777777777777</v>
      </c>
      <c r="LU335" s="65">
        <v>277.77777777777777</v>
      </c>
      <c r="LV335" s="65">
        <v>277.77777777777777</v>
      </c>
      <c r="LW335" s="65">
        <v>277.77777777777777</v>
      </c>
      <c r="LX335" s="65">
        <v>277.77777777777777</v>
      </c>
      <c r="LY335" s="65">
        <v>277.77777777777777</v>
      </c>
      <c r="LZ335" s="65">
        <v>277.77777777777777</v>
      </c>
      <c r="MA335" s="65">
        <v>277.77777777777777</v>
      </c>
      <c r="MB335" s="65">
        <v>277.77777777777777</v>
      </c>
      <c r="MC335" s="65">
        <v>277.77777777777777</v>
      </c>
      <c r="MD335" s="65">
        <v>277.77777777777777</v>
      </c>
      <c r="ME335" s="65">
        <v>277.77777777777777</v>
      </c>
      <c r="MF335" s="65">
        <v>277.77777777777777</v>
      </c>
      <c r="MG335" s="65">
        <v>277.77777777777777</v>
      </c>
      <c r="MH335" s="65">
        <v>277.77777777777777</v>
      </c>
      <c r="MI335" s="65">
        <v>277.77777777777777</v>
      </c>
      <c r="MJ335" s="65">
        <v>277.77777777777777</v>
      </c>
      <c r="MK335" s="65">
        <v>277.77777777777777</v>
      </c>
      <c r="ML335" s="65">
        <v>277.77777777777777</v>
      </c>
      <c r="MM335" s="65">
        <v>277.77777777777777</v>
      </c>
      <c r="MN335" s="65">
        <v>277.77777777777777</v>
      </c>
      <c r="MO335" s="65">
        <v>277.77777777777777</v>
      </c>
      <c r="MP335" s="65">
        <v>277.77777777777777</v>
      </c>
      <c r="MQ335" s="65">
        <v>277.77777777777777</v>
      </c>
      <c r="MR335" s="65">
        <v>277.77777777777777</v>
      </c>
      <c r="MS335" s="65">
        <v>277.77777777777777</v>
      </c>
      <c r="MT335" s="65">
        <v>277.77777777777777</v>
      </c>
      <c r="MU335" s="65">
        <v>277.77777777777777</v>
      </c>
      <c r="MV335" s="65">
        <v>277.77777777777777</v>
      </c>
      <c r="MW335" s="65">
        <v>277.77777777777777</v>
      </c>
      <c r="MX335" s="65">
        <v>277.77777777777777</v>
      </c>
      <c r="MY335" s="65">
        <v>277.77777777777777</v>
      </c>
      <c r="MZ335" s="65">
        <v>277.77777777777777</v>
      </c>
      <c r="NA335" s="65">
        <v>277.77777777777777</v>
      </c>
      <c r="NB335" s="65">
        <v>277.77777777777777</v>
      </c>
      <c r="NC335" s="65">
        <v>277.77777777777777</v>
      </c>
      <c r="ND335" s="65">
        <v>277.77777777777777</v>
      </c>
      <c r="NE335" s="65">
        <v>277.77777777777777</v>
      </c>
      <c r="NF335" s="65">
        <v>277.77777777777777</v>
      </c>
      <c r="NG335" s="65">
        <v>277.77777777777777</v>
      </c>
      <c r="NH335" s="65">
        <v>277.77777777777777</v>
      </c>
      <c r="NI335" s="65">
        <v>277.77777777777777</v>
      </c>
      <c r="NJ335" s="65">
        <v>277.77777777777777</v>
      </c>
      <c r="NK335" s="65">
        <v>277.77777777777777</v>
      </c>
      <c r="NL335" s="65">
        <v>277.77777777777777</v>
      </c>
      <c r="NM335" s="65">
        <v>277.77777777777777</v>
      </c>
      <c r="NN335" s="65">
        <v>277.77777777777777</v>
      </c>
      <c r="NO335" s="65">
        <v>277.77777777777777</v>
      </c>
      <c r="NP335" s="65">
        <v>277.77777777777777</v>
      </c>
      <c r="NQ335" s="65">
        <v>277.77777777777777</v>
      </c>
      <c r="NR335" s="65">
        <v>277.77777777777777</v>
      </c>
      <c r="NS335" s="65">
        <v>277.77777777777777</v>
      </c>
      <c r="NT335" s="65">
        <v>277.77777777777777</v>
      </c>
      <c r="NU335" s="65">
        <v>277.77777777777777</v>
      </c>
      <c r="NV335" s="65">
        <v>277.77777777777777</v>
      </c>
      <c r="NW335" s="65">
        <v>277.77777777777777</v>
      </c>
      <c r="NX335" s="65">
        <v>277.77777777777777</v>
      </c>
      <c r="NY335" s="65">
        <v>277.77777777777777</v>
      </c>
      <c r="NZ335" s="65">
        <v>277.77777777777777</v>
      </c>
      <c r="OA335" s="65">
        <v>277.77777777777777</v>
      </c>
      <c r="OB335" s="65">
        <v>277.77777777777777</v>
      </c>
      <c r="OC335" s="65">
        <v>277.77777777777777</v>
      </c>
      <c r="OD335" s="65">
        <v>277.77777777777777</v>
      </c>
      <c r="OE335" s="65">
        <v>277.77777777777777</v>
      </c>
    </row>
    <row r="336" spans="4:395" ht="13.8" customHeight="1" x14ac:dyDescent="0.3">
      <c r="N336" s="30" t="s">
        <v>82</v>
      </c>
      <c r="O336" s="30"/>
      <c r="P336" s="32" t="s">
        <v>78</v>
      </c>
      <c r="Q336" s="30" cm="1">
        <f t="array" ref="Q336:OE336">(_xlfn.ANCHORARRAY(Q333)-_xlfn.ANCHORARRAY(Q334))*_xlfn.ANCHORARRAY(Q335)/1000</f>
        <v>176.18055555555557</v>
      </c>
      <c r="R336" s="30">
        <v>176.18055555555557</v>
      </c>
      <c r="S336" s="30">
        <v>176.18055555555557</v>
      </c>
      <c r="T336" s="30">
        <v>176.18055555555557</v>
      </c>
      <c r="U336" s="30">
        <v>176.18055555555557</v>
      </c>
      <c r="V336" s="30">
        <v>176.18055555555557</v>
      </c>
      <c r="W336" s="30">
        <v>176.18055555555557</v>
      </c>
      <c r="X336" s="30">
        <v>176.18055555555557</v>
      </c>
      <c r="Y336" s="30">
        <v>176.18055555555557</v>
      </c>
      <c r="Z336" s="30">
        <v>176.18055555555557</v>
      </c>
      <c r="AA336" s="30">
        <v>176.18055555555557</v>
      </c>
      <c r="AB336" s="30">
        <v>176.18055555555557</v>
      </c>
      <c r="AC336" s="30">
        <v>172.27777777777777</v>
      </c>
      <c r="AD336" s="30">
        <v>172.27777777777777</v>
      </c>
      <c r="AE336" s="30">
        <v>172.27777777777777</v>
      </c>
      <c r="AF336" s="30">
        <v>172.27777777777777</v>
      </c>
      <c r="AG336" s="30">
        <v>172.27777777777777</v>
      </c>
      <c r="AH336" s="30">
        <v>172.27777777777777</v>
      </c>
      <c r="AI336" s="30">
        <v>172.27777777777777</v>
      </c>
      <c r="AJ336" s="30">
        <v>172.27777777777777</v>
      </c>
      <c r="AK336" s="30">
        <v>172.27777777777777</v>
      </c>
      <c r="AL336" s="30">
        <v>172.27777777777777</v>
      </c>
      <c r="AM336" s="30">
        <v>172.27777777777777</v>
      </c>
      <c r="AN336" s="30">
        <v>172.27777777777777</v>
      </c>
      <c r="AO336" s="30">
        <v>168.39166666666668</v>
      </c>
      <c r="AP336" s="30">
        <v>168.39166666666668</v>
      </c>
      <c r="AQ336" s="30">
        <v>168.39166666666668</v>
      </c>
      <c r="AR336" s="30">
        <v>168.39166666666668</v>
      </c>
      <c r="AS336" s="30">
        <v>168.39166666666668</v>
      </c>
      <c r="AT336" s="30">
        <v>168.39166666666668</v>
      </c>
      <c r="AU336" s="30">
        <v>168.39166666666668</v>
      </c>
      <c r="AV336" s="30">
        <v>168.39166666666668</v>
      </c>
      <c r="AW336" s="30">
        <v>168.39166666666668</v>
      </c>
      <c r="AX336" s="30">
        <v>168.39166666666668</v>
      </c>
      <c r="AY336" s="30">
        <v>168.39166666666668</v>
      </c>
      <c r="AZ336" s="30">
        <v>168.39166666666668</v>
      </c>
      <c r="BA336" s="30">
        <v>164.52500000000001</v>
      </c>
      <c r="BB336" s="30">
        <v>164.52500000000001</v>
      </c>
      <c r="BC336" s="30">
        <v>164.52500000000001</v>
      </c>
      <c r="BD336" s="30">
        <v>164.52500000000001</v>
      </c>
      <c r="BE336" s="30">
        <v>164.52500000000001</v>
      </c>
      <c r="BF336" s="30">
        <v>164.52500000000001</v>
      </c>
      <c r="BG336" s="30">
        <v>164.52500000000001</v>
      </c>
      <c r="BH336" s="30">
        <v>164.52500000000001</v>
      </c>
      <c r="BI336" s="30">
        <v>164.52500000000001</v>
      </c>
      <c r="BJ336" s="30">
        <v>164.52500000000001</v>
      </c>
      <c r="BK336" s="30">
        <v>164.52500000000001</v>
      </c>
      <c r="BL336" s="30">
        <v>164.52500000000001</v>
      </c>
      <c r="BM336" s="30">
        <v>160.67500000000001</v>
      </c>
      <c r="BN336" s="30">
        <v>160.67500000000001</v>
      </c>
      <c r="BO336" s="30">
        <v>160.67500000000001</v>
      </c>
      <c r="BP336" s="30">
        <v>160.67500000000001</v>
      </c>
      <c r="BQ336" s="30">
        <v>160.67500000000001</v>
      </c>
      <c r="BR336" s="30">
        <v>160.67500000000001</v>
      </c>
      <c r="BS336" s="30">
        <v>160.67500000000001</v>
      </c>
      <c r="BT336" s="30">
        <v>160.67500000000001</v>
      </c>
      <c r="BU336" s="30">
        <v>160.67500000000001</v>
      </c>
      <c r="BV336" s="30">
        <v>160.67500000000001</v>
      </c>
      <c r="BW336" s="30">
        <v>160.67500000000001</v>
      </c>
      <c r="BX336" s="30">
        <v>160.67500000000001</v>
      </c>
      <c r="BY336" s="30">
        <v>156.83888888888887</v>
      </c>
      <c r="BZ336" s="30">
        <v>156.83888888888887</v>
      </c>
      <c r="CA336" s="30">
        <v>156.83888888888887</v>
      </c>
      <c r="CB336" s="30">
        <v>156.83888888888887</v>
      </c>
      <c r="CC336" s="30">
        <v>156.83888888888887</v>
      </c>
      <c r="CD336" s="30">
        <v>156.83888888888887</v>
      </c>
      <c r="CE336" s="30">
        <v>156.83888888888887</v>
      </c>
      <c r="CF336" s="30">
        <v>156.83888888888887</v>
      </c>
      <c r="CG336" s="30">
        <v>156.83888888888887</v>
      </c>
      <c r="CH336" s="30">
        <v>156.83888888888887</v>
      </c>
      <c r="CI336" s="30">
        <v>156.83888888888887</v>
      </c>
      <c r="CJ336" s="30">
        <v>156.83888888888887</v>
      </c>
      <c r="CK336" s="30">
        <v>153.01666666666665</v>
      </c>
      <c r="CL336" s="30">
        <v>153.01666666666665</v>
      </c>
      <c r="CM336" s="30">
        <v>153.01666666666665</v>
      </c>
      <c r="CN336" s="30">
        <v>153.01666666666665</v>
      </c>
      <c r="CO336" s="30">
        <v>153.01666666666665</v>
      </c>
      <c r="CP336" s="30">
        <v>153.01666666666665</v>
      </c>
      <c r="CQ336" s="30">
        <v>153.01666666666665</v>
      </c>
      <c r="CR336" s="30">
        <v>153.01666666666665</v>
      </c>
      <c r="CS336" s="30">
        <v>153.01666666666665</v>
      </c>
      <c r="CT336" s="30">
        <v>153.01666666666665</v>
      </c>
      <c r="CU336" s="30">
        <v>153.01666666666665</v>
      </c>
      <c r="CV336" s="30">
        <v>153.01666666666665</v>
      </c>
      <c r="CW336" s="30">
        <v>149.21111111111111</v>
      </c>
      <c r="CX336" s="30">
        <v>149.21111111111111</v>
      </c>
      <c r="CY336" s="30">
        <v>149.21111111111111</v>
      </c>
      <c r="CZ336" s="30">
        <v>149.21111111111111</v>
      </c>
      <c r="DA336" s="30">
        <v>149.21111111111111</v>
      </c>
      <c r="DB336" s="30">
        <v>149.21111111111111</v>
      </c>
      <c r="DC336" s="30">
        <v>149.21111111111111</v>
      </c>
      <c r="DD336" s="30">
        <v>149.21111111111111</v>
      </c>
      <c r="DE336" s="30">
        <v>149.21111111111111</v>
      </c>
      <c r="DF336" s="30">
        <v>149.21111111111111</v>
      </c>
      <c r="DG336" s="30">
        <v>149.21111111111111</v>
      </c>
      <c r="DH336" s="30">
        <v>149.21111111111111</v>
      </c>
      <c r="DI336" s="30">
        <v>145.42222222222222</v>
      </c>
      <c r="DJ336" s="30">
        <v>145.42222222222222</v>
      </c>
      <c r="DK336" s="30">
        <v>145.42222222222222</v>
      </c>
      <c r="DL336" s="30">
        <v>145.42222222222222</v>
      </c>
      <c r="DM336" s="30">
        <v>145.42222222222222</v>
      </c>
      <c r="DN336" s="30">
        <v>145.42222222222222</v>
      </c>
      <c r="DO336" s="30">
        <v>145.42222222222222</v>
      </c>
      <c r="DP336" s="30">
        <v>145.42222222222222</v>
      </c>
      <c r="DQ336" s="30">
        <v>145.42222222222222</v>
      </c>
      <c r="DR336" s="30">
        <v>145.42222222222222</v>
      </c>
      <c r="DS336" s="30">
        <v>145.42222222222222</v>
      </c>
      <c r="DT336" s="30">
        <v>145.42222222222222</v>
      </c>
      <c r="DU336" s="30">
        <v>141.64166666666665</v>
      </c>
      <c r="DV336" s="30">
        <v>141.64166666666665</v>
      </c>
      <c r="DW336" s="30">
        <v>141.64166666666665</v>
      </c>
      <c r="DX336" s="30">
        <v>141.64166666666665</v>
      </c>
      <c r="DY336" s="30">
        <v>141.64166666666665</v>
      </c>
      <c r="DZ336" s="30">
        <v>141.64166666666665</v>
      </c>
      <c r="EA336" s="30">
        <v>141.64166666666665</v>
      </c>
      <c r="EB336" s="30">
        <v>141.64166666666665</v>
      </c>
      <c r="EC336" s="30">
        <v>141.64166666666665</v>
      </c>
      <c r="ED336" s="30">
        <v>141.64166666666665</v>
      </c>
      <c r="EE336" s="30">
        <v>141.64166666666665</v>
      </c>
      <c r="EF336" s="30">
        <v>141.64166666666665</v>
      </c>
      <c r="EG336" s="30">
        <v>137.85</v>
      </c>
      <c r="EH336" s="30">
        <v>137.85</v>
      </c>
      <c r="EI336" s="30">
        <v>137.85</v>
      </c>
      <c r="EJ336" s="30">
        <v>137.85</v>
      </c>
      <c r="EK336" s="30">
        <v>137.85</v>
      </c>
      <c r="EL336" s="30">
        <v>137.85</v>
      </c>
      <c r="EM336" s="30">
        <v>137.85</v>
      </c>
      <c r="EN336" s="30">
        <v>137.85</v>
      </c>
      <c r="EO336" s="30">
        <v>137.85</v>
      </c>
      <c r="EP336" s="30">
        <v>137.85</v>
      </c>
      <c r="EQ336" s="30">
        <v>137.85</v>
      </c>
      <c r="ER336" s="30">
        <v>137.85</v>
      </c>
      <c r="ES336" s="30">
        <v>134.1</v>
      </c>
      <c r="ET336" s="30">
        <v>134.1</v>
      </c>
      <c r="EU336" s="30">
        <v>134.1</v>
      </c>
      <c r="EV336" s="30">
        <v>134.1</v>
      </c>
      <c r="EW336" s="30">
        <v>134.1</v>
      </c>
      <c r="EX336" s="30">
        <v>134.1</v>
      </c>
      <c r="EY336" s="30">
        <v>134.1</v>
      </c>
      <c r="EZ336" s="30">
        <v>134.1</v>
      </c>
      <c r="FA336" s="30">
        <v>134.1</v>
      </c>
      <c r="FB336" s="30">
        <v>134.1</v>
      </c>
      <c r="FC336" s="30">
        <v>134.1</v>
      </c>
      <c r="FD336" s="30">
        <v>134.1</v>
      </c>
      <c r="FE336" s="30">
        <v>130.36111111111109</v>
      </c>
      <c r="FF336" s="30">
        <v>130.36111111111109</v>
      </c>
      <c r="FG336" s="30">
        <v>130.36111111111109</v>
      </c>
      <c r="FH336" s="30">
        <v>130.36111111111109</v>
      </c>
      <c r="FI336" s="30">
        <v>130.36111111111109</v>
      </c>
      <c r="FJ336" s="30">
        <v>130.36111111111109</v>
      </c>
      <c r="FK336" s="30">
        <v>130.36111111111109</v>
      </c>
      <c r="FL336" s="30">
        <v>130.36111111111109</v>
      </c>
      <c r="FM336" s="30">
        <v>130.36111111111109</v>
      </c>
      <c r="FN336" s="30">
        <v>130.36111111111109</v>
      </c>
      <c r="FO336" s="30">
        <v>130.36111111111109</v>
      </c>
      <c r="FP336" s="30">
        <v>130.36111111111109</v>
      </c>
      <c r="FQ336" s="30">
        <v>126.63333333333333</v>
      </c>
      <c r="FR336" s="30">
        <v>126.63333333333333</v>
      </c>
      <c r="FS336" s="30">
        <v>126.63333333333333</v>
      </c>
      <c r="FT336" s="30">
        <v>126.63333333333333</v>
      </c>
      <c r="FU336" s="30">
        <v>126.63333333333333</v>
      </c>
      <c r="FV336" s="30">
        <v>126.63333333333333</v>
      </c>
      <c r="FW336" s="30">
        <v>126.63333333333333</v>
      </c>
      <c r="FX336" s="30">
        <v>126.63333333333333</v>
      </c>
      <c r="FY336" s="30">
        <v>126.63333333333333</v>
      </c>
      <c r="FZ336" s="30">
        <v>126.63333333333333</v>
      </c>
      <c r="GA336" s="30">
        <v>126.63333333333333</v>
      </c>
      <c r="GB336" s="30">
        <v>126.63333333333333</v>
      </c>
      <c r="GC336" s="30">
        <v>122.91944444444444</v>
      </c>
      <c r="GD336" s="30">
        <v>122.91944444444444</v>
      </c>
      <c r="GE336" s="30">
        <v>122.91944444444444</v>
      </c>
      <c r="GF336" s="30">
        <v>122.91944444444444</v>
      </c>
      <c r="GG336" s="30">
        <v>122.91944444444444</v>
      </c>
      <c r="GH336" s="30">
        <v>122.91944444444444</v>
      </c>
      <c r="GI336" s="30">
        <v>122.91944444444444</v>
      </c>
      <c r="GJ336" s="30">
        <v>122.91944444444444</v>
      </c>
      <c r="GK336" s="30">
        <v>122.91944444444444</v>
      </c>
      <c r="GL336" s="30">
        <v>122.91944444444444</v>
      </c>
      <c r="GM336" s="30">
        <v>122.91944444444444</v>
      </c>
      <c r="GN336" s="30">
        <v>122.91944444444444</v>
      </c>
      <c r="GO336" s="30">
        <v>119.21666666666668</v>
      </c>
      <c r="GP336" s="30">
        <v>119.21666666666668</v>
      </c>
      <c r="GQ336" s="30">
        <v>119.21666666666668</v>
      </c>
      <c r="GR336" s="30">
        <v>119.21666666666668</v>
      </c>
      <c r="GS336" s="30">
        <v>119.21666666666668</v>
      </c>
      <c r="GT336" s="30">
        <v>119.21666666666668</v>
      </c>
      <c r="GU336" s="30">
        <v>119.21666666666668</v>
      </c>
      <c r="GV336" s="30">
        <v>119.21666666666668</v>
      </c>
      <c r="GW336" s="30">
        <v>119.21666666666668</v>
      </c>
      <c r="GX336" s="30">
        <v>119.21666666666668</v>
      </c>
      <c r="GY336" s="30">
        <v>119.21666666666668</v>
      </c>
      <c r="GZ336" s="30">
        <v>119.21666666666668</v>
      </c>
      <c r="HA336" s="30">
        <v>115.52500000000001</v>
      </c>
      <c r="HB336" s="30">
        <v>115.52500000000001</v>
      </c>
      <c r="HC336" s="30">
        <v>115.52500000000001</v>
      </c>
      <c r="HD336" s="30">
        <v>115.52500000000001</v>
      </c>
      <c r="HE336" s="30">
        <v>115.52500000000001</v>
      </c>
      <c r="HF336" s="30">
        <v>115.52500000000001</v>
      </c>
      <c r="HG336" s="30">
        <v>115.52500000000001</v>
      </c>
      <c r="HH336" s="30">
        <v>115.52500000000001</v>
      </c>
      <c r="HI336" s="30">
        <v>115.52500000000001</v>
      </c>
      <c r="HJ336" s="30">
        <v>115.52500000000001</v>
      </c>
      <c r="HK336" s="30">
        <v>115.52500000000001</v>
      </c>
      <c r="HL336" s="30">
        <v>115.52500000000001</v>
      </c>
      <c r="HM336" s="30">
        <v>111.84166666666665</v>
      </c>
      <c r="HN336" s="30">
        <v>111.84166666666665</v>
      </c>
      <c r="HO336" s="30">
        <v>111.84166666666665</v>
      </c>
      <c r="HP336" s="30">
        <v>111.84166666666665</v>
      </c>
      <c r="HQ336" s="30">
        <v>111.84166666666665</v>
      </c>
      <c r="HR336" s="30">
        <v>111.84166666666665</v>
      </c>
      <c r="HS336" s="30">
        <v>111.84166666666665</v>
      </c>
      <c r="HT336" s="30">
        <v>111.84166666666665</v>
      </c>
      <c r="HU336" s="30">
        <v>111.84166666666665</v>
      </c>
      <c r="HV336" s="30">
        <v>111.84166666666665</v>
      </c>
      <c r="HW336" s="30">
        <v>111.84166666666665</v>
      </c>
      <c r="HX336" s="30">
        <v>111.84166666666665</v>
      </c>
      <c r="HY336" s="30">
        <v>108.16944444444444</v>
      </c>
      <c r="HZ336" s="30">
        <v>108.16944444444444</v>
      </c>
      <c r="IA336" s="30">
        <v>108.16944444444444</v>
      </c>
      <c r="IB336" s="30">
        <v>108.16944444444444</v>
      </c>
      <c r="IC336" s="30">
        <v>108.16944444444444</v>
      </c>
      <c r="ID336" s="30">
        <v>108.16944444444444</v>
      </c>
      <c r="IE336" s="30">
        <v>108.16944444444444</v>
      </c>
      <c r="IF336" s="30">
        <v>108.16944444444444</v>
      </c>
      <c r="IG336" s="30">
        <v>108.16944444444444</v>
      </c>
      <c r="IH336" s="30">
        <v>108.16944444444444</v>
      </c>
      <c r="II336" s="30">
        <v>108.16944444444444</v>
      </c>
      <c r="IJ336" s="30">
        <v>108.16944444444444</v>
      </c>
      <c r="IK336" s="30">
        <v>104.50555555555556</v>
      </c>
      <c r="IL336" s="30">
        <v>104.50555555555556</v>
      </c>
      <c r="IM336" s="30">
        <v>104.50555555555556</v>
      </c>
      <c r="IN336" s="30">
        <v>104.50555555555556</v>
      </c>
      <c r="IO336" s="30">
        <v>104.50555555555556</v>
      </c>
      <c r="IP336" s="30">
        <v>104.50555555555556</v>
      </c>
      <c r="IQ336" s="30">
        <v>104.50555555555556</v>
      </c>
      <c r="IR336" s="30">
        <v>104.50555555555556</v>
      </c>
      <c r="IS336" s="30">
        <v>104.50555555555556</v>
      </c>
      <c r="IT336" s="30">
        <v>104.50555555555556</v>
      </c>
      <c r="IU336" s="30">
        <v>104.50555555555556</v>
      </c>
      <c r="IV336" s="30">
        <v>104.50555555555556</v>
      </c>
      <c r="IW336" s="30">
        <v>100.85277777777779</v>
      </c>
      <c r="IX336" s="30">
        <v>100.85277777777779</v>
      </c>
      <c r="IY336" s="30">
        <v>100.85277777777779</v>
      </c>
      <c r="IZ336" s="30">
        <v>100.85277777777779</v>
      </c>
      <c r="JA336" s="30">
        <v>100.85277777777779</v>
      </c>
      <c r="JB336" s="30">
        <v>100.85277777777779</v>
      </c>
      <c r="JC336" s="30">
        <v>100.85277777777779</v>
      </c>
      <c r="JD336" s="30">
        <v>100.85277777777779</v>
      </c>
      <c r="JE336" s="30">
        <v>100.85277777777779</v>
      </c>
      <c r="JF336" s="30">
        <v>100.85277777777779</v>
      </c>
      <c r="JG336" s="30">
        <v>100.85277777777779</v>
      </c>
      <c r="JH336" s="30">
        <v>100.85277777777779</v>
      </c>
      <c r="JI336" s="30">
        <v>97.208333333333343</v>
      </c>
      <c r="JJ336" s="30">
        <v>97.208333333333343</v>
      </c>
      <c r="JK336" s="30">
        <v>97.208333333333343</v>
      </c>
      <c r="JL336" s="30">
        <v>97.208333333333343</v>
      </c>
      <c r="JM336" s="30">
        <v>97.208333333333343</v>
      </c>
      <c r="JN336" s="30">
        <v>97.208333333333343</v>
      </c>
      <c r="JO336" s="30">
        <v>97.208333333333343</v>
      </c>
      <c r="JP336" s="30">
        <v>97.208333333333343</v>
      </c>
      <c r="JQ336" s="30">
        <v>97.208333333333343</v>
      </c>
      <c r="JR336" s="30">
        <v>97.208333333333343</v>
      </c>
      <c r="JS336" s="30">
        <v>97.208333333333343</v>
      </c>
      <c r="JT336" s="30">
        <v>97.208333333333343</v>
      </c>
      <c r="JU336" s="30">
        <v>93.575000000000003</v>
      </c>
      <c r="JV336" s="30">
        <v>93.575000000000003</v>
      </c>
      <c r="JW336" s="30">
        <v>93.575000000000003</v>
      </c>
      <c r="JX336" s="30">
        <v>93.575000000000003</v>
      </c>
      <c r="JY336" s="30">
        <v>93.575000000000003</v>
      </c>
      <c r="JZ336" s="30">
        <v>93.575000000000003</v>
      </c>
      <c r="KA336" s="30">
        <v>93.575000000000003</v>
      </c>
      <c r="KB336" s="30">
        <v>93.575000000000003</v>
      </c>
      <c r="KC336" s="30">
        <v>93.575000000000003</v>
      </c>
      <c r="KD336" s="30">
        <v>93.575000000000003</v>
      </c>
      <c r="KE336" s="30">
        <v>93.575000000000003</v>
      </c>
      <c r="KF336" s="30">
        <v>93.575000000000003</v>
      </c>
      <c r="KG336" s="30">
        <v>89.947222222222237</v>
      </c>
      <c r="KH336" s="30">
        <v>89.947222222222237</v>
      </c>
      <c r="KI336" s="30">
        <v>89.947222222222237</v>
      </c>
      <c r="KJ336" s="30">
        <v>89.947222222222237</v>
      </c>
      <c r="KK336" s="30">
        <v>89.947222222222237</v>
      </c>
      <c r="KL336" s="30">
        <v>89.947222222222237</v>
      </c>
      <c r="KM336" s="30">
        <v>89.947222222222237</v>
      </c>
      <c r="KN336" s="30">
        <v>89.947222222222237</v>
      </c>
      <c r="KO336" s="30">
        <v>89.947222222222237</v>
      </c>
      <c r="KP336" s="30">
        <v>89.947222222222237</v>
      </c>
      <c r="KQ336" s="30">
        <v>89.947222222222237</v>
      </c>
      <c r="KR336" s="30">
        <v>89.947222222222237</v>
      </c>
      <c r="KS336" s="30">
        <v>86.327777777777769</v>
      </c>
      <c r="KT336" s="30">
        <v>86.327777777777769</v>
      </c>
      <c r="KU336" s="30">
        <v>86.327777777777769</v>
      </c>
      <c r="KV336" s="30">
        <v>86.327777777777769</v>
      </c>
      <c r="KW336" s="30">
        <v>86.327777777777769</v>
      </c>
      <c r="KX336" s="30">
        <v>86.327777777777769</v>
      </c>
      <c r="KY336" s="30">
        <v>86.327777777777769</v>
      </c>
      <c r="KZ336" s="30">
        <v>86.327777777777769</v>
      </c>
      <c r="LA336" s="30">
        <v>86.327777777777769</v>
      </c>
      <c r="LB336" s="30">
        <v>86.327777777777769</v>
      </c>
      <c r="LC336" s="30">
        <v>86.327777777777769</v>
      </c>
      <c r="LD336" s="30">
        <v>86.327777777777769</v>
      </c>
      <c r="LE336" s="30">
        <v>82.716666666666654</v>
      </c>
      <c r="LF336" s="30">
        <v>82.716666666666654</v>
      </c>
      <c r="LG336" s="30">
        <v>82.716666666666654</v>
      </c>
      <c r="LH336" s="30">
        <v>82.716666666666654</v>
      </c>
      <c r="LI336" s="30">
        <v>82.716666666666654</v>
      </c>
      <c r="LJ336" s="30">
        <v>82.716666666666654</v>
      </c>
      <c r="LK336" s="30">
        <v>82.716666666666654</v>
      </c>
      <c r="LL336" s="30">
        <v>82.716666666666654</v>
      </c>
      <c r="LM336" s="30">
        <v>82.716666666666654</v>
      </c>
      <c r="LN336" s="30">
        <v>82.716666666666654</v>
      </c>
      <c r="LO336" s="30">
        <v>82.716666666666654</v>
      </c>
      <c r="LP336" s="30">
        <v>82.716666666666654</v>
      </c>
      <c r="LQ336" s="30">
        <v>79.1111111111111</v>
      </c>
      <c r="LR336" s="30">
        <v>79.1111111111111</v>
      </c>
      <c r="LS336" s="30">
        <v>79.1111111111111</v>
      </c>
      <c r="LT336" s="30">
        <v>79.1111111111111</v>
      </c>
      <c r="LU336" s="30">
        <v>79.1111111111111</v>
      </c>
      <c r="LV336" s="30">
        <v>79.1111111111111</v>
      </c>
      <c r="LW336" s="30">
        <v>79.1111111111111</v>
      </c>
      <c r="LX336" s="30">
        <v>79.1111111111111</v>
      </c>
      <c r="LY336" s="30">
        <v>79.1111111111111</v>
      </c>
      <c r="LZ336" s="30">
        <v>79.1111111111111</v>
      </c>
      <c r="MA336" s="30">
        <v>79.1111111111111</v>
      </c>
      <c r="MB336" s="30">
        <v>79.1111111111111</v>
      </c>
      <c r="MC336" s="30">
        <v>75.516666666666666</v>
      </c>
      <c r="MD336" s="30">
        <v>75.516666666666666</v>
      </c>
      <c r="ME336" s="30">
        <v>75.516666666666666</v>
      </c>
      <c r="MF336" s="30">
        <v>75.516666666666666</v>
      </c>
      <c r="MG336" s="30">
        <v>75.516666666666666</v>
      </c>
      <c r="MH336" s="30">
        <v>75.516666666666666</v>
      </c>
      <c r="MI336" s="30">
        <v>75.516666666666666</v>
      </c>
      <c r="MJ336" s="30">
        <v>75.516666666666666</v>
      </c>
      <c r="MK336" s="30">
        <v>75.516666666666666</v>
      </c>
      <c r="ML336" s="30">
        <v>75.516666666666666</v>
      </c>
      <c r="MM336" s="30">
        <v>75.516666666666666</v>
      </c>
      <c r="MN336" s="30">
        <v>75.516666666666666</v>
      </c>
      <c r="MO336" s="30">
        <v>71.925000000000011</v>
      </c>
      <c r="MP336" s="30">
        <v>71.925000000000011</v>
      </c>
      <c r="MQ336" s="30">
        <v>71.925000000000011</v>
      </c>
      <c r="MR336" s="30">
        <v>71.925000000000011</v>
      </c>
      <c r="MS336" s="30">
        <v>71.925000000000011</v>
      </c>
      <c r="MT336" s="30">
        <v>71.925000000000011</v>
      </c>
      <c r="MU336" s="30">
        <v>71.925000000000011</v>
      </c>
      <c r="MV336" s="30">
        <v>71.925000000000011</v>
      </c>
      <c r="MW336" s="30">
        <v>71.925000000000011</v>
      </c>
      <c r="MX336" s="30">
        <v>71.925000000000011</v>
      </c>
      <c r="MY336" s="30">
        <v>71.925000000000011</v>
      </c>
      <c r="MZ336" s="30">
        <v>71.925000000000011</v>
      </c>
      <c r="NA336" s="30">
        <v>68.341666666666654</v>
      </c>
      <c r="NB336" s="30">
        <v>68.341666666666654</v>
      </c>
      <c r="NC336" s="30">
        <v>68.341666666666654</v>
      </c>
      <c r="ND336" s="30">
        <v>68.341666666666654</v>
      </c>
      <c r="NE336" s="30">
        <v>68.341666666666654</v>
      </c>
      <c r="NF336" s="30">
        <v>68.341666666666654</v>
      </c>
      <c r="NG336" s="30">
        <v>68.341666666666654</v>
      </c>
      <c r="NH336" s="30">
        <v>68.341666666666654</v>
      </c>
      <c r="NI336" s="30">
        <v>68.341666666666654</v>
      </c>
      <c r="NJ336" s="30">
        <v>68.341666666666654</v>
      </c>
      <c r="NK336" s="30">
        <v>68.341666666666654</v>
      </c>
      <c r="NL336" s="30">
        <v>68.341666666666654</v>
      </c>
      <c r="NM336" s="30">
        <v>64.763888888888886</v>
      </c>
      <c r="NN336" s="30">
        <v>64.763888888888886</v>
      </c>
      <c r="NO336" s="30">
        <v>64.763888888888886</v>
      </c>
      <c r="NP336" s="30">
        <v>64.763888888888886</v>
      </c>
      <c r="NQ336" s="30">
        <v>64.763888888888886</v>
      </c>
      <c r="NR336" s="30">
        <v>64.763888888888886</v>
      </c>
      <c r="NS336" s="30">
        <v>64.763888888888886</v>
      </c>
      <c r="NT336" s="30">
        <v>64.763888888888886</v>
      </c>
      <c r="NU336" s="30">
        <v>64.763888888888886</v>
      </c>
      <c r="NV336" s="30">
        <v>64.763888888888886</v>
      </c>
      <c r="NW336" s="30">
        <v>64.763888888888886</v>
      </c>
      <c r="NX336" s="30">
        <v>64.763888888888886</v>
      </c>
      <c r="NY336" s="30">
        <v>61.191666666666656</v>
      </c>
      <c r="NZ336" s="30">
        <v>61.191666666666656</v>
      </c>
      <c r="OA336" s="30">
        <v>61.191666666666656</v>
      </c>
      <c r="OB336" s="30">
        <v>61.191666666666656</v>
      </c>
      <c r="OC336" s="30">
        <v>61.191666666666656</v>
      </c>
      <c r="OD336" s="30">
        <v>61.191666666666656</v>
      </c>
      <c r="OE336" s="30">
        <v>61.191666666666656</v>
      </c>
    </row>
    <row r="337" spans="1:395" ht="13.8" customHeight="1" x14ac:dyDescent="0.3">
      <c r="N337" s="30" t="s">
        <v>68</v>
      </c>
      <c r="O337" s="30"/>
      <c r="P337" s="32" t="s">
        <v>31</v>
      </c>
      <c r="Q337" s="60" cm="1">
        <f t="array" ref="Q337:OE337">_xlfn.ANCHORARRAY(Q1)*E368</f>
        <v>0.17499999999999999</v>
      </c>
      <c r="R337" s="60">
        <v>0.17499999999999999</v>
      </c>
      <c r="S337" s="60">
        <v>0.17499999999999999</v>
      </c>
      <c r="T337" s="60">
        <v>0.17499999999999999</v>
      </c>
      <c r="U337" s="60">
        <v>0.17499999999999999</v>
      </c>
      <c r="V337" s="60">
        <v>0.17499999999999999</v>
      </c>
      <c r="W337" s="60">
        <v>0.17499999999999999</v>
      </c>
      <c r="X337" s="60">
        <v>0.17499999999999999</v>
      </c>
      <c r="Y337" s="60">
        <v>0.17499999999999999</v>
      </c>
      <c r="Z337" s="60">
        <v>0.17499999999999999</v>
      </c>
      <c r="AA337" s="60">
        <v>0.17499999999999999</v>
      </c>
      <c r="AB337" s="60">
        <v>0.17499999999999999</v>
      </c>
      <c r="AC337" s="60">
        <v>0.17499999999999999</v>
      </c>
      <c r="AD337" s="60">
        <v>0.17499999999999999</v>
      </c>
      <c r="AE337" s="60">
        <v>0.17499999999999999</v>
      </c>
      <c r="AF337" s="60">
        <v>0.17499999999999999</v>
      </c>
      <c r="AG337" s="60">
        <v>0.17499999999999999</v>
      </c>
      <c r="AH337" s="60">
        <v>0.17499999999999999</v>
      </c>
      <c r="AI337" s="60">
        <v>0.17499999999999999</v>
      </c>
      <c r="AJ337" s="60">
        <v>0.17499999999999999</v>
      </c>
      <c r="AK337" s="60">
        <v>0.17499999999999999</v>
      </c>
      <c r="AL337" s="60">
        <v>0.17499999999999999</v>
      </c>
      <c r="AM337" s="60">
        <v>0.17499999999999999</v>
      </c>
      <c r="AN337" s="60">
        <v>0.17499999999999999</v>
      </c>
      <c r="AO337" s="60">
        <v>0.17499999999999999</v>
      </c>
      <c r="AP337" s="60">
        <v>0.17499999999999999</v>
      </c>
      <c r="AQ337" s="60">
        <v>0.17499999999999999</v>
      </c>
      <c r="AR337" s="60">
        <v>0.17499999999999999</v>
      </c>
      <c r="AS337" s="60">
        <v>0.17499999999999999</v>
      </c>
      <c r="AT337" s="60">
        <v>0.17499999999999999</v>
      </c>
      <c r="AU337" s="60">
        <v>0.17499999999999999</v>
      </c>
      <c r="AV337" s="60">
        <v>0.17499999999999999</v>
      </c>
      <c r="AW337" s="60">
        <v>0.17499999999999999</v>
      </c>
      <c r="AX337" s="60">
        <v>0.17499999999999999</v>
      </c>
      <c r="AY337" s="60">
        <v>0.17499999999999999</v>
      </c>
      <c r="AZ337" s="60">
        <v>0.17499999999999999</v>
      </c>
      <c r="BA337" s="60">
        <v>0.17499999999999999</v>
      </c>
      <c r="BB337" s="60">
        <v>0.17499999999999999</v>
      </c>
      <c r="BC337" s="60">
        <v>0.17499999999999999</v>
      </c>
      <c r="BD337" s="60">
        <v>0.17499999999999999</v>
      </c>
      <c r="BE337" s="60">
        <v>0.17499999999999999</v>
      </c>
      <c r="BF337" s="60">
        <v>0.17499999999999999</v>
      </c>
      <c r="BG337" s="60">
        <v>0.17499999999999999</v>
      </c>
      <c r="BH337" s="60">
        <v>0.17499999999999999</v>
      </c>
      <c r="BI337" s="60">
        <v>0.17499999999999999</v>
      </c>
      <c r="BJ337" s="60">
        <v>0.17499999999999999</v>
      </c>
      <c r="BK337" s="60">
        <v>0.17499999999999999</v>
      </c>
      <c r="BL337" s="60">
        <v>0.17499999999999999</v>
      </c>
      <c r="BM337" s="60">
        <v>0.17499999999999999</v>
      </c>
      <c r="BN337" s="60">
        <v>0.17499999999999999</v>
      </c>
      <c r="BO337" s="60">
        <v>0.17499999999999999</v>
      </c>
      <c r="BP337" s="60">
        <v>0.17499999999999999</v>
      </c>
      <c r="BQ337" s="60">
        <v>0.17499999999999999</v>
      </c>
      <c r="BR337" s="60">
        <v>0.17499999999999999</v>
      </c>
      <c r="BS337" s="60">
        <v>0.17499999999999999</v>
      </c>
      <c r="BT337" s="60">
        <v>0.17499999999999999</v>
      </c>
      <c r="BU337" s="60">
        <v>0.17499999999999999</v>
      </c>
      <c r="BV337" s="60">
        <v>0.17499999999999999</v>
      </c>
      <c r="BW337" s="60">
        <v>0.17499999999999999</v>
      </c>
      <c r="BX337" s="60">
        <v>0.17499999999999999</v>
      </c>
      <c r="BY337" s="60">
        <v>0.17499999999999999</v>
      </c>
      <c r="BZ337" s="60">
        <v>0.17499999999999999</v>
      </c>
      <c r="CA337" s="60">
        <v>0.17499999999999999</v>
      </c>
      <c r="CB337" s="60">
        <v>0.17499999999999999</v>
      </c>
      <c r="CC337" s="60">
        <v>0.17499999999999999</v>
      </c>
      <c r="CD337" s="60">
        <v>0.17499999999999999</v>
      </c>
      <c r="CE337" s="60">
        <v>0.17499999999999999</v>
      </c>
      <c r="CF337" s="60">
        <v>0.17499999999999999</v>
      </c>
      <c r="CG337" s="60">
        <v>0.17499999999999999</v>
      </c>
      <c r="CH337" s="60">
        <v>0.17499999999999999</v>
      </c>
      <c r="CI337" s="60">
        <v>0.17499999999999999</v>
      </c>
      <c r="CJ337" s="60">
        <v>0.17499999999999999</v>
      </c>
      <c r="CK337" s="60">
        <v>0.17499999999999999</v>
      </c>
      <c r="CL337" s="60">
        <v>0.17499999999999999</v>
      </c>
      <c r="CM337" s="60">
        <v>0.17499999999999999</v>
      </c>
      <c r="CN337" s="60">
        <v>0.17499999999999999</v>
      </c>
      <c r="CO337" s="60">
        <v>0.17499999999999999</v>
      </c>
      <c r="CP337" s="60">
        <v>0.17499999999999999</v>
      </c>
      <c r="CQ337" s="60">
        <v>0.17499999999999999</v>
      </c>
      <c r="CR337" s="60">
        <v>0.17499999999999999</v>
      </c>
      <c r="CS337" s="60">
        <v>0.17499999999999999</v>
      </c>
      <c r="CT337" s="60">
        <v>0.17499999999999999</v>
      </c>
      <c r="CU337" s="60">
        <v>0.17499999999999999</v>
      </c>
      <c r="CV337" s="60">
        <v>0.17499999999999999</v>
      </c>
      <c r="CW337" s="60">
        <v>0.17499999999999999</v>
      </c>
      <c r="CX337" s="60">
        <v>0.17499999999999999</v>
      </c>
      <c r="CY337" s="60">
        <v>0.17499999999999999</v>
      </c>
      <c r="CZ337" s="60">
        <v>0.17499999999999999</v>
      </c>
      <c r="DA337" s="60">
        <v>0.17499999999999999</v>
      </c>
      <c r="DB337" s="60">
        <v>0.17499999999999999</v>
      </c>
      <c r="DC337" s="60">
        <v>0.17499999999999999</v>
      </c>
      <c r="DD337" s="60">
        <v>0.17499999999999999</v>
      </c>
      <c r="DE337" s="60">
        <v>0.17499999999999999</v>
      </c>
      <c r="DF337" s="60">
        <v>0.17499999999999999</v>
      </c>
      <c r="DG337" s="60">
        <v>0.17499999999999999</v>
      </c>
      <c r="DH337" s="60">
        <v>0.17499999999999999</v>
      </c>
      <c r="DI337" s="60">
        <v>0.17499999999999999</v>
      </c>
      <c r="DJ337" s="60">
        <v>0.17499999999999999</v>
      </c>
      <c r="DK337" s="60">
        <v>0.17499999999999999</v>
      </c>
      <c r="DL337" s="60">
        <v>0.17499999999999999</v>
      </c>
      <c r="DM337" s="60">
        <v>0.17499999999999999</v>
      </c>
      <c r="DN337" s="60">
        <v>0.17499999999999999</v>
      </c>
      <c r="DO337" s="60">
        <v>0.17499999999999999</v>
      </c>
      <c r="DP337" s="60">
        <v>0.17499999999999999</v>
      </c>
      <c r="DQ337" s="60">
        <v>0.17499999999999999</v>
      </c>
      <c r="DR337" s="60">
        <v>0.17499999999999999</v>
      </c>
      <c r="DS337" s="60">
        <v>0.17499999999999999</v>
      </c>
      <c r="DT337" s="60">
        <v>0.17499999999999999</v>
      </c>
      <c r="DU337" s="60">
        <v>0.17499999999999999</v>
      </c>
      <c r="DV337" s="60">
        <v>0.17499999999999999</v>
      </c>
      <c r="DW337" s="60">
        <v>0.17499999999999999</v>
      </c>
      <c r="DX337" s="60">
        <v>0.17499999999999999</v>
      </c>
      <c r="DY337" s="60">
        <v>0.17499999999999999</v>
      </c>
      <c r="DZ337" s="60">
        <v>0.17499999999999999</v>
      </c>
      <c r="EA337" s="60">
        <v>0.17499999999999999</v>
      </c>
      <c r="EB337" s="60">
        <v>0.17499999999999999</v>
      </c>
      <c r="EC337" s="60">
        <v>0.17499999999999999</v>
      </c>
      <c r="ED337" s="60">
        <v>0.17499999999999999</v>
      </c>
      <c r="EE337" s="60">
        <v>0.17499999999999999</v>
      </c>
      <c r="EF337" s="60">
        <v>0.17499999999999999</v>
      </c>
      <c r="EG337" s="60">
        <v>0.17499999999999999</v>
      </c>
      <c r="EH337" s="60">
        <v>0.17499999999999999</v>
      </c>
      <c r="EI337" s="60">
        <v>0.17499999999999999</v>
      </c>
      <c r="EJ337" s="60">
        <v>0.17499999999999999</v>
      </c>
      <c r="EK337" s="60">
        <v>0.17499999999999999</v>
      </c>
      <c r="EL337" s="60">
        <v>0.17499999999999999</v>
      </c>
      <c r="EM337" s="60">
        <v>0.17499999999999999</v>
      </c>
      <c r="EN337" s="60">
        <v>0.17499999999999999</v>
      </c>
      <c r="EO337" s="60">
        <v>0.17499999999999999</v>
      </c>
      <c r="EP337" s="60">
        <v>0.17499999999999999</v>
      </c>
      <c r="EQ337" s="60">
        <v>0.17499999999999999</v>
      </c>
      <c r="ER337" s="60">
        <v>0.17499999999999999</v>
      </c>
      <c r="ES337" s="60">
        <v>0.17499999999999999</v>
      </c>
      <c r="ET337" s="60">
        <v>0.17499999999999999</v>
      </c>
      <c r="EU337" s="60">
        <v>0.17499999999999999</v>
      </c>
      <c r="EV337" s="60">
        <v>0.17499999999999999</v>
      </c>
      <c r="EW337" s="60">
        <v>0.17499999999999999</v>
      </c>
      <c r="EX337" s="60">
        <v>0.17499999999999999</v>
      </c>
      <c r="EY337" s="60">
        <v>0.17499999999999999</v>
      </c>
      <c r="EZ337" s="60">
        <v>0.17499999999999999</v>
      </c>
      <c r="FA337" s="60">
        <v>0.17499999999999999</v>
      </c>
      <c r="FB337" s="60">
        <v>0.17499999999999999</v>
      </c>
      <c r="FC337" s="60">
        <v>0.17499999999999999</v>
      </c>
      <c r="FD337" s="60">
        <v>0.17499999999999999</v>
      </c>
      <c r="FE337" s="60">
        <v>0.17499999999999999</v>
      </c>
      <c r="FF337" s="60">
        <v>0.17499999999999999</v>
      </c>
      <c r="FG337" s="60">
        <v>0.17499999999999999</v>
      </c>
      <c r="FH337" s="60">
        <v>0.17499999999999999</v>
      </c>
      <c r="FI337" s="60">
        <v>0.17499999999999999</v>
      </c>
      <c r="FJ337" s="60">
        <v>0.17499999999999999</v>
      </c>
      <c r="FK337" s="60">
        <v>0.17499999999999999</v>
      </c>
      <c r="FL337" s="60">
        <v>0.17499999999999999</v>
      </c>
      <c r="FM337" s="60">
        <v>0.17499999999999999</v>
      </c>
      <c r="FN337" s="60">
        <v>0.17499999999999999</v>
      </c>
      <c r="FO337" s="60">
        <v>0.17499999999999999</v>
      </c>
      <c r="FP337" s="60">
        <v>0.17499999999999999</v>
      </c>
      <c r="FQ337" s="60">
        <v>0.17499999999999999</v>
      </c>
      <c r="FR337" s="60">
        <v>0.17499999999999999</v>
      </c>
      <c r="FS337" s="60">
        <v>0.17499999999999999</v>
      </c>
      <c r="FT337" s="60">
        <v>0.17499999999999999</v>
      </c>
      <c r="FU337" s="60">
        <v>0.17499999999999999</v>
      </c>
      <c r="FV337" s="60">
        <v>0.17499999999999999</v>
      </c>
      <c r="FW337" s="60">
        <v>0.17499999999999999</v>
      </c>
      <c r="FX337" s="60">
        <v>0.17499999999999999</v>
      </c>
      <c r="FY337" s="60">
        <v>0.17499999999999999</v>
      </c>
      <c r="FZ337" s="60">
        <v>0.17499999999999999</v>
      </c>
      <c r="GA337" s="60">
        <v>0.17499999999999999</v>
      </c>
      <c r="GB337" s="60">
        <v>0.17499999999999999</v>
      </c>
      <c r="GC337" s="60">
        <v>0.17499999999999999</v>
      </c>
      <c r="GD337" s="60">
        <v>0.17499999999999999</v>
      </c>
      <c r="GE337" s="60">
        <v>0.17499999999999999</v>
      </c>
      <c r="GF337" s="60">
        <v>0.17499999999999999</v>
      </c>
      <c r="GG337" s="60">
        <v>0.17499999999999999</v>
      </c>
      <c r="GH337" s="60">
        <v>0.17499999999999999</v>
      </c>
      <c r="GI337" s="60">
        <v>0.17499999999999999</v>
      </c>
      <c r="GJ337" s="60">
        <v>0.17499999999999999</v>
      </c>
      <c r="GK337" s="60">
        <v>0.17499999999999999</v>
      </c>
      <c r="GL337" s="60">
        <v>0.17499999999999999</v>
      </c>
      <c r="GM337" s="60">
        <v>0.17499999999999999</v>
      </c>
      <c r="GN337" s="60">
        <v>0.17499999999999999</v>
      </c>
      <c r="GO337" s="60">
        <v>0.17499999999999999</v>
      </c>
      <c r="GP337" s="60">
        <v>0.17499999999999999</v>
      </c>
      <c r="GQ337" s="60">
        <v>0.17499999999999999</v>
      </c>
      <c r="GR337" s="60">
        <v>0.17499999999999999</v>
      </c>
      <c r="GS337" s="60">
        <v>0.17499999999999999</v>
      </c>
      <c r="GT337" s="60">
        <v>0.17499999999999999</v>
      </c>
      <c r="GU337" s="60">
        <v>0.17499999999999999</v>
      </c>
      <c r="GV337" s="60">
        <v>0.17499999999999999</v>
      </c>
      <c r="GW337" s="60">
        <v>0.17499999999999999</v>
      </c>
      <c r="GX337" s="60">
        <v>0.17499999999999999</v>
      </c>
      <c r="GY337" s="60">
        <v>0.17499999999999999</v>
      </c>
      <c r="GZ337" s="60">
        <v>0.17499999999999999</v>
      </c>
      <c r="HA337" s="60">
        <v>0.17499999999999999</v>
      </c>
      <c r="HB337" s="60">
        <v>0.17499999999999999</v>
      </c>
      <c r="HC337" s="60">
        <v>0.17499999999999999</v>
      </c>
      <c r="HD337" s="60">
        <v>0.17499999999999999</v>
      </c>
      <c r="HE337" s="60">
        <v>0.17499999999999999</v>
      </c>
      <c r="HF337" s="60">
        <v>0.17499999999999999</v>
      </c>
      <c r="HG337" s="60">
        <v>0.17499999999999999</v>
      </c>
      <c r="HH337" s="60">
        <v>0.17499999999999999</v>
      </c>
      <c r="HI337" s="60">
        <v>0.17499999999999999</v>
      </c>
      <c r="HJ337" s="60">
        <v>0.17499999999999999</v>
      </c>
      <c r="HK337" s="60">
        <v>0.17499999999999999</v>
      </c>
      <c r="HL337" s="60">
        <v>0.17499999999999999</v>
      </c>
      <c r="HM337" s="60">
        <v>0.17499999999999999</v>
      </c>
      <c r="HN337" s="60">
        <v>0.17499999999999999</v>
      </c>
      <c r="HO337" s="60">
        <v>0.17499999999999999</v>
      </c>
      <c r="HP337" s="60">
        <v>0.17499999999999999</v>
      </c>
      <c r="HQ337" s="60">
        <v>0.17499999999999999</v>
      </c>
      <c r="HR337" s="60">
        <v>0.17499999999999999</v>
      </c>
      <c r="HS337" s="60">
        <v>0.17499999999999999</v>
      </c>
      <c r="HT337" s="60">
        <v>0.17499999999999999</v>
      </c>
      <c r="HU337" s="60">
        <v>0.17499999999999999</v>
      </c>
      <c r="HV337" s="60">
        <v>0.17499999999999999</v>
      </c>
      <c r="HW337" s="60">
        <v>0.17499999999999999</v>
      </c>
      <c r="HX337" s="60">
        <v>0.17499999999999999</v>
      </c>
      <c r="HY337" s="60">
        <v>0.17499999999999999</v>
      </c>
      <c r="HZ337" s="60">
        <v>0.17499999999999999</v>
      </c>
      <c r="IA337" s="60">
        <v>0.17499999999999999</v>
      </c>
      <c r="IB337" s="60">
        <v>0.17499999999999999</v>
      </c>
      <c r="IC337" s="60">
        <v>0.17499999999999999</v>
      </c>
      <c r="ID337" s="60">
        <v>0.17499999999999999</v>
      </c>
      <c r="IE337" s="60">
        <v>0.17499999999999999</v>
      </c>
      <c r="IF337" s="60">
        <v>0.17499999999999999</v>
      </c>
      <c r="IG337" s="60">
        <v>0.17499999999999999</v>
      </c>
      <c r="IH337" s="60">
        <v>0.17499999999999999</v>
      </c>
      <c r="II337" s="60">
        <v>0.17499999999999999</v>
      </c>
      <c r="IJ337" s="60">
        <v>0.17499999999999999</v>
      </c>
      <c r="IK337" s="60">
        <v>0.17499999999999999</v>
      </c>
      <c r="IL337" s="60">
        <v>0.17499999999999999</v>
      </c>
      <c r="IM337" s="60">
        <v>0.17499999999999999</v>
      </c>
      <c r="IN337" s="60">
        <v>0.17499999999999999</v>
      </c>
      <c r="IO337" s="60">
        <v>0.17499999999999999</v>
      </c>
      <c r="IP337" s="60">
        <v>0.17499999999999999</v>
      </c>
      <c r="IQ337" s="60">
        <v>0.17499999999999999</v>
      </c>
      <c r="IR337" s="60">
        <v>0.17499999999999999</v>
      </c>
      <c r="IS337" s="60">
        <v>0.17499999999999999</v>
      </c>
      <c r="IT337" s="60">
        <v>0.17499999999999999</v>
      </c>
      <c r="IU337" s="60">
        <v>0.17499999999999999</v>
      </c>
      <c r="IV337" s="60">
        <v>0.17499999999999999</v>
      </c>
      <c r="IW337" s="60">
        <v>0.17499999999999999</v>
      </c>
      <c r="IX337" s="60">
        <v>0.17499999999999999</v>
      </c>
      <c r="IY337" s="60">
        <v>0.17499999999999999</v>
      </c>
      <c r="IZ337" s="60">
        <v>0.17499999999999999</v>
      </c>
      <c r="JA337" s="60">
        <v>0.17499999999999999</v>
      </c>
      <c r="JB337" s="60">
        <v>0.17499999999999999</v>
      </c>
      <c r="JC337" s="60">
        <v>0.17499999999999999</v>
      </c>
      <c r="JD337" s="60">
        <v>0.17499999999999999</v>
      </c>
      <c r="JE337" s="60">
        <v>0.17499999999999999</v>
      </c>
      <c r="JF337" s="60">
        <v>0.17499999999999999</v>
      </c>
      <c r="JG337" s="60">
        <v>0.17499999999999999</v>
      </c>
      <c r="JH337" s="60">
        <v>0.17499999999999999</v>
      </c>
      <c r="JI337" s="60">
        <v>0.17499999999999999</v>
      </c>
      <c r="JJ337" s="60">
        <v>0.17499999999999999</v>
      </c>
      <c r="JK337" s="60">
        <v>0.17499999999999999</v>
      </c>
      <c r="JL337" s="60">
        <v>0.17499999999999999</v>
      </c>
      <c r="JM337" s="60">
        <v>0.17499999999999999</v>
      </c>
      <c r="JN337" s="60">
        <v>0.17499999999999999</v>
      </c>
      <c r="JO337" s="60">
        <v>0.17499999999999999</v>
      </c>
      <c r="JP337" s="60">
        <v>0.17499999999999999</v>
      </c>
      <c r="JQ337" s="60">
        <v>0.17499999999999999</v>
      </c>
      <c r="JR337" s="60">
        <v>0.17499999999999999</v>
      </c>
      <c r="JS337" s="60">
        <v>0.17499999999999999</v>
      </c>
      <c r="JT337" s="60">
        <v>0.17499999999999999</v>
      </c>
      <c r="JU337" s="60">
        <v>0.17499999999999999</v>
      </c>
      <c r="JV337" s="60">
        <v>0.17499999999999999</v>
      </c>
      <c r="JW337" s="60">
        <v>0.17499999999999999</v>
      </c>
      <c r="JX337" s="60">
        <v>0.17499999999999999</v>
      </c>
      <c r="JY337" s="60">
        <v>0.17499999999999999</v>
      </c>
      <c r="JZ337" s="60">
        <v>0.17499999999999999</v>
      </c>
      <c r="KA337" s="60">
        <v>0.17499999999999999</v>
      </c>
      <c r="KB337" s="60">
        <v>0.17499999999999999</v>
      </c>
      <c r="KC337" s="60">
        <v>0.17499999999999999</v>
      </c>
      <c r="KD337" s="60">
        <v>0.17499999999999999</v>
      </c>
      <c r="KE337" s="60">
        <v>0.17499999999999999</v>
      </c>
      <c r="KF337" s="60">
        <v>0.17499999999999999</v>
      </c>
      <c r="KG337" s="60">
        <v>0.17499999999999999</v>
      </c>
      <c r="KH337" s="60">
        <v>0.17499999999999999</v>
      </c>
      <c r="KI337" s="60">
        <v>0.17499999999999999</v>
      </c>
      <c r="KJ337" s="60">
        <v>0.17499999999999999</v>
      </c>
      <c r="KK337" s="60">
        <v>0.17499999999999999</v>
      </c>
      <c r="KL337" s="60">
        <v>0.17499999999999999</v>
      </c>
      <c r="KM337" s="60">
        <v>0.17499999999999999</v>
      </c>
      <c r="KN337" s="60">
        <v>0.17499999999999999</v>
      </c>
      <c r="KO337" s="60">
        <v>0.17499999999999999</v>
      </c>
      <c r="KP337" s="60">
        <v>0.17499999999999999</v>
      </c>
      <c r="KQ337" s="60">
        <v>0.17499999999999999</v>
      </c>
      <c r="KR337" s="60">
        <v>0.17499999999999999</v>
      </c>
      <c r="KS337" s="60">
        <v>0.17499999999999999</v>
      </c>
      <c r="KT337" s="60">
        <v>0.17499999999999999</v>
      </c>
      <c r="KU337" s="60">
        <v>0.17499999999999999</v>
      </c>
      <c r="KV337" s="60">
        <v>0.17499999999999999</v>
      </c>
      <c r="KW337" s="60">
        <v>0.17499999999999999</v>
      </c>
      <c r="KX337" s="60">
        <v>0.17499999999999999</v>
      </c>
      <c r="KY337" s="60">
        <v>0.17499999999999999</v>
      </c>
      <c r="KZ337" s="60">
        <v>0.17499999999999999</v>
      </c>
      <c r="LA337" s="60">
        <v>0.17499999999999999</v>
      </c>
      <c r="LB337" s="60">
        <v>0.17499999999999999</v>
      </c>
      <c r="LC337" s="60">
        <v>0.17499999999999999</v>
      </c>
      <c r="LD337" s="60">
        <v>0.17499999999999999</v>
      </c>
      <c r="LE337" s="60">
        <v>0.17499999999999999</v>
      </c>
      <c r="LF337" s="60">
        <v>0.17499999999999999</v>
      </c>
      <c r="LG337" s="60">
        <v>0.17499999999999999</v>
      </c>
      <c r="LH337" s="60">
        <v>0.17499999999999999</v>
      </c>
      <c r="LI337" s="60">
        <v>0.17499999999999999</v>
      </c>
      <c r="LJ337" s="60">
        <v>0.17499999999999999</v>
      </c>
      <c r="LK337" s="60">
        <v>0.17499999999999999</v>
      </c>
      <c r="LL337" s="60">
        <v>0.17499999999999999</v>
      </c>
      <c r="LM337" s="60">
        <v>0.17499999999999999</v>
      </c>
      <c r="LN337" s="60">
        <v>0.17499999999999999</v>
      </c>
      <c r="LO337" s="60">
        <v>0.17499999999999999</v>
      </c>
      <c r="LP337" s="60">
        <v>0.17499999999999999</v>
      </c>
      <c r="LQ337" s="60">
        <v>0.17499999999999999</v>
      </c>
      <c r="LR337" s="60">
        <v>0.17499999999999999</v>
      </c>
      <c r="LS337" s="60">
        <v>0.17499999999999999</v>
      </c>
      <c r="LT337" s="60">
        <v>0.17499999999999999</v>
      </c>
      <c r="LU337" s="60">
        <v>0.17499999999999999</v>
      </c>
      <c r="LV337" s="60">
        <v>0.17499999999999999</v>
      </c>
      <c r="LW337" s="60">
        <v>0.17499999999999999</v>
      </c>
      <c r="LX337" s="60">
        <v>0.17499999999999999</v>
      </c>
      <c r="LY337" s="60">
        <v>0.17499999999999999</v>
      </c>
      <c r="LZ337" s="60">
        <v>0.17499999999999999</v>
      </c>
      <c r="MA337" s="60">
        <v>0.17499999999999999</v>
      </c>
      <c r="MB337" s="60">
        <v>0.17499999999999999</v>
      </c>
      <c r="MC337" s="60">
        <v>0.17499999999999999</v>
      </c>
      <c r="MD337" s="60">
        <v>0.17499999999999999</v>
      </c>
      <c r="ME337" s="60">
        <v>0.17499999999999999</v>
      </c>
      <c r="MF337" s="60">
        <v>0.17499999999999999</v>
      </c>
      <c r="MG337" s="60">
        <v>0.17499999999999999</v>
      </c>
      <c r="MH337" s="60">
        <v>0.17499999999999999</v>
      </c>
      <c r="MI337" s="60">
        <v>0.17499999999999999</v>
      </c>
      <c r="MJ337" s="60">
        <v>0.17499999999999999</v>
      </c>
      <c r="MK337" s="60">
        <v>0.17499999999999999</v>
      </c>
      <c r="ML337" s="60">
        <v>0.17499999999999999</v>
      </c>
      <c r="MM337" s="60">
        <v>0.17499999999999999</v>
      </c>
      <c r="MN337" s="60">
        <v>0.17499999999999999</v>
      </c>
      <c r="MO337" s="60">
        <v>0.17499999999999999</v>
      </c>
      <c r="MP337" s="60">
        <v>0.17499999999999999</v>
      </c>
      <c r="MQ337" s="60">
        <v>0.17499999999999999</v>
      </c>
      <c r="MR337" s="60">
        <v>0.17499999999999999</v>
      </c>
      <c r="MS337" s="60">
        <v>0.17499999999999999</v>
      </c>
      <c r="MT337" s="60">
        <v>0.17499999999999999</v>
      </c>
      <c r="MU337" s="60">
        <v>0.17499999999999999</v>
      </c>
      <c r="MV337" s="60">
        <v>0.17499999999999999</v>
      </c>
      <c r="MW337" s="60">
        <v>0.17499999999999999</v>
      </c>
      <c r="MX337" s="60">
        <v>0.17499999999999999</v>
      </c>
      <c r="MY337" s="60">
        <v>0.17499999999999999</v>
      </c>
      <c r="MZ337" s="60">
        <v>0.17499999999999999</v>
      </c>
      <c r="NA337" s="60">
        <v>0.17499999999999999</v>
      </c>
      <c r="NB337" s="60">
        <v>0.17499999999999999</v>
      </c>
      <c r="NC337" s="60">
        <v>0.17499999999999999</v>
      </c>
      <c r="ND337" s="60">
        <v>0.17499999999999999</v>
      </c>
      <c r="NE337" s="60">
        <v>0.17499999999999999</v>
      </c>
      <c r="NF337" s="60">
        <v>0.17499999999999999</v>
      </c>
      <c r="NG337" s="60">
        <v>0.17499999999999999</v>
      </c>
      <c r="NH337" s="60">
        <v>0.17499999999999999</v>
      </c>
      <c r="NI337" s="60">
        <v>0.17499999999999999</v>
      </c>
      <c r="NJ337" s="60">
        <v>0.17499999999999999</v>
      </c>
      <c r="NK337" s="60">
        <v>0.17499999999999999</v>
      </c>
      <c r="NL337" s="60">
        <v>0.17499999999999999</v>
      </c>
      <c r="NM337" s="60">
        <v>0.17499999999999999</v>
      </c>
      <c r="NN337" s="60">
        <v>0.17499999999999999</v>
      </c>
      <c r="NO337" s="60">
        <v>0.17499999999999999</v>
      </c>
      <c r="NP337" s="60">
        <v>0.17499999999999999</v>
      </c>
      <c r="NQ337" s="60">
        <v>0.17499999999999999</v>
      </c>
      <c r="NR337" s="60">
        <v>0.17499999999999999</v>
      </c>
      <c r="NS337" s="60">
        <v>0.17499999999999999</v>
      </c>
      <c r="NT337" s="60">
        <v>0.17499999999999999</v>
      </c>
      <c r="NU337" s="60">
        <v>0.17499999999999999</v>
      </c>
      <c r="NV337" s="60">
        <v>0.17499999999999999</v>
      </c>
      <c r="NW337" s="60">
        <v>0.17499999999999999</v>
      </c>
      <c r="NX337" s="60">
        <v>0.17499999999999999</v>
      </c>
      <c r="NY337" s="60">
        <v>0.17499999999999999</v>
      </c>
      <c r="NZ337" s="60">
        <v>0.17499999999999999</v>
      </c>
      <c r="OA337" s="60">
        <v>0.17499999999999999</v>
      </c>
      <c r="OB337" s="60">
        <v>0.17499999999999999</v>
      </c>
      <c r="OC337" s="60">
        <v>0.17499999999999999</v>
      </c>
      <c r="OD337" s="60">
        <v>0.17499999999999999</v>
      </c>
      <c r="OE337" s="60">
        <v>0.17499999999999999</v>
      </c>
    </row>
    <row r="338" spans="1:395" ht="13.8" customHeight="1" x14ac:dyDescent="0.3">
      <c r="N338" s="30" t="s">
        <v>98</v>
      </c>
      <c r="O338" s="30"/>
      <c r="P338" s="32" t="s">
        <v>29</v>
      </c>
      <c r="Q338" s="61" cm="1">
        <f t="array" ref="Q338:OE338">_xlfn.ANCHORARRAY(Q336)*_xlfn.ANCHORARRAY(Q337)</f>
        <v>30.831597222222221</v>
      </c>
      <c r="R338" s="61">
        <v>30.831597222222221</v>
      </c>
      <c r="S338" s="61">
        <v>30.831597222222221</v>
      </c>
      <c r="T338" s="61">
        <v>30.831597222222221</v>
      </c>
      <c r="U338" s="61">
        <v>30.831597222222221</v>
      </c>
      <c r="V338" s="61">
        <v>30.831597222222221</v>
      </c>
      <c r="W338" s="61">
        <v>30.831597222222221</v>
      </c>
      <c r="X338" s="61">
        <v>30.831597222222221</v>
      </c>
      <c r="Y338" s="61">
        <v>30.831597222222221</v>
      </c>
      <c r="Z338" s="61">
        <v>30.831597222222221</v>
      </c>
      <c r="AA338" s="61">
        <v>30.831597222222221</v>
      </c>
      <c r="AB338" s="61">
        <v>30.831597222222221</v>
      </c>
      <c r="AC338" s="61">
        <v>30.148611111111109</v>
      </c>
      <c r="AD338" s="61">
        <v>30.148611111111109</v>
      </c>
      <c r="AE338" s="61">
        <v>30.148611111111109</v>
      </c>
      <c r="AF338" s="61">
        <v>30.148611111111109</v>
      </c>
      <c r="AG338" s="61">
        <v>30.148611111111109</v>
      </c>
      <c r="AH338" s="61">
        <v>30.148611111111109</v>
      </c>
      <c r="AI338" s="61">
        <v>30.148611111111109</v>
      </c>
      <c r="AJ338" s="61">
        <v>30.148611111111109</v>
      </c>
      <c r="AK338" s="61">
        <v>30.148611111111109</v>
      </c>
      <c r="AL338" s="61">
        <v>30.148611111111109</v>
      </c>
      <c r="AM338" s="61">
        <v>30.148611111111109</v>
      </c>
      <c r="AN338" s="61">
        <v>30.148611111111109</v>
      </c>
      <c r="AO338" s="61">
        <v>29.468541666666667</v>
      </c>
      <c r="AP338" s="61">
        <v>29.468541666666667</v>
      </c>
      <c r="AQ338" s="61">
        <v>29.468541666666667</v>
      </c>
      <c r="AR338" s="61">
        <v>29.468541666666667</v>
      </c>
      <c r="AS338" s="61">
        <v>29.468541666666667</v>
      </c>
      <c r="AT338" s="61">
        <v>29.468541666666667</v>
      </c>
      <c r="AU338" s="61">
        <v>29.468541666666667</v>
      </c>
      <c r="AV338" s="61">
        <v>29.468541666666667</v>
      </c>
      <c r="AW338" s="61">
        <v>29.468541666666667</v>
      </c>
      <c r="AX338" s="61">
        <v>29.468541666666667</v>
      </c>
      <c r="AY338" s="61">
        <v>29.468541666666667</v>
      </c>
      <c r="AZ338" s="61">
        <v>29.468541666666667</v>
      </c>
      <c r="BA338" s="61">
        <v>28.791874999999997</v>
      </c>
      <c r="BB338" s="61">
        <v>28.791874999999997</v>
      </c>
      <c r="BC338" s="61">
        <v>28.791874999999997</v>
      </c>
      <c r="BD338" s="61">
        <v>28.791874999999997</v>
      </c>
      <c r="BE338" s="61">
        <v>28.791874999999997</v>
      </c>
      <c r="BF338" s="61">
        <v>28.791874999999997</v>
      </c>
      <c r="BG338" s="61">
        <v>28.791874999999997</v>
      </c>
      <c r="BH338" s="61">
        <v>28.791874999999997</v>
      </c>
      <c r="BI338" s="61">
        <v>28.791874999999997</v>
      </c>
      <c r="BJ338" s="61">
        <v>28.791874999999997</v>
      </c>
      <c r="BK338" s="61">
        <v>28.791874999999997</v>
      </c>
      <c r="BL338" s="61">
        <v>28.791874999999997</v>
      </c>
      <c r="BM338" s="61">
        <v>28.118124999999999</v>
      </c>
      <c r="BN338" s="61">
        <v>28.118124999999999</v>
      </c>
      <c r="BO338" s="61">
        <v>28.118124999999999</v>
      </c>
      <c r="BP338" s="61">
        <v>28.118124999999999</v>
      </c>
      <c r="BQ338" s="61">
        <v>28.118124999999999</v>
      </c>
      <c r="BR338" s="61">
        <v>28.118124999999999</v>
      </c>
      <c r="BS338" s="61">
        <v>28.118124999999999</v>
      </c>
      <c r="BT338" s="61">
        <v>28.118124999999999</v>
      </c>
      <c r="BU338" s="61">
        <v>28.118124999999999</v>
      </c>
      <c r="BV338" s="61">
        <v>28.118124999999999</v>
      </c>
      <c r="BW338" s="61">
        <v>28.118124999999999</v>
      </c>
      <c r="BX338" s="61">
        <v>28.118124999999999</v>
      </c>
      <c r="BY338" s="61">
        <v>27.446805555555553</v>
      </c>
      <c r="BZ338" s="61">
        <v>27.446805555555553</v>
      </c>
      <c r="CA338" s="61">
        <v>27.446805555555553</v>
      </c>
      <c r="CB338" s="61">
        <v>27.446805555555553</v>
      </c>
      <c r="CC338" s="61">
        <v>27.446805555555553</v>
      </c>
      <c r="CD338" s="61">
        <v>27.446805555555553</v>
      </c>
      <c r="CE338" s="61">
        <v>27.446805555555553</v>
      </c>
      <c r="CF338" s="61">
        <v>27.446805555555553</v>
      </c>
      <c r="CG338" s="61">
        <v>27.446805555555553</v>
      </c>
      <c r="CH338" s="61">
        <v>27.446805555555553</v>
      </c>
      <c r="CI338" s="61">
        <v>27.446805555555553</v>
      </c>
      <c r="CJ338" s="61">
        <v>27.446805555555553</v>
      </c>
      <c r="CK338" s="61">
        <v>26.777916666666663</v>
      </c>
      <c r="CL338" s="61">
        <v>26.777916666666663</v>
      </c>
      <c r="CM338" s="61">
        <v>26.777916666666663</v>
      </c>
      <c r="CN338" s="61">
        <v>26.777916666666663</v>
      </c>
      <c r="CO338" s="61">
        <v>26.777916666666663</v>
      </c>
      <c r="CP338" s="61">
        <v>26.777916666666663</v>
      </c>
      <c r="CQ338" s="61">
        <v>26.777916666666663</v>
      </c>
      <c r="CR338" s="61">
        <v>26.777916666666663</v>
      </c>
      <c r="CS338" s="61">
        <v>26.777916666666663</v>
      </c>
      <c r="CT338" s="61">
        <v>26.777916666666663</v>
      </c>
      <c r="CU338" s="61">
        <v>26.777916666666663</v>
      </c>
      <c r="CV338" s="61">
        <v>26.777916666666663</v>
      </c>
      <c r="CW338" s="61">
        <v>26.111944444444443</v>
      </c>
      <c r="CX338" s="61">
        <v>26.111944444444443</v>
      </c>
      <c r="CY338" s="61">
        <v>26.111944444444443</v>
      </c>
      <c r="CZ338" s="61">
        <v>26.111944444444443</v>
      </c>
      <c r="DA338" s="61">
        <v>26.111944444444443</v>
      </c>
      <c r="DB338" s="61">
        <v>26.111944444444443</v>
      </c>
      <c r="DC338" s="61">
        <v>26.111944444444443</v>
      </c>
      <c r="DD338" s="61">
        <v>26.111944444444443</v>
      </c>
      <c r="DE338" s="61">
        <v>26.111944444444443</v>
      </c>
      <c r="DF338" s="61">
        <v>26.111944444444443</v>
      </c>
      <c r="DG338" s="61">
        <v>26.111944444444443</v>
      </c>
      <c r="DH338" s="61">
        <v>26.111944444444443</v>
      </c>
      <c r="DI338" s="61">
        <v>25.448888888888888</v>
      </c>
      <c r="DJ338" s="61">
        <v>25.448888888888888</v>
      </c>
      <c r="DK338" s="61">
        <v>25.448888888888888</v>
      </c>
      <c r="DL338" s="61">
        <v>25.448888888888888</v>
      </c>
      <c r="DM338" s="61">
        <v>25.448888888888888</v>
      </c>
      <c r="DN338" s="61">
        <v>25.448888888888888</v>
      </c>
      <c r="DO338" s="61">
        <v>25.448888888888888</v>
      </c>
      <c r="DP338" s="61">
        <v>25.448888888888888</v>
      </c>
      <c r="DQ338" s="61">
        <v>25.448888888888888</v>
      </c>
      <c r="DR338" s="61">
        <v>25.448888888888888</v>
      </c>
      <c r="DS338" s="61">
        <v>25.448888888888888</v>
      </c>
      <c r="DT338" s="61">
        <v>25.448888888888888</v>
      </c>
      <c r="DU338" s="61">
        <v>24.787291666666661</v>
      </c>
      <c r="DV338" s="61">
        <v>24.787291666666661</v>
      </c>
      <c r="DW338" s="61">
        <v>24.787291666666661</v>
      </c>
      <c r="DX338" s="61">
        <v>24.787291666666661</v>
      </c>
      <c r="DY338" s="61">
        <v>24.787291666666661</v>
      </c>
      <c r="DZ338" s="61">
        <v>24.787291666666661</v>
      </c>
      <c r="EA338" s="61">
        <v>24.787291666666661</v>
      </c>
      <c r="EB338" s="61">
        <v>24.787291666666661</v>
      </c>
      <c r="EC338" s="61">
        <v>24.787291666666661</v>
      </c>
      <c r="ED338" s="61">
        <v>24.787291666666661</v>
      </c>
      <c r="EE338" s="61">
        <v>24.787291666666661</v>
      </c>
      <c r="EF338" s="61">
        <v>24.787291666666661</v>
      </c>
      <c r="EG338" s="61">
        <v>24.123749999999998</v>
      </c>
      <c r="EH338" s="61">
        <v>24.123749999999998</v>
      </c>
      <c r="EI338" s="61">
        <v>24.123749999999998</v>
      </c>
      <c r="EJ338" s="61">
        <v>24.123749999999998</v>
      </c>
      <c r="EK338" s="61">
        <v>24.123749999999998</v>
      </c>
      <c r="EL338" s="61">
        <v>24.123749999999998</v>
      </c>
      <c r="EM338" s="61">
        <v>24.123749999999998</v>
      </c>
      <c r="EN338" s="61">
        <v>24.123749999999998</v>
      </c>
      <c r="EO338" s="61">
        <v>24.123749999999998</v>
      </c>
      <c r="EP338" s="61">
        <v>24.123749999999998</v>
      </c>
      <c r="EQ338" s="61">
        <v>24.123749999999998</v>
      </c>
      <c r="ER338" s="61">
        <v>24.123749999999998</v>
      </c>
      <c r="ES338" s="61">
        <v>23.467499999999998</v>
      </c>
      <c r="ET338" s="61">
        <v>23.467499999999998</v>
      </c>
      <c r="EU338" s="61">
        <v>23.467499999999998</v>
      </c>
      <c r="EV338" s="61">
        <v>23.467499999999998</v>
      </c>
      <c r="EW338" s="61">
        <v>23.467499999999998</v>
      </c>
      <c r="EX338" s="61">
        <v>23.467499999999998</v>
      </c>
      <c r="EY338" s="61">
        <v>23.467499999999998</v>
      </c>
      <c r="EZ338" s="61">
        <v>23.467499999999998</v>
      </c>
      <c r="FA338" s="61">
        <v>23.467499999999998</v>
      </c>
      <c r="FB338" s="61">
        <v>23.467499999999998</v>
      </c>
      <c r="FC338" s="61">
        <v>23.467499999999998</v>
      </c>
      <c r="FD338" s="61">
        <v>23.467499999999998</v>
      </c>
      <c r="FE338" s="61">
        <v>22.813194444444438</v>
      </c>
      <c r="FF338" s="61">
        <v>22.813194444444438</v>
      </c>
      <c r="FG338" s="61">
        <v>22.813194444444438</v>
      </c>
      <c r="FH338" s="61">
        <v>22.813194444444438</v>
      </c>
      <c r="FI338" s="61">
        <v>22.813194444444438</v>
      </c>
      <c r="FJ338" s="61">
        <v>22.813194444444438</v>
      </c>
      <c r="FK338" s="61">
        <v>22.813194444444438</v>
      </c>
      <c r="FL338" s="61">
        <v>22.813194444444438</v>
      </c>
      <c r="FM338" s="61">
        <v>22.813194444444438</v>
      </c>
      <c r="FN338" s="61">
        <v>22.813194444444438</v>
      </c>
      <c r="FO338" s="61">
        <v>22.813194444444438</v>
      </c>
      <c r="FP338" s="61">
        <v>22.813194444444438</v>
      </c>
      <c r="FQ338" s="61">
        <v>22.160833333333329</v>
      </c>
      <c r="FR338" s="61">
        <v>22.160833333333329</v>
      </c>
      <c r="FS338" s="61">
        <v>22.160833333333329</v>
      </c>
      <c r="FT338" s="61">
        <v>22.160833333333329</v>
      </c>
      <c r="FU338" s="61">
        <v>22.160833333333329</v>
      </c>
      <c r="FV338" s="61">
        <v>22.160833333333329</v>
      </c>
      <c r="FW338" s="61">
        <v>22.160833333333329</v>
      </c>
      <c r="FX338" s="61">
        <v>22.160833333333329</v>
      </c>
      <c r="FY338" s="61">
        <v>22.160833333333329</v>
      </c>
      <c r="FZ338" s="61">
        <v>22.160833333333329</v>
      </c>
      <c r="GA338" s="61">
        <v>22.160833333333329</v>
      </c>
      <c r="GB338" s="61">
        <v>22.160833333333329</v>
      </c>
      <c r="GC338" s="61">
        <v>21.510902777777776</v>
      </c>
      <c r="GD338" s="61">
        <v>21.510902777777776</v>
      </c>
      <c r="GE338" s="61">
        <v>21.510902777777776</v>
      </c>
      <c r="GF338" s="61">
        <v>21.510902777777776</v>
      </c>
      <c r="GG338" s="61">
        <v>21.510902777777776</v>
      </c>
      <c r="GH338" s="61">
        <v>21.510902777777776</v>
      </c>
      <c r="GI338" s="61">
        <v>21.510902777777776</v>
      </c>
      <c r="GJ338" s="61">
        <v>21.510902777777776</v>
      </c>
      <c r="GK338" s="61">
        <v>21.510902777777776</v>
      </c>
      <c r="GL338" s="61">
        <v>21.510902777777776</v>
      </c>
      <c r="GM338" s="61">
        <v>21.510902777777776</v>
      </c>
      <c r="GN338" s="61">
        <v>21.510902777777776</v>
      </c>
      <c r="GO338" s="61">
        <v>20.862916666666667</v>
      </c>
      <c r="GP338" s="61">
        <v>20.862916666666667</v>
      </c>
      <c r="GQ338" s="61">
        <v>20.862916666666667</v>
      </c>
      <c r="GR338" s="61">
        <v>20.862916666666667</v>
      </c>
      <c r="GS338" s="61">
        <v>20.862916666666667</v>
      </c>
      <c r="GT338" s="61">
        <v>20.862916666666667</v>
      </c>
      <c r="GU338" s="61">
        <v>20.862916666666667</v>
      </c>
      <c r="GV338" s="61">
        <v>20.862916666666667</v>
      </c>
      <c r="GW338" s="61">
        <v>20.862916666666667</v>
      </c>
      <c r="GX338" s="61">
        <v>20.862916666666667</v>
      </c>
      <c r="GY338" s="61">
        <v>20.862916666666667</v>
      </c>
      <c r="GZ338" s="61">
        <v>20.862916666666667</v>
      </c>
      <c r="HA338" s="61">
        <v>20.216874999999998</v>
      </c>
      <c r="HB338" s="61">
        <v>20.216874999999998</v>
      </c>
      <c r="HC338" s="61">
        <v>20.216874999999998</v>
      </c>
      <c r="HD338" s="61">
        <v>20.216874999999998</v>
      </c>
      <c r="HE338" s="61">
        <v>20.216874999999998</v>
      </c>
      <c r="HF338" s="61">
        <v>20.216874999999998</v>
      </c>
      <c r="HG338" s="61">
        <v>20.216874999999998</v>
      </c>
      <c r="HH338" s="61">
        <v>20.216874999999998</v>
      </c>
      <c r="HI338" s="61">
        <v>20.216874999999998</v>
      </c>
      <c r="HJ338" s="61">
        <v>20.216874999999998</v>
      </c>
      <c r="HK338" s="61">
        <v>20.216874999999998</v>
      </c>
      <c r="HL338" s="61">
        <v>20.216874999999998</v>
      </c>
      <c r="HM338" s="61">
        <v>19.572291666666665</v>
      </c>
      <c r="HN338" s="61">
        <v>19.572291666666665</v>
      </c>
      <c r="HO338" s="61">
        <v>19.572291666666665</v>
      </c>
      <c r="HP338" s="61">
        <v>19.572291666666665</v>
      </c>
      <c r="HQ338" s="61">
        <v>19.572291666666665</v>
      </c>
      <c r="HR338" s="61">
        <v>19.572291666666665</v>
      </c>
      <c r="HS338" s="61">
        <v>19.572291666666665</v>
      </c>
      <c r="HT338" s="61">
        <v>19.572291666666665</v>
      </c>
      <c r="HU338" s="61">
        <v>19.572291666666665</v>
      </c>
      <c r="HV338" s="61">
        <v>19.572291666666665</v>
      </c>
      <c r="HW338" s="61">
        <v>19.572291666666665</v>
      </c>
      <c r="HX338" s="61">
        <v>19.572291666666665</v>
      </c>
      <c r="HY338" s="61">
        <v>18.929652777777775</v>
      </c>
      <c r="HZ338" s="61">
        <v>18.929652777777775</v>
      </c>
      <c r="IA338" s="61">
        <v>18.929652777777775</v>
      </c>
      <c r="IB338" s="61">
        <v>18.929652777777775</v>
      </c>
      <c r="IC338" s="61">
        <v>18.929652777777775</v>
      </c>
      <c r="ID338" s="61">
        <v>18.929652777777775</v>
      </c>
      <c r="IE338" s="61">
        <v>18.929652777777775</v>
      </c>
      <c r="IF338" s="61">
        <v>18.929652777777775</v>
      </c>
      <c r="IG338" s="61">
        <v>18.929652777777775</v>
      </c>
      <c r="IH338" s="61">
        <v>18.929652777777775</v>
      </c>
      <c r="II338" s="61">
        <v>18.929652777777775</v>
      </c>
      <c r="IJ338" s="61">
        <v>18.929652777777775</v>
      </c>
      <c r="IK338" s="61">
        <v>18.288472222222222</v>
      </c>
      <c r="IL338" s="61">
        <v>18.288472222222222</v>
      </c>
      <c r="IM338" s="61">
        <v>18.288472222222222</v>
      </c>
      <c r="IN338" s="61">
        <v>18.288472222222222</v>
      </c>
      <c r="IO338" s="61">
        <v>18.288472222222222</v>
      </c>
      <c r="IP338" s="61">
        <v>18.288472222222222</v>
      </c>
      <c r="IQ338" s="61">
        <v>18.288472222222222</v>
      </c>
      <c r="IR338" s="61">
        <v>18.288472222222222</v>
      </c>
      <c r="IS338" s="61">
        <v>18.288472222222222</v>
      </c>
      <c r="IT338" s="61">
        <v>18.288472222222222</v>
      </c>
      <c r="IU338" s="61">
        <v>18.288472222222222</v>
      </c>
      <c r="IV338" s="61">
        <v>18.288472222222222</v>
      </c>
      <c r="IW338" s="61">
        <v>17.649236111111112</v>
      </c>
      <c r="IX338" s="61">
        <v>17.649236111111112</v>
      </c>
      <c r="IY338" s="61">
        <v>17.649236111111112</v>
      </c>
      <c r="IZ338" s="61">
        <v>17.649236111111112</v>
      </c>
      <c r="JA338" s="61">
        <v>17.649236111111112</v>
      </c>
      <c r="JB338" s="61">
        <v>17.649236111111112</v>
      </c>
      <c r="JC338" s="61">
        <v>17.649236111111112</v>
      </c>
      <c r="JD338" s="61">
        <v>17.649236111111112</v>
      </c>
      <c r="JE338" s="61">
        <v>17.649236111111112</v>
      </c>
      <c r="JF338" s="61">
        <v>17.649236111111112</v>
      </c>
      <c r="JG338" s="61">
        <v>17.649236111111112</v>
      </c>
      <c r="JH338" s="61">
        <v>17.649236111111112</v>
      </c>
      <c r="JI338" s="61">
        <v>17.011458333333334</v>
      </c>
      <c r="JJ338" s="61">
        <v>17.011458333333334</v>
      </c>
      <c r="JK338" s="61">
        <v>17.011458333333334</v>
      </c>
      <c r="JL338" s="61">
        <v>17.011458333333334</v>
      </c>
      <c r="JM338" s="61">
        <v>17.011458333333334</v>
      </c>
      <c r="JN338" s="61">
        <v>17.011458333333334</v>
      </c>
      <c r="JO338" s="61">
        <v>17.011458333333334</v>
      </c>
      <c r="JP338" s="61">
        <v>17.011458333333334</v>
      </c>
      <c r="JQ338" s="61">
        <v>17.011458333333334</v>
      </c>
      <c r="JR338" s="61">
        <v>17.011458333333334</v>
      </c>
      <c r="JS338" s="61">
        <v>17.011458333333334</v>
      </c>
      <c r="JT338" s="61">
        <v>17.011458333333334</v>
      </c>
      <c r="JU338" s="61">
        <v>16.375624999999999</v>
      </c>
      <c r="JV338" s="61">
        <v>16.375624999999999</v>
      </c>
      <c r="JW338" s="61">
        <v>16.375624999999999</v>
      </c>
      <c r="JX338" s="61">
        <v>16.375624999999999</v>
      </c>
      <c r="JY338" s="61">
        <v>16.375624999999999</v>
      </c>
      <c r="JZ338" s="61">
        <v>16.375624999999999</v>
      </c>
      <c r="KA338" s="61">
        <v>16.375624999999999</v>
      </c>
      <c r="KB338" s="61">
        <v>16.375624999999999</v>
      </c>
      <c r="KC338" s="61">
        <v>16.375624999999999</v>
      </c>
      <c r="KD338" s="61">
        <v>16.375624999999999</v>
      </c>
      <c r="KE338" s="61">
        <v>16.375624999999999</v>
      </c>
      <c r="KF338" s="61">
        <v>16.375624999999999</v>
      </c>
      <c r="KG338" s="61">
        <v>15.740763888888891</v>
      </c>
      <c r="KH338" s="61">
        <v>15.740763888888891</v>
      </c>
      <c r="KI338" s="61">
        <v>15.740763888888891</v>
      </c>
      <c r="KJ338" s="61">
        <v>15.740763888888891</v>
      </c>
      <c r="KK338" s="61">
        <v>15.740763888888891</v>
      </c>
      <c r="KL338" s="61">
        <v>15.740763888888891</v>
      </c>
      <c r="KM338" s="61">
        <v>15.740763888888891</v>
      </c>
      <c r="KN338" s="61">
        <v>15.740763888888891</v>
      </c>
      <c r="KO338" s="61">
        <v>15.740763888888891</v>
      </c>
      <c r="KP338" s="61">
        <v>15.740763888888891</v>
      </c>
      <c r="KQ338" s="61">
        <v>15.740763888888891</v>
      </c>
      <c r="KR338" s="61">
        <v>15.740763888888891</v>
      </c>
      <c r="KS338" s="61">
        <v>15.107361111111109</v>
      </c>
      <c r="KT338" s="61">
        <v>15.107361111111109</v>
      </c>
      <c r="KU338" s="61">
        <v>15.107361111111109</v>
      </c>
      <c r="KV338" s="61">
        <v>15.107361111111109</v>
      </c>
      <c r="KW338" s="61">
        <v>15.107361111111109</v>
      </c>
      <c r="KX338" s="61">
        <v>15.107361111111109</v>
      </c>
      <c r="KY338" s="61">
        <v>15.107361111111109</v>
      </c>
      <c r="KZ338" s="61">
        <v>15.107361111111109</v>
      </c>
      <c r="LA338" s="61">
        <v>15.107361111111109</v>
      </c>
      <c r="LB338" s="61">
        <v>15.107361111111109</v>
      </c>
      <c r="LC338" s="61">
        <v>15.107361111111109</v>
      </c>
      <c r="LD338" s="61">
        <v>15.107361111111109</v>
      </c>
      <c r="LE338" s="61">
        <v>14.475416666666664</v>
      </c>
      <c r="LF338" s="61">
        <v>14.475416666666664</v>
      </c>
      <c r="LG338" s="61">
        <v>14.475416666666664</v>
      </c>
      <c r="LH338" s="61">
        <v>14.475416666666664</v>
      </c>
      <c r="LI338" s="61">
        <v>14.475416666666664</v>
      </c>
      <c r="LJ338" s="61">
        <v>14.475416666666664</v>
      </c>
      <c r="LK338" s="61">
        <v>14.475416666666664</v>
      </c>
      <c r="LL338" s="61">
        <v>14.475416666666664</v>
      </c>
      <c r="LM338" s="61">
        <v>14.475416666666664</v>
      </c>
      <c r="LN338" s="61">
        <v>14.475416666666664</v>
      </c>
      <c r="LO338" s="61">
        <v>14.475416666666664</v>
      </c>
      <c r="LP338" s="61">
        <v>14.475416666666664</v>
      </c>
      <c r="LQ338" s="61">
        <v>13.844444444444441</v>
      </c>
      <c r="LR338" s="61">
        <v>13.844444444444441</v>
      </c>
      <c r="LS338" s="61">
        <v>13.844444444444441</v>
      </c>
      <c r="LT338" s="61">
        <v>13.844444444444441</v>
      </c>
      <c r="LU338" s="61">
        <v>13.844444444444441</v>
      </c>
      <c r="LV338" s="61">
        <v>13.844444444444441</v>
      </c>
      <c r="LW338" s="61">
        <v>13.844444444444441</v>
      </c>
      <c r="LX338" s="61">
        <v>13.844444444444441</v>
      </c>
      <c r="LY338" s="61">
        <v>13.844444444444441</v>
      </c>
      <c r="LZ338" s="61">
        <v>13.844444444444441</v>
      </c>
      <c r="MA338" s="61">
        <v>13.844444444444441</v>
      </c>
      <c r="MB338" s="61">
        <v>13.844444444444441</v>
      </c>
      <c r="MC338" s="61">
        <v>13.215416666666666</v>
      </c>
      <c r="MD338" s="61">
        <v>13.215416666666666</v>
      </c>
      <c r="ME338" s="61">
        <v>13.215416666666666</v>
      </c>
      <c r="MF338" s="61">
        <v>13.215416666666666</v>
      </c>
      <c r="MG338" s="61">
        <v>13.215416666666666</v>
      </c>
      <c r="MH338" s="61">
        <v>13.215416666666666</v>
      </c>
      <c r="MI338" s="61">
        <v>13.215416666666666</v>
      </c>
      <c r="MJ338" s="61">
        <v>13.215416666666666</v>
      </c>
      <c r="MK338" s="61">
        <v>13.215416666666666</v>
      </c>
      <c r="ML338" s="61">
        <v>13.215416666666666</v>
      </c>
      <c r="MM338" s="61">
        <v>13.215416666666666</v>
      </c>
      <c r="MN338" s="61">
        <v>13.215416666666666</v>
      </c>
      <c r="MO338" s="61">
        <v>12.586875000000001</v>
      </c>
      <c r="MP338" s="61">
        <v>12.586875000000001</v>
      </c>
      <c r="MQ338" s="61">
        <v>12.586875000000001</v>
      </c>
      <c r="MR338" s="61">
        <v>12.586875000000001</v>
      </c>
      <c r="MS338" s="61">
        <v>12.586875000000001</v>
      </c>
      <c r="MT338" s="61">
        <v>12.586875000000001</v>
      </c>
      <c r="MU338" s="61">
        <v>12.586875000000001</v>
      </c>
      <c r="MV338" s="61">
        <v>12.586875000000001</v>
      </c>
      <c r="MW338" s="61">
        <v>12.586875000000001</v>
      </c>
      <c r="MX338" s="61">
        <v>12.586875000000001</v>
      </c>
      <c r="MY338" s="61">
        <v>12.586875000000001</v>
      </c>
      <c r="MZ338" s="61">
        <v>12.586875000000001</v>
      </c>
      <c r="NA338" s="61">
        <v>11.959791666666664</v>
      </c>
      <c r="NB338" s="61">
        <v>11.959791666666664</v>
      </c>
      <c r="NC338" s="61">
        <v>11.959791666666664</v>
      </c>
      <c r="ND338" s="61">
        <v>11.959791666666664</v>
      </c>
      <c r="NE338" s="61">
        <v>11.959791666666664</v>
      </c>
      <c r="NF338" s="61">
        <v>11.959791666666664</v>
      </c>
      <c r="NG338" s="61">
        <v>11.959791666666664</v>
      </c>
      <c r="NH338" s="61">
        <v>11.959791666666664</v>
      </c>
      <c r="NI338" s="61">
        <v>11.959791666666664</v>
      </c>
      <c r="NJ338" s="61">
        <v>11.959791666666664</v>
      </c>
      <c r="NK338" s="61">
        <v>11.959791666666664</v>
      </c>
      <c r="NL338" s="61">
        <v>11.959791666666664</v>
      </c>
      <c r="NM338" s="61">
        <v>11.333680555555555</v>
      </c>
      <c r="NN338" s="61">
        <v>11.333680555555555</v>
      </c>
      <c r="NO338" s="61">
        <v>11.333680555555555</v>
      </c>
      <c r="NP338" s="61">
        <v>11.333680555555555</v>
      </c>
      <c r="NQ338" s="61">
        <v>11.333680555555555</v>
      </c>
      <c r="NR338" s="61">
        <v>11.333680555555555</v>
      </c>
      <c r="NS338" s="61">
        <v>11.333680555555555</v>
      </c>
      <c r="NT338" s="61">
        <v>11.333680555555555</v>
      </c>
      <c r="NU338" s="61">
        <v>11.333680555555555</v>
      </c>
      <c r="NV338" s="61">
        <v>11.333680555555555</v>
      </c>
      <c r="NW338" s="61">
        <v>11.333680555555555</v>
      </c>
      <c r="NX338" s="61">
        <v>11.333680555555555</v>
      </c>
      <c r="NY338" s="61">
        <v>10.708541666666664</v>
      </c>
      <c r="NZ338" s="61">
        <v>10.708541666666664</v>
      </c>
      <c r="OA338" s="61">
        <v>10.708541666666664</v>
      </c>
      <c r="OB338" s="61">
        <v>10.708541666666664</v>
      </c>
      <c r="OC338" s="61">
        <v>10.708541666666664</v>
      </c>
      <c r="OD338" s="61">
        <v>10.708541666666664</v>
      </c>
      <c r="OE338" s="61">
        <v>10.708541666666664</v>
      </c>
    </row>
    <row r="339" spans="1:395" s="5" customFormat="1" ht="13.8" customHeight="1" x14ac:dyDescent="0.3">
      <c r="A339" s="128"/>
      <c r="B339" s="128"/>
      <c r="C339" s="128"/>
      <c r="D339" s="133"/>
      <c r="E339"/>
      <c r="F339"/>
      <c r="G339"/>
      <c r="H339"/>
      <c r="I339"/>
      <c r="J339"/>
      <c r="K339"/>
      <c r="L339"/>
      <c r="M339"/>
      <c r="N339" s="30" t="s">
        <v>69</v>
      </c>
      <c r="O339" s="30"/>
      <c r="P339" s="32" t="s">
        <v>31</v>
      </c>
      <c r="Q339" s="60" cm="1">
        <f t="array" ref="Q339:OE339">E369 * (1-E370)^(_xlfn.ANCHORARRAY(Q6)-1)</f>
        <v>0.15</v>
      </c>
      <c r="R339" s="60">
        <v>0.15</v>
      </c>
      <c r="S339" s="60">
        <v>0.15</v>
      </c>
      <c r="T339" s="60">
        <v>0.15</v>
      </c>
      <c r="U339" s="60">
        <v>0.15</v>
      </c>
      <c r="V339" s="60">
        <v>0.15</v>
      </c>
      <c r="W339" s="60">
        <v>0.15</v>
      </c>
      <c r="X339" s="60">
        <v>0.15</v>
      </c>
      <c r="Y339" s="60">
        <v>0.15</v>
      </c>
      <c r="Z339" s="60">
        <v>0.15</v>
      </c>
      <c r="AA339" s="60">
        <v>0.15</v>
      </c>
      <c r="AB339" s="60">
        <v>0.15</v>
      </c>
      <c r="AC339" s="60">
        <v>0.14924999999999999</v>
      </c>
      <c r="AD339" s="60">
        <v>0.14924999999999999</v>
      </c>
      <c r="AE339" s="60">
        <v>0.14924999999999999</v>
      </c>
      <c r="AF339" s="60">
        <v>0.14924999999999999</v>
      </c>
      <c r="AG339" s="60">
        <v>0.14924999999999999</v>
      </c>
      <c r="AH339" s="60">
        <v>0.14924999999999999</v>
      </c>
      <c r="AI339" s="60">
        <v>0.14924999999999999</v>
      </c>
      <c r="AJ339" s="60">
        <v>0.14924999999999999</v>
      </c>
      <c r="AK339" s="60">
        <v>0.14924999999999999</v>
      </c>
      <c r="AL339" s="60">
        <v>0.14924999999999999</v>
      </c>
      <c r="AM339" s="60">
        <v>0.14924999999999999</v>
      </c>
      <c r="AN339" s="60">
        <v>0.14924999999999999</v>
      </c>
      <c r="AO339" s="60">
        <v>0.14850374999999999</v>
      </c>
      <c r="AP339" s="60">
        <v>0.14850374999999999</v>
      </c>
      <c r="AQ339" s="60">
        <v>0.14850374999999999</v>
      </c>
      <c r="AR339" s="60">
        <v>0.14850374999999999</v>
      </c>
      <c r="AS339" s="60">
        <v>0.14850374999999999</v>
      </c>
      <c r="AT339" s="60">
        <v>0.14850374999999999</v>
      </c>
      <c r="AU339" s="60">
        <v>0.14850374999999999</v>
      </c>
      <c r="AV339" s="60">
        <v>0.14850374999999999</v>
      </c>
      <c r="AW339" s="60">
        <v>0.14850374999999999</v>
      </c>
      <c r="AX339" s="60">
        <v>0.14850374999999999</v>
      </c>
      <c r="AY339" s="60">
        <v>0.14850374999999999</v>
      </c>
      <c r="AZ339" s="60">
        <v>0.14850374999999999</v>
      </c>
      <c r="BA339" s="60">
        <v>0.14776123124999999</v>
      </c>
      <c r="BB339" s="60">
        <v>0.14776123124999999</v>
      </c>
      <c r="BC339" s="60">
        <v>0.14776123124999999</v>
      </c>
      <c r="BD339" s="60">
        <v>0.14776123124999999</v>
      </c>
      <c r="BE339" s="60">
        <v>0.14776123124999999</v>
      </c>
      <c r="BF339" s="60">
        <v>0.14776123124999999</v>
      </c>
      <c r="BG339" s="60">
        <v>0.14776123124999999</v>
      </c>
      <c r="BH339" s="60">
        <v>0.14776123124999999</v>
      </c>
      <c r="BI339" s="60">
        <v>0.14776123124999999</v>
      </c>
      <c r="BJ339" s="60">
        <v>0.14776123124999999</v>
      </c>
      <c r="BK339" s="60">
        <v>0.14776123124999999</v>
      </c>
      <c r="BL339" s="60">
        <v>0.14776123124999999</v>
      </c>
      <c r="BM339" s="60">
        <v>0.14702242509374999</v>
      </c>
      <c r="BN339" s="60">
        <v>0.14702242509374999</v>
      </c>
      <c r="BO339" s="60">
        <v>0.14702242509374999</v>
      </c>
      <c r="BP339" s="60">
        <v>0.14702242509374999</v>
      </c>
      <c r="BQ339" s="60">
        <v>0.14702242509374999</v>
      </c>
      <c r="BR339" s="60">
        <v>0.14702242509374999</v>
      </c>
      <c r="BS339" s="60">
        <v>0.14702242509374999</v>
      </c>
      <c r="BT339" s="60">
        <v>0.14702242509374999</v>
      </c>
      <c r="BU339" s="60">
        <v>0.14702242509374999</v>
      </c>
      <c r="BV339" s="60">
        <v>0.14702242509374999</v>
      </c>
      <c r="BW339" s="60">
        <v>0.14702242509374999</v>
      </c>
      <c r="BX339" s="60">
        <v>0.14702242509374999</v>
      </c>
      <c r="BY339" s="60">
        <v>0.14628731296828126</v>
      </c>
      <c r="BZ339" s="60">
        <v>0.14628731296828126</v>
      </c>
      <c r="CA339" s="60">
        <v>0.14628731296828126</v>
      </c>
      <c r="CB339" s="60">
        <v>0.14628731296828126</v>
      </c>
      <c r="CC339" s="60">
        <v>0.14628731296828126</v>
      </c>
      <c r="CD339" s="60">
        <v>0.14628731296828126</v>
      </c>
      <c r="CE339" s="60">
        <v>0.14628731296828126</v>
      </c>
      <c r="CF339" s="60">
        <v>0.14628731296828126</v>
      </c>
      <c r="CG339" s="60">
        <v>0.14628731296828126</v>
      </c>
      <c r="CH339" s="60">
        <v>0.14628731296828126</v>
      </c>
      <c r="CI339" s="60">
        <v>0.14628731296828126</v>
      </c>
      <c r="CJ339" s="60">
        <v>0.14628731296828126</v>
      </c>
      <c r="CK339" s="60">
        <v>0.14555587640343987</v>
      </c>
      <c r="CL339" s="60">
        <v>0.14555587640343987</v>
      </c>
      <c r="CM339" s="60">
        <v>0.14555587640343987</v>
      </c>
      <c r="CN339" s="60">
        <v>0.14555587640343987</v>
      </c>
      <c r="CO339" s="60">
        <v>0.14555587640343987</v>
      </c>
      <c r="CP339" s="60">
        <v>0.14555587640343987</v>
      </c>
      <c r="CQ339" s="60">
        <v>0.14555587640343987</v>
      </c>
      <c r="CR339" s="60">
        <v>0.14555587640343987</v>
      </c>
      <c r="CS339" s="60">
        <v>0.14555587640343987</v>
      </c>
      <c r="CT339" s="60">
        <v>0.14555587640343987</v>
      </c>
      <c r="CU339" s="60">
        <v>0.14555587640343987</v>
      </c>
      <c r="CV339" s="60">
        <v>0.14555587640343987</v>
      </c>
      <c r="CW339" s="60">
        <v>0.14482809702142266</v>
      </c>
      <c r="CX339" s="60">
        <v>0.14482809702142266</v>
      </c>
      <c r="CY339" s="60">
        <v>0.14482809702142266</v>
      </c>
      <c r="CZ339" s="60">
        <v>0.14482809702142266</v>
      </c>
      <c r="DA339" s="60">
        <v>0.14482809702142266</v>
      </c>
      <c r="DB339" s="60">
        <v>0.14482809702142266</v>
      </c>
      <c r="DC339" s="60">
        <v>0.14482809702142266</v>
      </c>
      <c r="DD339" s="60">
        <v>0.14482809702142266</v>
      </c>
      <c r="DE339" s="60">
        <v>0.14482809702142266</v>
      </c>
      <c r="DF339" s="60">
        <v>0.14482809702142266</v>
      </c>
      <c r="DG339" s="60">
        <v>0.14482809702142266</v>
      </c>
      <c r="DH339" s="60">
        <v>0.14482809702142266</v>
      </c>
      <c r="DI339" s="60">
        <v>0.14410395653631553</v>
      </c>
      <c r="DJ339" s="60">
        <v>0.14410395653631553</v>
      </c>
      <c r="DK339" s="60">
        <v>0.14410395653631553</v>
      </c>
      <c r="DL339" s="60">
        <v>0.14410395653631553</v>
      </c>
      <c r="DM339" s="60">
        <v>0.14410395653631553</v>
      </c>
      <c r="DN339" s="60">
        <v>0.14410395653631553</v>
      </c>
      <c r="DO339" s="60">
        <v>0.14410395653631553</v>
      </c>
      <c r="DP339" s="60">
        <v>0.14410395653631553</v>
      </c>
      <c r="DQ339" s="60">
        <v>0.14410395653631553</v>
      </c>
      <c r="DR339" s="60">
        <v>0.14410395653631553</v>
      </c>
      <c r="DS339" s="60">
        <v>0.14410395653631553</v>
      </c>
      <c r="DT339" s="60">
        <v>0.14410395653631553</v>
      </c>
      <c r="DU339" s="60">
        <v>0.14338343675363396</v>
      </c>
      <c r="DV339" s="60">
        <v>0.14338343675363396</v>
      </c>
      <c r="DW339" s="60">
        <v>0.14338343675363396</v>
      </c>
      <c r="DX339" s="60">
        <v>0.14338343675363396</v>
      </c>
      <c r="DY339" s="60">
        <v>0.14338343675363396</v>
      </c>
      <c r="DZ339" s="60">
        <v>0.14338343675363396</v>
      </c>
      <c r="EA339" s="60">
        <v>0.14338343675363396</v>
      </c>
      <c r="EB339" s="60">
        <v>0.14338343675363396</v>
      </c>
      <c r="EC339" s="60">
        <v>0.14338343675363396</v>
      </c>
      <c r="ED339" s="60">
        <v>0.14338343675363396</v>
      </c>
      <c r="EE339" s="60">
        <v>0.14338343675363396</v>
      </c>
      <c r="EF339" s="60">
        <v>0.14338343675363396</v>
      </c>
      <c r="EG339" s="60">
        <v>0.14266651956986579</v>
      </c>
      <c r="EH339" s="60">
        <v>0.14266651956986579</v>
      </c>
      <c r="EI339" s="60">
        <v>0.14266651956986579</v>
      </c>
      <c r="EJ339" s="60">
        <v>0.14266651956986579</v>
      </c>
      <c r="EK339" s="60">
        <v>0.14266651956986579</v>
      </c>
      <c r="EL339" s="60">
        <v>0.14266651956986579</v>
      </c>
      <c r="EM339" s="60">
        <v>0.14266651956986579</v>
      </c>
      <c r="EN339" s="60">
        <v>0.14266651956986579</v>
      </c>
      <c r="EO339" s="60">
        <v>0.14266651956986579</v>
      </c>
      <c r="EP339" s="60">
        <v>0.14266651956986579</v>
      </c>
      <c r="EQ339" s="60">
        <v>0.14266651956986579</v>
      </c>
      <c r="ER339" s="60">
        <v>0.14266651956986579</v>
      </c>
      <c r="ES339" s="60">
        <v>0.14195318697201645</v>
      </c>
      <c r="ET339" s="60">
        <v>0.14195318697201645</v>
      </c>
      <c r="EU339" s="60">
        <v>0.14195318697201645</v>
      </c>
      <c r="EV339" s="60">
        <v>0.14195318697201645</v>
      </c>
      <c r="EW339" s="60">
        <v>0.14195318697201645</v>
      </c>
      <c r="EX339" s="60">
        <v>0.14195318697201645</v>
      </c>
      <c r="EY339" s="60">
        <v>0.14195318697201645</v>
      </c>
      <c r="EZ339" s="60">
        <v>0.14195318697201645</v>
      </c>
      <c r="FA339" s="60">
        <v>0.14195318697201645</v>
      </c>
      <c r="FB339" s="60">
        <v>0.14195318697201645</v>
      </c>
      <c r="FC339" s="60">
        <v>0.14195318697201645</v>
      </c>
      <c r="FD339" s="60">
        <v>0.14195318697201645</v>
      </c>
      <c r="FE339" s="60">
        <v>0.1412434210371564</v>
      </c>
      <c r="FF339" s="60">
        <v>0.1412434210371564</v>
      </c>
      <c r="FG339" s="60">
        <v>0.1412434210371564</v>
      </c>
      <c r="FH339" s="60">
        <v>0.1412434210371564</v>
      </c>
      <c r="FI339" s="60">
        <v>0.1412434210371564</v>
      </c>
      <c r="FJ339" s="60">
        <v>0.1412434210371564</v>
      </c>
      <c r="FK339" s="60">
        <v>0.1412434210371564</v>
      </c>
      <c r="FL339" s="60">
        <v>0.1412434210371564</v>
      </c>
      <c r="FM339" s="60">
        <v>0.1412434210371564</v>
      </c>
      <c r="FN339" s="60">
        <v>0.1412434210371564</v>
      </c>
      <c r="FO339" s="60">
        <v>0.1412434210371564</v>
      </c>
      <c r="FP339" s="60">
        <v>0.1412434210371564</v>
      </c>
      <c r="FQ339" s="60">
        <v>0.14053720393197061</v>
      </c>
      <c r="FR339" s="60">
        <v>0.14053720393197061</v>
      </c>
      <c r="FS339" s="60">
        <v>0.14053720393197061</v>
      </c>
      <c r="FT339" s="60">
        <v>0.14053720393197061</v>
      </c>
      <c r="FU339" s="60">
        <v>0.14053720393197061</v>
      </c>
      <c r="FV339" s="60">
        <v>0.14053720393197061</v>
      </c>
      <c r="FW339" s="60">
        <v>0.14053720393197061</v>
      </c>
      <c r="FX339" s="60">
        <v>0.14053720393197061</v>
      </c>
      <c r="FY339" s="60">
        <v>0.14053720393197061</v>
      </c>
      <c r="FZ339" s="60">
        <v>0.14053720393197061</v>
      </c>
      <c r="GA339" s="60">
        <v>0.14053720393197061</v>
      </c>
      <c r="GB339" s="60">
        <v>0.14053720393197061</v>
      </c>
      <c r="GC339" s="60">
        <v>0.13983451791231077</v>
      </c>
      <c r="GD339" s="60">
        <v>0.13983451791231077</v>
      </c>
      <c r="GE339" s="60">
        <v>0.13983451791231077</v>
      </c>
      <c r="GF339" s="60">
        <v>0.13983451791231077</v>
      </c>
      <c r="GG339" s="60">
        <v>0.13983451791231077</v>
      </c>
      <c r="GH339" s="60">
        <v>0.13983451791231077</v>
      </c>
      <c r="GI339" s="60">
        <v>0.13983451791231077</v>
      </c>
      <c r="GJ339" s="60">
        <v>0.13983451791231077</v>
      </c>
      <c r="GK339" s="60">
        <v>0.13983451791231077</v>
      </c>
      <c r="GL339" s="60">
        <v>0.13983451791231077</v>
      </c>
      <c r="GM339" s="60">
        <v>0.13983451791231077</v>
      </c>
      <c r="GN339" s="60">
        <v>0.13983451791231077</v>
      </c>
      <c r="GO339" s="60">
        <v>0.13913534532274921</v>
      </c>
      <c r="GP339" s="60">
        <v>0.13913534532274921</v>
      </c>
      <c r="GQ339" s="60">
        <v>0.13913534532274921</v>
      </c>
      <c r="GR339" s="60">
        <v>0.13913534532274921</v>
      </c>
      <c r="GS339" s="60">
        <v>0.13913534532274921</v>
      </c>
      <c r="GT339" s="60">
        <v>0.13913534532274921</v>
      </c>
      <c r="GU339" s="60">
        <v>0.13913534532274921</v>
      </c>
      <c r="GV339" s="60">
        <v>0.13913534532274921</v>
      </c>
      <c r="GW339" s="60">
        <v>0.13913534532274921</v>
      </c>
      <c r="GX339" s="60">
        <v>0.13913534532274921</v>
      </c>
      <c r="GY339" s="60">
        <v>0.13913534532274921</v>
      </c>
      <c r="GZ339" s="60">
        <v>0.13913534532274921</v>
      </c>
      <c r="HA339" s="60">
        <v>0.13843966859613546</v>
      </c>
      <c r="HB339" s="60">
        <v>0.13843966859613546</v>
      </c>
      <c r="HC339" s="60">
        <v>0.13843966859613546</v>
      </c>
      <c r="HD339" s="60">
        <v>0.13843966859613546</v>
      </c>
      <c r="HE339" s="60">
        <v>0.13843966859613546</v>
      </c>
      <c r="HF339" s="60">
        <v>0.13843966859613546</v>
      </c>
      <c r="HG339" s="60">
        <v>0.13843966859613546</v>
      </c>
      <c r="HH339" s="60">
        <v>0.13843966859613546</v>
      </c>
      <c r="HI339" s="60">
        <v>0.13843966859613546</v>
      </c>
      <c r="HJ339" s="60">
        <v>0.13843966859613546</v>
      </c>
      <c r="HK339" s="60">
        <v>0.13843966859613546</v>
      </c>
      <c r="HL339" s="60">
        <v>0.13843966859613546</v>
      </c>
      <c r="HM339" s="60">
        <v>0.13774747025315479</v>
      </c>
      <c r="HN339" s="60">
        <v>0.13774747025315479</v>
      </c>
      <c r="HO339" s="60">
        <v>0.13774747025315479</v>
      </c>
      <c r="HP339" s="60">
        <v>0.13774747025315479</v>
      </c>
      <c r="HQ339" s="60">
        <v>0.13774747025315479</v>
      </c>
      <c r="HR339" s="60">
        <v>0.13774747025315479</v>
      </c>
      <c r="HS339" s="60">
        <v>0.13774747025315479</v>
      </c>
      <c r="HT339" s="60">
        <v>0.13774747025315479</v>
      </c>
      <c r="HU339" s="60">
        <v>0.13774747025315479</v>
      </c>
      <c r="HV339" s="60">
        <v>0.13774747025315479</v>
      </c>
      <c r="HW339" s="60">
        <v>0.13774747025315479</v>
      </c>
      <c r="HX339" s="60">
        <v>0.13774747025315479</v>
      </c>
      <c r="HY339" s="60">
        <v>0.137058732901889</v>
      </c>
      <c r="HZ339" s="60">
        <v>0.137058732901889</v>
      </c>
      <c r="IA339" s="60">
        <v>0.137058732901889</v>
      </c>
      <c r="IB339" s="60">
        <v>0.137058732901889</v>
      </c>
      <c r="IC339" s="60">
        <v>0.137058732901889</v>
      </c>
      <c r="ID339" s="60">
        <v>0.137058732901889</v>
      </c>
      <c r="IE339" s="60">
        <v>0.137058732901889</v>
      </c>
      <c r="IF339" s="60">
        <v>0.137058732901889</v>
      </c>
      <c r="IG339" s="60">
        <v>0.137058732901889</v>
      </c>
      <c r="IH339" s="60">
        <v>0.137058732901889</v>
      </c>
      <c r="II339" s="60">
        <v>0.137058732901889</v>
      </c>
      <c r="IJ339" s="60">
        <v>0.137058732901889</v>
      </c>
      <c r="IK339" s="60">
        <v>0.13637343923737955</v>
      </c>
      <c r="IL339" s="60">
        <v>0.13637343923737955</v>
      </c>
      <c r="IM339" s="60">
        <v>0.13637343923737955</v>
      </c>
      <c r="IN339" s="60">
        <v>0.13637343923737955</v>
      </c>
      <c r="IO339" s="60">
        <v>0.13637343923737955</v>
      </c>
      <c r="IP339" s="60">
        <v>0.13637343923737955</v>
      </c>
      <c r="IQ339" s="60">
        <v>0.13637343923737955</v>
      </c>
      <c r="IR339" s="60">
        <v>0.13637343923737955</v>
      </c>
      <c r="IS339" s="60">
        <v>0.13637343923737955</v>
      </c>
      <c r="IT339" s="60">
        <v>0.13637343923737955</v>
      </c>
      <c r="IU339" s="60">
        <v>0.13637343923737955</v>
      </c>
      <c r="IV339" s="60">
        <v>0.13637343923737955</v>
      </c>
      <c r="IW339" s="60">
        <v>0.13569157204119267</v>
      </c>
      <c r="IX339" s="60">
        <v>0.13569157204119267</v>
      </c>
      <c r="IY339" s="60">
        <v>0.13569157204119267</v>
      </c>
      <c r="IZ339" s="60">
        <v>0.13569157204119267</v>
      </c>
      <c r="JA339" s="60">
        <v>0.13569157204119267</v>
      </c>
      <c r="JB339" s="60">
        <v>0.13569157204119267</v>
      </c>
      <c r="JC339" s="60">
        <v>0.13569157204119267</v>
      </c>
      <c r="JD339" s="60">
        <v>0.13569157204119267</v>
      </c>
      <c r="JE339" s="60">
        <v>0.13569157204119267</v>
      </c>
      <c r="JF339" s="60">
        <v>0.13569157204119267</v>
      </c>
      <c r="JG339" s="60">
        <v>0.13569157204119267</v>
      </c>
      <c r="JH339" s="60">
        <v>0.13569157204119267</v>
      </c>
      <c r="JI339" s="60">
        <v>0.13501311418098669</v>
      </c>
      <c r="JJ339" s="60">
        <v>0.13501311418098669</v>
      </c>
      <c r="JK339" s="60">
        <v>0.13501311418098669</v>
      </c>
      <c r="JL339" s="60">
        <v>0.13501311418098669</v>
      </c>
      <c r="JM339" s="60">
        <v>0.13501311418098669</v>
      </c>
      <c r="JN339" s="60">
        <v>0.13501311418098669</v>
      </c>
      <c r="JO339" s="60">
        <v>0.13501311418098669</v>
      </c>
      <c r="JP339" s="60">
        <v>0.13501311418098669</v>
      </c>
      <c r="JQ339" s="60">
        <v>0.13501311418098669</v>
      </c>
      <c r="JR339" s="60">
        <v>0.13501311418098669</v>
      </c>
      <c r="JS339" s="60">
        <v>0.13501311418098669</v>
      </c>
      <c r="JT339" s="60">
        <v>0.13501311418098669</v>
      </c>
      <c r="JU339" s="60">
        <v>0.13433804861008178</v>
      </c>
      <c r="JV339" s="60">
        <v>0.13433804861008178</v>
      </c>
      <c r="JW339" s="60">
        <v>0.13433804861008178</v>
      </c>
      <c r="JX339" s="60">
        <v>0.13433804861008178</v>
      </c>
      <c r="JY339" s="60">
        <v>0.13433804861008178</v>
      </c>
      <c r="JZ339" s="60">
        <v>0.13433804861008178</v>
      </c>
      <c r="KA339" s="60">
        <v>0.13433804861008178</v>
      </c>
      <c r="KB339" s="60">
        <v>0.13433804861008178</v>
      </c>
      <c r="KC339" s="60">
        <v>0.13433804861008178</v>
      </c>
      <c r="KD339" s="60">
        <v>0.13433804861008178</v>
      </c>
      <c r="KE339" s="60">
        <v>0.13433804861008178</v>
      </c>
      <c r="KF339" s="60">
        <v>0.13433804861008178</v>
      </c>
      <c r="KG339" s="60">
        <v>0.13366635836703136</v>
      </c>
      <c r="KH339" s="60">
        <v>0.13366635836703136</v>
      </c>
      <c r="KI339" s="60">
        <v>0.13366635836703136</v>
      </c>
      <c r="KJ339" s="60">
        <v>0.13366635836703136</v>
      </c>
      <c r="KK339" s="60">
        <v>0.13366635836703136</v>
      </c>
      <c r="KL339" s="60">
        <v>0.13366635836703136</v>
      </c>
      <c r="KM339" s="60">
        <v>0.13366635836703136</v>
      </c>
      <c r="KN339" s="60">
        <v>0.13366635836703136</v>
      </c>
      <c r="KO339" s="60">
        <v>0.13366635836703136</v>
      </c>
      <c r="KP339" s="60">
        <v>0.13366635836703136</v>
      </c>
      <c r="KQ339" s="60">
        <v>0.13366635836703136</v>
      </c>
      <c r="KR339" s="60">
        <v>0.13366635836703136</v>
      </c>
      <c r="KS339" s="60">
        <v>0.13299802657519619</v>
      </c>
      <c r="KT339" s="60">
        <v>0.13299802657519619</v>
      </c>
      <c r="KU339" s="60">
        <v>0.13299802657519619</v>
      </c>
      <c r="KV339" s="60">
        <v>0.13299802657519619</v>
      </c>
      <c r="KW339" s="60">
        <v>0.13299802657519619</v>
      </c>
      <c r="KX339" s="60">
        <v>0.13299802657519619</v>
      </c>
      <c r="KY339" s="60">
        <v>0.13299802657519619</v>
      </c>
      <c r="KZ339" s="60">
        <v>0.13299802657519619</v>
      </c>
      <c r="LA339" s="60">
        <v>0.13299802657519619</v>
      </c>
      <c r="LB339" s="60">
        <v>0.13299802657519619</v>
      </c>
      <c r="LC339" s="60">
        <v>0.13299802657519619</v>
      </c>
      <c r="LD339" s="60">
        <v>0.13299802657519619</v>
      </c>
      <c r="LE339" s="60">
        <v>0.13233303644232022</v>
      </c>
      <c r="LF339" s="60">
        <v>0.13233303644232022</v>
      </c>
      <c r="LG339" s="60">
        <v>0.13233303644232022</v>
      </c>
      <c r="LH339" s="60">
        <v>0.13233303644232022</v>
      </c>
      <c r="LI339" s="60">
        <v>0.13233303644232022</v>
      </c>
      <c r="LJ339" s="60">
        <v>0.13233303644232022</v>
      </c>
      <c r="LK339" s="60">
        <v>0.13233303644232022</v>
      </c>
      <c r="LL339" s="60">
        <v>0.13233303644232022</v>
      </c>
      <c r="LM339" s="60">
        <v>0.13233303644232022</v>
      </c>
      <c r="LN339" s="60">
        <v>0.13233303644232022</v>
      </c>
      <c r="LO339" s="60">
        <v>0.13233303644232022</v>
      </c>
      <c r="LP339" s="60">
        <v>0.13233303644232022</v>
      </c>
      <c r="LQ339" s="60">
        <v>0.13167137126010864</v>
      </c>
      <c r="LR339" s="60">
        <v>0.13167137126010864</v>
      </c>
      <c r="LS339" s="60">
        <v>0.13167137126010864</v>
      </c>
      <c r="LT339" s="60">
        <v>0.13167137126010864</v>
      </c>
      <c r="LU339" s="60">
        <v>0.13167137126010864</v>
      </c>
      <c r="LV339" s="60">
        <v>0.13167137126010864</v>
      </c>
      <c r="LW339" s="60">
        <v>0.13167137126010864</v>
      </c>
      <c r="LX339" s="60">
        <v>0.13167137126010864</v>
      </c>
      <c r="LY339" s="60">
        <v>0.13167137126010864</v>
      </c>
      <c r="LZ339" s="60">
        <v>0.13167137126010864</v>
      </c>
      <c r="MA339" s="60">
        <v>0.13167137126010864</v>
      </c>
      <c r="MB339" s="60">
        <v>0.13167137126010864</v>
      </c>
      <c r="MC339" s="60">
        <v>0.13101301440380808</v>
      </c>
      <c r="MD339" s="60">
        <v>0.13101301440380808</v>
      </c>
      <c r="ME339" s="60">
        <v>0.13101301440380808</v>
      </c>
      <c r="MF339" s="60">
        <v>0.13101301440380808</v>
      </c>
      <c r="MG339" s="60">
        <v>0.13101301440380808</v>
      </c>
      <c r="MH339" s="60">
        <v>0.13101301440380808</v>
      </c>
      <c r="MI339" s="60">
        <v>0.13101301440380808</v>
      </c>
      <c r="MJ339" s="60">
        <v>0.13101301440380808</v>
      </c>
      <c r="MK339" s="60">
        <v>0.13101301440380808</v>
      </c>
      <c r="ML339" s="60">
        <v>0.13101301440380808</v>
      </c>
      <c r="MM339" s="60">
        <v>0.13101301440380808</v>
      </c>
      <c r="MN339" s="60">
        <v>0.13101301440380808</v>
      </c>
      <c r="MO339" s="60">
        <v>0.13035794933178904</v>
      </c>
      <c r="MP339" s="60">
        <v>0.13035794933178904</v>
      </c>
      <c r="MQ339" s="60">
        <v>0.13035794933178904</v>
      </c>
      <c r="MR339" s="60">
        <v>0.13035794933178904</v>
      </c>
      <c r="MS339" s="60">
        <v>0.13035794933178904</v>
      </c>
      <c r="MT339" s="60">
        <v>0.13035794933178904</v>
      </c>
      <c r="MU339" s="60">
        <v>0.13035794933178904</v>
      </c>
      <c r="MV339" s="60">
        <v>0.13035794933178904</v>
      </c>
      <c r="MW339" s="60">
        <v>0.13035794933178904</v>
      </c>
      <c r="MX339" s="60">
        <v>0.13035794933178904</v>
      </c>
      <c r="MY339" s="60">
        <v>0.13035794933178904</v>
      </c>
      <c r="MZ339" s="60">
        <v>0.13035794933178904</v>
      </c>
      <c r="NA339" s="60">
        <v>0.12970615958513013</v>
      </c>
      <c r="NB339" s="60">
        <v>0.12970615958513013</v>
      </c>
      <c r="NC339" s="60">
        <v>0.12970615958513013</v>
      </c>
      <c r="ND339" s="60">
        <v>0.12970615958513013</v>
      </c>
      <c r="NE339" s="60">
        <v>0.12970615958513013</v>
      </c>
      <c r="NF339" s="60">
        <v>0.12970615958513013</v>
      </c>
      <c r="NG339" s="60">
        <v>0.12970615958513013</v>
      </c>
      <c r="NH339" s="60">
        <v>0.12970615958513013</v>
      </c>
      <c r="NI339" s="60">
        <v>0.12970615958513013</v>
      </c>
      <c r="NJ339" s="60">
        <v>0.12970615958513013</v>
      </c>
      <c r="NK339" s="60">
        <v>0.12970615958513013</v>
      </c>
      <c r="NL339" s="60">
        <v>0.12970615958513013</v>
      </c>
      <c r="NM339" s="60">
        <v>0.12905762878720445</v>
      </c>
      <c r="NN339" s="60">
        <v>0.12905762878720445</v>
      </c>
      <c r="NO339" s="60">
        <v>0.12905762878720445</v>
      </c>
      <c r="NP339" s="60">
        <v>0.12905762878720445</v>
      </c>
      <c r="NQ339" s="60">
        <v>0.12905762878720445</v>
      </c>
      <c r="NR339" s="60">
        <v>0.12905762878720445</v>
      </c>
      <c r="NS339" s="60">
        <v>0.12905762878720445</v>
      </c>
      <c r="NT339" s="60">
        <v>0.12905762878720445</v>
      </c>
      <c r="NU339" s="60">
        <v>0.12905762878720445</v>
      </c>
      <c r="NV339" s="60">
        <v>0.12905762878720445</v>
      </c>
      <c r="NW339" s="60">
        <v>0.12905762878720445</v>
      </c>
      <c r="NX339" s="60">
        <v>0.12905762878720445</v>
      </c>
      <c r="NY339" s="60">
        <v>0.12841234064326842</v>
      </c>
      <c r="NZ339" s="60">
        <v>0.12841234064326842</v>
      </c>
      <c r="OA339" s="60">
        <v>0.12841234064326842</v>
      </c>
      <c r="OB339" s="60">
        <v>0.12841234064326842</v>
      </c>
      <c r="OC339" s="60">
        <v>0.12841234064326842</v>
      </c>
      <c r="OD339" s="60">
        <v>0.12841234064326842</v>
      </c>
      <c r="OE339" s="60">
        <v>0.12841234064326842</v>
      </c>
    </row>
    <row r="340" spans="1:395" s="5" customFormat="1" ht="13.8" customHeight="1" x14ac:dyDescent="0.3">
      <c r="A340" s="128"/>
      <c r="B340" s="128"/>
      <c r="C340" s="128"/>
      <c r="D340" s="133"/>
      <c r="E340"/>
      <c r="F340"/>
      <c r="G340"/>
      <c r="H340"/>
      <c r="I340"/>
      <c r="J340"/>
      <c r="K340"/>
      <c r="L340"/>
      <c r="M340"/>
      <c r="N340" s="60" t="s">
        <v>99</v>
      </c>
      <c r="O340" s="60"/>
      <c r="P340" s="62" t="s">
        <v>26</v>
      </c>
      <c r="Q340" s="61" cm="1">
        <f t="array" ref="Q340:OE340">_xlfn.ANCHORARRAY(Q338)*(1-_xlfn.ANCHORARRAY(Q339))</f>
        <v>26.206857638888888</v>
      </c>
      <c r="R340" s="61">
        <v>26.206857638888888</v>
      </c>
      <c r="S340" s="61">
        <v>26.206857638888888</v>
      </c>
      <c r="T340" s="61">
        <v>26.206857638888888</v>
      </c>
      <c r="U340" s="61">
        <v>26.206857638888888</v>
      </c>
      <c r="V340" s="61">
        <v>26.206857638888888</v>
      </c>
      <c r="W340" s="61">
        <v>26.206857638888888</v>
      </c>
      <c r="X340" s="61">
        <v>26.206857638888888</v>
      </c>
      <c r="Y340" s="61">
        <v>26.206857638888888</v>
      </c>
      <c r="Z340" s="61">
        <v>26.206857638888888</v>
      </c>
      <c r="AA340" s="61">
        <v>26.206857638888888</v>
      </c>
      <c r="AB340" s="61">
        <v>26.206857638888888</v>
      </c>
      <c r="AC340" s="61">
        <v>25.648930902777774</v>
      </c>
      <c r="AD340" s="61">
        <v>25.648930902777774</v>
      </c>
      <c r="AE340" s="61">
        <v>25.648930902777774</v>
      </c>
      <c r="AF340" s="61">
        <v>25.648930902777774</v>
      </c>
      <c r="AG340" s="61">
        <v>25.648930902777774</v>
      </c>
      <c r="AH340" s="61">
        <v>25.648930902777774</v>
      </c>
      <c r="AI340" s="61">
        <v>25.648930902777774</v>
      </c>
      <c r="AJ340" s="61">
        <v>25.648930902777774</v>
      </c>
      <c r="AK340" s="61">
        <v>25.648930902777774</v>
      </c>
      <c r="AL340" s="61">
        <v>25.648930902777774</v>
      </c>
      <c r="AM340" s="61">
        <v>25.648930902777774</v>
      </c>
      <c r="AN340" s="61">
        <v>25.648930902777774</v>
      </c>
      <c r="AO340" s="61">
        <v>25.09235272213542</v>
      </c>
      <c r="AP340" s="61">
        <v>25.09235272213542</v>
      </c>
      <c r="AQ340" s="61">
        <v>25.09235272213542</v>
      </c>
      <c r="AR340" s="61">
        <v>25.09235272213542</v>
      </c>
      <c r="AS340" s="61">
        <v>25.09235272213542</v>
      </c>
      <c r="AT340" s="61">
        <v>25.09235272213542</v>
      </c>
      <c r="AU340" s="61">
        <v>25.09235272213542</v>
      </c>
      <c r="AV340" s="61">
        <v>25.09235272213542</v>
      </c>
      <c r="AW340" s="61">
        <v>25.09235272213542</v>
      </c>
      <c r="AX340" s="61">
        <v>25.09235272213542</v>
      </c>
      <c r="AY340" s="61">
        <v>25.09235272213542</v>
      </c>
      <c r="AZ340" s="61">
        <v>25.09235272213542</v>
      </c>
      <c r="BA340" s="61">
        <v>24.537552100003904</v>
      </c>
      <c r="BB340" s="61">
        <v>24.537552100003904</v>
      </c>
      <c r="BC340" s="61">
        <v>24.537552100003904</v>
      </c>
      <c r="BD340" s="61">
        <v>24.537552100003904</v>
      </c>
      <c r="BE340" s="61">
        <v>24.537552100003904</v>
      </c>
      <c r="BF340" s="61">
        <v>24.537552100003904</v>
      </c>
      <c r="BG340" s="61">
        <v>24.537552100003904</v>
      </c>
      <c r="BH340" s="61">
        <v>24.537552100003904</v>
      </c>
      <c r="BI340" s="61">
        <v>24.537552100003904</v>
      </c>
      <c r="BJ340" s="61">
        <v>24.537552100003904</v>
      </c>
      <c r="BK340" s="61">
        <v>24.537552100003904</v>
      </c>
      <c r="BL340" s="61">
        <v>24.537552100003904</v>
      </c>
      <c r="BM340" s="61">
        <v>23.9841300734108</v>
      </c>
      <c r="BN340" s="61">
        <v>23.9841300734108</v>
      </c>
      <c r="BO340" s="61">
        <v>23.9841300734108</v>
      </c>
      <c r="BP340" s="61">
        <v>23.9841300734108</v>
      </c>
      <c r="BQ340" s="61">
        <v>23.9841300734108</v>
      </c>
      <c r="BR340" s="61">
        <v>23.9841300734108</v>
      </c>
      <c r="BS340" s="61">
        <v>23.9841300734108</v>
      </c>
      <c r="BT340" s="61">
        <v>23.9841300734108</v>
      </c>
      <c r="BU340" s="61">
        <v>23.9841300734108</v>
      </c>
      <c r="BV340" s="61">
        <v>23.9841300734108</v>
      </c>
      <c r="BW340" s="61">
        <v>23.9841300734108</v>
      </c>
      <c r="BX340" s="61">
        <v>23.9841300734108</v>
      </c>
      <c r="BY340" s="61">
        <v>23.431686121270438</v>
      </c>
      <c r="BZ340" s="61">
        <v>23.431686121270438</v>
      </c>
      <c r="CA340" s="61">
        <v>23.431686121270438</v>
      </c>
      <c r="CB340" s="61">
        <v>23.431686121270438</v>
      </c>
      <c r="CC340" s="61">
        <v>23.431686121270438</v>
      </c>
      <c r="CD340" s="61">
        <v>23.431686121270438</v>
      </c>
      <c r="CE340" s="61">
        <v>23.431686121270438</v>
      </c>
      <c r="CF340" s="61">
        <v>23.431686121270438</v>
      </c>
      <c r="CG340" s="61">
        <v>23.431686121270438</v>
      </c>
      <c r="CH340" s="61">
        <v>23.431686121270438</v>
      </c>
      <c r="CI340" s="61">
        <v>23.431686121270438</v>
      </c>
      <c r="CJ340" s="61">
        <v>23.431686121270438</v>
      </c>
      <c r="CK340" s="61">
        <v>22.880233537991717</v>
      </c>
      <c r="CL340" s="61">
        <v>22.880233537991717</v>
      </c>
      <c r="CM340" s="61">
        <v>22.880233537991717</v>
      </c>
      <c r="CN340" s="61">
        <v>22.880233537991717</v>
      </c>
      <c r="CO340" s="61">
        <v>22.880233537991717</v>
      </c>
      <c r="CP340" s="61">
        <v>22.880233537991717</v>
      </c>
      <c r="CQ340" s="61">
        <v>22.880233537991717</v>
      </c>
      <c r="CR340" s="61">
        <v>22.880233537991717</v>
      </c>
      <c r="CS340" s="61">
        <v>22.880233537991717</v>
      </c>
      <c r="CT340" s="61">
        <v>22.880233537991717</v>
      </c>
      <c r="CU340" s="61">
        <v>22.880233537991717</v>
      </c>
      <c r="CV340" s="61">
        <v>22.880233537991717</v>
      </c>
      <c r="CW340" s="61">
        <v>22.330201221026446</v>
      </c>
      <c r="CX340" s="61">
        <v>22.330201221026446</v>
      </c>
      <c r="CY340" s="61">
        <v>22.330201221026446</v>
      </c>
      <c r="CZ340" s="61">
        <v>22.330201221026446</v>
      </c>
      <c r="DA340" s="61">
        <v>22.330201221026446</v>
      </c>
      <c r="DB340" s="61">
        <v>22.330201221026446</v>
      </c>
      <c r="DC340" s="61">
        <v>22.330201221026446</v>
      </c>
      <c r="DD340" s="61">
        <v>22.330201221026446</v>
      </c>
      <c r="DE340" s="61">
        <v>22.330201221026446</v>
      </c>
      <c r="DF340" s="61">
        <v>22.330201221026446</v>
      </c>
      <c r="DG340" s="61">
        <v>22.330201221026446</v>
      </c>
      <c r="DH340" s="61">
        <v>22.330201221026446</v>
      </c>
      <c r="DI340" s="61">
        <v>21.78160331054692</v>
      </c>
      <c r="DJ340" s="61">
        <v>21.78160331054692</v>
      </c>
      <c r="DK340" s="61">
        <v>21.78160331054692</v>
      </c>
      <c r="DL340" s="61">
        <v>21.78160331054692</v>
      </c>
      <c r="DM340" s="61">
        <v>21.78160331054692</v>
      </c>
      <c r="DN340" s="61">
        <v>21.78160331054692</v>
      </c>
      <c r="DO340" s="61">
        <v>21.78160331054692</v>
      </c>
      <c r="DP340" s="61">
        <v>21.78160331054692</v>
      </c>
      <c r="DQ340" s="61">
        <v>21.78160331054692</v>
      </c>
      <c r="DR340" s="61">
        <v>21.78160331054692</v>
      </c>
      <c r="DS340" s="61">
        <v>21.78160331054692</v>
      </c>
      <c r="DT340" s="61">
        <v>21.78160331054692</v>
      </c>
      <c r="DU340" s="61">
        <v>21.233204599685283</v>
      </c>
      <c r="DV340" s="61">
        <v>21.233204599685283</v>
      </c>
      <c r="DW340" s="61">
        <v>21.233204599685283</v>
      </c>
      <c r="DX340" s="61">
        <v>21.233204599685283</v>
      </c>
      <c r="DY340" s="61">
        <v>21.233204599685283</v>
      </c>
      <c r="DZ340" s="61">
        <v>21.233204599685283</v>
      </c>
      <c r="EA340" s="61">
        <v>21.233204599685283</v>
      </c>
      <c r="EB340" s="61">
        <v>21.233204599685283</v>
      </c>
      <c r="EC340" s="61">
        <v>21.233204599685283</v>
      </c>
      <c r="ED340" s="61">
        <v>21.233204599685283</v>
      </c>
      <c r="EE340" s="61">
        <v>21.233204599685283</v>
      </c>
      <c r="EF340" s="61">
        <v>21.233204599685283</v>
      </c>
      <c r="EG340" s="61">
        <v>20.682098548526447</v>
      </c>
      <c r="EH340" s="61">
        <v>20.682098548526447</v>
      </c>
      <c r="EI340" s="61">
        <v>20.682098548526447</v>
      </c>
      <c r="EJ340" s="61">
        <v>20.682098548526447</v>
      </c>
      <c r="EK340" s="61">
        <v>20.682098548526447</v>
      </c>
      <c r="EL340" s="61">
        <v>20.682098548526447</v>
      </c>
      <c r="EM340" s="61">
        <v>20.682098548526447</v>
      </c>
      <c r="EN340" s="61">
        <v>20.682098548526447</v>
      </c>
      <c r="EO340" s="61">
        <v>20.682098548526447</v>
      </c>
      <c r="EP340" s="61">
        <v>20.682098548526447</v>
      </c>
      <c r="EQ340" s="61">
        <v>20.682098548526447</v>
      </c>
      <c r="ER340" s="61">
        <v>20.682098548526447</v>
      </c>
      <c r="ES340" s="61">
        <v>20.136213584734204</v>
      </c>
      <c r="ET340" s="61">
        <v>20.136213584734204</v>
      </c>
      <c r="EU340" s="61">
        <v>20.136213584734204</v>
      </c>
      <c r="EV340" s="61">
        <v>20.136213584734204</v>
      </c>
      <c r="EW340" s="61">
        <v>20.136213584734204</v>
      </c>
      <c r="EX340" s="61">
        <v>20.136213584734204</v>
      </c>
      <c r="EY340" s="61">
        <v>20.136213584734204</v>
      </c>
      <c r="EZ340" s="61">
        <v>20.136213584734204</v>
      </c>
      <c r="FA340" s="61">
        <v>20.136213584734204</v>
      </c>
      <c r="FB340" s="61">
        <v>20.136213584734204</v>
      </c>
      <c r="FC340" s="61">
        <v>20.136213584734204</v>
      </c>
      <c r="FD340" s="61">
        <v>20.136213584734204</v>
      </c>
      <c r="FE340" s="61">
        <v>19.590980816325256</v>
      </c>
      <c r="FF340" s="61">
        <v>19.590980816325256</v>
      </c>
      <c r="FG340" s="61">
        <v>19.590980816325256</v>
      </c>
      <c r="FH340" s="61">
        <v>19.590980816325256</v>
      </c>
      <c r="FI340" s="61">
        <v>19.590980816325256</v>
      </c>
      <c r="FJ340" s="61">
        <v>19.590980816325256</v>
      </c>
      <c r="FK340" s="61">
        <v>19.590980816325256</v>
      </c>
      <c r="FL340" s="61">
        <v>19.590980816325256</v>
      </c>
      <c r="FM340" s="61">
        <v>19.590980816325256</v>
      </c>
      <c r="FN340" s="61">
        <v>19.590980816325256</v>
      </c>
      <c r="FO340" s="61">
        <v>19.590980816325256</v>
      </c>
      <c r="FP340" s="61">
        <v>19.590980816325256</v>
      </c>
      <c r="FQ340" s="61">
        <v>19.04641177986425</v>
      </c>
      <c r="FR340" s="61">
        <v>19.04641177986425</v>
      </c>
      <c r="FS340" s="61">
        <v>19.04641177986425</v>
      </c>
      <c r="FT340" s="61">
        <v>19.04641177986425</v>
      </c>
      <c r="FU340" s="61">
        <v>19.04641177986425</v>
      </c>
      <c r="FV340" s="61">
        <v>19.04641177986425</v>
      </c>
      <c r="FW340" s="61">
        <v>19.04641177986425</v>
      </c>
      <c r="FX340" s="61">
        <v>19.04641177986425</v>
      </c>
      <c r="FY340" s="61">
        <v>19.04641177986425</v>
      </c>
      <c r="FZ340" s="61">
        <v>19.04641177986425</v>
      </c>
      <c r="GA340" s="61">
        <v>19.04641177986425</v>
      </c>
      <c r="GB340" s="61">
        <v>19.04641177986425</v>
      </c>
      <c r="GC340" s="61">
        <v>18.502936057988634</v>
      </c>
      <c r="GD340" s="61">
        <v>18.502936057988634</v>
      </c>
      <c r="GE340" s="61">
        <v>18.502936057988634</v>
      </c>
      <c r="GF340" s="61">
        <v>18.502936057988634</v>
      </c>
      <c r="GG340" s="61">
        <v>18.502936057988634</v>
      </c>
      <c r="GH340" s="61">
        <v>18.502936057988634</v>
      </c>
      <c r="GI340" s="61">
        <v>18.502936057988634</v>
      </c>
      <c r="GJ340" s="61">
        <v>18.502936057988634</v>
      </c>
      <c r="GK340" s="61">
        <v>18.502936057988634</v>
      </c>
      <c r="GL340" s="61">
        <v>18.502936057988634</v>
      </c>
      <c r="GM340" s="61">
        <v>18.502936057988634</v>
      </c>
      <c r="GN340" s="61">
        <v>18.502936057988634</v>
      </c>
      <c r="GO340" s="61">
        <v>17.960147551810262</v>
      </c>
      <c r="GP340" s="61">
        <v>17.960147551810262</v>
      </c>
      <c r="GQ340" s="61">
        <v>17.960147551810262</v>
      </c>
      <c r="GR340" s="61">
        <v>17.960147551810262</v>
      </c>
      <c r="GS340" s="61">
        <v>17.960147551810262</v>
      </c>
      <c r="GT340" s="61">
        <v>17.960147551810262</v>
      </c>
      <c r="GU340" s="61">
        <v>17.960147551810262</v>
      </c>
      <c r="GV340" s="61">
        <v>17.960147551810262</v>
      </c>
      <c r="GW340" s="61">
        <v>17.960147551810262</v>
      </c>
      <c r="GX340" s="61">
        <v>17.960147551810262</v>
      </c>
      <c r="GY340" s="61">
        <v>17.960147551810262</v>
      </c>
      <c r="GZ340" s="61">
        <v>17.960147551810262</v>
      </c>
      <c r="HA340" s="61">
        <v>17.418057524950502</v>
      </c>
      <c r="HB340" s="61">
        <v>17.418057524950502</v>
      </c>
      <c r="HC340" s="61">
        <v>17.418057524950502</v>
      </c>
      <c r="HD340" s="61">
        <v>17.418057524950502</v>
      </c>
      <c r="HE340" s="61">
        <v>17.418057524950502</v>
      </c>
      <c r="HF340" s="61">
        <v>17.418057524950502</v>
      </c>
      <c r="HG340" s="61">
        <v>17.418057524950502</v>
      </c>
      <c r="HH340" s="61">
        <v>17.418057524950502</v>
      </c>
      <c r="HI340" s="61">
        <v>17.418057524950502</v>
      </c>
      <c r="HJ340" s="61">
        <v>17.418057524950502</v>
      </c>
      <c r="HK340" s="61">
        <v>17.418057524950502</v>
      </c>
      <c r="HL340" s="61">
        <v>17.418057524950502</v>
      </c>
      <c r="HM340" s="61">
        <v>16.876258002526427</v>
      </c>
      <c r="HN340" s="61">
        <v>16.876258002526427</v>
      </c>
      <c r="HO340" s="61">
        <v>16.876258002526427</v>
      </c>
      <c r="HP340" s="61">
        <v>16.876258002526427</v>
      </c>
      <c r="HQ340" s="61">
        <v>16.876258002526427</v>
      </c>
      <c r="HR340" s="61">
        <v>16.876258002526427</v>
      </c>
      <c r="HS340" s="61">
        <v>16.876258002526427</v>
      </c>
      <c r="HT340" s="61">
        <v>16.876258002526427</v>
      </c>
      <c r="HU340" s="61">
        <v>16.876258002526427</v>
      </c>
      <c r="HV340" s="61">
        <v>16.876258002526427</v>
      </c>
      <c r="HW340" s="61">
        <v>16.876258002526427</v>
      </c>
      <c r="HX340" s="61">
        <v>16.876258002526427</v>
      </c>
      <c r="HY340" s="61">
        <v>16.335178553782832</v>
      </c>
      <c r="HZ340" s="61">
        <v>16.335178553782832</v>
      </c>
      <c r="IA340" s="61">
        <v>16.335178553782832</v>
      </c>
      <c r="IB340" s="61">
        <v>16.335178553782832</v>
      </c>
      <c r="IC340" s="61">
        <v>16.335178553782832</v>
      </c>
      <c r="ID340" s="61">
        <v>16.335178553782832</v>
      </c>
      <c r="IE340" s="61">
        <v>16.335178553782832</v>
      </c>
      <c r="IF340" s="61">
        <v>16.335178553782832</v>
      </c>
      <c r="IG340" s="61">
        <v>16.335178553782832</v>
      </c>
      <c r="IH340" s="61">
        <v>16.335178553782832</v>
      </c>
      <c r="II340" s="61">
        <v>16.335178553782832</v>
      </c>
      <c r="IJ340" s="61">
        <v>16.335178553782832</v>
      </c>
      <c r="IK340" s="61">
        <v>15.794410366880495</v>
      </c>
      <c r="IL340" s="61">
        <v>15.794410366880495</v>
      </c>
      <c r="IM340" s="61">
        <v>15.794410366880495</v>
      </c>
      <c r="IN340" s="61">
        <v>15.794410366880495</v>
      </c>
      <c r="IO340" s="61">
        <v>15.794410366880495</v>
      </c>
      <c r="IP340" s="61">
        <v>15.794410366880495</v>
      </c>
      <c r="IQ340" s="61">
        <v>15.794410366880495</v>
      </c>
      <c r="IR340" s="61">
        <v>15.794410366880495</v>
      </c>
      <c r="IS340" s="61">
        <v>15.794410366880495</v>
      </c>
      <c r="IT340" s="61">
        <v>15.794410366880495</v>
      </c>
      <c r="IU340" s="61">
        <v>15.794410366880495</v>
      </c>
      <c r="IV340" s="61">
        <v>15.794410366880495</v>
      </c>
      <c r="IW340" s="61">
        <v>15.254383517868259</v>
      </c>
      <c r="IX340" s="61">
        <v>15.254383517868259</v>
      </c>
      <c r="IY340" s="61">
        <v>15.254383517868259</v>
      </c>
      <c r="IZ340" s="61">
        <v>15.254383517868259</v>
      </c>
      <c r="JA340" s="61">
        <v>15.254383517868259</v>
      </c>
      <c r="JB340" s="61">
        <v>15.254383517868259</v>
      </c>
      <c r="JC340" s="61">
        <v>15.254383517868259</v>
      </c>
      <c r="JD340" s="61">
        <v>15.254383517868259</v>
      </c>
      <c r="JE340" s="61">
        <v>15.254383517868259</v>
      </c>
      <c r="JF340" s="61">
        <v>15.254383517868259</v>
      </c>
      <c r="JG340" s="61">
        <v>15.254383517868259</v>
      </c>
      <c r="JH340" s="61">
        <v>15.254383517868259</v>
      </c>
      <c r="JI340" s="61">
        <v>14.714688366989902</v>
      </c>
      <c r="JJ340" s="61">
        <v>14.714688366989902</v>
      </c>
      <c r="JK340" s="61">
        <v>14.714688366989902</v>
      </c>
      <c r="JL340" s="61">
        <v>14.714688366989902</v>
      </c>
      <c r="JM340" s="61">
        <v>14.714688366989902</v>
      </c>
      <c r="JN340" s="61">
        <v>14.714688366989902</v>
      </c>
      <c r="JO340" s="61">
        <v>14.714688366989902</v>
      </c>
      <c r="JP340" s="61">
        <v>14.714688366989902</v>
      </c>
      <c r="JQ340" s="61">
        <v>14.714688366989902</v>
      </c>
      <c r="JR340" s="61">
        <v>14.714688366989902</v>
      </c>
      <c r="JS340" s="61">
        <v>14.714688366989902</v>
      </c>
      <c r="JT340" s="61">
        <v>14.714688366989902</v>
      </c>
      <c r="JU340" s="61">
        <v>14.175755492729529</v>
      </c>
      <c r="JV340" s="61">
        <v>14.175755492729529</v>
      </c>
      <c r="JW340" s="61">
        <v>14.175755492729529</v>
      </c>
      <c r="JX340" s="61">
        <v>14.175755492729529</v>
      </c>
      <c r="JY340" s="61">
        <v>14.175755492729529</v>
      </c>
      <c r="JZ340" s="61">
        <v>14.175755492729529</v>
      </c>
      <c r="KA340" s="61">
        <v>14.175755492729529</v>
      </c>
      <c r="KB340" s="61">
        <v>14.175755492729529</v>
      </c>
      <c r="KC340" s="61">
        <v>14.175755492729529</v>
      </c>
      <c r="KD340" s="61">
        <v>14.175755492729529</v>
      </c>
      <c r="KE340" s="61">
        <v>14.175755492729529</v>
      </c>
      <c r="KF340" s="61">
        <v>14.175755492729529</v>
      </c>
      <c r="KG340" s="61">
        <v>13.636753301945843</v>
      </c>
      <c r="KH340" s="61">
        <v>13.636753301945843</v>
      </c>
      <c r="KI340" s="61">
        <v>13.636753301945843</v>
      </c>
      <c r="KJ340" s="61">
        <v>13.636753301945843</v>
      </c>
      <c r="KK340" s="61">
        <v>13.636753301945843</v>
      </c>
      <c r="KL340" s="61">
        <v>13.636753301945843</v>
      </c>
      <c r="KM340" s="61">
        <v>13.636753301945843</v>
      </c>
      <c r="KN340" s="61">
        <v>13.636753301945843</v>
      </c>
      <c r="KO340" s="61">
        <v>13.636753301945843</v>
      </c>
      <c r="KP340" s="61">
        <v>13.636753301945843</v>
      </c>
      <c r="KQ340" s="61">
        <v>13.636753301945843</v>
      </c>
      <c r="KR340" s="61">
        <v>13.636753301945843</v>
      </c>
      <c r="KS340" s="61">
        <v>13.098111896574467</v>
      </c>
      <c r="KT340" s="61">
        <v>13.098111896574467</v>
      </c>
      <c r="KU340" s="61">
        <v>13.098111896574467</v>
      </c>
      <c r="KV340" s="61">
        <v>13.098111896574467</v>
      </c>
      <c r="KW340" s="61">
        <v>13.098111896574467</v>
      </c>
      <c r="KX340" s="61">
        <v>13.098111896574467</v>
      </c>
      <c r="KY340" s="61">
        <v>13.098111896574467</v>
      </c>
      <c r="KZ340" s="61">
        <v>13.098111896574467</v>
      </c>
      <c r="LA340" s="61">
        <v>13.098111896574467</v>
      </c>
      <c r="LB340" s="61">
        <v>13.098111896574467</v>
      </c>
      <c r="LC340" s="61">
        <v>13.098111896574467</v>
      </c>
      <c r="LD340" s="61">
        <v>13.098111896574467</v>
      </c>
      <c r="LE340" s="61">
        <v>12.559840825398895</v>
      </c>
      <c r="LF340" s="61">
        <v>12.559840825398895</v>
      </c>
      <c r="LG340" s="61">
        <v>12.559840825398895</v>
      </c>
      <c r="LH340" s="61">
        <v>12.559840825398895</v>
      </c>
      <c r="LI340" s="61">
        <v>12.559840825398895</v>
      </c>
      <c r="LJ340" s="61">
        <v>12.559840825398895</v>
      </c>
      <c r="LK340" s="61">
        <v>12.559840825398895</v>
      </c>
      <c r="LL340" s="61">
        <v>12.559840825398895</v>
      </c>
      <c r="LM340" s="61">
        <v>12.559840825398895</v>
      </c>
      <c r="LN340" s="61">
        <v>12.559840825398895</v>
      </c>
      <c r="LO340" s="61">
        <v>12.559840825398895</v>
      </c>
      <c r="LP340" s="61">
        <v>12.559840825398895</v>
      </c>
      <c r="LQ340" s="61">
        <v>12.021527460110049</v>
      </c>
      <c r="LR340" s="61">
        <v>12.021527460110049</v>
      </c>
      <c r="LS340" s="61">
        <v>12.021527460110049</v>
      </c>
      <c r="LT340" s="61">
        <v>12.021527460110049</v>
      </c>
      <c r="LU340" s="61">
        <v>12.021527460110049</v>
      </c>
      <c r="LV340" s="61">
        <v>12.021527460110049</v>
      </c>
      <c r="LW340" s="61">
        <v>12.021527460110049</v>
      </c>
      <c r="LX340" s="61">
        <v>12.021527460110049</v>
      </c>
      <c r="LY340" s="61">
        <v>12.021527460110049</v>
      </c>
      <c r="LZ340" s="61">
        <v>12.021527460110049</v>
      </c>
      <c r="MA340" s="61">
        <v>12.021527460110049</v>
      </c>
      <c r="MB340" s="61">
        <v>12.021527460110049</v>
      </c>
      <c r="MC340" s="61">
        <v>11.484025092564341</v>
      </c>
      <c r="MD340" s="61">
        <v>11.484025092564341</v>
      </c>
      <c r="ME340" s="61">
        <v>11.484025092564341</v>
      </c>
      <c r="MF340" s="61">
        <v>11.484025092564341</v>
      </c>
      <c r="MG340" s="61">
        <v>11.484025092564341</v>
      </c>
      <c r="MH340" s="61">
        <v>11.484025092564341</v>
      </c>
      <c r="MI340" s="61">
        <v>11.484025092564341</v>
      </c>
      <c r="MJ340" s="61">
        <v>11.484025092564341</v>
      </c>
      <c r="MK340" s="61">
        <v>11.484025092564341</v>
      </c>
      <c r="ML340" s="61">
        <v>11.484025092564341</v>
      </c>
      <c r="MM340" s="61">
        <v>11.484025092564341</v>
      </c>
      <c r="MN340" s="61">
        <v>11.484025092564341</v>
      </c>
      <c r="MO340" s="61">
        <v>10.946075786504439</v>
      </c>
      <c r="MP340" s="61">
        <v>10.946075786504439</v>
      </c>
      <c r="MQ340" s="61">
        <v>10.946075786504439</v>
      </c>
      <c r="MR340" s="61">
        <v>10.946075786504439</v>
      </c>
      <c r="MS340" s="61">
        <v>10.946075786504439</v>
      </c>
      <c r="MT340" s="61">
        <v>10.946075786504439</v>
      </c>
      <c r="MU340" s="61">
        <v>10.946075786504439</v>
      </c>
      <c r="MV340" s="61">
        <v>10.946075786504439</v>
      </c>
      <c r="MW340" s="61">
        <v>10.946075786504439</v>
      </c>
      <c r="MX340" s="61">
        <v>10.946075786504439</v>
      </c>
      <c r="MY340" s="61">
        <v>10.946075786504439</v>
      </c>
      <c r="MZ340" s="61">
        <v>10.946075786504439</v>
      </c>
      <c r="NA340" s="61">
        <v>10.408533020145089</v>
      </c>
      <c r="NB340" s="61">
        <v>10.408533020145089</v>
      </c>
      <c r="NC340" s="61">
        <v>10.408533020145089</v>
      </c>
      <c r="ND340" s="61">
        <v>10.408533020145089</v>
      </c>
      <c r="NE340" s="61">
        <v>10.408533020145089</v>
      </c>
      <c r="NF340" s="61">
        <v>10.408533020145089</v>
      </c>
      <c r="NG340" s="61">
        <v>10.408533020145089</v>
      </c>
      <c r="NH340" s="61">
        <v>10.408533020145089</v>
      </c>
      <c r="NI340" s="61">
        <v>10.408533020145089</v>
      </c>
      <c r="NJ340" s="61">
        <v>10.408533020145089</v>
      </c>
      <c r="NK340" s="61">
        <v>10.408533020145089</v>
      </c>
      <c r="NL340" s="61">
        <v>10.408533020145089</v>
      </c>
      <c r="NM340" s="61">
        <v>9.8709826176239091</v>
      </c>
      <c r="NN340" s="61">
        <v>9.8709826176239091</v>
      </c>
      <c r="NO340" s="61">
        <v>9.8709826176239091</v>
      </c>
      <c r="NP340" s="61">
        <v>9.8709826176239091</v>
      </c>
      <c r="NQ340" s="61">
        <v>9.8709826176239091</v>
      </c>
      <c r="NR340" s="61">
        <v>9.8709826176239091</v>
      </c>
      <c r="NS340" s="61">
        <v>9.8709826176239091</v>
      </c>
      <c r="NT340" s="61">
        <v>9.8709826176239091</v>
      </c>
      <c r="NU340" s="61">
        <v>9.8709826176239091</v>
      </c>
      <c r="NV340" s="61">
        <v>9.8709826176239091</v>
      </c>
      <c r="NW340" s="61">
        <v>9.8709826176239091</v>
      </c>
      <c r="NX340" s="61">
        <v>9.8709826176239091</v>
      </c>
      <c r="NY340" s="61">
        <v>9.3334327663740311</v>
      </c>
      <c r="NZ340" s="61">
        <v>9.3334327663740311</v>
      </c>
      <c r="OA340" s="61">
        <v>9.3334327663740311</v>
      </c>
      <c r="OB340" s="61">
        <v>9.3334327663740311</v>
      </c>
      <c r="OC340" s="61">
        <v>9.3334327663740311</v>
      </c>
      <c r="OD340" s="61">
        <v>9.3334327663740311</v>
      </c>
      <c r="OE340" s="61">
        <v>9.3334327663740311</v>
      </c>
    </row>
    <row r="341" spans="1:395" ht="13.8" customHeight="1" outlineLevel="1" x14ac:dyDescent="0.3">
      <c r="D341" s="133"/>
      <c r="N341" s="30" t="s">
        <v>77</v>
      </c>
      <c r="O341" s="30"/>
      <c r="P341" s="32" t="s">
        <v>31</v>
      </c>
      <c r="Q341" s="60" cm="1">
        <f t="array" ref="Q341:OE341">_xlfn.ANCHORARRAY(Q1)*E371/8760</f>
        <v>0.9817351598173516</v>
      </c>
      <c r="R341" s="60">
        <v>0.9817351598173516</v>
      </c>
      <c r="S341" s="60">
        <v>0.9817351598173516</v>
      </c>
      <c r="T341" s="60">
        <v>0.9817351598173516</v>
      </c>
      <c r="U341" s="60">
        <v>0.9817351598173516</v>
      </c>
      <c r="V341" s="60">
        <v>0.9817351598173516</v>
      </c>
      <c r="W341" s="60">
        <v>0.9817351598173516</v>
      </c>
      <c r="X341" s="60">
        <v>0.9817351598173516</v>
      </c>
      <c r="Y341" s="60">
        <v>0.9817351598173516</v>
      </c>
      <c r="Z341" s="60">
        <v>0.9817351598173516</v>
      </c>
      <c r="AA341" s="60">
        <v>0.9817351598173516</v>
      </c>
      <c r="AB341" s="60">
        <v>0.9817351598173516</v>
      </c>
      <c r="AC341" s="60">
        <v>0.9817351598173516</v>
      </c>
      <c r="AD341" s="60">
        <v>0.9817351598173516</v>
      </c>
      <c r="AE341" s="60">
        <v>0.9817351598173516</v>
      </c>
      <c r="AF341" s="60">
        <v>0.9817351598173516</v>
      </c>
      <c r="AG341" s="60">
        <v>0.9817351598173516</v>
      </c>
      <c r="AH341" s="60">
        <v>0.9817351598173516</v>
      </c>
      <c r="AI341" s="60">
        <v>0.9817351598173516</v>
      </c>
      <c r="AJ341" s="60">
        <v>0.9817351598173516</v>
      </c>
      <c r="AK341" s="60">
        <v>0.9817351598173516</v>
      </c>
      <c r="AL341" s="60">
        <v>0.9817351598173516</v>
      </c>
      <c r="AM341" s="60">
        <v>0.9817351598173516</v>
      </c>
      <c r="AN341" s="60">
        <v>0.9817351598173516</v>
      </c>
      <c r="AO341" s="60">
        <v>0.9817351598173516</v>
      </c>
      <c r="AP341" s="60">
        <v>0.9817351598173516</v>
      </c>
      <c r="AQ341" s="60">
        <v>0.9817351598173516</v>
      </c>
      <c r="AR341" s="60">
        <v>0.9817351598173516</v>
      </c>
      <c r="AS341" s="60">
        <v>0.9817351598173516</v>
      </c>
      <c r="AT341" s="60">
        <v>0.9817351598173516</v>
      </c>
      <c r="AU341" s="60">
        <v>0.9817351598173516</v>
      </c>
      <c r="AV341" s="60">
        <v>0.9817351598173516</v>
      </c>
      <c r="AW341" s="60">
        <v>0.9817351598173516</v>
      </c>
      <c r="AX341" s="60">
        <v>0.9817351598173516</v>
      </c>
      <c r="AY341" s="60">
        <v>0.9817351598173516</v>
      </c>
      <c r="AZ341" s="60">
        <v>0.9817351598173516</v>
      </c>
      <c r="BA341" s="60">
        <v>0.9817351598173516</v>
      </c>
      <c r="BB341" s="60">
        <v>0.9817351598173516</v>
      </c>
      <c r="BC341" s="60">
        <v>0.9817351598173516</v>
      </c>
      <c r="BD341" s="60">
        <v>0.9817351598173516</v>
      </c>
      <c r="BE341" s="60">
        <v>0.9817351598173516</v>
      </c>
      <c r="BF341" s="60">
        <v>0.9817351598173516</v>
      </c>
      <c r="BG341" s="60">
        <v>0.9817351598173516</v>
      </c>
      <c r="BH341" s="60">
        <v>0.9817351598173516</v>
      </c>
      <c r="BI341" s="60">
        <v>0.9817351598173516</v>
      </c>
      <c r="BJ341" s="60">
        <v>0.9817351598173516</v>
      </c>
      <c r="BK341" s="60">
        <v>0.9817351598173516</v>
      </c>
      <c r="BL341" s="60">
        <v>0.9817351598173516</v>
      </c>
      <c r="BM341" s="60">
        <v>0.9817351598173516</v>
      </c>
      <c r="BN341" s="60">
        <v>0.9817351598173516</v>
      </c>
      <c r="BO341" s="60">
        <v>0.9817351598173516</v>
      </c>
      <c r="BP341" s="60">
        <v>0.9817351598173516</v>
      </c>
      <c r="BQ341" s="60">
        <v>0.9817351598173516</v>
      </c>
      <c r="BR341" s="60">
        <v>0.9817351598173516</v>
      </c>
      <c r="BS341" s="60">
        <v>0.9817351598173516</v>
      </c>
      <c r="BT341" s="60">
        <v>0.9817351598173516</v>
      </c>
      <c r="BU341" s="60">
        <v>0.9817351598173516</v>
      </c>
      <c r="BV341" s="60">
        <v>0.9817351598173516</v>
      </c>
      <c r="BW341" s="60">
        <v>0.9817351598173516</v>
      </c>
      <c r="BX341" s="60">
        <v>0.9817351598173516</v>
      </c>
      <c r="BY341" s="60">
        <v>0.9817351598173516</v>
      </c>
      <c r="BZ341" s="60">
        <v>0.9817351598173516</v>
      </c>
      <c r="CA341" s="60">
        <v>0.9817351598173516</v>
      </c>
      <c r="CB341" s="60">
        <v>0.9817351598173516</v>
      </c>
      <c r="CC341" s="60">
        <v>0.9817351598173516</v>
      </c>
      <c r="CD341" s="60">
        <v>0.9817351598173516</v>
      </c>
      <c r="CE341" s="60">
        <v>0.9817351598173516</v>
      </c>
      <c r="CF341" s="60">
        <v>0.9817351598173516</v>
      </c>
      <c r="CG341" s="60">
        <v>0.9817351598173516</v>
      </c>
      <c r="CH341" s="60">
        <v>0.9817351598173516</v>
      </c>
      <c r="CI341" s="60">
        <v>0.9817351598173516</v>
      </c>
      <c r="CJ341" s="60">
        <v>0.9817351598173516</v>
      </c>
      <c r="CK341" s="60">
        <v>0.9817351598173516</v>
      </c>
      <c r="CL341" s="60">
        <v>0.9817351598173516</v>
      </c>
      <c r="CM341" s="60">
        <v>0.9817351598173516</v>
      </c>
      <c r="CN341" s="60">
        <v>0.9817351598173516</v>
      </c>
      <c r="CO341" s="60">
        <v>0.9817351598173516</v>
      </c>
      <c r="CP341" s="60">
        <v>0.9817351598173516</v>
      </c>
      <c r="CQ341" s="60">
        <v>0.9817351598173516</v>
      </c>
      <c r="CR341" s="60">
        <v>0.9817351598173516</v>
      </c>
      <c r="CS341" s="60">
        <v>0.9817351598173516</v>
      </c>
      <c r="CT341" s="60">
        <v>0.9817351598173516</v>
      </c>
      <c r="CU341" s="60">
        <v>0.9817351598173516</v>
      </c>
      <c r="CV341" s="60">
        <v>0.9817351598173516</v>
      </c>
      <c r="CW341" s="60">
        <v>0.9817351598173516</v>
      </c>
      <c r="CX341" s="60">
        <v>0.9817351598173516</v>
      </c>
      <c r="CY341" s="60">
        <v>0.9817351598173516</v>
      </c>
      <c r="CZ341" s="60">
        <v>0.9817351598173516</v>
      </c>
      <c r="DA341" s="60">
        <v>0.9817351598173516</v>
      </c>
      <c r="DB341" s="60">
        <v>0.9817351598173516</v>
      </c>
      <c r="DC341" s="60">
        <v>0.9817351598173516</v>
      </c>
      <c r="DD341" s="60">
        <v>0.9817351598173516</v>
      </c>
      <c r="DE341" s="60">
        <v>0.9817351598173516</v>
      </c>
      <c r="DF341" s="60">
        <v>0.9817351598173516</v>
      </c>
      <c r="DG341" s="60">
        <v>0.9817351598173516</v>
      </c>
      <c r="DH341" s="60">
        <v>0.9817351598173516</v>
      </c>
      <c r="DI341" s="60">
        <v>0.9817351598173516</v>
      </c>
      <c r="DJ341" s="60">
        <v>0.9817351598173516</v>
      </c>
      <c r="DK341" s="60">
        <v>0.9817351598173516</v>
      </c>
      <c r="DL341" s="60">
        <v>0.9817351598173516</v>
      </c>
      <c r="DM341" s="60">
        <v>0.9817351598173516</v>
      </c>
      <c r="DN341" s="60">
        <v>0.9817351598173516</v>
      </c>
      <c r="DO341" s="60">
        <v>0.9817351598173516</v>
      </c>
      <c r="DP341" s="60">
        <v>0.9817351598173516</v>
      </c>
      <c r="DQ341" s="60">
        <v>0.9817351598173516</v>
      </c>
      <c r="DR341" s="60">
        <v>0.9817351598173516</v>
      </c>
      <c r="DS341" s="60">
        <v>0.9817351598173516</v>
      </c>
      <c r="DT341" s="60">
        <v>0.9817351598173516</v>
      </c>
      <c r="DU341" s="60">
        <v>0.9817351598173516</v>
      </c>
      <c r="DV341" s="60">
        <v>0.9817351598173516</v>
      </c>
      <c r="DW341" s="60">
        <v>0.9817351598173516</v>
      </c>
      <c r="DX341" s="60">
        <v>0.9817351598173516</v>
      </c>
      <c r="DY341" s="60">
        <v>0.9817351598173516</v>
      </c>
      <c r="DZ341" s="60">
        <v>0.9817351598173516</v>
      </c>
      <c r="EA341" s="60">
        <v>0.9817351598173516</v>
      </c>
      <c r="EB341" s="60">
        <v>0.9817351598173516</v>
      </c>
      <c r="EC341" s="60">
        <v>0.9817351598173516</v>
      </c>
      <c r="ED341" s="60">
        <v>0.9817351598173516</v>
      </c>
      <c r="EE341" s="60">
        <v>0.9817351598173516</v>
      </c>
      <c r="EF341" s="60">
        <v>0.9817351598173516</v>
      </c>
      <c r="EG341" s="60">
        <v>0.9817351598173516</v>
      </c>
      <c r="EH341" s="60">
        <v>0.9817351598173516</v>
      </c>
      <c r="EI341" s="60">
        <v>0.9817351598173516</v>
      </c>
      <c r="EJ341" s="60">
        <v>0.9817351598173516</v>
      </c>
      <c r="EK341" s="60">
        <v>0.9817351598173516</v>
      </c>
      <c r="EL341" s="60">
        <v>0.9817351598173516</v>
      </c>
      <c r="EM341" s="60">
        <v>0.9817351598173516</v>
      </c>
      <c r="EN341" s="60">
        <v>0.9817351598173516</v>
      </c>
      <c r="EO341" s="60">
        <v>0.9817351598173516</v>
      </c>
      <c r="EP341" s="60">
        <v>0.9817351598173516</v>
      </c>
      <c r="EQ341" s="60">
        <v>0.9817351598173516</v>
      </c>
      <c r="ER341" s="60">
        <v>0.9817351598173516</v>
      </c>
      <c r="ES341" s="60">
        <v>0.9817351598173516</v>
      </c>
      <c r="ET341" s="60">
        <v>0.9817351598173516</v>
      </c>
      <c r="EU341" s="60">
        <v>0.9817351598173516</v>
      </c>
      <c r="EV341" s="60">
        <v>0.9817351598173516</v>
      </c>
      <c r="EW341" s="60">
        <v>0.9817351598173516</v>
      </c>
      <c r="EX341" s="60">
        <v>0.9817351598173516</v>
      </c>
      <c r="EY341" s="60">
        <v>0.9817351598173516</v>
      </c>
      <c r="EZ341" s="60">
        <v>0.9817351598173516</v>
      </c>
      <c r="FA341" s="60">
        <v>0.9817351598173516</v>
      </c>
      <c r="FB341" s="60">
        <v>0.9817351598173516</v>
      </c>
      <c r="FC341" s="60">
        <v>0.9817351598173516</v>
      </c>
      <c r="FD341" s="60">
        <v>0.9817351598173516</v>
      </c>
      <c r="FE341" s="60">
        <v>0.9817351598173516</v>
      </c>
      <c r="FF341" s="60">
        <v>0.9817351598173516</v>
      </c>
      <c r="FG341" s="60">
        <v>0.9817351598173516</v>
      </c>
      <c r="FH341" s="60">
        <v>0.9817351598173516</v>
      </c>
      <c r="FI341" s="60">
        <v>0.9817351598173516</v>
      </c>
      <c r="FJ341" s="60">
        <v>0.9817351598173516</v>
      </c>
      <c r="FK341" s="60">
        <v>0.9817351598173516</v>
      </c>
      <c r="FL341" s="60">
        <v>0.9817351598173516</v>
      </c>
      <c r="FM341" s="60">
        <v>0.9817351598173516</v>
      </c>
      <c r="FN341" s="60">
        <v>0.9817351598173516</v>
      </c>
      <c r="FO341" s="60">
        <v>0.9817351598173516</v>
      </c>
      <c r="FP341" s="60">
        <v>0.9817351598173516</v>
      </c>
      <c r="FQ341" s="60">
        <v>0.9817351598173516</v>
      </c>
      <c r="FR341" s="60">
        <v>0.9817351598173516</v>
      </c>
      <c r="FS341" s="60">
        <v>0.9817351598173516</v>
      </c>
      <c r="FT341" s="60">
        <v>0.9817351598173516</v>
      </c>
      <c r="FU341" s="60">
        <v>0.9817351598173516</v>
      </c>
      <c r="FV341" s="60">
        <v>0.9817351598173516</v>
      </c>
      <c r="FW341" s="60">
        <v>0.9817351598173516</v>
      </c>
      <c r="FX341" s="60">
        <v>0.9817351598173516</v>
      </c>
      <c r="FY341" s="60">
        <v>0.9817351598173516</v>
      </c>
      <c r="FZ341" s="60">
        <v>0.9817351598173516</v>
      </c>
      <c r="GA341" s="60">
        <v>0.9817351598173516</v>
      </c>
      <c r="GB341" s="60">
        <v>0.9817351598173516</v>
      </c>
      <c r="GC341" s="60">
        <v>0.9817351598173516</v>
      </c>
      <c r="GD341" s="60">
        <v>0.9817351598173516</v>
      </c>
      <c r="GE341" s="60">
        <v>0.9817351598173516</v>
      </c>
      <c r="GF341" s="60">
        <v>0.9817351598173516</v>
      </c>
      <c r="GG341" s="60">
        <v>0.9817351598173516</v>
      </c>
      <c r="GH341" s="60">
        <v>0.9817351598173516</v>
      </c>
      <c r="GI341" s="60">
        <v>0.9817351598173516</v>
      </c>
      <c r="GJ341" s="60">
        <v>0.9817351598173516</v>
      </c>
      <c r="GK341" s="60">
        <v>0.9817351598173516</v>
      </c>
      <c r="GL341" s="60">
        <v>0.9817351598173516</v>
      </c>
      <c r="GM341" s="60">
        <v>0.9817351598173516</v>
      </c>
      <c r="GN341" s="60">
        <v>0.9817351598173516</v>
      </c>
      <c r="GO341" s="60">
        <v>0.9817351598173516</v>
      </c>
      <c r="GP341" s="60">
        <v>0.9817351598173516</v>
      </c>
      <c r="GQ341" s="60">
        <v>0.9817351598173516</v>
      </c>
      <c r="GR341" s="60">
        <v>0.9817351598173516</v>
      </c>
      <c r="GS341" s="60">
        <v>0.9817351598173516</v>
      </c>
      <c r="GT341" s="60">
        <v>0.9817351598173516</v>
      </c>
      <c r="GU341" s="60">
        <v>0.9817351598173516</v>
      </c>
      <c r="GV341" s="60">
        <v>0.9817351598173516</v>
      </c>
      <c r="GW341" s="60">
        <v>0.9817351598173516</v>
      </c>
      <c r="GX341" s="60">
        <v>0.9817351598173516</v>
      </c>
      <c r="GY341" s="60">
        <v>0.9817351598173516</v>
      </c>
      <c r="GZ341" s="60">
        <v>0.9817351598173516</v>
      </c>
      <c r="HA341" s="60">
        <v>0.9817351598173516</v>
      </c>
      <c r="HB341" s="60">
        <v>0.9817351598173516</v>
      </c>
      <c r="HC341" s="60">
        <v>0.9817351598173516</v>
      </c>
      <c r="HD341" s="60">
        <v>0.9817351598173516</v>
      </c>
      <c r="HE341" s="60">
        <v>0.9817351598173516</v>
      </c>
      <c r="HF341" s="60">
        <v>0.9817351598173516</v>
      </c>
      <c r="HG341" s="60">
        <v>0.9817351598173516</v>
      </c>
      <c r="HH341" s="60">
        <v>0.9817351598173516</v>
      </c>
      <c r="HI341" s="60">
        <v>0.9817351598173516</v>
      </c>
      <c r="HJ341" s="60">
        <v>0.9817351598173516</v>
      </c>
      <c r="HK341" s="60">
        <v>0.9817351598173516</v>
      </c>
      <c r="HL341" s="60">
        <v>0.9817351598173516</v>
      </c>
      <c r="HM341" s="60">
        <v>0.9817351598173516</v>
      </c>
      <c r="HN341" s="60">
        <v>0.9817351598173516</v>
      </c>
      <c r="HO341" s="60">
        <v>0.9817351598173516</v>
      </c>
      <c r="HP341" s="60">
        <v>0.9817351598173516</v>
      </c>
      <c r="HQ341" s="60">
        <v>0.9817351598173516</v>
      </c>
      <c r="HR341" s="60">
        <v>0.9817351598173516</v>
      </c>
      <c r="HS341" s="60">
        <v>0.9817351598173516</v>
      </c>
      <c r="HT341" s="60">
        <v>0.9817351598173516</v>
      </c>
      <c r="HU341" s="60">
        <v>0.9817351598173516</v>
      </c>
      <c r="HV341" s="60">
        <v>0.9817351598173516</v>
      </c>
      <c r="HW341" s="60">
        <v>0.9817351598173516</v>
      </c>
      <c r="HX341" s="60">
        <v>0.9817351598173516</v>
      </c>
      <c r="HY341" s="60">
        <v>0.9817351598173516</v>
      </c>
      <c r="HZ341" s="60">
        <v>0.9817351598173516</v>
      </c>
      <c r="IA341" s="60">
        <v>0.9817351598173516</v>
      </c>
      <c r="IB341" s="60">
        <v>0.9817351598173516</v>
      </c>
      <c r="IC341" s="60">
        <v>0.9817351598173516</v>
      </c>
      <c r="ID341" s="60">
        <v>0.9817351598173516</v>
      </c>
      <c r="IE341" s="60">
        <v>0.9817351598173516</v>
      </c>
      <c r="IF341" s="60">
        <v>0.9817351598173516</v>
      </c>
      <c r="IG341" s="60">
        <v>0.9817351598173516</v>
      </c>
      <c r="IH341" s="60">
        <v>0.9817351598173516</v>
      </c>
      <c r="II341" s="60">
        <v>0.9817351598173516</v>
      </c>
      <c r="IJ341" s="60">
        <v>0.9817351598173516</v>
      </c>
      <c r="IK341" s="60">
        <v>0.9817351598173516</v>
      </c>
      <c r="IL341" s="60">
        <v>0.9817351598173516</v>
      </c>
      <c r="IM341" s="60">
        <v>0.9817351598173516</v>
      </c>
      <c r="IN341" s="60">
        <v>0.9817351598173516</v>
      </c>
      <c r="IO341" s="60">
        <v>0.9817351598173516</v>
      </c>
      <c r="IP341" s="60">
        <v>0.9817351598173516</v>
      </c>
      <c r="IQ341" s="60">
        <v>0.9817351598173516</v>
      </c>
      <c r="IR341" s="60">
        <v>0.9817351598173516</v>
      </c>
      <c r="IS341" s="60">
        <v>0.9817351598173516</v>
      </c>
      <c r="IT341" s="60">
        <v>0.9817351598173516</v>
      </c>
      <c r="IU341" s="60">
        <v>0.9817351598173516</v>
      </c>
      <c r="IV341" s="60">
        <v>0.9817351598173516</v>
      </c>
      <c r="IW341" s="60">
        <v>0.9817351598173516</v>
      </c>
      <c r="IX341" s="60">
        <v>0.9817351598173516</v>
      </c>
      <c r="IY341" s="60">
        <v>0.9817351598173516</v>
      </c>
      <c r="IZ341" s="60">
        <v>0.9817351598173516</v>
      </c>
      <c r="JA341" s="60">
        <v>0.9817351598173516</v>
      </c>
      <c r="JB341" s="60">
        <v>0.9817351598173516</v>
      </c>
      <c r="JC341" s="60">
        <v>0.9817351598173516</v>
      </c>
      <c r="JD341" s="60">
        <v>0.9817351598173516</v>
      </c>
      <c r="JE341" s="60">
        <v>0.9817351598173516</v>
      </c>
      <c r="JF341" s="60">
        <v>0.9817351598173516</v>
      </c>
      <c r="JG341" s="60">
        <v>0.9817351598173516</v>
      </c>
      <c r="JH341" s="60">
        <v>0.9817351598173516</v>
      </c>
      <c r="JI341" s="60">
        <v>0.9817351598173516</v>
      </c>
      <c r="JJ341" s="60">
        <v>0.9817351598173516</v>
      </c>
      <c r="JK341" s="60">
        <v>0.9817351598173516</v>
      </c>
      <c r="JL341" s="60">
        <v>0.9817351598173516</v>
      </c>
      <c r="JM341" s="60">
        <v>0.9817351598173516</v>
      </c>
      <c r="JN341" s="60">
        <v>0.9817351598173516</v>
      </c>
      <c r="JO341" s="60">
        <v>0.9817351598173516</v>
      </c>
      <c r="JP341" s="60">
        <v>0.9817351598173516</v>
      </c>
      <c r="JQ341" s="60">
        <v>0.9817351598173516</v>
      </c>
      <c r="JR341" s="60">
        <v>0.9817351598173516</v>
      </c>
      <c r="JS341" s="60">
        <v>0.9817351598173516</v>
      </c>
      <c r="JT341" s="60">
        <v>0.9817351598173516</v>
      </c>
      <c r="JU341" s="60">
        <v>0.9817351598173516</v>
      </c>
      <c r="JV341" s="60">
        <v>0.9817351598173516</v>
      </c>
      <c r="JW341" s="60">
        <v>0.9817351598173516</v>
      </c>
      <c r="JX341" s="60">
        <v>0.9817351598173516</v>
      </c>
      <c r="JY341" s="60">
        <v>0.9817351598173516</v>
      </c>
      <c r="JZ341" s="60">
        <v>0.9817351598173516</v>
      </c>
      <c r="KA341" s="60">
        <v>0.9817351598173516</v>
      </c>
      <c r="KB341" s="60">
        <v>0.9817351598173516</v>
      </c>
      <c r="KC341" s="60">
        <v>0.9817351598173516</v>
      </c>
      <c r="KD341" s="60">
        <v>0.9817351598173516</v>
      </c>
      <c r="KE341" s="60">
        <v>0.9817351598173516</v>
      </c>
      <c r="KF341" s="60">
        <v>0.9817351598173516</v>
      </c>
      <c r="KG341" s="60">
        <v>0.9817351598173516</v>
      </c>
      <c r="KH341" s="60">
        <v>0.9817351598173516</v>
      </c>
      <c r="KI341" s="60">
        <v>0.9817351598173516</v>
      </c>
      <c r="KJ341" s="60">
        <v>0.9817351598173516</v>
      </c>
      <c r="KK341" s="60">
        <v>0.9817351598173516</v>
      </c>
      <c r="KL341" s="60">
        <v>0.9817351598173516</v>
      </c>
      <c r="KM341" s="60">
        <v>0.9817351598173516</v>
      </c>
      <c r="KN341" s="60">
        <v>0.9817351598173516</v>
      </c>
      <c r="KO341" s="60">
        <v>0.9817351598173516</v>
      </c>
      <c r="KP341" s="60">
        <v>0.9817351598173516</v>
      </c>
      <c r="KQ341" s="60">
        <v>0.9817351598173516</v>
      </c>
      <c r="KR341" s="60">
        <v>0.9817351598173516</v>
      </c>
      <c r="KS341" s="60">
        <v>0.9817351598173516</v>
      </c>
      <c r="KT341" s="60">
        <v>0.9817351598173516</v>
      </c>
      <c r="KU341" s="60">
        <v>0.9817351598173516</v>
      </c>
      <c r="KV341" s="60">
        <v>0.9817351598173516</v>
      </c>
      <c r="KW341" s="60">
        <v>0.9817351598173516</v>
      </c>
      <c r="KX341" s="60">
        <v>0.9817351598173516</v>
      </c>
      <c r="KY341" s="60">
        <v>0.9817351598173516</v>
      </c>
      <c r="KZ341" s="60">
        <v>0.9817351598173516</v>
      </c>
      <c r="LA341" s="60">
        <v>0.9817351598173516</v>
      </c>
      <c r="LB341" s="60">
        <v>0.9817351598173516</v>
      </c>
      <c r="LC341" s="60">
        <v>0.9817351598173516</v>
      </c>
      <c r="LD341" s="60">
        <v>0.9817351598173516</v>
      </c>
      <c r="LE341" s="60">
        <v>0.9817351598173516</v>
      </c>
      <c r="LF341" s="60">
        <v>0.9817351598173516</v>
      </c>
      <c r="LG341" s="60">
        <v>0.9817351598173516</v>
      </c>
      <c r="LH341" s="60">
        <v>0.9817351598173516</v>
      </c>
      <c r="LI341" s="60">
        <v>0.9817351598173516</v>
      </c>
      <c r="LJ341" s="60">
        <v>0.9817351598173516</v>
      </c>
      <c r="LK341" s="60">
        <v>0.9817351598173516</v>
      </c>
      <c r="LL341" s="60">
        <v>0.9817351598173516</v>
      </c>
      <c r="LM341" s="60">
        <v>0.9817351598173516</v>
      </c>
      <c r="LN341" s="60">
        <v>0.9817351598173516</v>
      </c>
      <c r="LO341" s="60">
        <v>0.9817351598173516</v>
      </c>
      <c r="LP341" s="60">
        <v>0.9817351598173516</v>
      </c>
      <c r="LQ341" s="60">
        <v>0.9817351598173516</v>
      </c>
      <c r="LR341" s="60">
        <v>0.9817351598173516</v>
      </c>
      <c r="LS341" s="60">
        <v>0.9817351598173516</v>
      </c>
      <c r="LT341" s="60">
        <v>0.9817351598173516</v>
      </c>
      <c r="LU341" s="60">
        <v>0.9817351598173516</v>
      </c>
      <c r="LV341" s="60">
        <v>0.9817351598173516</v>
      </c>
      <c r="LW341" s="60">
        <v>0.9817351598173516</v>
      </c>
      <c r="LX341" s="60">
        <v>0.9817351598173516</v>
      </c>
      <c r="LY341" s="60">
        <v>0.9817351598173516</v>
      </c>
      <c r="LZ341" s="60">
        <v>0.9817351598173516</v>
      </c>
      <c r="MA341" s="60">
        <v>0.9817351598173516</v>
      </c>
      <c r="MB341" s="60">
        <v>0.9817351598173516</v>
      </c>
      <c r="MC341" s="60">
        <v>0.9817351598173516</v>
      </c>
      <c r="MD341" s="60">
        <v>0.9817351598173516</v>
      </c>
      <c r="ME341" s="60">
        <v>0.9817351598173516</v>
      </c>
      <c r="MF341" s="60">
        <v>0.9817351598173516</v>
      </c>
      <c r="MG341" s="60">
        <v>0.9817351598173516</v>
      </c>
      <c r="MH341" s="60">
        <v>0.9817351598173516</v>
      </c>
      <c r="MI341" s="60">
        <v>0.9817351598173516</v>
      </c>
      <c r="MJ341" s="60">
        <v>0.9817351598173516</v>
      </c>
      <c r="MK341" s="60">
        <v>0.9817351598173516</v>
      </c>
      <c r="ML341" s="60">
        <v>0.9817351598173516</v>
      </c>
      <c r="MM341" s="60">
        <v>0.9817351598173516</v>
      </c>
      <c r="MN341" s="60">
        <v>0.9817351598173516</v>
      </c>
      <c r="MO341" s="60">
        <v>0.9817351598173516</v>
      </c>
      <c r="MP341" s="60">
        <v>0.9817351598173516</v>
      </c>
      <c r="MQ341" s="60">
        <v>0.9817351598173516</v>
      </c>
      <c r="MR341" s="60">
        <v>0.9817351598173516</v>
      </c>
      <c r="MS341" s="60">
        <v>0.9817351598173516</v>
      </c>
      <c r="MT341" s="60">
        <v>0.9817351598173516</v>
      </c>
      <c r="MU341" s="60">
        <v>0.9817351598173516</v>
      </c>
      <c r="MV341" s="60">
        <v>0.9817351598173516</v>
      </c>
      <c r="MW341" s="60">
        <v>0.9817351598173516</v>
      </c>
      <c r="MX341" s="60">
        <v>0.9817351598173516</v>
      </c>
      <c r="MY341" s="60">
        <v>0.9817351598173516</v>
      </c>
      <c r="MZ341" s="60">
        <v>0.9817351598173516</v>
      </c>
      <c r="NA341" s="60">
        <v>0.9817351598173516</v>
      </c>
      <c r="NB341" s="60">
        <v>0.9817351598173516</v>
      </c>
      <c r="NC341" s="60">
        <v>0.9817351598173516</v>
      </c>
      <c r="ND341" s="60">
        <v>0.9817351598173516</v>
      </c>
      <c r="NE341" s="60">
        <v>0.9817351598173516</v>
      </c>
      <c r="NF341" s="60">
        <v>0.9817351598173516</v>
      </c>
      <c r="NG341" s="60">
        <v>0.9817351598173516</v>
      </c>
      <c r="NH341" s="60">
        <v>0.9817351598173516</v>
      </c>
      <c r="NI341" s="60">
        <v>0.9817351598173516</v>
      </c>
      <c r="NJ341" s="60">
        <v>0.9817351598173516</v>
      </c>
      <c r="NK341" s="60">
        <v>0.9817351598173516</v>
      </c>
      <c r="NL341" s="60">
        <v>0.9817351598173516</v>
      </c>
      <c r="NM341" s="60">
        <v>0.9817351598173516</v>
      </c>
      <c r="NN341" s="60">
        <v>0.9817351598173516</v>
      </c>
      <c r="NO341" s="60">
        <v>0.9817351598173516</v>
      </c>
      <c r="NP341" s="60">
        <v>0.9817351598173516</v>
      </c>
      <c r="NQ341" s="60">
        <v>0.9817351598173516</v>
      </c>
      <c r="NR341" s="60">
        <v>0.9817351598173516</v>
      </c>
      <c r="NS341" s="60">
        <v>0.9817351598173516</v>
      </c>
      <c r="NT341" s="60">
        <v>0.9817351598173516</v>
      </c>
      <c r="NU341" s="60">
        <v>0.9817351598173516</v>
      </c>
      <c r="NV341" s="60">
        <v>0.9817351598173516</v>
      </c>
      <c r="NW341" s="60">
        <v>0.9817351598173516</v>
      </c>
      <c r="NX341" s="60">
        <v>0.9817351598173516</v>
      </c>
      <c r="NY341" s="60">
        <v>0.9817351598173516</v>
      </c>
      <c r="NZ341" s="60">
        <v>0.9817351598173516</v>
      </c>
      <c r="OA341" s="60">
        <v>0.9817351598173516</v>
      </c>
      <c r="OB341" s="60">
        <v>0.9817351598173516</v>
      </c>
      <c r="OC341" s="60">
        <v>0.9817351598173516</v>
      </c>
      <c r="OD341" s="60">
        <v>0.9817351598173516</v>
      </c>
      <c r="OE341" s="60">
        <v>0.9817351598173516</v>
      </c>
    </row>
    <row r="342" spans="1:395" ht="13.8" customHeight="1" outlineLevel="1" x14ac:dyDescent="0.3">
      <c r="D342" s="133"/>
      <c r="N342" s="34" t="s">
        <v>76</v>
      </c>
      <c r="O342" s="34"/>
      <c r="P342" s="35" t="s">
        <v>14</v>
      </c>
      <c r="Q342" s="64" cm="1">
        <f t="array" ref="Q342:OE342">_xlfn.ANCHORARRAY(Q340)*_xlfn.MAP(_xlfn.ANCHORARRAY(Q2), _xlfn.LAMBDA(_xlpm.t, 24*DAY(EOMONTH(_xlpm.t,0))))*_xlfn.ANCHORARRAY(Q341)</f>
        <v>18524.299372146117</v>
      </c>
      <c r="R342" s="64">
        <v>19141.776017884324</v>
      </c>
      <c r="S342" s="64">
        <v>19141.776017884324</v>
      </c>
      <c r="T342" s="64">
        <v>18524.299372146117</v>
      </c>
      <c r="U342" s="64">
        <v>19141.776017884324</v>
      </c>
      <c r="V342" s="64">
        <v>18524.299372146117</v>
      </c>
      <c r="W342" s="64">
        <v>19141.776017884324</v>
      </c>
      <c r="X342" s="64">
        <v>19141.776017884324</v>
      </c>
      <c r="Y342" s="64">
        <v>17289.346080669708</v>
      </c>
      <c r="Z342" s="64">
        <v>19141.776017884324</v>
      </c>
      <c r="AA342" s="64">
        <v>18524.299372146117</v>
      </c>
      <c r="AB342" s="64">
        <v>19141.776017884324</v>
      </c>
      <c r="AC342" s="64">
        <v>18129.929240867576</v>
      </c>
      <c r="AD342" s="64">
        <v>18734.260215563161</v>
      </c>
      <c r="AE342" s="64">
        <v>18734.260215563161</v>
      </c>
      <c r="AF342" s="64">
        <v>18129.929240867576</v>
      </c>
      <c r="AG342" s="64">
        <v>18734.260215563161</v>
      </c>
      <c r="AH342" s="64">
        <v>18129.929240867576</v>
      </c>
      <c r="AI342" s="64">
        <v>18734.260215563161</v>
      </c>
      <c r="AJ342" s="64">
        <v>18734.260215563161</v>
      </c>
      <c r="AK342" s="64">
        <v>17525.59826617199</v>
      </c>
      <c r="AL342" s="64">
        <v>18734.260215563161</v>
      </c>
      <c r="AM342" s="64">
        <v>18129.929240867576</v>
      </c>
      <c r="AN342" s="64">
        <v>18734.260215563161</v>
      </c>
      <c r="AO342" s="64">
        <v>17736.512335098461</v>
      </c>
      <c r="AP342" s="64">
        <v>18327.729412935078</v>
      </c>
      <c r="AQ342" s="64">
        <v>18327.729412935078</v>
      </c>
      <c r="AR342" s="64">
        <v>17736.512335098461</v>
      </c>
      <c r="AS342" s="64">
        <v>18327.729412935078</v>
      </c>
      <c r="AT342" s="64">
        <v>17736.512335098461</v>
      </c>
      <c r="AU342" s="64">
        <v>18327.729412935078</v>
      </c>
      <c r="AV342" s="64">
        <v>18327.729412935078</v>
      </c>
      <c r="AW342" s="64">
        <v>16554.078179425233</v>
      </c>
      <c r="AX342" s="64">
        <v>18327.729412935078</v>
      </c>
      <c r="AY342" s="64">
        <v>17736.512335098461</v>
      </c>
      <c r="AZ342" s="64">
        <v>18327.729412935078</v>
      </c>
      <c r="BA342" s="64">
        <v>17344.351895345226</v>
      </c>
      <c r="BB342" s="64">
        <v>17922.496958523399</v>
      </c>
      <c r="BC342" s="64">
        <v>17922.496958523399</v>
      </c>
      <c r="BD342" s="64">
        <v>17344.351895345226</v>
      </c>
      <c r="BE342" s="64">
        <v>17922.496958523399</v>
      </c>
      <c r="BF342" s="64">
        <v>17344.351895345226</v>
      </c>
      <c r="BG342" s="64">
        <v>17922.496958523399</v>
      </c>
      <c r="BH342" s="64">
        <v>17922.496958523399</v>
      </c>
      <c r="BI342" s="64">
        <v>16188.061768988875</v>
      </c>
      <c r="BJ342" s="64">
        <v>17922.496958523399</v>
      </c>
      <c r="BK342" s="64">
        <v>17344.351895345226</v>
      </c>
      <c r="BL342" s="64">
        <v>17922.496958523399</v>
      </c>
      <c r="BM342" s="64">
        <v>16953.165914904072</v>
      </c>
      <c r="BN342" s="64">
        <v>17518.271445400875</v>
      </c>
      <c r="BO342" s="64">
        <v>17518.271445400875</v>
      </c>
      <c r="BP342" s="64">
        <v>16953.165914904072</v>
      </c>
      <c r="BQ342" s="64">
        <v>17518.271445400875</v>
      </c>
      <c r="BR342" s="64">
        <v>16953.165914904072</v>
      </c>
      <c r="BS342" s="64">
        <v>17518.271445400875</v>
      </c>
      <c r="BT342" s="64">
        <v>17518.271445400875</v>
      </c>
      <c r="BU342" s="64">
        <v>15822.954853910467</v>
      </c>
      <c r="BV342" s="64">
        <v>17518.271445400875</v>
      </c>
      <c r="BW342" s="64">
        <v>16953.165914904072</v>
      </c>
      <c r="BX342" s="64">
        <v>17518.271445400875</v>
      </c>
      <c r="BY342" s="64">
        <v>16562.671285719927</v>
      </c>
      <c r="BZ342" s="64">
        <v>17114.760328577257</v>
      </c>
      <c r="CA342" s="64">
        <v>17114.760328577257</v>
      </c>
      <c r="CB342" s="64">
        <v>16562.671285719927</v>
      </c>
      <c r="CC342" s="64">
        <v>17114.760328577257</v>
      </c>
      <c r="CD342" s="64">
        <v>16562.671285719927</v>
      </c>
      <c r="CE342" s="64">
        <v>17114.760328577257</v>
      </c>
      <c r="CF342" s="64">
        <v>17114.760328577257</v>
      </c>
      <c r="CG342" s="64">
        <v>16010.582242862596</v>
      </c>
      <c r="CH342" s="64">
        <v>17114.760328577257</v>
      </c>
      <c r="CI342" s="64">
        <v>16562.671285719927</v>
      </c>
      <c r="CJ342" s="64">
        <v>17114.760328577257</v>
      </c>
      <c r="CK342" s="64">
        <v>16172.877404936611</v>
      </c>
      <c r="CL342" s="64">
        <v>16711.973318434499</v>
      </c>
      <c r="CM342" s="64">
        <v>16711.973318434499</v>
      </c>
      <c r="CN342" s="64">
        <v>16172.877404936611</v>
      </c>
      <c r="CO342" s="64">
        <v>16711.973318434499</v>
      </c>
      <c r="CP342" s="64">
        <v>16172.877404936611</v>
      </c>
      <c r="CQ342" s="64">
        <v>16711.973318434499</v>
      </c>
      <c r="CR342" s="64">
        <v>16711.973318434499</v>
      </c>
      <c r="CS342" s="64">
        <v>15094.685577940838</v>
      </c>
      <c r="CT342" s="64">
        <v>16711.973318434499</v>
      </c>
      <c r="CU342" s="64">
        <v>16172.877404936611</v>
      </c>
      <c r="CV342" s="64">
        <v>16711.973318434499</v>
      </c>
      <c r="CW342" s="64">
        <v>15784.087438424172</v>
      </c>
      <c r="CX342" s="64">
        <v>16310.223686371644</v>
      </c>
      <c r="CY342" s="64">
        <v>16310.223686371644</v>
      </c>
      <c r="CZ342" s="64">
        <v>15784.087438424172</v>
      </c>
      <c r="DA342" s="64">
        <v>16310.223686371644</v>
      </c>
      <c r="DB342" s="64">
        <v>15784.087438424172</v>
      </c>
      <c r="DC342" s="64">
        <v>16310.223686371644</v>
      </c>
      <c r="DD342" s="64">
        <v>16310.223686371644</v>
      </c>
      <c r="DE342" s="64">
        <v>14731.814942529229</v>
      </c>
      <c r="DF342" s="64">
        <v>16310.223686371644</v>
      </c>
      <c r="DG342" s="64">
        <v>15784.087438424172</v>
      </c>
      <c r="DH342" s="64">
        <v>16310.223686371644</v>
      </c>
      <c r="DI342" s="64">
        <v>15396.311381153713</v>
      </c>
      <c r="DJ342" s="64">
        <v>15909.521760525504</v>
      </c>
      <c r="DK342" s="64">
        <v>15909.521760525504</v>
      </c>
      <c r="DL342" s="64">
        <v>15396.311381153713</v>
      </c>
      <c r="DM342" s="64">
        <v>15909.521760525504</v>
      </c>
      <c r="DN342" s="64">
        <v>15396.311381153713</v>
      </c>
      <c r="DO342" s="64">
        <v>15909.521760525504</v>
      </c>
      <c r="DP342" s="64">
        <v>15909.521760525504</v>
      </c>
      <c r="DQ342" s="64">
        <v>14369.890622410132</v>
      </c>
      <c r="DR342" s="64">
        <v>15909.521760525504</v>
      </c>
      <c r="DS342" s="64">
        <v>15396.311381153713</v>
      </c>
      <c r="DT342" s="64">
        <v>15909.521760525504</v>
      </c>
      <c r="DU342" s="64">
        <v>15008.676127996721</v>
      </c>
      <c r="DV342" s="64">
        <v>15508.965332263278</v>
      </c>
      <c r="DW342" s="64">
        <v>15508.965332263278</v>
      </c>
      <c r="DX342" s="64">
        <v>15008.676127996721</v>
      </c>
      <c r="DY342" s="64">
        <v>15508.965332263278</v>
      </c>
      <c r="DZ342" s="64">
        <v>15008.676127996721</v>
      </c>
      <c r="EA342" s="64">
        <v>15508.965332263278</v>
      </c>
      <c r="EB342" s="64">
        <v>15508.965332263278</v>
      </c>
      <c r="EC342" s="64">
        <v>14508.386923730164</v>
      </c>
      <c r="ED342" s="64">
        <v>15508.965332263278</v>
      </c>
      <c r="EE342" s="64">
        <v>15008.676127996721</v>
      </c>
      <c r="EF342" s="64">
        <v>15508.965332263278</v>
      </c>
      <c r="EG342" s="64">
        <v>14619.127193204995</v>
      </c>
      <c r="EH342" s="64">
        <v>15106.431432978494</v>
      </c>
      <c r="EI342" s="64">
        <v>15106.431432978494</v>
      </c>
      <c r="EJ342" s="64">
        <v>14619.127193204995</v>
      </c>
      <c r="EK342" s="64">
        <v>15106.431432978494</v>
      </c>
      <c r="EL342" s="64">
        <v>14619.127193204995</v>
      </c>
      <c r="EM342" s="64">
        <v>15106.431432978494</v>
      </c>
      <c r="EN342" s="64">
        <v>15106.431432978494</v>
      </c>
      <c r="EO342" s="64">
        <v>13644.518713657995</v>
      </c>
      <c r="EP342" s="64">
        <v>15106.431432978494</v>
      </c>
      <c r="EQ342" s="64">
        <v>14619.127193204995</v>
      </c>
      <c r="ER342" s="64">
        <v>15106.431432978494</v>
      </c>
      <c r="ES342" s="64">
        <v>14233.268780442259</v>
      </c>
      <c r="ET342" s="64">
        <v>14707.711073123668</v>
      </c>
      <c r="EU342" s="64">
        <v>14707.711073123668</v>
      </c>
      <c r="EV342" s="64">
        <v>14233.268780442259</v>
      </c>
      <c r="EW342" s="64">
        <v>14707.711073123668</v>
      </c>
      <c r="EX342" s="64">
        <v>14233.268780442259</v>
      </c>
      <c r="EY342" s="64">
        <v>14707.711073123668</v>
      </c>
      <c r="EZ342" s="64">
        <v>14707.711073123668</v>
      </c>
      <c r="FA342" s="64">
        <v>13284.384195079443</v>
      </c>
      <c r="FB342" s="64">
        <v>14707.711073123668</v>
      </c>
      <c r="FC342" s="64">
        <v>14233.268780442259</v>
      </c>
      <c r="FD342" s="64">
        <v>14707.711073123668</v>
      </c>
      <c r="FE342" s="64">
        <v>13847.871371539497</v>
      </c>
      <c r="FF342" s="64">
        <v>14309.467083924146</v>
      </c>
      <c r="FG342" s="64">
        <v>14309.467083924146</v>
      </c>
      <c r="FH342" s="64">
        <v>13847.871371539497</v>
      </c>
      <c r="FI342" s="64">
        <v>14309.467083924146</v>
      </c>
      <c r="FJ342" s="64">
        <v>13847.871371539497</v>
      </c>
      <c r="FK342" s="64">
        <v>14309.467083924146</v>
      </c>
      <c r="FL342" s="64">
        <v>14309.467083924146</v>
      </c>
      <c r="FM342" s="64">
        <v>12924.679946770197</v>
      </c>
      <c r="FN342" s="64">
        <v>14309.467083924146</v>
      </c>
      <c r="FO342" s="64">
        <v>13847.871371539497</v>
      </c>
      <c r="FP342" s="64">
        <v>14309.467083924146</v>
      </c>
      <c r="FQ342" s="64">
        <v>13462.943121109523</v>
      </c>
      <c r="FR342" s="64">
        <v>13911.707891813176</v>
      </c>
      <c r="FS342" s="64">
        <v>13911.707891813176</v>
      </c>
      <c r="FT342" s="64">
        <v>13462.943121109523</v>
      </c>
      <c r="FU342" s="64">
        <v>13911.707891813176</v>
      </c>
      <c r="FV342" s="64">
        <v>13462.943121109523</v>
      </c>
      <c r="FW342" s="64">
        <v>13911.707891813176</v>
      </c>
      <c r="FX342" s="64">
        <v>13911.707891813176</v>
      </c>
      <c r="FY342" s="64">
        <v>13014.178350405873</v>
      </c>
      <c r="FZ342" s="64">
        <v>13911.707891813176</v>
      </c>
      <c r="GA342" s="64">
        <v>13462.943121109523</v>
      </c>
      <c r="GB342" s="64">
        <v>13911.707891813176</v>
      </c>
      <c r="GC342" s="64">
        <v>13078.787679345391</v>
      </c>
      <c r="GD342" s="64">
        <v>13514.747268656904</v>
      </c>
      <c r="GE342" s="64">
        <v>13514.747268656904</v>
      </c>
      <c r="GF342" s="64">
        <v>13078.787679345391</v>
      </c>
      <c r="GG342" s="64">
        <v>13514.747268656904</v>
      </c>
      <c r="GH342" s="64">
        <v>13078.787679345391</v>
      </c>
      <c r="GI342" s="64">
        <v>13514.747268656904</v>
      </c>
      <c r="GJ342" s="64">
        <v>13514.747268656904</v>
      </c>
      <c r="GK342" s="64">
        <v>12206.868500722365</v>
      </c>
      <c r="GL342" s="64">
        <v>13514.747268656904</v>
      </c>
      <c r="GM342" s="64">
        <v>13078.787679345391</v>
      </c>
      <c r="GN342" s="64">
        <v>13514.747268656904</v>
      </c>
      <c r="GO342" s="64">
        <v>12695.117995526158</v>
      </c>
      <c r="GP342" s="64">
        <v>13118.288595377029</v>
      </c>
      <c r="GQ342" s="64">
        <v>13118.288595377029</v>
      </c>
      <c r="GR342" s="64">
        <v>12695.117995526158</v>
      </c>
      <c r="GS342" s="64">
        <v>13118.288595377029</v>
      </c>
      <c r="GT342" s="64">
        <v>12695.117995526158</v>
      </c>
      <c r="GU342" s="64">
        <v>13118.288595377029</v>
      </c>
      <c r="GV342" s="64">
        <v>13118.288595377029</v>
      </c>
      <c r="GW342" s="64">
        <v>11848.776795824413</v>
      </c>
      <c r="GX342" s="64">
        <v>13118.288595377029</v>
      </c>
      <c r="GY342" s="64">
        <v>12695.117995526158</v>
      </c>
      <c r="GZ342" s="64">
        <v>13118.288595377029</v>
      </c>
      <c r="HA342" s="64">
        <v>12311.942031334876</v>
      </c>
      <c r="HB342" s="64">
        <v>12722.34009904604</v>
      </c>
      <c r="HC342" s="64">
        <v>12722.34009904604</v>
      </c>
      <c r="HD342" s="64">
        <v>12311.942031334876</v>
      </c>
      <c r="HE342" s="64">
        <v>12722.34009904604</v>
      </c>
      <c r="HF342" s="64">
        <v>12311.942031334876</v>
      </c>
      <c r="HG342" s="64">
        <v>12722.34009904604</v>
      </c>
      <c r="HH342" s="64">
        <v>12722.34009904604</v>
      </c>
      <c r="HI342" s="64">
        <v>11491.14589591255</v>
      </c>
      <c r="HJ342" s="64">
        <v>12722.34009904604</v>
      </c>
      <c r="HK342" s="64">
        <v>12311.942031334876</v>
      </c>
      <c r="HL342" s="64">
        <v>12722.34009904604</v>
      </c>
      <c r="HM342" s="64">
        <v>11928.97141000498</v>
      </c>
      <c r="HN342" s="64">
        <v>12326.60379033848</v>
      </c>
      <c r="HO342" s="64">
        <v>12326.60379033848</v>
      </c>
      <c r="HP342" s="64">
        <v>11928.97141000498</v>
      </c>
      <c r="HQ342" s="64">
        <v>12326.60379033848</v>
      </c>
      <c r="HR342" s="64">
        <v>11928.97141000498</v>
      </c>
      <c r="HS342" s="64">
        <v>12326.60379033848</v>
      </c>
      <c r="HT342" s="64">
        <v>12326.60379033848</v>
      </c>
      <c r="HU342" s="64">
        <v>11531.339029671482</v>
      </c>
      <c r="HV342" s="64">
        <v>12326.60379033848</v>
      </c>
      <c r="HW342" s="64">
        <v>11928.97141000498</v>
      </c>
      <c r="HX342" s="64">
        <v>12326.60379033848</v>
      </c>
      <c r="HY342" s="64">
        <v>11546.509772262933</v>
      </c>
      <c r="HZ342" s="64">
        <v>11931.393431338365</v>
      </c>
      <c r="IA342" s="64">
        <v>11931.393431338365</v>
      </c>
      <c r="IB342" s="64">
        <v>11546.509772262933</v>
      </c>
      <c r="IC342" s="64">
        <v>11931.393431338365</v>
      </c>
      <c r="ID342" s="64">
        <v>11546.509772262933</v>
      </c>
      <c r="IE342" s="64">
        <v>11931.393431338365</v>
      </c>
      <c r="IF342" s="64">
        <v>11931.393431338365</v>
      </c>
      <c r="IG342" s="64">
        <v>10776.742454112071</v>
      </c>
      <c r="IH342" s="64">
        <v>11931.393431338365</v>
      </c>
      <c r="II342" s="64">
        <v>11546.509772262933</v>
      </c>
      <c r="IJ342" s="64">
        <v>11931.393431338365</v>
      </c>
      <c r="IK342" s="64">
        <v>11164.268149740186</v>
      </c>
      <c r="IL342" s="64">
        <v>11536.410421398192</v>
      </c>
      <c r="IM342" s="64">
        <v>11536.410421398192</v>
      </c>
      <c r="IN342" s="64">
        <v>11164.268149740186</v>
      </c>
      <c r="IO342" s="64">
        <v>11536.410421398192</v>
      </c>
      <c r="IP342" s="64">
        <v>11164.268149740186</v>
      </c>
      <c r="IQ342" s="64">
        <v>11536.410421398192</v>
      </c>
      <c r="IR342" s="64">
        <v>11536.410421398192</v>
      </c>
      <c r="IS342" s="64">
        <v>10419.983606424174</v>
      </c>
      <c r="IT342" s="64">
        <v>11536.410421398192</v>
      </c>
      <c r="IU342" s="64">
        <v>11164.268149740186</v>
      </c>
      <c r="IV342" s="64">
        <v>11536.410421398192</v>
      </c>
      <c r="IW342" s="64">
        <v>10782.55054139729</v>
      </c>
      <c r="IX342" s="64">
        <v>11141.9688927772</v>
      </c>
      <c r="IY342" s="64">
        <v>11141.9688927772</v>
      </c>
      <c r="IZ342" s="64">
        <v>10782.55054139729</v>
      </c>
      <c r="JA342" s="64">
        <v>11141.9688927772</v>
      </c>
      <c r="JB342" s="64">
        <v>10782.55054139729</v>
      </c>
      <c r="JC342" s="64">
        <v>11141.9688927772</v>
      </c>
      <c r="JD342" s="64">
        <v>11141.9688927772</v>
      </c>
      <c r="JE342" s="64">
        <v>10063.71383863747</v>
      </c>
      <c r="JF342" s="64">
        <v>11141.9688927772</v>
      </c>
      <c r="JG342" s="64">
        <v>10782.55054139729</v>
      </c>
      <c r="JH342" s="64">
        <v>11141.9688927772</v>
      </c>
      <c r="JI342" s="64">
        <v>10401.067393653137</v>
      </c>
      <c r="JJ342" s="64">
        <v>10747.769640108241</v>
      </c>
      <c r="JK342" s="64">
        <v>10747.769640108241</v>
      </c>
      <c r="JL342" s="64">
        <v>10401.067393653137</v>
      </c>
      <c r="JM342" s="64">
        <v>10747.769640108241</v>
      </c>
      <c r="JN342" s="64">
        <v>10401.067393653137</v>
      </c>
      <c r="JO342" s="64">
        <v>10747.769640108241</v>
      </c>
      <c r="JP342" s="64">
        <v>10747.769640108241</v>
      </c>
      <c r="JQ342" s="64">
        <v>10054.365147198032</v>
      </c>
      <c r="JR342" s="64">
        <v>10747.769640108241</v>
      </c>
      <c r="JS342" s="64">
        <v>10401.067393653137</v>
      </c>
      <c r="JT342" s="64">
        <v>10747.769640108241</v>
      </c>
      <c r="JU342" s="64">
        <v>10020.123060614296</v>
      </c>
      <c r="JV342" s="64">
        <v>10354.127162634775</v>
      </c>
      <c r="JW342" s="64">
        <v>10354.127162634775</v>
      </c>
      <c r="JX342" s="64">
        <v>10020.123060614296</v>
      </c>
      <c r="JY342" s="64">
        <v>10354.127162634775</v>
      </c>
      <c r="JZ342" s="64">
        <v>10020.123060614296</v>
      </c>
      <c r="KA342" s="64">
        <v>10354.127162634775</v>
      </c>
      <c r="KB342" s="64">
        <v>10354.127162634775</v>
      </c>
      <c r="KC342" s="64">
        <v>9352.1148565733438</v>
      </c>
      <c r="KD342" s="64">
        <v>10354.127162634775</v>
      </c>
      <c r="KE342" s="64">
        <v>10020.123060614296</v>
      </c>
      <c r="KF342" s="64">
        <v>10354.127162634775</v>
      </c>
      <c r="KG342" s="64">
        <v>9639.1297312384322</v>
      </c>
      <c r="KH342" s="64">
        <v>9960.4340556130464</v>
      </c>
      <c r="KI342" s="64">
        <v>9960.4340556130464</v>
      </c>
      <c r="KJ342" s="64">
        <v>9639.1297312384322</v>
      </c>
      <c r="KK342" s="64">
        <v>9960.4340556130464</v>
      </c>
      <c r="KL342" s="64">
        <v>9639.1297312384322</v>
      </c>
      <c r="KM342" s="64">
        <v>9960.4340556130464</v>
      </c>
      <c r="KN342" s="64">
        <v>9960.4340556130464</v>
      </c>
      <c r="KO342" s="64">
        <v>8996.5210824892038</v>
      </c>
      <c r="KP342" s="64">
        <v>9960.4340556130464</v>
      </c>
      <c r="KQ342" s="64">
        <v>9639.1297312384322</v>
      </c>
      <c r="KR342" s="64">
        <v>9960.4340556130464</v>
      </c>
      <c r="KS342" s="64">
        <v>9258.3914227841433</v>
      </c>
      <c r="KT342" s="64">
        <v>9567.0044702102823</v>
      </c>
      <c r="KU342" s="64">
        <v>9567.0044702102823</v>
      </c>
      <c r="KV342" s="64">
        <v>9258.3914227841433</v>
      </c>
      <c r="KW342" s="64">
        <v>9567.0044702102823</v>
      </c>
      <c r="KX342" s="64">
        <v>9258.3914227841433</v>
      </c>
      <c r="KY342" s="64">
        <v>9567.0044702102823</v>
      </c>
      <c r="KZ342" s="64">
        <v>9567.0044702102823</v>
      </c>
      <c r="LA342" s="64">
        <v>8641.1653279318671</v>
      </c>
      <c r="LB342" s="64">
        <v>9567.0044702102823</v>
      </c>
      <c r="LC342" s="64">
        <v>9258.3914227841433</v>
      </c>
      <c r="LD342" s="64">
        <v>9567.0044702102823</v>
      </c>
      <c r="LE342" s="64">
        <v>8877.914884802507</v>
      </c>
      <c r="LF342" s="64">
        <v>9173.8453809625898</v>
      </c>
      <c r="LG342" s="64">
        <v>9173.8453809625898</v>
      </c>
      <c r="LH342" s="64">
        <v>8877.914884802507</v>
      </c>
      <c r="LI342" s="64">
        <v>9173.8453809625898</v>
      </c>
      <c r="LJ342" s="64">
        <v>8877.914884802507</v>
      </c>
      <c r="LK342" s="64">
        <v>9173.8453809625898</v>
      </c>
      <c r="LL342" s="64">
        <v>9173.8453809625898</v>
      </c>
      <c r="LM342" s="64">
        <v>8581.9843886424242</v>
      </c>
      <c r="LN342" s="64">
        <v>9173.8453809625898</v>
      </c>
      <c r="LO342" s="64">
        <v>8877.914884802507</v>
      </c>
      <c r="LP342" s="64">
        <v>9173.8453809625898</v>
      </c>
      <c r="LQ342" s="64">
        <v>8497.4084512558711</v>
      </c>
      <c r="LR342" s="64">
        <v>8780.6553996310649</v>
      </c>
      <c r="LS342" s="64">
        <v>8780.6553996310649</v>
      </c>
      <c r="LT342" s="64">
        <v>8497.4084512558711</v>
      </c>
      <c r="LU342" s="64">
        <v>8780.6553996310649</v>
      </c>
      <c r="LV342" s="64">
        <v>8497.4084512558711</v>
      </c>
      <c r="LW342" s="64">
        <v>8780.6553996310649</v>
      </c>
      <c r="LX342" s="64">
        <v>8780.6553996310649</v>
      </c>
      <c r="LY342" s="64">
        <v>7930.9145545054789</v>
      </c>
      <c r="LZ342" s="64">
        <v>8780.6553996310649</v>
      </c>
      <c r="MA342" s="64">
        <v>8497.4084512558711</v>
      </c>
      <c r="MB342" s="64">
        <v>8780.6553996310649</v>
      </c>
      <c r="MC342" s="64">
        <v>8117.4752709084933</v>
      </c>
      <c r="MD342" s="64">
        <v>8388.0577799387756</v>
      </c>
      <c r="ME342" s="64">
        <v>8388.0577799387756</v>
      </c>
      <c r="MF342" s="64">
        <v>8117.4752709084933</v>
      </c>
      <c r="MG342" s="64">
        <v>8388.0577799387756</v>
      </c>
      <c r="MH342" s="64">
        <v>8117.4752709084933</v>
      </c>
      <c r="MI342" s="64">
        <v>8388.0577799387756</v>
      </c>
      <c r="MJ342" s="64">
        <v>8388.0577799387756</v>
      </c>
      <c r="MK342" s="64">
        <v>7576.3102528479276</v>
      </c>
      <c r="ML342" s="64">
        <v>8388.0577799387756</v>
      </c>
      <c r="MM342" s="64">
        <v>8117.4752709084933</v>
      </c>
      <c r="MN342" s="64">
        <v>8388.0577799387756</v>
      </c>
      <c r="MO342" s="64">
        <v>7737.2261723784804</v>
      </c>
      <c r="MP342" s="64">
        <v>7995.1337114577627</v>
      </c>
      <c r="MQ342" s="64">
        <v>7995.1337114577627</v>
      </c>
      <c r="MR342" s="64">
        <v>7737.2261723784804</v>
      </c>
      <c r="MS342" s="64">
        <v>7995.1337114577627</v>
      </c>
      <c r="MT342" s="64">
        <v>7737.2261723784804</v>
      </c>
      <c r="MU342" s="64">
        <v>7995.1337114577627</v>
      </c>
      <c r="MV342" s="64">
        <v>7995.1337114577627</v>
      </c>
      <c r="MW342" s="64">
        <v>7221.411094219915</v>
      </c>
      <c r="MX342" s="64">
        <v>7995.1337114577627</v>
      </c>
      <c r="MY342" s="64">
        <v>7737.2261723784804</v>
      </c>
      <c r="MZ342" s="64">
        <v>7995.1337114577627</v>
      </c>
      <c r="NA342" s="64">
        <v>7357.2644361573502</v>
      </c>
      <c r="NB342" s="64">
        <v>7602.5065840292627</v>
      </c>
      <c r="NC342" s="64">
        <v>7602.5065840292627</v>
      </c>
      <c r="ND342" s="64">
        <v>7357.2644361573502</v>
      </c>
      <c r="NE342" s="64">
        <v>7602.5065840292627</v>
      </c>
      <c r="NF342" s="64">
        <v>7357.2644361573502</v>
      </c>
      <c r="NG342" s="64">
        <v>7602.5065840292627</v>
      </c>
      <c r="NH342" s="64">
        <v>7602.5065840292627</v>
      </c>
      <c r="NI342" s="64">
        <v>7112.0222882854396</v>
      </c>
      <c r="NJ342" s="64">
        <v>7602.5065840292627</v>
      </c>
      <c r="NK342" s="64">
        <v>7357.2644361573502</v>
      </c>
      <c r="NL342" s="64">
        <v>7602.5065840292627</v>
      </c>
      <c r="NM342" s="64">
        <v>6977.2973023204613</v>
      </c>
      <c r="NN342" s="64">
        <v>7209.8738790644775</v>
      </c>
      <c r="NO342" s="64">
        <v>7209.8738790644775</v>
      </c>
      <c r="NP342" s="64">
        <v>6977.2973023204613</v>
      </c>
      <c r="NQ342" s="64">
        <v>7209.8738790644775</v>
      </c>
      <c r="NR342" s="64">
        <v>6977.2973023204613</v>
      </c>
      <c r="NS342" s="64">
        <v>7209.8738790644775</v>
      </c>
      <c r="NT342" s="64">
        <v>7209.8738790644775</v>
      </c>
      <c r="NU342" s="64">
        <v>6512.1441488324308</v>
      </c>
      <c r="NV342" s="64">
        <v>7209.8738790644775</v>
      </c>
      <c r="NW342" s="64">
        <v>6977.2973023204613</v>
      </c>
      <c r="NX342" s="64">
        <v>7209.8738790644775</v>
      </c>
      <c r="NY342" s="64">
        <v>6597.330558149315</v>
      </c>
      <c r="NZ342" s="64">
        <v>6817.2415767542925</v>
      </c>
      <c r="OA342" s="64">
        <v>6817.2415767542925</v>
      </c>
      <c r="OB342" s="64">
        <v>6597.330558149315</v>
      </c>
      <c r="OC342" s="64">
        <v>6817.2415767542925</v>
      </c>
      <c r="OD342" s="64">
        <v>6597.330558149315</v>
      </c>
      <c r="OE342" s="64">
        <v>6817.2415767542925</v>
      </c>
    </row>
    <row r="343" spans="1:395" ht="13.8" customHeight="1" outlineLevel="1" x14ac:dyDescent="0.3">
      <c r="B343" s="128" t="s">
        <v>48</v>
      </c>
      <c r="D343" s="133"/>
      <c r="E343" s="15"/>
      <c r="F343" s="11"/>
      <c r="N343" s="30" t="s">
        <v>3</v>
      </c>
      <c r="P343" s="32" t="s">
        <v>15</v>
      </c>
    </row>
    <row r="344" spans="1:395" ht="13.8" customHeight="1" outlineLevel="1" x14ac:dyDescent="0.3">
      <c r="D344" s="133" t="s">
        <v>27</v>
      </c>
      <c r="E344" s="31">
        <f>(LOOKUP(E358,'Water Properties'!A:A,'Water Properties'!E:E)-LOOKUP(E364,'Water Properties'!A:A,'Water Properties'!E:E))*E353*E354/3.6*E368/1000</f>
        <v>30.831597222222221</v>
      </c>
      <c r="F344" s="257" t="s">
        <v>78</v>
      </c>
      <c r="N344" s="30" t="s">
        <v>79</v>
      </c>
      <c r="P344" s="32" t="s">
        <v>15</v>
      </c>
      <c r="Q344" s="9" cm="1">
        <f t="array" ref="Q344:OE344">EDATE(_xlfn.ANCHORARRAY(Q2)-1,0)</f>
        <v>46173</v>
      </c>
      <c r="R344" s="9">
        <v>46203</v>
      </c>
      <c r="S344" s="9">
        <v>46234</v>
      </c>
      <c r="T344" s="9">
        <v>46265</v>
      </c>
      <c r="U344" s="9">
        <v>46295</v>
      </c>
      <c r="V344" s="9">
        <v>46326</v>
      </c>
      <c r="W344" s="9">
        <v>46356</v>
      </c>
      <c r="X344" s="9">
        <v>46387</v>
      </c>
      <c r="Y344" s="9">
        <v>46418</v>
      </c>
      <c r="Z344" s="9">
        <v>46446</v>
      </c>
      <c r="AA344" s="9">
        <v>46477</v>
      </c>
      <c r="AB344" s="9">
        <v>46507</v>
      </c>
      <c r="AC344" s="9">
        <v>46538</v>
      </c>
      <c r="AD344" s="9">
        <v>46568</v>
      </c>
      <c r="AE344" s="9">
        <v>46599</v>
      </c>
      <c r="AF344" s="9">
        <v>46630</v>
      </c>
      <c r="AG344" s="9">
        <v>46660</v>
      </c>
      <c r="AH344" s="9">
        <v>46691</v>
      </c>
      <c r="AI344" s="9">
        <v>46721</v>
      </c>
      <c r="AJ344" s="9">
        <v>46752</v>
      </c>
      <c r="AK344" s="9">
        <v>46783</v>
      </c>
      <c r="AL344" s="9">
        <v>46812</v>
      </c>
      <c r="AM344" s="9">
        <v>46843</v>
      </c>
      <c r="AN344" s="9">
        <v>46873</v>
      </c>
      <c r="AO344" s="9">
        <v>46904</v>
      </c>
      <c r="AP344" s="9">
        <v>46934</v>
      </c>
      <c r="AQ344" s="9">
        <v>46965</v>
      </c>
      <c r="AR344" s="9">
        <v>46996</v>
      </c>
      <c r="AS344" s="9">
        <v>47026</v>
      </c>
      <c r="AT344" s="9">
        <v>47057</v>
      </c>
      <c r="AU344" s="9">
        <v>47087</v>
      </c>
      <c r="AV344" s="9">
        <v>47118</v>
      </c>
      <c r="AW344" s="9">
        <v>47149</v>
      </c>
      <c r="AX344" s="9">
        <v>47177</v>
      </c>
      <c r="AY344" s="9">
        <v>47208</v>
      </c>
      <c r="AZ344" s="9">
        <v>47238</v>
      </c>
      <c r="BA344" s="9">
        <v>47269</v>
      </c>
      <c r="BB344" s="9">
        <v>47299</v>
      </c>
      <c r="BC344" s="9">
        <v>47330</v>
      </c>
      <c r="BD344" s="9">
        <v>47361</v>
      </c>
      <c r="BE344" s="9">
        <v>47391</v>
      </c>
      <c r="BF344" s="9">
        <v>47422</v>
      </c>
      <c r="BG344" s="9">
        <v>47452</v>
      </c>
      <c r="BH344" s="9">
        <v>47483</v>
      </c>
      <c r="BI344">
        <v>47514</v>
      </c>
      <c r="BJ344">
        <v>47542</v>
      </c>
      <c r="BK344">
        <v>47573</v>
      </c>
      <c r="BL344">
        <v>47603</v>
      </c>
      <c r="BM344">
        <v>47634</v>
      </c>
      <c r="BN344">
        <v>47664</v>
      </c>
      <c r="BO344">
        <v>47695</v>
      </c>
      <c r="BP344">
        <v>47726</v>
      </c>
      <c r="BQ344">
        <v>47756</v>
      </c>
      <c r="BR344">
        <v>47787</v>
      </c>
      <c r="BS344">
        <v>47817</v>
      </c>
      <c r="BT344">
        <v>47848</v>
      </c>
      <c r="BU344">
        <v>47879</v>
      </c>
      <c r="BV344">
        <v>47907</v>
      </c>
      <c r="BW344">
        <v>47938</v>
      </c>
      <c r="BX344">
        <v>47968</v>
      </c>
      <c r="BY344">
        <v>47999</v>
      </c>
      <c r="BZ344">
        <v>48029</v>
      </c>
      <c r="CA344">
        <v>48060</v>
      </c>
      <c r="CB344">
        <v>48091</v>
      </c>
      <c r="CC344">
        <v>48121</v>
      </c>
      <c r="CD344">
        <v>48152</v>
      </c>
      <c r="CE344">
        <v>48182</v>
      </c>
      <c r="CF344">
        <v>48213</v>
      </c>
      <c r="CG344">
        <v>48244</v>
      </c>
      <c r="CH344">
        <v>48273</v>
      </c>
      <c r="CI344">
        <v>48304</v>
      </c>
      <c r="CJ344">
        <v>48334</v>
      </c>
      <c r="CK344">
        <v>48365</v>
      </c>
      <c r="CL344">
        <v>48395</v>
      </c>
      <c r="CM344">
        <v>48426</v>
      </c>
      <c r="CN344">
        <v>48457</v>
      </c>
      <c r="CO344">
        <v>48487</v>
      </c>
      <c r="CP344">
        <v>48518</v>
      </c>
      <c r="CQ344">
        <v>48548</v>
      </c>
      <c r="CR344">
        <v>48579</v>
      </c>
      <c r="CS344">
        <v>48610</v>
      </c>
      <c r="CT344">
        <v>48638</v>
      </c>
      <c r="CU344">
        <v>48669</v>
      </c>
      <c r="CV344">
        <v>48699</v>
      </c>
      <c r="CW344">
        <v>48730</v>
      </c>
      <c r="CX344">
        <v>48760</v>
      </c>
      <c r="CY344">
        <v>48791</v>
      </c>
      <c r="CZ344">
        <v>48822</v>
      </c>
      <c r="DA344">
        <v>48852</v>
      </c>
      <c r="DB344">
        <v>48883</v>
      </c>
      <c r="DC344">
        <v>48913</v>
      </c>
      <c r="DD344">
        <v>48944</v>
      </c>
      <c r="DE344">
        <v>48975</v>
      </c>
      <c r="DF344">
        <v>49003</v>
      </c>
      <c r="DG344">
        <v>49034</v>
      </c>
      <c r="DH344">
        <v>49064</v>
      </c>
      <c r="DI344">
        <v>49095</v>
      </c>
      <c r="DJ344">
        <v>49125</v>
      </c>
      <c r="DK344">
        <v>49156</v>
      </c>
      <c r="DL344">
        <v>49187</v>
      </c>
      <c r="DM344">
        <v>49217</v>
      </c>
      <c r="DN344">
        <v>49248</v>
      </c>
      <c r="DO344">
        <v>49278</v>
      </c>
      <c r="DP344">
        <v>49309</v>
      </c>
      <c r="DQ344">
        <v>49340</v>
      </c>
      <c r="DR344">
        <v>49368</v>
      </c>
      <c r="DS344">
        <v>49399</v>
      </c>
      <c r="DT344">
        <v>49429</v>
      </c>
      <c r="DU344">
        <v>49460</v>
      </c>
      <c r="DV344">
        <v>49490</v>
      </c>
      <c r="DW344">
        <v>49521</v>
      </c>
      <c r="DX344">
        <v>49552</v>
      </c>
      <c r="DY344">
        <v>49582</v>
      </c>
      <c r="DZ344">
        <v>49613</v>
      </c>
      <c r="EA344">
        <v>49643</v>
      </c>
      <c r="EB344">
        <v>49674</v>
      </c>
      <c r="EC344">
        <v>49705</v>
      </c>
      <c r="ED344">
        <v>49734</v>
      </c>
      <c r="EE344">
        <v>49765</v>
      </c>
      <c r="EF344">
        <v>49795</v>
      </c>
      <c r="EG344">
        <v>49826</v>
      </c>
      <c r="EH344">
        <v>49856</v>
      </c>
      <c r="EI344">
        <v>49887</v>
      </c>
      <c r="EJ344">
        <v>49918</v>
      </c>
      <c r="EK344">
        <v>49948</v>
      </c>
      <c r="EL344">
        <v>49979</v>
      </c>
      <c r="EM344">
        <v>50009</v>
      </c>
      <c r="EN344">
        <v>50040</v>
      </c>
      <c r="EO344">
        <v>50071</v>
      </c>
      <c r="EP344">
        <v>50099</v>
      </c>
      <c r="EQ344">
        <v>50130</v>
      </c>
      <c r="ER344">
        <v>50160</v>
      </c>
      <c r="ES344">
        <v>50191</v>
      </c>
      <c r="ET344">
        <v>50221</v>
      </c>
      <c r="EU344">
        <v>50252</v>
      </c>
      <c r="EV344">
        <v>50283</v>
      </c>
      <c r="EW344">
        <v>50313</v>
      </c>
      <c r="EX344">
        <v>50344</v>
      </c>
      <c r="EY344">
        <v>50374</v>
      </c>
      <c r="EZ344">
        <v>50405</v>
      </c>
      <c r="FA344">
        <v>50436</v>
      </c>
      <c r="FB344">
        <v>50464</v>
      </c>
      <c r="FC344">
        <v>50495</v>
      </c>
      <c r="FD344">
        <v>50525</v>
      </c>
      <c r="FE344">
        <v>50556</v>
      </c>
      <c r="FF344">
        <v>50586</v>
      </c>
      <c r="FG344">
        <v>50617</v>
      </c>
      <c r="FH344">
        <v>50648</v>
      </c>
      <c r="FI344">
        <v>50678</v>
      </c>
      <c r="FJ344">
        <v>50709</v>
      </c>
      <c r="FK344">
        <v>50739</v>
      </c>
      <c r="FL344">
        <v>50770</v>
      </c>
      <c r="FM344">
        <v>50801</v>
      </c>
      <c r="FN344">
        <v>50829</v>
      </c>
      <c r="FO344">
        <v>50860</v>
      </c>
      <c r="FP344">
        <v>50890</v>
      </c>
      <c r="FQ344">
        <v>50921</v>
      </c>
      <c r="FR344">
        <v>50951</v>
      </c>
      <c r="FS344">
        <v>50982</v>
      </c>
      <c r="FT344">
        <v>51013</v>
      </c>
      <c r="FU344">
        <v>51043</v>
      </c>
      <c r="FV344">
        <v>51074</v>
      </c>
      <c r="FW344">
        <v>51104</v>
      </c>
      <c r="FX344">
        <v>51135</v>
      </c>
      <c r="FY344">
        <v>51166</v>
      </c>
      <c r="FZ344">
        <v>51195</v>
      </c>
      <c r="GA344">
        <v>51226</v>
      </c>
      <c r="GB344">
        <v>51256</v>
      </c>
      <c r="GC344">
        <v>51287</v>
      </c>
      <c r="GD344">
        <v>51317</v>
      </c>
      <c r="GE344">
        <v>51348</v>
      </c>
      <c r="GF344">
        <v>51379</v>
      </c>
      <c r="GG344">
        <v>51409</v>
      </c>
      <c r="GH344">
        <v>51440</v>
      </c>
      <c r="GI344">
        <v>51470</v>
      </c>
      <c r="GJ344">
        <v>51501</v>
      </c>
      <c r="GK344">
        <v>51532</v>
      </c>
      <c r="GL344">
        <v>51560</v>
      </c>
      <c r="GM344">
        <v>51591</v>
      </c>
      <c r="GN344">
        <v>51621</v>
      </c>
      <c r="GO344">
        <v>51652</v>
      </c>
      <c r="GP344">
        <v>51682</v>
      </c>
      <c r="GQ344">
        <v>51713</v>
      </c>
      <c r="GR344">
        <v>51744</v>
      </c>
      <c r="GS344">
        <v>51774</v>
      </c>
      <c r="GT344">
        <v>51805</v>
      </c>
      <c r="GU344">
        <v>51835</v>
      </c>
      <c r="GV344">
        <v>51866</v>
      </c>
      <c r="GW344">
        <v>51897</v>
      </c>
      <c r="GX344">
        <v>51925</v>
      </c>
      <c r="GY344">
        <v>51956</v>
      </c>
      <c r="GZ344">
        <v>51986</v>
      </c>
      <c r="HA344">
        <v>52017</v>
      </c>
      <c r="HB344">
        <v>52047</v>
      </c>
      <c r="HC344">
        <v>52078</v>
      </c>
      <c r="HD344">
        <v>52109</v>
      </c>
      <c r="HE344">
        <v>52139</v>
      </c>
      <c r="HF344">
        <v>52170</v>
      </c>
      <c r="HG344">
        <v>52200</v>
      </c>
      <c r="HH344">
        <v>52231</v>
      </c>
      <c r="HI344">
        <v>52262</v>
      </c>
      <c r="HJ344">
        <v>52290</v>
      </c>
      <c r="HK344">
        <v>52321</v>
      </c>
      <c r="HL344">
        <v>52351</v>
      </c>
      <c r="HM344">
        <v>52382</v>
      </c>
      <c r="HN344">
        <v>52412</v>
      </c>
      <c r="HO344">
        <v>52443</v>
      </c>
      <c r="HP344">
        <v>52474</v>
      </c>
      <c r="HQ344">
        <v>52504</v>
      </c>
      <c r="HR344">
        <v>52535</v>
      </c>
      <c r="HS344">
        <v>52565</v>
      </c>
      <c r="HT344">
        <v>52596</v>
      </c>
      <c r="HU344">
        <v>52627</v>
      </c>
      <c r="HV344">
        <v>52656</v>
      </c>
      <c r="HW344">
        <v>52687</v>
      </c>
      <c r="HX344">
        <v>52717</v>
      </c>
      <c r="HY344">
        <v>52748</v>
      </c>
      <c r="HZ344">
        <v>52778</v>
      </c>
      <c r="IA344">
        <v>52809</v>
      </c>
      <c r="IB344">
        <v>52840</v>
      </c>
      <c r="IC344">
        <v>52870</v>
      </c>
      <c r="ID344">
        <v>52901</v>
      </c>
      <c r="IE344">
        <v>52931</v>
      </c>
      <c r="IF344">
        <v>52962</v>
      </c>
      <c r="IG344">
        <v>52993</v>
      </c>
      <c r="IH344">
        <v>53021</v>
      </c>
      <c r="II344">
        <v>53052</v>
      </c>
      <c r="IJ344">
        <v>53082</v>
      </c>
      <c r="IK344">
        <v>53113</v>
      </c>
      <c r="IL344">
        <v>53143</v>
      </c>
      <c r="IM344">
        <v>53174</v>
      </c>
      <c r="IN344">
        <v>53205</v>
      </c>
      <c r="IO344">
        <v>53235</v>
      </c>
      <c r="IP344">
        <v>53266</v>
      </c>
      <c r="IQ344">
        <v>53296</v>
      </c>
      <c r="IR344">
        <v>53327</v>
      </c>
      <c r="IS344">
        <v>53358</v>
      </c>
      <c r="IT344">
        <v>53386</v>
      </c>
      <c r="IU344">
        <v>53417</v>
      </c>
      <c r="IV344">
        <v>53447</v>
      </c>
      <c r="IW344">
        <v>53478</v>
      </c>
      <c r="IX344">
        <v>53508</v>
      </c>
      <c r="IY344">
        <v>53539</v>
      </c>
      <c r="IZ344">
        <v>53570</v>
      </c>
      <c r="JA344">
        <v>53600</v>
      </c>
      <c r="JB344">
        <v>53631</v>
      </c>
      <c r="JC344">
        <v>53661</v>
      </c>
      <c r="JD344">
        <v>53692</v>
      </c>
      <c r="JE344">
        <v>53723</v>
      </c>
      <c r="JF344">
        <v>53751</v>
      </c>
      <c r="JG344">
        <v>53782</v>
      </c>
      <c r="JH344">
        <v>53812</v>
      </c>
      <c r="JI344">
        <v>53843</v>
      </c>
      <c r="JJ344">
        <v>53873</v>
      </c>
      <c r="JK344">
        <v>53904</v>
      </c>
      <c r="JL344">
        <v>53935</v>
      </c>
      <c r="JM344">
        <v>53965</v>
      </c>
      <c r="JN344">
        <v>53996</v>
      </c>
      <c r="JO344">
        <v>54026</v>
      </c>
      <c r="JP344">
        <v>54057</v>
      </c>
      <c r="JQ344">
        <v>54088</v>
      </c>
      <c r="JR344">
        <v>54117</v>
      </c>
      <c r="JS344">
        <v>54148</v>
      </c>
      <c r="JT344">
        <v>54178</v>
      </c>
      <c r="JU344">
        <v>54209</v>
      </c>
      <c r="JV344">
        <v>54239</v>
      </c>
      <c r="JW344">
        <v>54270</v>
      </c>
      <c r="JX344">
        <v>54301</v>
      </c>
      <c r="JY344">
        <v>54331</v>
      </c>
      <c r="JZ344">
        <v>54362</v>
      </c>
      <c r="KA344">
        <v>54392</v>
      </c>
      <c r="KB344">
        <v>54423</v>
      </c>
      <c r="KC344">
        <v>54454</v>
      </c>
      <c r="KD344">
        <v>54482</v>
      </c>
      <c r="KE344">
        <v>54513</v>
      </c>
      <c r="KF344">
        <v>54543</v>
      </c>
      <c r="KG344">
        <v>54574</v>
      </c>
      <c r="KH344">
        <v>54604</v>
      </c>
      <c r="KI344">
        <v>54635</v>
      </c>
      <c r="KJ344">
        <v>54666</v>
      </c>
      <c r="KK344">
        <v>54696</v>
      </c>
      <c r="KL344">
        <v>54727</v>
      </c>
      <c r="KM344">
        <v>54757</v>
      </c>
      <c r="KN344">
        <v>54788</v>
      </c>
      <c r="KO344">
        <v>54819</v>
      </c>
      <c r="KP344">
        <v>54847</v>
      </c>
      <c r="KQ344">
        <v>54878</v>
      </c>
      <c r="KR344">
        <v>54908</v>
      </c>
      <c r="KS344">
        <v>54939</v>
      </c>
      <c r="KT344">
        <v>54969</v>
      </c>
      <c r="KU344">
        <v>55000</v>
      </c>
      <c r="KV344">
        <v>55031</v>
      </c>
      <c r="KW344">
        <v>55061</v>
      </c>
      <c r="KX344">
        <v>55092</v>
      </c>
      <c r="KY344">
        <v>55122</v>
      </c>
      <c r="KZ344">
        <v>55153</v>
      </c>
      <c r="LA344">
        <v>55184</v>
      </c>
      <c r="LB344">
        <v>55212</v>
      </c>
      <c r="LC344">
        <v>55243</v>
      </c>
      <c r="LD344">
        <v>55273</v>
      </c>
      <c r="LE344">
        <v>55304</v>
      </c>
      <c r="LF344">
        <v>55334</v>
      </c>
      <c r="LG344">
        <v>55365</v>
      </c>
      <c r="LH344">
        <v>55396</v>
      </c>
      <c r="LI344">
        <v>55426</v>
      </c>
      <c r="LJ344">
        <v>55457</v>
      </c>
      <c r="LK344">
        <v>55487</v>
      </c>
      <c r="LL344">
        <v>55518</v>
      </c>
      <c r="LM344">
        <v>55549</v>
      </c>
      <c r="LN344">
        <v>55578</v>
      </c>
      <c r="LO344">
        <v>55609</v>
      </c>
      <c r="LP344">
        <v>55639</v>
      </c>
      <c r="LQ344">
        <v>55670</v>
      </c>
      <c r="LR344">
        <v>55700</v>
      </c>
      <c r="LS344">
        <v>55731</v>
      </c>
      <c r="LT344">
        <v>55762</v>
      </c>
      <c r="LU344">
        <v>55792</v>
      </c>
      <c r="LV344">
        <v>55823</v>
      </c>
      <c r="LW344">
        <v>55853</v>
      </c>
      <c r="LX344">
        <v>55884</v>
      </c>
      <c r="LY344">
        <v>55915</v>
      </c>
      <c r="LZ344">
        <v>55943</v>
      </c>
      <c r="MA344">
        <v>55974</v>
      </c>
      <c r="MB344">
        <v>56004</v>
      </c>
      <c r="MC344">
        <v>56035</v>
      </c>
      <c r="MD344">
        <v>56065</v>
      </c>
      <c r="ME344">
        <v>56096</v>
      </c>
      <c r="MF344">
        <v>56127</v>
      </c>
      <c r="MG344">
        <v>56157</v>
      </c>
      <c r="MH344">
        <v>56188</v>
      </c>
      <c r="MI344">
        <v>56218</v>
      </c>
      <c r="MJ344">
        <v>56249</v>
      </c>
      <c r="MK344">
        <v>56280</v>
      </c>
      <c r="ML344">
        <v>56308</v>
      </c>
      <c r="MM344">
        <v>56339</v>
      </c>
      <c r="MN344">
        <v>56369</v>
      </c>
      <c r="MO344">
        <v>56400</v>
      </c>
      <c r="MP344">
        <v>56430</v>
      </c>
      <c r="MQ344">
        <v>56461</v>
      </c>
      <c r="MR344">
        <v>56492</v>
      </c>
      <c r="MS344">
        <v>56522</v>
      </c>
      <c r="MT344">
        <v>56553</v>
      </c>
      <c r="MU344">
        <v>56583</v>
      </c>
      <c r="MV344">
        <v>56614</v>
      </c>
      <c r="MW344">
        <v>56645</v>
      </c>
      <c r="MX344">
        <v>56673</v>
      </c>
      <c r="MY344">
        <v>56704</v>
      </c>
      <c r="MZ344">
        <v>56734</v>
      </c>
      <c r="NA344">
        <v>56765</v>
      </c>
      <c r="NB344">
        <v>56795</v>
      </c>
      <c r="NC344">
        <v>56826</v>
      </c>
      <c r="ND344">
        <v>56857</v>
      </c>
      <c r="NE344">
        <v>56887</v>
      </c>
      <c r="NF344">
        <v>56918</v>
      </c>
      <c r="NG344">
        <v>56948</v>
      </c>
      <c r="NH344">
        <v>56979</v>
      </c>
      <c r="NI344">
        <v>57010</v>
      </c>
      <c r="NJ344">
        <v>57039</v>
      </c>
      <c r="NK344">
        <v>57070</v>
      </c>
      <c r="NL344">
        <v>57100</v>
      </c>
      <c r="NM344">
        <v>57131</v>
      </c>
      <c r="NN344">
        <v>57161</v>
      </c>
      <c r="NO344">
        <v>57192</v>
      </c>
      <c r="NP344">
        <v>57223</v>
      </c>
      <c r="NQ344">
        <v>57253</v>
      </c>
      <c r="NR344">
        <v>57284</v>
      </c>
      <c r="NS344">
        <v>57314</v>
      </c>
      <c r="NT344">
        <v>57345</v>
      </c>
      <c r="NU344">
        <v>57376</v>
      </c>
      <c r="NV344">
        <v>57404</v>
      </c>
      <c r="NW344">
        <v>57435</v>
      </c>
      <c r="NX344">
        <v>57465</v>
      </c>
      <c r="NY344">
        <v>57496</v>
      </c>
      <c r="NZ344">
        <v>57526</v>
      </c>
      <c r="OA344">
        <v>57557</v>
      </c>
      <c r="OB344">
        <v>57588</v>
      </c>
      <c r="OC344">
        <v>57618</v>
      </c>
      <c r="OD344">
        <v>57649</v>
      </c>
      <c r="OE344">
        <v>57679</v>
      </c>
    </row>
    <row r="345" spans="1:395" ht="13.8" customHeight="1" outlineLevel="1" x14ac:dyDescent="0.3">
      <c r="D345" s="133" t="s">
        <v>28</v>
      </c>
      <c r="E345" s="31">
        <f>E344*(1-E369)</f>
        <v>26.206857638888888</v>
      </c>
      <c r="F345" s="257" t="s">
        <v>26</v>
      </c>
      <c r="N345" s="6" t="s">
        <v>80</v>
      </c>
      <c r="O345" s="6"/>
      <c r="P345" s="33" t="s">
        <v>15</v>
      </c>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c r="DA345" s="6"/>
      <c r="DB345" s="6"/>
      <c r="DC345" s="6"/>
      <c r="DD345" s="6"/>
      <c r="DE345" s="6"/>
      <c r="DF345" s="6"/>
      <c r="DG345" s="6"/>
      <c r="DH345" s="6"/>
      <c r="DI345" s="6"/>
      <c r="DJ345" s="6"/>
      <c r="DK345" s="6"/>
      <c r="DL345" s="6"/>
      <c r="DM345" s="6"/>
      <c r="DN345" s="6"/>
      <c r="DO345" s="6"/>
      <c r="DP345" s="6"/>
      <c r="DQ345" s="6"/>
      <c r="DR345" s="6"/>
      <c r="DS345" s="6"/>
      <c r="DT345" s="6"/>
      <c r="DU345" s="6"/>
      <c r="DV345" s="6"/>
      <c r="DW345" s="6"/>
      <c r="DX345" s="6"/>
      <c r="DY345" s="6"/>
      <c r="DZ345" s="6"/>
      <c r="EA345" s="6"/>
      <c r="EB345" s="6"/>
      <c r="EC345" s="6"/>
      <c r="ED345" s="6"/>
      <c r="EE345" s="6"/>
      <c r="EF345" s="6"/>
      <c r="EG345" s="6"/>
      <c r="EH345" s="6"/>
      <c r="EI345" s="6"/>
      <c r="EJ345" s="6"/>
      <c r="EK345" s="6"/>
      <c r="EL345" s="6"/>
      <c r="EM345" s="6"/>
      <c r="EN345" s="6"/>
      <c r="EO345" s="6"/>
      <c r="EP345" s="6"/>
      <c r="EQ345" s="6"/>
      <c r="ER345" s="6"/>
      <c r="ES345" s="6"/>
      <c r="ET345" s="6"/>
      <c r="EU345" s="6"/>
      <c r="EV345" s="6"/>
      <c r="EW345" s="6"/>
      <c r="EX345" s="6"/>
      <c r="EY345" s="6"/>
      <c r="EZ345" s="6"/>
      <c r="FA345" s="6"/>
      <c r="FB345" s="6"/>
      <c r="FC345" s="6"/>
      <c r="FD345" s="6"/>
      <c r="FE345" s="6"/>
      <c r="FF345" s="6"/>
      <c r="FG345" s="6"/>
      <c r="FH345" s="6"/>
      <c r="FI345" s="6"/>
      <c r="FJ345" s="6"/>
      <c r="FK345" s="6"/>
      <c r="FL345" s="6"/>
      <c r="FM345" s="6"/>
      <c r="FN345" s="6"/>
      <c r="FO345" s="6"/>
      <c r="FP345" s="6"/>
      <c r="FQ345" s="6"/>
      <c r="FR345" s="6"/>
      <c r="FS345" s="6"/>
      <c r="FT345" s="6"/>
      <c r="FU345" s="6"/>
      <c r="FV345" s="6"/>
      <c r="FW345" s="6"/>
      <c r="FX345" s="6"/>
      <c r="FY345" s="6"/>
      <c r="FZ345" s="6"/>
      <c r="GA345" s="6"/>
      <c r="GB345" s="6"/>
      <c r="GC345" s="6"/>
      <c r="GD345" s="6"/>
      <c r="GE345" s="6"/>
      <c r="GF345" s="6"/>
      <c r="GG345" s="6"/>
      <c r="GH345" s="6"/>
      <c r="GI345" s="6"/>
      <c r="GJ345" s="6"/>
      <c r="GK345" s="6"/>
      <c r="GL345" s="6"/>
      <c r="GM345" s="6"/>
      <c r="GN345" s="6"/>
      <c r="GO345" s="6"/>
      <c r="GP345" s="6"/>
      <c r="GQ345" s="6"/>
      <c r="GR345" s="6"/>
      <c r="GS345" s="6"/>
      <c r="GT345" s="6"/>
      <c r="GU345" s="6"/>
      <c r="GV345" s="6"/>
      <c r="GW345" s="6"/>
      <c r="GX345" s="6"/>
      <c r="GY345" s="6"/>
      <c r="GZ345" s="6"/>
      <c r="HA345" s="6"/>
      <c r="HB345" s="6"/>
      <c r="HC345" s="6"/>
      <c r="HD345" s="6"/>
      <c r="HE345" s="6"/>
      <c r="HF345" s="6"/>
      <c r="HG345" s="6"/>
      <c r="HH345" s="6"/>
      <c r="HI345" s="6"/>
      <c r="HJ345" s="6"/>
      <c r="HK345" s="6"/>
      <c r="HL345" s="6"/>
      <c r="HM345" s="6"/>
      <c r="HN345" s="6"/>
      <c r="HO345" s="6"/>
      <c r="HP345" s="6"/>
      <c r="HQ345" s="6"/>
      <c r="HR345" s="6"/>
      <c r="HS345" s="6"/>
      <c r="HT345" s="6"/>
      <c r="HU345" s="6"/>
      <c r="HV345" s="6"/>
      <c r="HW345" s="6"/>
      <c r="HX345" s="6"/>
      <c r="HY345" s="6"/>
      <c r="HZ345" s="6"/>
      <c r="IA345" s="6"/>
      <c r="IB345" s="6"/>
      <c r="IC345" s="6"/>
      <c r="ID345" s="6"/>
      <c r="IE345" s="6"/>
      <c r="IF345" s="6"/>
      <c r="IG345" s="6"/>
      <c r="IH345" s="6"/>
      <c r="II345" s="6"/>
      <c r="IJ345" s="6"/>
      <c r="IK345" s="6"/>
      <c r="IL345" s="6"/>
      <c r="IM345" s="6"/>
      <c r="IN345" s="6"/>
      <c r="IO345" s="6"/>
      <c r="IP345" s="6"/>
      <c r="IQ345" s="6"/>
      <c r="IR345" s="6"/>
      <c r="IS345" s="6"/>
      <c r="IT345" s="6"/>
      <c r="IU345" s="6"/>
      <c r="IV345" s="6"/>
      <c r="IW345" s="6"/>
      <c r="IX345" s="6"/>
      <c r="IY345" s="6"/>
      <c r="IZ345" s="6"/>
      <c r="JA345" s="6"/>
      <c r="JB345" s="6"/>
      <c r="JC345" s="6"/>
      <c r="JD345" s="6"/>
      <c r="JE345" s="6"/>
      <c r="JF345" s="6"/>
      <c r="JG345" s="6"/>
      <c r="JH345" s="6"/>
      <c r="JI345" s="6"/>
      <c r="JJ345" s="6"/>
      <c r="JK345" s="6"/>
      <c r="JL345" s="6"/>
      <c r="JM345" s="6"/>
      <c r="JN345" s="6"/>
      <c r="JO345" s="6"/>
      <c r="JP345" s="6"/>
      <c r="JQ345" s="6"/>
      <c r="JR345" s="6"/>
      <c r="JS345" s="6"/>
      <c r="JT345" s="6"/>
      <c r="JU345" s="6"/>
      <c r="JV345" s="6"/>
      <c r="JW345" s="6"/>
      <c r="JX345" s="6"/>
      <c r="JY345" s="6"/>
      <c r="JZ345" s="6"/>
      <c r="KA345" s="6"/>
      <c r="KB345" s="6"/>
      <c r="KC345" s="6"/>
      <c r="KD345" s="6"/>
      <c r="KE345" s="6"/>
      <c r="KF345" s="6"/>
      <c r="KG345" s="6"/>
      <c r="KH345" s="6"/>
      <c r="KI345" s="6"/>
      <c r="KJ345" s="6"/>
      <c r="KK345" s="6"/>
      <c r="KL345" s="6"/>
      <c r="KM345" s="6"/>
      <c r="KN345" s="6"/>
      <c r="KO345" s="6"/>
      <c r="KP345" s="6"/>
      <c r="KQ345" s="6"/>
      <c r="KR345" s="6"/>
      <c r="KS345" s="6"/>
      <c r="KT345" s="6"/>
      <c r="KU345" s="6"/>
      <c r="KV345" s="6"/>
      <c r="KW345" s="6"/>
      <c r="KX345" s="6"/>
      <c r="KY345" s="6"/>
      <c r="KZ345" s="6"/>
      <c r="LA345" s="6"/>
      <c r="LB345" s="6"/>
      <c r="LC345" s="6"/>
      <c r="LD345" s="6"/>
      <c r="LE345" s="6"/>
      <c r="LF345" s="6"/>
      <c r="LG345" s="6"/>
      <c r="LH345" s="6"/>
      <c r="LI345" s="6"/>
      <c r="LJ345" s="6"/>
      <c r="LK345" s="6"/>
      <c r="LL345" s="6"/>
      <c r="LM345" s="6"/>
      <c r="LN345" s="6"/>
      <c r="LO345" s="6"/>
      <c r="LP345" s="6"/>
      <c r="LQ345" s="6"/>
      <c r="LR345" s="6"/>
      <c r="LS345" s="6"/>
      <c r="LT345" s="6"/>
      <c r="LU345" s="6"/>
      <c r="LV345" s="6"/>
      <c r="LW345" s="6"/>
      <c r="LX345" s="6"/>
      <c r="LY345" s="6"/>
      <c r="LZ345" s="6"/>
      <c r="MA345" s="6"/>
      <c r="MB345" s="6"/>
      <c r="MC345" s="6"/>
      <c r="MD345" s="6"/>
      <c r="ME345" s="6"/>
      <c r="MF345" s="6"/>
      <c r="MG345" s="6"/>
      <c r="MH345" s="6"/>
      <c r="MI345" s="6"/>
      <c r="MJ345" s="6"/>
      <c r="MK345" s="6"/>
      <c r="ML345" s="6"/>
      <c r="MM345" s="6"/>
      <c r="MN345" s="6"/>
      <c r="MO345" s="6"/>
      <c r="MP345" s="6"/>
      <c r="MQ345" s="6"/>
      <c r="MR345" s="6"/>
      <c r="MS345" s="6"/>
      <c r="MT345" s="6"/>
      <c r="MU345" s="6"/>
      <c r="MV345" s="6"/>
      <c r="MW345" s="6"/>
      <c r="MX345" s="6"/>
      <c r="MY345" s="6"/>
      <c r="MZ345" s="6"/>
      <c r="NA345" s="6"/>
      <c r="NB345" s="6"/>
      <c r="NC345" s="6"/>
      <c r="ND345" s="6"/>
      <c r="NE345" s="6"/>
      <c r="NF345" s="6"/>
      <c r="NG345" s="6"/>
      <c r="NH345" s="6"/>
      <c r="NI345" s="6"/>
      <c r="NJ345" s="6"/>
      <c r="NK345" s="6"/>
      <c r="NL345" s="6"/>
      <c r="NM345" s="6"/>
      <c r="NN345" s="6"/>
      <c r="NO345" s="6"/>
      <c r="NP345" s="6"/>
      <c r="NQ345" s="6"/>
      <c r="NR345" s="6"/>
      <c r="NS345" s="6"/>
      <c r="NT345" s="6"/>
      <c r="NU345" s="6"/>
      <c r="NV345" s="6"/>
      <c r="NW345" s="6"/>
      <c r="NX345" s="6"/>
      <c r="NY345" s="6"/>
      <c r="NZ345" s="6"/>
      <c r="OA345" s="6"/>
      <c r="OB345" s="6"/>
      <c r="OC345" s="6"/>
      <c r="OD345" s="6"/>
      <c r="OE345" s="6"/>
    </row>
    <row r="346" spans="1:395" ht="13.8" customHeight="1" outlineLevel="1" x14ac:dyDescent="0.3">
      <c r="D346" s="133" t="s">
        <v>49</v>
      </c>
      <c r="E346" s="26">
        <f>E345*E371</f>
        <v>225378.97569444444</v>
      </c>
      <c r="F346" s="257" t="s">
        <v>14</v>
      </c>
      <c r="N346" s="37" t="s">
        <v>4</v>
      </c>
      <c r="O346" s="38"/>
      <c r="P346" s="39" t="s">
        <v>81</v>
      </c>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c r="BZ346" s="38"/>
      <c r="CA346" s="38"/>
      <c r="CB346" s="38"/>
      <c r="CC346" s="38"/>
      <c r="CD346" s="38"/>
      <c r="CE346" s="38"/>
      <c r="CF346" s="38"/>
      <c r="CG346" s="38"/>
      <c r="CH346" s="38"/>
      <c r="CI346" s="38"/>
      <c r="CJ346" s="38"/>
      <c r="CK346" s="38"/>
      <c r="CL346" s="38"/>
      <c r="CM346" s="38"/>
      <c r="CN346" s="38"/>
      <c r="CO346" s="38"/>
      <c r="CP346" s="38"/>
      <c r="CQ346" s="38"/>
      <c r="CR346" s="38"/>
      <c r="CS346" s="38"/>
      <c r="CT346" s="38"/>
      <c r="CU346" s="38"/>
      <c r="CV346" s="38"/>
      <c r="CW346" s="38"/>
      <c r="CX346" s="38"/>
      <c r="CY346" s="38"/>
      <c r="CZ346" s="38"/>
      <c r="DA346" s="38"/>
      <c r="DB346" s="38"/>
      <c r="DC346" s="38"/>
      <c r="DD346" s="38"/>
      <c r="DE346" s="38"/>
      <c r="DF346" s="38"/>
      <c r="DG346" s="38"/>
      <c r="DH346" s="38"/>
      <c r="DI346" s="38"/>
      <c r="DJ346" s="38"/>
      <c r="DK346" s="38"/>
      <c r="DL346" s="38"/>
      <c r="DM346" s="38"/>
      <c r="DN346" s="38"/>
      <c r="DO346" s="38"/>
      <c r="DP346" s="38"/>
      <c r="DQ346" s="38"/>
      <c r="DR346" s="38"/>
      <c r="DS346" s="38"/>
      <c r="DT346" s="38"/>
      <c r="DU346" s="38"/>
      <c r="DV346" s="38"/>
      <c r="DW346" s="38"/>
      <c r="DX346" s="38"/>
      <c r="DY346" s="38"/>
      <c r="DZ346" s="38"/>
      <c r="EA346" s="38"/>
      <c r="EB346" s="38"/>
      <c r="EC346" s="38"/>
      <c r="ED346" s="38"/>
      <c r="EE346" s="38"/>
      <c r="EF346" s="38"/>
      <c r="EG346" s="38"/>
      <c r="EH346" s="38"/>
      <c r="EI346" s="38"/>
      <c r="EJ346" s="38"/>
      <c r="EK346" s="38"/>
      <c r="EL346" s="38"/>
      <c r="EM346" s="38"/>
      <c r="EN346" s="38"/>
      <c r="EO346" s="38"/>
      <c r="EP346" s="38"/>
      <c r="EQ346" s="38"/>
      <c r="ER346" s="38"/>
      <c r="ES346" s="38"/>
      <c r="ET346" s="38"/>
      <c r="EU346" s="38"/>
      <c r="EV346" s="38"/>
      <c r="EW346" s="38"/>
      <c r="EX346" s="38"/>
      <c r="EY346" s="38"/>
      <c r="EZ346" s="38"/>
      <c r="FA346" s="38"/>
      <c r="FB346" s="38"/>
      <c r="FC346" s="38"/>
      <c r="FD346" s="38"/>
      <c r="FE346" s="38"/>
      <c r="FF346" s="38"/>
      <c r="FG346" s="38"/>
      <c r="FH346" s="38"/>
      <c r="FI346" s="38"/>
      <c r="FJ346" s="38"/>
      <c r="FK346" s="38"/>
      <c r="FL346" s="38"/>
      <c r="FM346" s="38"/>
      <c r="FN346" s="38"/>
      <c r="FO346" s="38"/>
      <c r="FP346" s="38"/>
      <c r="FQ346" s="38"/>
      <c r="FR346" s="38"/>
      <c r="FS346" s="38"/>
      <c r="FT346" s="38"/>
      <c r="FU346" s="38"/>
      <c r="FV346" s="38"/>
      <c r="FW346" s="38"/>
      <c r="FX346" s="38"/>
      <c r="FY346" s="38"/>
      <c r="FZ346" s="38"/>
      <c r="GA346" s="38"/>
      <c r="GB346" s="38"/>
      <c r="GC346" s="38"/>
      <c r="GD346" s="38"/>
      <c r="GE346" s="38"/>
      <c r="GF346" s="38"/>
      <c r="GG346" s="38"/>
      <c r="GH346" s="38"/>
      <c r="GI346" s="38"/>
      <c r="GJ346" s="38"/>
      <c r="GK346" s="38"/>
      <c r="GL346" s="38"/>
      <c r="GM346" s="38"/>
      <c r="GN346" s="38"/>
      <c r="GO346" s="38"/>
      <c r="GP346" s="38"/>
      <c r="GQ346" s="38"/>
      <c r="GR346" s="38"/>
      <c r="GS346" s="38"/>
      <c r="GT346" s="38"/>
      <c r="GU346" s="38"/>
      <c r="GV346" s="38"/>
      <c r="GW346" s="38"/>
      <c r="GX346" s="38"/>
      <c r="GY346" s="38"/>
      <c r="GZ346" s="38"/>
      <c r="HA346" s="38"/>
      <c r="HB346" s="38"/>
      <c r="HC346" s="38"/>
      <c r="HD346" s="38"/>
      <c r="HE346" s="38"/>
      <c r="HF346" s="38"/>
      <c r="HG346" s="38"/>
      <c r="HH346" s="38"/>
      <c r="HI346" s="38"/>
      <c r="HJ346" s="38"/>
      <c r="HK346" s="38"/>
      <c r="HL346" s="38"/>
      <c r="HM346" s="38"/>
      <c r="HN346" s="38"/>
      <c r="HO346" s="38"/>
      <c r="HP346" s="38"/>
      <c r="HQ346" s="38"/>
      <c r="HR346" s="38"/>
      <c r="HS346" s="38"/>
      <c r="HT346" s="38"/>
      <c r="HU346" s="38"/>
      <c r="HV346" s="38"/>
      <c r="HW346" s="38"/>
      <c r="HX346" s="38"/>
      <c r="HY346" s="38"/>
      <c r="HZ346" s="38"/>
      <c r="IA346" s="38"/>
      <c r="IB346" s="38"/>
      <c r="IC346" s="38"/>
      <c r="ID346" s="38"/>
      <c r="IE346" s="38"/>
      <c r="IF346" s="38"/>
      <c r="IG346" s="38"/>
      <c r="IH346" s="38"/>
      <c r="II346" s="38"/>
      <c r="IJ346" s="38"/>
      <c r="IK346" s="38"/>
      <c r="IL346" s="38"/>
      <c r="IM346" s="38"/>
      <c r="IN346" s="38"/>
      <c r="IO346" s="38"/>
      <c r="IP346" s="38"/>
      <c r="IQ346" s="38"/>
      <c r="IR346" s="38"/>
      <c r="IS346" s="38"/>
      <c r="IT346" s="38"/>
      <c r="IU346" s="38"/>
      <c r="IV346" s="38"/>
      <c r="IW346" s="38"/>
      <c r="IX346" s="38"/>
      <c r="IY346" s="38"/>
      <c r="IZ346" s="38"/>
      <c r="JA346" s="38"/>
      <c r="JB346" s="38"/>
      <c r="JC346" s="38"/>
      <c r="JD346" s="38"/>
      <c r="JE346" s="38"/>
      <c r="JF346" s="38"/>
      <c r="JG346" s="38"/>
      <c r="JH346" s="38"/>
      <c r="JI346" s="38"/>
      <c r="JJ346" s="38"/>
      <c r="JK346" s="38"/>
      <c r="JL346" s="38"/>
      <c r="JM346" s="38"/>
      <c r="JN346" s="38"/>
      <c r="JO346" s="38"/>
      <c r="JP346" s="38"/>
      <c r="JQ346" s="38"/>
      <c r="JR346" s="38"/>
      <c r="JS346" s="38"/>
      <c r="JT346" s="38"/>
      <c r="JU346" s="38"/>
      <c r="JV346" s="38"/>
      <c r="JW346" s="38"/>
      <c r="JX346" s="38"/>
      <c r="JY346" s="38"/>
      <c r="JZ346" s="38"/>
      <c r="KA346" s="38"/>
      <c r="KB346" s="38"/>
      <c r="KC346" s="38"/>
      <c r="KD346" s="38"/>
      <c r="KE346" s="38"/>
      <c r="KF346" s="38"/>
      <c r="KG346" s="38"/>
      <c r="KH346" s="38"/>
      <c r="KI346" s="38"/>
      <c r="KJ346" s="38"/>
      <c r="KK346" s="38"/>
      <c r="KL346" s="38"/>
      <c r="KM346" s="38"/>
      <c r="KN346" s="38"/>
      <c r="KO346" s="38"/>
      <c r="KP346" s="38"/>
      <c r="KQ346" s="38"/>
      <c r="KR346" s="38"/>
      <c r="KS346" s="38"/>
      <c r="KT346" s="38"/>
      <c r="KU346" s="38"/>
      <c r="KV346" s="38"/>
      <c r="KW346" s="38"/>
      <c r="KX346" s="38"/>
      <c r="KY346" s="38"/>
      <c r="KZ346" s="38"/>
      <c r="LA346" s="38"/>
      <c r="LB346" s="38"/>
      <c r="LC346" s="38"/>
      <c r="LD346" s="38"/>
      <c r="LE346" s="38"/>
      <c r="LF346" s="38"/>
      <c r="LG346" s="38"/>
      <c r="LH346" s="38"/>
      <c r="LI346" s="38"/>
      <c r="LJ346" s="38"/>
      <c r="LK346" s="38"/>
      <c r="LL346" s="38"/>
      <c r="LM346" s="38"/>
      <c r="LN346" s="38"/>
      <c r="LO346" s="38"/>
      <c r="LP346" s="38"/>
      <c r="LQ346" s="38"/>
      <c r="LR346" s="38"/>
      <c r="LS346" s="38"/>
      <c r="LT346" s="38"/>
      <c r="LU346" s="38"/>
      <c r="LV346" s="38"/>
      <c r="LW346" s="38"/>
      <c r="LX346" s="38"/>
      <c r="LY346" s="38"/>
      <c r="LZ346" s="38"/>
      <c r="MA346" s="38"/>
      <c r="MB346" s="38"/>
      <c r="MC346" s="38"/>
      <c r="MD346" s="38"/>
      <c r="ME346" s="38"/>
      <c r="MF346" s="38"/>
      <c r="MG346" s="38"/>
      <c r="MH346" s="38"/>
      <c r="MI346" s="38"/>
      <c r="MJ346" s="38"/>
      <c r="MK346" s="38"/>
      <c r="ML346" s="38"/>
      <c r="MM346" s="38"/>
      <c r="MN346" s="38"/>
      <c r="MO346" s="38"/>
      <c r="MP346" s="38"/>
      <c r="MQ346" s="38"/>
      <c r="MR346" s="38"/>
      <c r="MS346" s="38"/>
      <c r="MT346" s="38"/>
      <c r="MU346" s="38"/>
      <c r="MV346" s="38"/>
      <c r="MW346" s="38"/>
      <c r="MX346" s="38"/>
      <c r="MY346" s="38"/>
      <c r="MZ346" s="38"/>
      <c r="NA346" s="38"/>
      <c r="NB346" s="38"/>
      <c r="NC346" s="38"/>
      <c r="ND346" s="38"/>
      <c r="NE346" s="38"/>
      <c r="NF346" s="38"/>
      <c r="NG346" s="38"/>
      <c r="NH346" s="38"/>
      <c r="NI346" s="38"/>
      <c r="NJ346" s="38"/>
      <c r="NK346" s="38"/>
      <c r="NL346" s="38"/>
      <c r="NM346" s="38"/>
      <c r="NN346" s="38"/>
      <c r="NO346" s="38"/>
      <c r="NP346" s="38"/>
      <c r="NQ346" s="38"/>
      <c r="NR346" s="38"/>
      <c r="NS346" s="38"/>
      <c r="NT346" s="38"/>
      <c r="NU346" s="38"/>
      <c r="NV346" s="38"/>
      <c r="NW346" s="38"/>
      <c r="NX346" s="38"/>
      <c r="NY346" s="38"/>
      <c r="NZ346" s="38"/>
      <c r="OA346" s="38"/>
      <c r="OB346" s="38"/>
      <c r="OC346" s="38"/>
      <c r="OD346" s="38"/>
      <c r="OE346" s="38"/>
    </row>
    <row r="347" spans="1:395" ht="13.8" customHeight="1" outlineLevel="1" x14ac:dyDescent="0.3">
      <c r="D347" s="133"/>
    </row>
    <row r="348" spans="1:395" ht="13.8" customHeight="1" outlineLevel="1" x14ac:dyDescent="0.3">
      <c r="D348" s="133"/>
    </row>
    <row r="349" spans="1:395" ht="13.8" customHeight="1" outlineLevel="1" x14ac:dyDescent="0.3">
      <c r="D349" s="133"/>
    </row>
    <row r="350" spans="1:395" ht="13.8" customHeight="1" outlineLevel="1" x14ac:dyDescent="0.3">
      <c r="D350" s="133"/>
      <c r="N350" s="84" t="s">
        <v>0</v>
      </c>
      <c r="O350" s="85"/>
      <c r="P350" s="86"/>
      <c r="Q350" s="85"/>
      <c r="R350" s="85"/>
      <c r="S350" s="85"/>
      <c r="T350" s="85"/>
      <c r="U350" s="85"/>
      <c r="V350" s="85"/>
      <c r="W350" s="85"/>
      <c r="X350" s="85"/>
      <c r="Y350" s="85"/>
      <c r="Z350" s="85"/>
      <c r="AA350" s="85"/>
      <c r="AB350" s="85"/>
      <c r="AC350" s="85"/>
      <c r="AD350" s="85"/>
      <c r="AE350" s="85"/>
      <c r="AF350" s="85"/>
      <c r="AG350" s="85"/>
      <c r="AH350" s="85"/>
      <c r="AI350" s="85"/>
      <c r="AJ350" s="85"/>
      <c r="AK350" s="85"/>
      <c r="AL350" s="85"/>
      <c r="AM350" s="85"/>
      <c r="AN350" s="85"/>
      <c r="AO350" s="85"/>
      <c r="AP350" s="85"/>
      <c r="AQ350" s="85"/>
      <c r="AR350" s="85"/>
      <c r="AS350" s="85"/>
      <c r="AT350" s="85"/>
      <c r="AU350" s="85"/>
      <c r="AV350" s="85"/>
      <c r="AW350" s="85"/>
      <c r="AX350" s="85"/>
      <c r="AY350" s="85"/>
      <c r="AZ350" s="85"/>
      <c r="BA350" s="85"/>
      <c r="BB350" s="85"/>
      <c r="BC350" s="85"/>
      <c r="BD350" s="85"/>
      <c r="BE350" s="85"/>
      <c r="BF350" s="85"/>
      <c r="BG350" s="85"/>
      <c r="BH350" s="85"/>
      <c r="BI350" s="85"/>
      <c r="BJ350" s="85"/>
      <c r="BK350" s="85"/>
      <c r="BL350" s="85"/>
      <c r="BM350" s="85"/>
      <c r="BN350" s="85"/>
      <c r="BO350" s="85"/>
      <c r="BP350" s="85"/>
      <c r="BQ350" s="85"/>
      <c r="BR350" s="85"/>
      <c r="BS350" s="85"/>
      <c r="BT350" s="85"/>
      <c r="BU350" s="85"/>
      <c r="BV350" s="85"/>
      <c r="BW350" s="85"/>
      <c r="BX350" s="85"/>
      <c r="BY350" s="85"/>
      <c r="BZ350" s="85"/>
      <c r="CA350" s="85"/>
      <c r="CB350" s="85"/>
      <c r="CC350" s="85"/>
      <c r="CD350" s="85"/>
      <c r="CE350" s="85"/>
      <c r="CF350" s="85"/>
      <c r="CG350" s="85"/>
      <c r="CH350" s="85"/>
      <c r="CI350" s="85"/>
      <c r="CJ350" s="85"/>
      <c r="CK350" s="85"/>
      <c r="CL350" s="85"/>
      <c r="CM350" s="85"/>
      <c r="CN350" s="85"/>
      <c r="CO350" s="85"/>
      <c r="CP350" s="85"/>
      <c r="CQ350" s="85"/>
      <c r="CR350" s="85"/>
      <c r="CS350" s="85"/>
      <c r="CT350" s="85"/>
      <c r="CU350" s="85"/>
      <c r="CV350" s="85"/>
      <c r="CW350" s="85"/>
      <c r="CX350" s="85"/>
      <c r="CY350" s="85"/>
      <c r="CZ350" s="85"/>
      <c r="DA350" s="85"/>
      <c r="DB350" s="85"/>
      <c r="DC350" s="85"/>
      <c r="DD350" s="85"/>
      <c r="DE350" s="85"/>
      <c r="DF350" s="85"/>
      <c r="DG350" s="85"/>
      <c r="DH350" s="85"/>
      <c r="DI350" s="85"/>
      <c r="DJ350" s="85"/>
      <c r="DK350" s="85"/>
      <c r="DL350" s="85"/>
      <c r="DM350" s="85"/>
      <c r="DN350" s="85"/>
      <c r="DO350" s="85"/>
      <c r="DP350" s="85"/>
      <c r="DQ350" s="85"/>
      <c r="DR350" s="85"/>
      <c r="DS350" s="85"/>
      <c r="DT350" s="85"/>
      <c r="DU350" s="85"/>
      <c r="DV350" s="85"/>
      <c r="DW350" s="85"/>
      <c r="DX350" s="85"/>
      <c r="DY350" s="85"/>
      <c r="DZ350" s="85"/>
      <c r="EA350" s="85"/>
      <c r="EB350" s="85"/>
      <c r="EC350" s="85"/>
      <c r="ED350" s="85"/>
      <c r="EE350" s="85"/>
      <c r="EF350" s="85"/>
      <c r="EG350" s="85"/>
      <c r="EH350" s="85"/>
      <c r="EI350" s="85"/>
      <c r="EJ350" s="85"/>
      <c r="EK350" s="85"/>
      <c r="EL350" s="85"/>
      <c r="EM350" s="85"/>
      <c r="EN350" s="85"/>
      <c r="EO350" s="85"/>
      <c r="EP350" s="85"/>
      <c r="EQ350" s="85"/>
      <c r="ER350" s="85"/>
      <c r="ES350" s="85"/>
      <c r="ET350" s="85"/>
      <c r="EU350" s="85"/>
      <c r="EV350" s="85"/>
      <c r="EW350" s="85"/>
      <c r="EX350" s="85"/>
      <c r="EY350" s="85"/>
      <c r="EZ350" s="85"/>
      <c r="FA350" s="85"/>
      <c r="FB350" s="85"/>
      <c r="FC350" s="85"/>
      <c r="FD350" s="85"/>
      <c r="FE350" s="85"/>
      <c r="FF350" s="85"/>
      <c r="FG350" s="85"/>
      <c r="FH350" s="85"/>
      <c r="FI350" s="85"/>
      <c r="FJ350" s="85"/>
      <c r="FK350" s="85"/>
      <c r="FL350" s="85"/>
      <c r="FM350" s="85"/>
      <c r="FN350" s="85"/>
      <c r="FO350" s="85"/>
      <c r="FP350" s="85"/>
      <c r="FQ350" s="85"/>
      <c r="FR350" s="85"/>
      <c r="FS350" s="85"/>
      <c r="FT350" s="85"/>
      <c r="FU350" s="85"/>
      <c r="FV350" s="85"/>
      <c r="FW350" s="85"/>
      <c r="FX350" s="85"/>
      <c r="FY350" s="85"/>
      <c r="FZ350" s="85"/>
      <c r="GA350" s="85"/>
      <c r="GB350" s="85"/>
      <c r="GC350" s="85"/>
      <c r="GD350" s="85"/>
      <c r="GE350" s="85"/>
      <c r="GF350" s="85"/>
      <c r="GG350" s="85"/>
      <c r="GH350" s="85"/>
      <c r="GI350" s="85"/>
      <c r="GJ350" s="85"/>
      <c r="GK350" s="85"/>
      <c r="GL350" s="85"/>
      <c r="GM350" s="85"/>
      <c r="GN350" s="85"/>
      <c r="GO350" s="85"/>
      <c r="GP350" s="85"/>
      <c r="GQ350" s="85"/>
      <c r="GR350" s="85"/>
      <c r="GS350" s="85"/>
      <c r="GT350" s="85"/>
      <c r="GU350" s="85"/>
      <c r="GV350" s="85"/>
      <c r="GW350" s="85"/>
      <c r="GX350" s="85"/>
      <c r="GY350" s="85"/>
      <c r="GZ350" s="85"/>
      <c r="HA350" s="85"/>
      <c r="HB350" s="85"/>
      <c r="HC350" s="85"/>
      <c r="HD350" s="85"/>
      <c r="HE350" s="85"/>
      <c r="HF350" s="85"/>
      <c r="HG350" s="85"/>
      <c r="HH350" s="85"/>
      <c r="HI350" s="85"/>
      <c r="HJ350" s="85"/>
      <c r="HK350" s="85"/>
      <c r="HL350" s="85"/>
      <c r="HM350" s="85"/>
      <c r="HN350" s="85"/>
      <c r="HO350" s="85"/>
      <c r="HP350" s="85"/>
      <c r="HQ350" s="85"/>
      <c r="HR350" s="85"/>
      <c r="HS350" s="85"/>
      <c r="HT350" s="85"/>
      <c r="HU350" s="85"/>
      <c r="HV350" s="85"/>
      <c r="HW350" s="85"/>
      <c r="HX350" s="85"/>
      <c r="HY350" s="85"/>
      <c r="HZ350" s="85"/>
      <c r="IA350" s="85"/>
      <c r="IB350" s="85"/>
      <c r="IC350" s="85"/>
      <c r="ID350" s="85"/>
      <c r="IE350" s="85"/>
      <c r="IF350" s="85"/>
      <c r="IG350" s="85"/>
      <c r="IH350" s="85"/>
      <c r="II350" s="85"/>
      <c r="IJ350" s="85"/>
      <c r="IK350" s="85"/>
      <c r="IL350" s="85"/>
      <c r="IM350" s="85"/>
      <c r="IN350" s="85"/>
      <c r="IO350" s="85"/>
      <c r="IP350" s="85"/>
      <c r="IQ350" s="85"/>
      <c r="IR350" s="85"/>
      <c r="IS350" s="85"/>
      <c r="IT350" s="85"/>
      <c r="IU350" s="85"/>
      <c r="IV350" s="85"/>
      <c r="IW350" s="85"/>
      <c r="IX350" s="85"/>
      <c r="IY350" s="85"/>
      <c r="IZ350" s="85"/>
      <c r="JA350" s="85"/>
      <c r="JB350" s="85"/>
      <c r="JC350" s="85"/>
      <c r="JD350" s="85"/>
      <c r="JE350" s="85"/>
      <c r="JF350" s="85"/>
      <c r="JG350" s="85"/>
      <c r="JH350" s="85"/>
      <c r="JI350" s="85"/>
      <c r="JJ350" s="85"/>
      <c r="JK350" s="85"/>
      <c r="JL350" s="85"/>
      <c r="JM350" s="85"/>
      <c r="JN350" s="85"/>
      <c r="JO350" s="85"/>
      <c r="JP350" s="85"/>
      <c r="JQ350" s="85"/>
      <c r="JR350" s="85"/>
      <c r="JS350" s="85"/>
      <c r="JT350" s="85"/>
      <c r="JU350" s="85"/>
      <c r="JV350" s="85"/>
      <c r="JW350" s="85"/>
      <c r="JX350" s="85"/>
      <c r="JY350" s="85"/>
      <c r="JZ350" s="85"/>
      <c r="KA350" s="85"/>
      <c r="KB350" s="85"/>
      <c r="KC350" s="85"/>
      <c r="KD350" s="85"/>
      <c r="KE350" s="85"/>
      <c r="KF350" s="85"/>
      <c r="KG350" s="85"/>
      <c r="KH350" s="85"/>
      <c r="KI350" s="85"/>
      <c r="KJ350" s="85"/>
      <c r="KK350" s="85"/>
      <c r="KL350" s="85"/>
      <c r="KM350" s="85"/>
      <c r="KN350" s="85"/>
      <c r="KO350" s="85"/>
      <c r="KP350" s="85"/>
      <c r="KQ350" s="85"/>
      <c r="KR350" s="85"/>
      <c r="KS350" s="85"/>
      <c r="KT350" s="85"/>
      <c r="KU350" s="85"/>
      <c r="KV350" s="85"/>
      <c r="KW350" s="85"/>
      <c r="KX350" s="85"/>
      <c r="KY350" s="85"/>
      <c r="KZ350" s="85"/>
      <c r="LA350" s="85"/>
      <c r="LB350" s="85"/>
      <c r="LC350" s="85"/>
      <c r="LD350" s="85"/>
      <c r="LE350" s="85"/>
      <c r="LF350" s="85"/>
      <c r="LG350" s="85"/>
      <c r="LH350" s="85"/>
      <c r="LI350" s="85"/>
      <c r="LJ350" s="85"/>
      <c r="LK350" s="85"/>
      <c r="LL350" s="85"/>
      <c r="LM350" s="85"/>
      <c r="LN350" s="85"/>
      <c r="LO350" s="85"/>
      <c r="LP350" s="85"/>
      <c r="LQ350" s="85"/>
      <c r="LR350" s="85"/>
      <c r="LS350" s="85"/>
      <c r="LT350" s="85"/>
      <c r="LU350" s="85"/>
      <c r="LV350" s="85"/>
      <c r="LW350" s="85"/>
      <c r="LX350" s="85"/>
      <c r="LY350" s="85"/>
      <c r="LZ350" s="85"/>
      <c r="MA350" s="85"/>
      <c r="MB350" s="85"/>
      <c r="MC350" s="85"/>
      <c r="MD350" s="85"/>
      <c r="ME350" s="85"/>
      <c r="MF350" s="85"/>
      <c r="MG350" s="85"/>
      <c r="MH350" s="85"/>
      <c r="MI350" s="85"/>
      <c r="MJ350" s="85"/>
      <c r="MK350" s="85"/>
      <c r="ML350" s="85"/>
      <c r="MM350" s="85"/>
      <c r="MN350" s="85"/>
      <c r="MO350" s="85"/>
      <c r="MP350" s="85"/>
      <c r="MQ350" s="85"/>
      <c r="MR350" s="85"/>
      <c r="MS350" s="85"/>
      <c r="MT350" s="85"/>
      <c r="MU350" s="85"/>
      <c r="MV350" s="85"/>
      <c r="MW350" s="85"/>
      <c r="MX350" s="85"/>
      <c r="MY350" s="85"/>
      <c r="MZ350" s="85"/>
      <c r="NA350" s="85"/>
      <c r="NB350" s="85"/>
      <c r="NC350" s="85"/>
      <c r="ND350" s="85"/>
      <c r="NE350" s="85"/>
      <c r="NF350" s="85"/>
      <c r="NG350" s="85"/>
      <c r="NH350" s="85"/>
      <c r="NI350" s="85"/>
      <c r="NJ350" s="85"/>
      <c r="NK350" s="85"/>
      <c r="NL350" s="85"/>
      <c r="NM350" s="85"/>
      <c r="NN350" s="85"/>
      <c r="NO350" s="85"/>
      <c r="NP350" s="85"/>
      <c r="NQ350" s="85"/>
      <c r="NR350" s="85"/>
      <c r="NS350" s="85"/>
      <c r="NT350" s="85"/>
      <c r="NU350" s="85"/>
      <c r="NV350" s="85"/>
      <c r="NW350" s="85"/>
      <c r="NX350" s="85"/>
      <c r="NY350" s="85"/>
      <c r="NZ350" s="85"/>
      <c r="OA350" s="85"/>
      <c r="OB350" s="85"/>
      <c r="OC350" s="85"/>
      <c r="OD350" s="85"/>
      <c r="OE350" s="85"/>
    </row>
    <row r="351" spans="1:395" ht="13.8" customHeight="1" outlineLevel="1" x14ac:dyDescent="0.3">
      <c r="B351" s="128" t="s">
        <v>18</v>
      </c>
      <c r="D351" s="133"/>
      <c r="N351" s="89" t="s">
        <v>48</v>
      </c>
      <c r="O351" s="5"/>
      <c r="P351" s="90"/>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row>
    <row r="352" spans="1:395" ht="13.8" customHeight="1" outlineLevel="1" x14ac:dyDescent="0.3">
      <c r="C352" s="128" t="s">
        <v>119</v>
      </c>
      <c r="D352" s="133"/>
      <c r="N352" s="30" t="s">
        <v>124</v>
      </c>
      <c r="O352" s="30"/>
      <c r="P352" s="32" t="s">
        <v>65</v>
      </c>
      <c r="Q352" s="30" cm="1">
        <f t="array" ref="Q352:OE352">E358+(_xlfn.ANCHORARRAY(Q6)-1)*E360</f>
        <v>230</v>
      </c>
      <c r="R352" s="30">
        <v>230</v>
      </c>
      <c r="S352" s="30">
        <v>230</v>
      </c>
      <c r="T352" s="30">
        <v>230</v>
      </c>
      <c r="U352" s="30">
        <v>230</v>
      </c>
      <c r="V352" s="30">
        <v>230</v>
      </c>
      <c r="W352" s="30">
        <v>230</v>
      </c>
      <c r="X352" s="30">
        <v>230</v>
      </c>
      <c r="Y352" s="30">
        <v>230</v>
      </c>
      <c r="Z352" s="30">
        <v>230</v>
      </c>
      <c r="AA352" s="30">
        <v>230</v>
      </c>
      <c r="AB352" s="30">
        <v>230</v>
      </c>
      <c r="AC352" s="30">
        <v>227</v>
      </c>
      <c r="AD352" s="30">
        <v>227</v>
      </c>
      <c r="AE352" s="30">
        <v>227</v>
      </c>
      <c r="AF352" s="30">
        <v>227</v>
      </c>
      <c r="AG352" s="30">
        <v>227</v>
      </c>
      <c r="AH352" s="30">
        <v>227</v>
      </c>
      <c r="AI352" s="30">
        <v>227</v>
      </c>
      <c r="AJ352" s="30">
        <v>227</v>
      </c>
      <c r="AK352" s="30">
        <v>227</v>
      </c>
      <c r="AL352" s="30">
        <v>227</v>
      </c>
      <c r="AM352" s="30">
        <v>227</v>
      </c>
      <c r="AN352" s="30">
        <v>227</v>
      </c>
      <c r="AO352" s="30">
        <v>224</v>
      </c>
      <c r="AP352" s="30">
        <v>224</v>
      </c>
      <c r="AQ352" s="30">
        <v>224</v>
      </c>
      <c r="AR352" s="30">
        <v>224</v>
      </c>
      <c r="AS352" s="30">
        <v>224</v>
      </c>
      <c r="AT352" s="30">
        <v>224</v>
      </c>
      <c r="AU352" s="30">
        <v>224</v>
      </c>
      <c r="AV352" s="30">
        <v>224</v>
      </c>
      <c r="AW352" s="30">
        <v>224</v>
      </c>
      <c r="AX352" s="30">
        <v>224</v>
      </c>
      <c r="AY352" s="30">
        <v>224</v>
      </c>
      <c r="AZ352" s="30">
        <v>224</v>
      </c>
      <c r="BA352" s="30">
        <v>221</v>
      </c>
      <c r="BB352" s="30">
        <v>221</v>
      </c>
      <c r="BC352" s="30">
        <v>221</v>
      </c>
      <c r="BD352" s="30">
        <v>221</v>
      </c>
      <c r="BE352" s="30">
        <v>221</v>
      </c>
      <c r="BF352" s="30">
        <v>221</v>
      </c>
      <c r="BG352" s="30">
        <v>221</v>
      </c>
      <c r="BH352" s="30">
        <v>221</v>
      </c>
      <c r="BI352" s="30">
        <v>221</v>
      </c>
      <c r="BJ352" s="30">
        <v>221</v>
      </c>
      <c r="BK352" s="30">
        <v>221</v>
      </c>
      <c r="BL352" s="30">
        <v>221</v>
      </c>
      <c r="BM352" s="30">
        <v>218</v>
      </c>
      <c r="BN352" s="30">
        <v>218</v>
      </c>
      <c r="BO352" s="30">
        <v>218</v>
      </c>
      <c r="BP352" s="30">
        <v>218</v>
      </c>
      <c r="BQ352" s="30">
        <v>218</v>
      </c>
      <c r="BR352" s="30">
        <v>218</v>
      </c>
      <c r="BS352" s="30">
        <v>218</v>
      </c>
      <c r="BT352" s="30">
        <v>218</v>
      </c>
      <c r="BU352" s="30">
        <v>218</v>
      </c>
      <c r="BV352" s="30">
        <v>218</v>
      </c>
      <c r="BW352" s="30">
        <v>218</v>
      </c>
      <c r="BX352" s="30">
        <v>218</v>
      </c>
      <c r="BY352" s="30">
        <v>215</v>
      </c>
      <c r="BZ352" s="30">
        <v>215</v>
      </c>
      <c r="CA352" s="30">
        <v>215</v>
      </c>
      <c r="CB352" s="30">
        <v>215</v>
      </c>
      <c r="CC352" s="30">
        <v>215</v>
      </c>
      <c r="CD352" s="30">
        <v>215</v>
      </c>
      <c r="CE352" s="30">
        <v>215</v>
      </c>
      <c r="CF352" s="30">
        <v>215</v>
      </c>
      <c r="CG352" s="30">
        <v>215</v>
      </c>
      <c r="CH352" s="30">
        <v>215</v>
      </c>
      <c r="CI352" s="30">
        <v>215</v>
      </c>
      <c r="CJ352" s="30">
        <v>215</v>
      </c>
      <c r="CK352" s="30">
        <v>212</v>
      </c>
      <c r="CL352" s="30">
        <v>212</v>
      </c>
      <c r="CM352" s="30">
        <v>212</v>
      </c>
      <c r="CN352" s="30">
        <v>212</v>
      </c>
      <c r="CO352" s="30">
        <v>212</v>
      </c>
      <c r="CP352" s="30">
        <v>212</v>
      </c>
      <c r="CQ352" s="30">
        <v>212</v>
      </c>
      <c r="CR352" s="30">
        <v>212</v>
      </c>
      <c r="CS352" s="30">
        <v>212</v>
      </c>
      <c r="CT352" s="30">
        <v>212</v>
      </c>
      <c r="CU352" s="30">
        <v>212</v>
      </c>
      <c r="CV352" s="30">
        <v>212</v>
      </c>
      <c r="CW352" s="30">
        <v>209</v>
      </c>
      <c r="CX352" s="30">
        <v>209</v>
      </c>
      <c r="CY352" s="30">
        <v>209</v>
      </c>
      <c r="CZ352" s="30">
        <v>209</v>
      </c>
      <c r="DA352" s="30">
        <v>209</v>
      </c>
      <c r="DB352" s="30">
        <v>209</v>
      </c>
      <c r="DC352" s="30">
        <v>209</v>
      </c>
      <c r="DD352" s="30">
        <v>209</v>
      </c>
      <c r="DE352" s="30">
        <v>209</v>
      </c>
      <c r="DF352" s="30">
        <v>209</v>
      </c>
      <c r="DG352" s="30">
        <v>209</v>
      </c>
      <c r="DH352" s="30">
        <v>209</v>
      </c>
      <c r="DI352" s="30">
        <v>206</v>
      </c>
      <c r="DJ352" s="30">
        <v>206</v>
      </c>
      <c r="DK352" s="30">
        <v>206</v>
      </c>
      <c r="DL352" s="30">
        <v>206</v>
      </c>
      <c r="DM352" s="30">
        <v>206</v>
      </c>
      <c r="DN352" s="30">
        <v>206</v>
      </c>
      <c r="DO352" s="30">
        <v>206</v>
      </c>
      <c r="DP352" s="30">
        <v>206</v>
      </c>
      <c r="DQ352" s="30">
        <v>206</v>
      </c>
      <c r="DR352" s="30">
        <v>206</v>
      </c>
      <c r="DS352" s="30">
        <v>206</v>
      </c>
      <c r="DT352" s="30">
        <v>206</v>
      </c>
      <c r="DU352" s="30">
        <v>203</v>
      </c>
      <c r="DV352" s="30">
        <v>203</v>
      </c>
      <c r="DW352" s="30">
        <v>203</v>
      </c>
      <c r="DX352" s="30">
        <v>203</v>
      </c>
      <c r="DY352" s="30">
        <v>203</v>
      </c>
      <c r="DZ352" s="30">
        <v>203</v>
      </c>
      <c r="EA352" s="30">
        <v>203</v>
      </c>
      <c r="EB352" s="30">
        <v>203</v>
      </c>
      <c r="EC352" s="30">
        <v>203</v>
      </c>
      <c r="ED352" s="30">
        <v>203</v>
      </c>
      <c r="EE352" s="30">
        <v>203</v>
      </c>
      <c r="EF352" s="30">
        <v>203</v>
      </c>
      <c r="EG352" s="30">
        <v>200</v>
      </c>
      <c r="EH352" s="30">
        <v>200</v>
      </c>
      <c r="EI352" s="30">
        <v>200</v>
      </c>
      <c r="EJ352" s="30">
        <v>200</v>
      </c>
      <c r="EK352" s="30">
        <v>200</v>
      </c>
      <c r="EL352" s="30">
        <v>200</v>
      </c>
      <c r="EM352" s="30">
        <v>200</v>
      </c>
      <c r="EN352" s="30">
        <v>200</v>
      </c>
      <c r="EO352" s="30">
        <v>200</v>
      </c>
      <c r="EP352" s="30">
        <v>200</v>
      </c>
      <c r="EQ352" s="30">
        <v>200</v>
      </c>
      <c r="ER352" s="30">
        <v>200</v>
      </c>
      <c r="ES352" s="30">
        <v>197</v>
      </c>
      <c r="ET352" s="30">
        <v>197</v>
      </c>
      <c r="EU352" s="30">
        <v>197</v>
      </c>
      <c r="EV352" s="30">
        <v>197</v>
      </c>
      <c r="EW352" s="30">
        <v>197</v>
      </c>
      <c r="EX352" s="30">
        <v>197</v>
      </c>
      <c r="EY352" s="30">
        <v>197</v>
      </c>
      <c r="EZ352" s="30">
        <v>197</v>
      </c>
      <c r="FA352" s="30">
        <v>197</v>
      </c>
      <c r="FB352" s="30">
        <v>197</v>
      </c>
      <c r="FC352" s="30">
        <v>197</v>
      </c>
      <c r="FD352" s="30">
        <v>197</v>
      </c>
      <c r="FE352" s="30">
        <v>194</v>
      </c>
      <c r="FF352" s="30">
        <v>194</v>
      </c>
      <c r="FG352" s="30">
        <v>194</v>
      </c>
      <c r="FH352" s="30">
        <v>194</v>
      </c>
      <c r="FI352" s="30">
        <v>194</v>
      </c>
      <c r="FJ352" s="30">
        <v>194</v>
      </c>
      <c r="FK352" s="30">
        <v>194</v>
      </c>
      <c r="FL352" s="30">
        <v>194</v>
      </c>
      <c r="FM352" s="30">
        <v>194</v>
      </c>
      <c r="FN352" s="30">
        <v>194</v>
      </c>
      <c r="FO352" s="30">
        <v>194</v>
      </c>
      <c r="FP352" s="30">
        <v>194</v>
      </c>
      <c r="FQ352" s="30">
        <v>191</v>
      </c>
      <c r="FR352" s="30">
        <v>191</v>
      </c>
      <c r="FS352" s="30">
        <v>191</v>
      </c>
      <c r="FT352" s="30">
        <v>191</v>
      </c>
      <c r="FU352" s="30">
        <v>191</v>
      </c>
      <c r="FV352" s="30">
        <v>191</v>
      </c>
      <c r="FW352" s="30">
        <v>191</v>
      </c>
      <c r="FX352" s="30">
        <v>191</v>
      </c>
      <c r="FY352" s="30">
        <v>191</v>
      </c>
      <c r="FZ352" s="30">
        <v>191</v>
      </c>
      <c r="GA352" s="30">
        <v>191</v>
      </c>
      <c r="GB352" s="30">
        <v>191</v>
      </c>
      <c r="GC352" s="30">
        <v>188</v>
      </c>
      <c r="GD352" s="30">
        <v>188</v>
      </c>
      <c r="GE352" s="30">
        <v>188</v>
      </c>
      <c r="GF352" s="30">
        <v>188</v>
      </c>
      <c r="GG352" s="30">
        <v>188</v>
      </c>
      <c r="GH352" s="30">
        <v>188</v>
      </c>
      <c r="GI352" s="30">
        <v>188</v>
      </c>
      <c r="GJ352" s="30">
        <v>188</v>
      </c>
      <c r="GK352" s="30">
        <v>188</v>
      </c>
      <c r="GL352" s="30">
        <v>188</v>
      </c>
      <c r="GM352" s="30">
        <v>188</v>
      </c>
      <c r="GN352" s="30">
        <v>188</v>
      </c>
      <c r="GO352" s="30">
        <v>185</v>
      </c>
      <c r="GP352" s="30">
        <v>185</v>
      </c>
      <c r="GQ352" s="30">
        <v>185</v>
      </c>
      <c r="GR352" s="30">
        <v>185</v>
      </c>
      <c r="GS352" s="30">
        <v>185</v>
      </c>
      <c r="GT352" s="30">
        <v>185</v>
      </c>
      <c r="GU352" s="30">
        <v>185</v>
      </c>
      <c r="GV352" s="30">
        <v>185</v>
      </c>
      <c r="GW352" s="30">
        <v>185</v>
      </c>
      <c r="GX352" s="30">
        <v>185</v>
      </c>
      <c r="GY352" s="30">
        <v>185</v>
      </c>
      <c r="GZ352" s="30">
        <v>185</v>
      </c>
      <c r="HA352" s="30">
        <v>182</v>
      </c>
      <c r="HB352" s="30">
        <v>182</v>
      </c>
      <c r="HC352" s="30">
        <v>182</v>
      </c>
      <c r="HD352" s="30">
        <v>182</v>
      </c>
      <c r="HE352" s="30">
        <v>182</v>
      </c>
      <c r="HF352" s="30">
        <v>182</v>
      </c>
      <c r="HG352" s="30">
        <v>182</v>
      </c>
      <c r="HH352" s="30">
        <v>182</v>
      </c>
      <c r="HI352" s="30">
        <v>182</v>
      </c>
      <c r="HJ352" s="30">
        <v>182</v>
      </c>
      <c r="HK352" s="30">
        <v>182</v>
      </c>
      <c r="HL352" s="30">
        <v>182</v>
      </c>
      <c r="HM352" s="30">
        <v>179</v>
      </c>
      <c r="HN352" s="30">
        <v>179</v>
      </c>
      <c r="HO352" s="30">
        <v>179</v>
      </c>
      <c r="HP352" s="30">
        <v>179</v>
      </c>
      <c r="HQ352" s="30">
        <v>179</v>
      </c>
      <c r="HR352" s="30">
        <v>179</v>
      </c>
      <c r="HS352" s="30">
        <v>179</v>
      </c>
      <c r="HT352" s="30">
        <v>179</v>
      </c>
      <c r="HU352" s="30">
        <v>179</v>
      </c>
      <c r="HV352" s="30">
        <v>179</v>
      </c>
      <c r="HW352" s="30">
        <v>179</v>
      </c>
      <c r="HX352" s="30">
        <v>179</v>
      </c>
      <c r="HY352" s="30">
        <v>176</v>
      </c>
      <c r="HZ352" s="30">
        <v>176</v>
      </c>
      <c r="IA352" s="30">
        <v>176</v>
      </c>
      <c r="IB352" s="30">
        <v>176</v>
      </c>
      <c r="IC352" s="30">
        <v>176</v>
      </c>
      <c r="ID352" s="30">
        <v>176</v>
      </c>
      <c r="IE352" s="30">
        <v>176</v>
      </c>
      <c r="IF352" s="30">
        <v>176</v>
      </c>
      <c r="IG352" s="30">
        <v>176</v>
      </c>
      <c r="IH352" s="30">
        <v>176</v>
      </c>
      <c r="II352" s="30">
        <v>176</v>
      </c>
      <c r="IJ352" s="30">
        <v>176</v>
      </c>
      <c r="IK352" s="30">
        <v>173</v>
      </c>
      <c r="IL352" s="30">
        <v>173</v>
      </c>
      <c r="IM352" s="30">
        <v>173</v>
      </c>
      <c r="IN352" s="30">
        <v>173</v>
      </c>
      <c r="IO352" s="30">
        <v>173</v>
      </c>
      <c r="IP352" s="30">
        <v>173</v>
      </c>
      <c r="IQ352" s="30">
        <v>173</v>
      </c>
      <c r="IR352" s="30">
        <v>173</v>
      </c>
      <c r="IS352" s="30">
        <v>173</v>
      </c>
      <c r="IT352" s="30">
        <v>173</v>
      </c>
      <c r="IU352" s="30">
        <v>173</v>
      </c>
      <c r="IV352" s="30">
        <v>173</v>
      </c>
      <c r="IW352" s="30">
        <v>170</v>
      </c>
      <c r="IX352" s="30">
        <v>170</v>
      </c>
      <c r="IY352" s="30">
        <v>170</v>
      </c>
      <c r="IZ352" s="30">
        <v>170</v>
      </c>
      <c r="JA352" s="30">
        <v>170</v>
      </c>
      <c r="JB352" s="30">
        <v>170</v>
      </c>
      <c r="JC352" s="30">
        <v>170</v>
      </c>
      <c r="JD352" s="30">
        <v>170</v>
      </c>
      <c r="JE352" s="30">
        <v>170</v>
      </c>
      <c r="JF352" s="30">
        <v>170</v>
      </c>
      <c r="JG352" s="30">
        <v>170</v>
      </c>
      <c r="JH352" s="30">
        <v>170</v>
      </c>
      <c r="JI352" s="30">
        <v>167</v>
      </c>
      <c r="JJ352" s="30">
        <v>167</v>
      </c>
      <c r="JK352" s="30">
        <v>167</v>
      </c>
      <c r="JL352" s="30">
        <v>167</v>
      </c>
      <c r="JM352" s="30">
        <v>167</v>
      </c>
      <c r="JN352" s="30">
        <v>167</v>
      </c>
      <c r="JO352" s="30">
        <v>167</v>
      </c>
      <c r="JP352" s="30">
        <v>167</v>
      </c>
      <c r="JQ352" s="30">
        <v>167</v>
      </c>
      <c r="JR352" s="30">
        <v>167</v>
      </c>
      <c r="JS352" s="30">
        <v>167</v>
      </c>
      <c r="JT352" s="30">
        <v>167</v>
      </c>
      <c r="JU352" s="30">
        <v>164</v>
      </c>
      <c r="JV352" s="30">
        <v>164</v>
      </c>
      <c r="JW352" s="30">
        <v>164</v>
      </c>
      <c r="JX352" s="30">
        <v>164</v>
      </c>
      <c r="JY352" s="30">
        <v>164</v>
      </c>
      <c r="JZ352" s="30">
        <v>164</v>
      </c>
      <c r="KA352" s="30">
        <v>164</v>
      </c>
      <c r="KB352" s="30">
        <v>164</v>
      </c>
      <c r="KC352" s="30">
        <v>164</v>
      </c>
      <c r="KD352" s="30">
        <v>164</v>
      </c>
      <c r="KE352" s="30">
        <v>164</v>
      </c>
      <c r="KF352" s="30">
        <v>164</v>
      </c>
      <c r="KG352" s="30">
        <v>161</v>
      </c>
      <c r="KH352" s="30">
        <v>161</v>
      </c>
      <c r="KI352" s="30">
        <v>161</v>
      </c>
      <c r="KJ352" s="30">
        <v>161</v>
      </c>
      <c r="KK352" s="30">
        <v>161</v>
      </c>
      <c r="KL352" s="30">
        <v>161</v>
      </c>
      <c r="KM352" s="30">
        <v>161</v>
      </c>
      <c r="KN352" s="30">
        <v>161</v>
      </c>
      <c r="KO352" s="30">
        <v>161</v>
      </c>
      <c r="KP352" s="30">
        <v>161</v>
      </c>
      <c r="KQ352" s="30">
        <v>161</v>
      </c>
      <c r="KR352" s="30">
        <v>161</v>
      </c>
      <c r="KS352" s="30">
        <v>158</v>
      </c>
      <c r="KT352" s="30">
        <v>158</v>
      </c>
      <c r="KU352" s="30">
        <v>158</v>
      </c>
      <c r="KV352" s="30">
        <v>158</v>
      </c>
      <c r="KW352" s="30">
        <v>158</v>
      </c>
      <c r="KX352" s="30">
        <v>158</v>
      </c>
      <c r="KY352" s="30">
        <v>158</v>
      </c>
      <c r="KZ352" s="30">
        <v>158</v>
      </c>
      <c r="LA352" s="30">
        <v>158</v>
      </c>
      <c r="LB352" s="30">
        <v>158</v>
      </c>
      <c r="LC352" s="30">
        <v>158</v>
      </c>
      <c r="LD352" s="30">
        <v>158</v>
      </c>
      <c r="LE352" s="30">
        <v>155</v>
      </c>
      <c r="LF352" s="30">
        <v>155</v>
      </c>
      <c r="LG352" s="30">
        <v>155</v>
      </c>
      <c r="LH352" s="30">
        <v>155</v>
      </c>
      <c r="LI352" s="30">
        <v>155</v>
      </c>
      <c r="LJ352" s="30">
        <v>155</v>
      </c>
      <c r="LK352" s="30">
        <v>155</v>
      </c>
      <c r="LL352" s="30">
        <v>155</v>
      </c>
      <c r="LM352" s="30">
        <v>155</v>
      </c>
      <c r="LN352" s="30">
        <v>155</v>
      </c>
      <c r="LO352" s="30">
        <v>155</v>
      </c>
      <c r="LP352" s="30">
        <v>155</v>
      </c>
      <c r="LQ352" s="30">
        <v>152</v>
      </c>
      <c r="LR352" s="30">
        <v>152</v>
      </c>
      <c r="LS352" s="30">
        <v>152</v>
      </c>
      <c r="LT352" s="30">
        <v>152</v>
      </c>
      <c r="LU352" s="30">
        <v>152</v>
      </c>
      <c r="LV352" s="30">
        <v>152</v>
      </c>
      <c r="LW352" s="30">
        <v>152</v>
      </c>
      <c r="LX352" s="30">
        <v>152</v>
      </c>
      <c r="LY352" s="30">
        <v>152</v>
      </c>
      <c r="LZ352" s="30">
        <v>152</v>
      </c>
      <c r="MA352" s="30">
        <v>152</v>
      </c>
      <c r="MB352" s="30">
        <v>152</v>
      </c>
      <c r="MC352" s="30">
        <v>149</v>
      </c>
      <c r="MD352" s="30">
        <v>149</v>
      </c>
      <c r="ME352" s="30">
        <v>149</v>
      </c>
      <c r="MF352" s="30">
        <v>149</v>
      </c>
      <c r="MG352" s="30">
        <v>149</v>
      </c>
      <c r="MH352" s="30">
        <v>149</v>
      </c>
      <c r="MI352" s="30">
        <v>149</v>
      </c>
      <c r="MJ352" s="30">
        <v>149</v>
      </c>
      <c r="MK352" s="30">
        <v>149</v>
      </c>
      <c r="ML352" s="30">
        <v>149</v>
      </c>
      <c r="MM352" s="30">
        <v>149</v>
      </c>
      <c r="MN352" s="30">
        <v>149</v>
      </c>
      <c r="MO352" s="30">
        <v>146</v>
      </c>
      <c r="MP352" s="30">
        <v>146</v>
      </c>
      <c r="MQ352" s="30">
        <v>146</v>
      </c>
      <c r="MR352" s="30">
        <v>146</v>
      </c>
      <c r="MS352" s="30">
        <v>146</v>
      </c>
      <c r="MT352" s="30">
        <v>146</v>
      </c>
      <c r="MU352" s="30">
        <v>146</v>
      </c>
      <c r="MV352" s="30">
        <v>146</v>
      </c>
      <c r="MW352" s="30">
        <v>146</v>
      </c>
      <c r="MX352" s="30">
        <v>146</v>
      </c>
      <c r="MY352" s="30">
        <v>146</v>
      </c>
      <c r="MZ352" s="30">
        <v>146</v>
      </c>
      <c r="NA352" s="30">
        <v>143</v>
      </c>
      <c r="NB352" s="30">
        <v>143</v>
      </c>
      <c r="NC352" s="30">
        <v>143</v>
      </c>
      <c r="ND352" s="30">
        <v>143</v>
      </c>
      <c r="NE352" s="30">
        <v>143</v>
      </c>
      <c r="NF352" s="30">
        <v>143</v>
      </c>
      <c r="NG352" s="30">
        <v>143</v>
      </c>
      <c r="NH352" s="30">
        <v>143</v>
      </c>
      <c r="NI352" s="30">
        <v>143</v>
      </c>
      <c r="NJ352" s="30">
        <v>143</v>
      </c>
      <c r="NK352" s="30">
        <v>143</v>
      </c>
      <c r="NL352" s="30">
        <v>143</v>
      </c>
      <c r="NM352" s="30">
        <v>140</v>
      </c>
      <c r="NN352" s="30">
        <v>140</v>
      </c>
      <c r="NO352" s="30">
        <v>140</v>
      </c>
      <c r="NP352" s="30">
        <v>140</v>
      </c>
      <c r="NQ352" s="30">
        <v>140</v>
      </c>
      <c r="NR352" s="30">
        <v>140</v>
      </c>
      <c r="NS352" s="30">
        <v>140</v>
      </c>
      <c r="NT352" s="30">
        <v>140</v>
      </c>
      <c r="NU352" s="30">
        <v>140</v>
      </c>
      <c r="NV352" s="30">
        <v>140</v>
      </c>
      <c r="NW352" s="30">
        <v>140</v>
      </c>
      <c r="NX352" s="30">
        <v>140</v>
      </c>
      <c r="NY352" s="30">
        <v>137</v>
      </c>
      <c r="NZ352" s="30">
        <v>137</v>
      </c>
      <c r="OA352" s="30">
        <v>137</v>
      </c>
      <c r="OB352" s="30">
        <v>137</v>
      </c>
      <c r="OC352" s="30">
        <v>137</v>
      </c>
      <c r="OD352" s="30">
        <v>137</v>
      </c>
      <c r="OE352" s="30">
        <v>137</v>
      </c>
    </row>
    <row r="353" spans="1:395" ht="13.8" customHeight="1" outlineLevel="1" x14ac:dyDescent="0.3">
      <c r="D353" s="133" t="s">
        <v>56</v>
      </c>
      <c r="E353" s="12">
        <v>5</v>
      </c>
      <c r="F353" s="257" t="s">
        <v>34</v>
      </c>
      <c r="N353" s="30" t="s">
        <v>72</v>
      </c>
      <c r="O353" s="30"/>
      <c r="P353" s="32" t="s">
        <v>73</v>
      </c>
      <c r="Q353" s="30"/>
      <c r="R353" s="30"/>
      <c r="S353" s="30"/>
      <c r="T353" s="30"/>
      <c r="U353" s="30"/>
      <c r="V353" s="30"/>
      <c r="W353" s="30"/>
      <c r="X353" s="30"/>
      <c r="Y353" s="30"/>
      <c r="Z353" s="30"/>
      <c r="AA353" s="30"/>
      <c r="AB353" s="30"/>
      <c r="AC353" s="30"/>
      <c r="AD353" s="30"/>
      <c r="AE353" s="30"/>
      <c r="AF353" s="30"/>
      <c r="AG353" s="30"/>
      <c r="AH353" s="30"/>
      <c r="AI353" s="30"/>
      <c r="AJ353" s="30"/>
      <c r="AK353" s="30"/>
      <c r="AL353" s="30"/>
      <c r="AM353" s="30"/>
      <c r="AN353" s="30"/>
      <c r="AO353" s="30"/>
      <c r="AP353" s="30"/>
      <c r="AQ353" s="30"/>
      <c r="AR353" s="30"/>
      <c r="AS353" s="30"/>
      <c r="AT353" s="30"/>
      <c r="AU353" s="30"/>
      <c r="AV353" s="30"/>
      <c r="AW353" s="30"/>
      <c r="AX353" s="30"/>
      <c r="AY353" s="30"/>
      <c r="AZ353" s="30"/>
      <c r="BA353" s="30"/>
      <c r="BB353" s="30"/>
      <c r="BC353" s="30"/>
      <c r="BD353" s="30"/>
      <c r="BE353" s="30"/>
      <c r="BF353" s="30"/>
      <c r="BG353" s="30"/>
      <c r="BH353" s="30"/>
      <c r="BI353" s="30"/>
      <c r="BJ353" s="30"/>
      <c r="BK353" s="30"/>
      <c r="BL353" s="30"/>
      <c r="BM353" s="30"/>
      <c r="BN353" s="30"/>
      <c r="BO353" s="30"/>
      <c r="BP353" s="30"/>
      <c r="BQ353" s="30"/>
      <c r="BR353" s="30"/>
      <c r="BS353" s="30"/>
      <c r="BT353" s="30"/>
      <c r="BU353" s="30"/>
      <c r="BV353" s="30"/>
      <c r="BW353" s="30"/>
      <c r="BX353" s="30"/>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c r="DA353" s="30"/>
      <c r="DB353" s="30"/>
      <c r="DC353" s="30"/>
      <c r="DD353" s="30"/>
      <c r="DE353" s="30"/>
      <c r="DF353" s="30"/>
      <c r="DG353" s="30"/>
      <c r="DH353" s="30"/>
      <c r="DI353" s="30"/>
      <c r="DJ353" s="30"/>
      <c r="DK353" s="30"/>
      <c r="DL353" s="30"/>
      <c r="DM353" s="30"/>
      <c r="DN353" s="30"/>
      <c r="DO353" s="30"/>
      <c r="DP353" s="30"/>
      <c r="DQ353" s="30"/>
      <c r="DR353" s="30"/>
      <c r="DS353" s="30"/>
      <c r="DT353" s="30"/>
      <c r="DU353" s="30"/>
      <c r="DV353" s="30"/>
      <c r="DW353" s="30"/>
      <c r="DX353" s="30"/>
      <c r="DY353" s="30"/>
      <c r="DZ353" s="30"/>
      <c r="EA353" s="30"/>
      <c r="EB353" s="30"/>
      <c r="EC353" s="30"/>
      <c r="ED353" s="30"/>
      <c r="EE353" s="30"/>
      <c r="EF353" s="30"/>
      <c r="EG353" s="30"/>
      <c r="EH353" s="30"/>
      <c r="EI353" s="30"/>
      <c r="EJ353" s="30"/>
      <c r="EK353" s="30"/>
      <c r="EL353" s="30"/>
      <c r="EM353" s="30"/>
      <c r="EN353" s="30"/>
      <c r="EO353" s="30"/>
      <c r="EP353" s="30"/>
      <c r="EQ353" s="30"/>
      <c r="ER353" s="30"/>
      <c r="ES353" s="30"/>
      <c r="ET353" s="30"/>
      <c r="EU353" s="30"/>
      <c r="EV353" s="30"/>
      <c r="EW353" s="30"/>
      <c r="EX353" s="30"/>
      <c r="EY353" s="30"/>
      <c r="EZ353" s="30"/>
      <c r="FA353" s="30"/>
      <c r="FB353" s="30"/>
      <c r="FC353" s="30"/>
      <c r="FD353" s="30"/>
      <c r="FE353" s="30"/>
      <c r="FF353" s="30"/>
      <c r="FG353" s="30"/>
      <c r="FH353" s="30"/>
      <c r="FI353" s="30"/>
      <c r="FJ353" s="30"/>
      <c r="FK353" s="30"/>
      <c r="FL353" s="30"/>
      <c r="FM353" s="30"/>
      <c r="FN353" s="30"/>
      <c r="FO353" s="30"/>
      <c r="FP353" s="30"/>
      <c r="FQ353" s="30"/>
      <c r="FR353" s="30"/>
      <c r="FS353" s="30"/>
      <c r="FT353" s="30"/>
      <c r="FU353" s="30"/>
      <c r="FV353" s="30"/>
      <c r="FW353" s="30"/>
      <c r="FX353" s="30"/>
      <c r="FY353" s="30"/>
      <c r="FZ353" s="30"/>
      <c r="GA353" s="30"/>
      <c r="GB353" s="30"/>
      <c r="GC353" s="30"/>
      <c r="GD353" s="30"/>
      <c r="GE353" s="30"/>
      <c r="GF353" s="30"/>
      <c r="GG353" s="30"/>
      <c r="GH353" s="30"/>
      <c r="GI353" s="30"/>
      <c r="GJ353" s="30"/>
      <c r="GK353" s="30"/>
      <c r="GL353" s="30"/>
      <c r="GM353" s="30"/>
      <c r="GN353" s="30"/>
      <c r="GO353" s="30"/>
      <c r="GP353" s="30"/>
      <c r="GQ353" s="30"/>
      <c r="GR353" s="30"/>
      <c r="GS353" s="30"/>
      <c r="GT353" s="30"/>
      <c r="GU353" s="30"/>
      <c r="GV353" s="30"/>
      <c r="GW353" s="30"/>
      <c r="GX353" s="30"/>
      <c r="GY353" s="30"/>
      <c r="GZ353" s="30"/>
      <c r="HA353" s="30"/>
      <c r="HB353" s="30"/>
      <c r="HC353" s="30"/>
      <c r="HD353" s="30"/>
      <c r="HE353" s="30"/>
      <c r="HF353" s="30"/>
      <c r="HG353" s="30"/>
      <c r="HH353" s="30"/>
      <c r="HI353" s="30"/>
      <c r="HJ353" s="30"/>
      <c r="HK353" s="30"/>
      <c r="HL353" s="30"/>
      <c r="HM353" s="30"/>
      <c r="HN353" s="30"/>
      <c r="HO353" s="30"/>
      <c r="HP353" s="30"/>
      <c r="HQ353" s="30"/>
      <c r="HR353" s="30"/>
      <c r="HS353" s="30"/>
      <c r="HT353" s="30"/>
      <c r="HU353" s="30"/>
      <c r="HV353" s="30"/>
      <c r="HW353" s="30"/>
      <c r="HX353" s="30"/>
      <c r="HY353" s="30"/>
      <c r="HZ353" s="30"/>
      <c r="IA353" s="30"/>
      <c r="IB353" s="30"/>
      <c r="IC353" s="30"/>
      <c r="ID353" s="30"/>
      <c r="IE353" s="30"/>
      <c r="IF353" s="30"/>
      <c r="IG353" s="30"/>
      <c r="IH353" s="30"/>
      <c r="II353" s="30"/>
      <c r="IJ353" s="30"/>
      <c r="IK353" s="30"/>
      <c r="IL353" s="30"/>
      <c r="IM353" s="30"/>
      <c r="IN353" s="30"/>
      <c r="IO353" s="30"/>
      <c r="IP353" s="30"/>
      <c r="IQ353" s="30"/>
      <c r="IR353" s="30"/>
      <c r="IS353" s="30"/>
      <c r="IT353" s="30"/>
      <c r="IU353" s="30"/>
      <c r="IV353" s="30"/>
      <c r="IW353" s="30"/>
      <c r="IX353" s="30"/>
      <c r="IY353" s="30"/>
      <c r="IZ353" s="30"/>
      <c r="JA353" s="30"/>
      <c r="JB353" s="30"/>
      <c r="JC353" s="30"/>
      <c r="JD353" s="30"/>
      <c r="JE353" s="30"/>
      <c r="JF353" s="30"/>
      <c r="JG353" s="30"/>
      <c r="JH353" s="30"/>
      <c r="JI353" s="30"/>
      <c r="JJ353" s="30"/>
      <c r="JK353" s="30"/>
      <c r="JL353" s="30"/>
      <c r="JM353" s="30"/>
      <c r="JN353" s="30"/>
      <c r="JO353" s="30"/>
      <c r="JP353" s="30"/>
      <c r="JQ353" s="30"/>
      <c r="JR353" s="30"/>
      <c r="JS353" s="30"/>
      <c r="JT353" s="30"/>
      <c r="JU353" s="30"/>
      <c r="JV353" s="30"/>
      <c r="JW353" s="30"/>
      <c r="JX353" s="30"/>
      <c r="JY353" s="30"/>
      <c r="JZ353" s="30"/>
      <c r="KA353" s="30"/>
      <c r="KB353" s="30"/>
      <c r="KC353" s="30"/>
      <c r="KD353" s="30"/>
      <c r="KE353" s="30"/>
      <c r="KF353" s="30"/>
      <c r="KG353" s="30"/>
      <c r="KH353" s="30"/>
      <c r="KI353" s="30"/>
      <c r="KJ353" s="30"/>
      <c r="KK353" s="30"/>
      <c r="KL353" s="30"/>
      <c r="KM353" s="30"/>
      <c r="KN353" s="30"/>
      <c r="KO353" s="30"/>
      <c r="KP353" s="30"/>
      <c r="KQ353" s="30"/>
      <c r="KR353" s="30"/>
      <c r="KS353" s="30"/>
      <c r="KT353" s="30"/>
      <c r="KU353" s="30"/>
      <c r="KV353" s="30"/>
      <c r="KW353" s="30"/>
      <c r="KX353" s="30"/>
      <c r="KY353" s="30"/>
      <c r="KZ353" s="30"/>
      <c r="LA353" s="30"/>
      <c r="LB353" s="30"/>
      <c r="LC353" s="30"/>
      <c r="LD353" s="30"/>
      <c r="LE353" s="30"/>
      <c r="LF353" s="30"/>
      <c r="LG353" s="30"/>
      <c r="LH353" s="30"/>
      <c r="LI353" s="30"/>
      <c r="LJ353" s="30"/>
      <c r="LK353" s="30"/>
      <c r="LL353" s="30"/>
      <c r="LM353" s="30"/>
      <c r="LN353" s="30"/>
      <c r="LO353" s="30"/>
      <c r="LP353" s="30"/>
      <c r="LQ353" s="30"/>
      <c r="LR353" s="30"/>
      <c r="LS353" s="30"/>
      <c r="LT353" s="30"/>
      <c r="LU353" s="30"/>
      <c r="LV353" s="30"/>
      <c r="LW353" s="30"/>
      <c r="LX353" s="30"/>
      <c r="LY353" s="30"/>
      <c r="LZ353" s="30"/>
      <c r="MA353" s="30"/>
      <c r="MB353" s="30"/>
      <c r="MC353" s="30"/>
      <c r="MD353" s="30"/>
      <c r="ME353" s="30"/>
      <c r="MF353" s="30"/>
      <c r="MG353" s="30"/>
      <c r="MH353" s="30"/>
      <c r="MI353" s="30"/>
      <c r="MJ353" s="30"/>
      <c r="MK353" s="30"/>
      <c r="ML353" s="30"/>
      <c r="MM353" s="30"/>
      <c r="MN353" s="30"/>
      <c r="MO353" s="30"/>
      <c r="MP353" s="30"/>
      <c r="MQ353" s="30"/>
      <c r="MR353" s="30"/>
      <c r="MS353" s="30"/>
      <c r="MT353" s="30"/>
      <c r="MU353" s="30"/>
      <c r="MV353" s="30"/>
      <c r="MW353" s="30"/>
      <c r="MX353" s="30"/>
      <c r="MY353" s="30"/>
      <c r="MZ353" s="30"/>
      <c r="NA353" s="30"/>
      <c r="NB353" s="30"/>
      <c r="NC353" s="30"/>
      <c r="ND353" s="30"/>
      <c r="NE353" s="30"/>
      <c r="NF353" s="30"/>
      <c r="NG353" s="30"/>
      <c r="NH353" s="30"/>
      <c r="NI353" s="30"/>
      <c r="NJ353" s="30"/>
      <c r="NK353" s="30"/>
      <c r="NL353" s="30"/>
      <c r="NM353" s="30"/>
      <c r="NN353" s="30"/>
      <c r="NO353" s="30"/>
      <c r="NP353" s="30"/>
      <c r="NQ353" s="30"/>
      <c r="NR353" s="30"/>
      <c r="NS353" s="30"/>
      <c r="NT353" s="30"/>
      <c r="NU353" s="30"/>
      <c r="NV353" s="30"/>
      <c r="NW353" s="30"/>
      <c r="NX353" s="30"/>
      <c r="NY353" s="30"/>
      <c r="NZ353" s="30"/>
      <c r="OA353" s="30"/>
      <c r="OB353" s="30"/>
      <c r="OC353" s="30"/>
      <c r="OD353" s="30"/>
      <c r="OE353" s="30"/>
    </row>
    <row r="354" spans="1:395" ht="13.8" customHeight="1" outlineLevel="1" x14ac:dyDescent="0.3">
      <c r="D354" s="133" t="s">
        <v>100</v>
      </c>
      <c r="E354" s="12">
        <v>200</v>
      </c>
      <c r="F354" s="257" t="s">
        <v>64</v>
      </c>
      <c r="N354" s="30" t="s">
        <v>104</v>
      </c>
      <c r="O354" s="30"/>
      <c r="P354" s="32" t="s">
        <v>73</v>
      </c>
      <c r="Q354" s="30"/>
      <c r="R354" s="30"/>
      <c r="S354" s="30"/>
      <c r="T354" s="30"/>
      <c r="U354" s="30"/>
      <c r="V354" s="30"/>
      <c r="W354" s="30"/>
      <c r="X354" s="30"/>
      <c r="Y354" s="30"/>
      <c r="Z354" s="30"/>
      <c r="AA354" s="30"/>
      <c r="AB354" s="30"/>
      <c r="AC354" s="30"/>
      <c r="AD354" s="30"/>
      <c r="AE354" s="30"/>
      <c r="AF354" s="30"/>
      <c r="AG354" s="30"/>
      <c r="AH354" s="30"/>
      <c r="AI354" s="30"/>
      <c r="AJ354" s="30"/>
      <c r="AK354" s="30"/>
      <c r="AL354" s="30"/>
      <c r="AM354" s="30"/>
      <c r="AN354" s="30"/>
      <c r="AO354" s="30"/>
      <c r="AP354" s="30"/>
      <c r="AQ354" s="30"/>
      <c r="AR354" s="30"/>
      <c r="AS354" s="30"/>
      <c r="AT354" s="30"/>
      <c r="AU354" s="30"/>
      <c r="AV354" s="30"/>
      <c r="AW354" s="30"/>
      <c r="AX354" s="30"/>
      <c r="AY354" s="30"/>
      <c r="AZ354" s="30"/>
      <c r="BA354" s="30"/>
      <c r="BB354" s="30"/>
      <c r="BC354" s="30"/>
      <c r="BD354" s="30"/>
      <c r="BE354" s="30"/>
      <c r="BF354" s="30"/>
      <c r="BG354" s="30"/>
      <c r="BH354" s="30"/>
      <c r="BI354" s="30"/>
      <c r="BJ354" s="30"/>
      <c r="BK354" s="30"/>
      <c r="BL354" s="30"/>
      <c r="BM354" s="30"/>
      <c r="BN354" s="30"/>
      <c r="BO354" s="30"/>
      <c r="BP354" s="30"/>
      <c r="BQ354" s="30"/>
      <c r="BR354" s="30"/>
      <c r="BS354" s="30"/>
      <c r="BT354" s="30"/>
      <c r="BU354" s="30"/>
      <c r="BV354" s="30"/>
      <c r="BW354" s="30"/>
      <c r="BX354" s="30"/>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c r="DA354" s="30"/>
      <c r="DB354" s="30"/>
      <c r="DC354" s="30"/>
      <c r="DD354" s="30"/>
      <c r="DE354" s="30"/>
      <c r="DF354" s="30"/>
      <c r="DG354" s="30"/>
      <c r="DH354" s="30"/>
      <c r="DI354" s="30"/>
      <c r="DJ354" s="30"/>
      <c r="DK354" s="30"/>
      <c r="DL354" s="30"/>
      <c r="DM354" s="30"/>
      <c r="DN354" s="30"/>
      <c r="DO354" s="30"/>
      <c r="DP354" s="30"/>
      <c r="DQ354" s="30"/>
      <c r="DR354" s="30"/>
      <c r="DS354" s="30"/>
      <c r="DT354" s="30"/>
      <c r="DU354" s="30"/>
      <c r="DV354" s="30"/>
      <c r="DW354" s="30"/>
      <c r="DX354" s="30"/>
      <c r="DY354" s="30"/>
      <c r="DZ354" s="30"/>
      <c r="EA354" s="30"/>
      <c r="EB354" s="30"/>
      <c r="EC354" s="30"/>
      <c r="ED354" s="30"/>
      <c r="EE354" s="30"/>
      <c r="EF354" s="30"/>
      <c r="EG354" s="30"/>
      <c r="EH354" s="30"/>
      <c r="EI354" s="30"/>
      <c r="EJ354" s="30"/>
      <c r="EK354" s="30"/>
      <c r="EL354" s="30"/>
      <c r="EM354" s="30"/>
      <c r="EN354" s="30"/>
      <c r="EO354" s="30"/>
      <c r="EP354" s="30"/>
      <c r="EQ354" s="30"/>
      <c r="ER354" s="30"/>
      <c r="ES354" s="30"/>
      <c r="ET354" s="30"/>
      <c r="EU354" s="30"/>
      <c r="EV354" s="30"/>
      <c r="EW354" s="30"/>
      <c r="EX354" s="30"/>
      <c r="EY354" s="30"/>
      <c r="EZ354" s="30"/>
      <c r="FA354" s="30"/>
      <c r="FB354" s="30"/>
      <c r="FC354" s="30"/>
      <c r="FD354" s="30"/>
      <c r="FE354" s="30"/>
      <c r="FF354" s="30"/>
      <c r="FG354" s="30"/>
      <c r="FH354" s="30"/>
      <c r="FI354" s="30"/>
      <c r="FJ354" s="30"/>
      <c r="FK354" s="30"/>
      <c r="FL354" s="30"/>
      <c r="FM354" s="30"/>
      <c r="FN354" s="30"/>
      <c r="FO354" s="30"/>
      <c r="FP354" s="30"/>
      <c r="FQ354" s="30"/>
      <c r="FR354" s="30"/>
      <c r="FS354" s="30"/>
      <c r="FT354" s="30"/>
      <c r="FU354" s="30"/>
      <c r="FV354" s="30"/>
      <c r="FW354" s="30"/>
      <c r="FX354" s="30"/>
      <c r="FY354" s="30"/>
      <c r="FZ354" s="30"/>
      <c r="GA354" s="30"/>
      <c r="GB354" s="30"/>
      <c r="GC354" s="30"/>
      <c r="GD354" s="30"/>
      <c r="GE354" s="30"/>
      <c r="GF354" s="30"/>
      <c r="GG354" s="30"/>
      <c r="GH354" s="30"/>
      <c r="GI354" s="30"/>
      <c r="GJ354" s="30"/>
      <c r="GK354" s="30"/>
      <c r="GL354" s="30"/>
      <c r="GM354" s="30"/>
      <c r="GN354" s="30"/>
      <c r="GO354" s="30"/>
      <c r="GP354" s="30"/>
      <c r="GQ354" s="30"/>
      <c r="GR354" s="30"/>
      <c r="GS354" s="30"/>
      <c r="GT354" s="30"/>
      <c r="GU354" s="30"/>
      <c r="GV354" s="30"/>
      <c r="GW354" s="30"/>
      <c r="GX354" s="30"/>
      <c r="GY354" s="30"/>
      <c r="GZ354" s="30"/>
      <c r="HA354" s="30"/>
      <c r="HB354" s="30"/>
      <c r="HC354" s="30"/>
      <c r="HD354" s="30"/>
      <c r="HE354" s="30"/>
      <c r="HF354" s="30"/>
      <c r="HG354" s="30"/>
      <c r="HH354" s="30"/>
      <c r="HI354" s="30"/>
      <c r="HJ354" s="30"/>
      <c r="HK354" s="30"/>
      <c r="HL354" s="30"/>
      <c r="HM354" s="30"/>
      <c r="HN354" s="30"/>
      <c r="HO354" s="30"/>
      <c r="HP354" s="30"/>
      <c r="HQ354" s="30"/>
      <c r="HR354" s="30"/>
      <c r="HS354" s="30"/>
      <c r="HT354" s="30"/>
      <c r="HU354" s="30"/>
      <c r="HV354" s="30"/>
      <c r="HW354" s="30"/>
      <c r="HX354" s="30"/>
      <c r="HY354" s="30"/>
      <c r="HZ354" s="30"/>
      <c r="IA354" s="30"/>
      <c r="IB354" s="30"/>
      <c r="IC354" s="30"/>
      <c r="ID354" s="30"/>
      <c r="IE354" s="30"/>
      <c r="IF354" s="30"/>
      <c r="IG354" s="30"/>
      <c r="IH354" s="30"/>
      <c r="II354" s="30"/>
      <c r="IJ354" s="30"/>
      <c r="IK354" s="30"/>
      <c r="IL354" s="30"/>
      <c r="IM354" s="30"/>
      <c r="IN354" s="30"/>
      <c r="IO354" s="30"/>
      <c r="IP354" s="30"/>
      <c r="IQ354" s="30"/>
      <c r="IR354" s="30"/>
      <c r="IS354" s="30"/>
      <c r="IT354" s="30"/>
      <c r="IU354" s="30"/>
      <c r="IV354" s="30"/>
      <c r="IW354" s="30"/>
      <c r="IX354" s="30"/>
      <c r="IY354" s="30"/>
      <c r="IZ354" s="30"/>
      <c r="JA354" s="30"/>
      <c r="JB354" s="30"/>
      <c r="JC354" s="30"/>
      <c r="JD354" s="30"/>
      <c r="JE354" s="30"/>
      <c r="JF354" s="30"/>
      <c r="JG354" s="30"/>
      <c r="JH354" s="30"/>
      <c r="JI354" s="30"/>
      <c r="JJ354" s="30"/>
      <c r="JK354" s="30"/>
      <c r="JL354" s="30"/>
      <c r="JM354" s="30"/>
      <c r="JN354" s="30"/>
      <c r="JO354" s="30"/>
      <c r="JP354" s="30"/>
      <c r="JQ354" s="30"/>
      <c r="JR354" s="30"/>
      <c r="JS354" s="30"/>
      <c r="JT354" s="30"/>
      <c r="JU354" s="30"/>
      <c r="JV354" s="30"/>
      <c r="JW354" s="30"/>
      <c r="JX354" s="30"/>
      <c r="JY354" s="30"/>
      <c r="JZ354" s="30"/>
      <c r="KA354" s="30"/>
      <c r="KB354" s="30"/>
      <c r="KC354" s="30"/>
      <c r="KD354" s="30"/>
      <c r="KE354" s="30"/>
      <c r="KF354" s="30"/>
      <c r="KG354" s="30"/>
      <c r="KH354" s="30"/>
      <c r="KI354" s="30"/>
      <c r="KJ354" s="30"/>
      <c r="KK354" s="30"/>
      <c r="KL354" s="30"/>
      <c r="KM354" s="30"/>
      <c r="KN354" s="30"/>
      <c r="KO354" s="30"/>
      <c r="KP354" s="30"/>
      <c r="KQ354" s="30"/>
      <c r="KR354" s="30"/>
      <c r="KS354" s="30"/>
      <c r="KT354" s="30"/>
      <c r="KU354" s="30"/>
      <c r="KV354" s="30"/>
      <c r="KW354" s="30"/>
      <c r="KX354" s="30"/>
      <c r="KY354" s="30"/>
      <c r="KZ354" s="30"/>
      <c r="LA354" s="30"/>
      <c r="LB354" s="30"/>
      <c r="LC354" s="30"/>
      <c r="LD354" s="30"/>
      <c r="LE354" s="30"/>
      <c r="LF354" s="30"/>
      <c r="LG354" s="30"/>
      <c r="LH354" s="30"/>
      <c r="LI354" s="30"/>
      <c r="LJ354" s="30"/>
      <c r="LK354" s="30"/>
      <c r="LL354" s="30"/>
      <c r="LM354" s="30"/>
      <c r="LN354" s="30"/>
      <c r="LO354" s="30"/>
      <c r="LP354" s="30"/>
      <c r="LQ354" s="30"/>
      <c r="LR354" s="30"/>
      <c r="LS354" s="30"/>
      <c r="LT354" s="30"/>
      <c r="LU354" s="30"/>
      <c r="LV354" s="30"/>
      <c r="LW354" s="30"/>
      <c r="LX354" s="30"/>
      <c r="LY354" s="30"/>
      <c r="LZ354" s="30"/>
      <c r="MA354" s="30"/>
      <c r="MB354" s="30"/>
      <c r="MC354" s="30"/>
      <c r="MD354" s="30"/>
      <c r="ME354" s="30"/>
      <c r="MF354" s="30"/>
      <c r="MG354" s="30"/>
      <c r="MH354" s="30"/>
      <c r="MI354" s="30"/>
      <c r="MJ354" s="30"/>
      <c r="MK354" s="30"/>
      <c r="ML354" s="30"/>
      <c r="MM354" s="30"/>
      <c r="MN354" s="30"/>
      <c r="MO354" s="30"/>
      <c r="MP354" s="30"/>
      <c r="MQ354" s="30"/>
      <c r="MR354" s="30"/>
      <c r="MS354" s="30"/>
      <c r="MT354" s="30"/>
      <c r="MU354" s="30"/>
      <c r="MV354" s="30"/>
      <c r="MW354" s="30"/>
      <c r="MX354" s="30"/>
      <c r="MY354" s="30"/>
      <c r="MZ354" s="30"/>
      <c r="NA354" s="30"/>
      <c r="NB354" s="30"/>
      <c r="NC354" s="30"/>
      <c r="ND354" s="30"/>
      <c r="NE354" s="30"/>
      <c r="NF354" s="30"/>
      <c r="NG354" s="30"/>
      <c r="NH354" s="30"/>
      <c r="NI354" s="30"/>
      <c r="NJ354" s="30"/>
      <c r="NK354" s="30"/>
      <c r="NL354" s="30"/>
      <c r="NM354" s="30"/>
      <c r="NN354" s="30"/>
      <c r="NO354" s="30"/>
      <c r="NP354" s="30"/>
      <c r="NQ354" s="30"/>
      <c r="NR354" s="30"/>
      <c r="NS354" s="30"/>
      <c r="NT354" s="30"/>
      <c r="NU354" s="30"/>
      <c r="NV354" s="30"/>
      <c r="NW354" s="30"/>
      <c r="NX354" s="30"/>
      <c r="NY354" s="30"/>
      <c r="NZ354" s="30"/>
      <c r="OA354" s="30"/>
      <c r="OB354" s="30"/>
      <c r="OC354" s="30"/>
      <c r="OD354" s="30"/>
      <c r="OE354" s="30"/>
    </row>
    <row r="355" spans="1:395" ht="13.8" customHeight="1" outlineLevel="1" x14ac:dyDescent="0.3">
      <c r="D355" s="133" t="s">
        <v>58</v>
      </c>
      <c r="E355" s="12">
        <v>1.5</v>
      </c>
      <c r="F355" s="257" t="s">
        <v>59</v>
      </c>
      <c r="N355" s="30" t="s">
        <v>105</v>
      </c>
      <c r="O355" s="30"/>
      <c r="P355" s="32" t="s">
        <v>73</v>
      </c>
      <c r="Q355" s="30"/>
      <c r="R355" s="30"/>
      <c r="S355" s="30"/>
      <c r="T355" s="30"/>
      <c r="U355" s="30"/>
      <c r="V355" s="30"/>
      <c r="W355" s="30"/>
      <c r="X355" s="30"/>
      <c r="Y355" s="30"/>
      <c r="Z355" s="30"/>
      <c r="AA355" s="30"/>
      <c r="AB355" s="30"/>
      <c r="AC355" s="30"/>
      <c r="AD355" s="30"/>
      <c r="AE355" s="30"/>
      <c r="AF355" s="30"/>
      <c r="AG355" s="30"/>
      <c r="AH355" s="30"/>
      <c r="AI355" s="30"/>
      <c r="AJ355" s="30"/>
      <c r="AK355" s="30"/>
      <c r="AL355" s="30"/>
      <c r="AM355" s="30"/>
      <c r="AN355" s="30"/>
      <c r="AO355" s="30"/>
      <c r="AP355" s="30"/>
      <c r="AQ355" s="30"/>
      <c r="AR355" s="30"/>
      <c r="AS355" s="30"/>
      <c r="AT355" s="30"/>
      <c r="AU355" s="30"/>
      <c r="AV355" s="30"/>
      <c r="AW355" s="30"/>
      <c r="AX355" s="30"/>
      <c r="AY355" s="30"/>
      <c r="AZ355" s="30"/>
      <c r="BA355" s="30"/>
      <c r="BB355" s="30"/>
      <c r="BC355" s="30"/>
      <c r="BD355" s="30"/>
      <c r="BE355" s="30"/>
      <c r="BF355" s="30"/>
      <c r="BG355" s="30"/>
      <c r="BH355" s="30"/>
      <c r="BI355" s="30"/>
      <c r="BJ355" s="30"/>
      <c r="BK355" s="30"/>
      <c r="BL355" s="30"/>
      <c r="BM355" s="30"/>
      <c r="BN355" s="30"/>
      <c r="BO355" s="30"/>
      <c r="BP355" s="30"/>
      <c r="BQ355" s="30"/>
      <c r="BR355" s="30"/>
      <c r="BS355" s="30"/>
      <c r="BT355" s="30"/>
      <c r="BU355" s="30"/>
      <c r="BV355" s="30"/>
      <c r="BW355" s="30"/>
      <c r="BX355" s="30"/>
      <c r="BY355" s="30"/>
      <c r="BZ355" s="30"/>
      <c r="CA355" s="30"/>
      <c r="CB355" s="30"/>
      <c r="CC355" s="30"/>
      <c r="CD355" s="30"/>
      <c r="CE355" s="30"/>
      <c r="CF355" s="30"/>
      <c r="CG355" s="30"/>
      <c r="CH355" s="30"/>
      <c r="CI355" s="30"/>
      <c r="CJ355" s="30"/>
      <c r="CK355" s="30"/>
      <c r="CL355" s="30"/>
      <c r="CM355" s="30"/>
      <c r="CN355" s="30"/>
      <c r="CO355" s="30"/>
      <c r="CP355" s="30"/>
      <c r="CQ355" s="30"/>
      <c r="CR355" s="30"/>
      <c r="CS355" s="30"/>
      <c r="CT355" s="30"/>
      <c r="CU355" s="30"/>
      <c r="CV355" s="30"/>
      <c r="CW355" s="30"/>
      <c r="CX355" s="30"/>
      <c r="CY355" s="30"/>
      <c r="CZ355" s="30"/>
      <c r="DA355" s="30"/>
      <c r="DB355" s="30"/>
      <c r="DC355" s="30"/>
      <c r="DD355" s="30"/>
      <c r="DE355" s="30"/>
      <c r="DF355" s="30"/>
      <c r="DG355" s="30"/>
      <c r="DH355" s="30"/>
      <c r="DI355" s="30"/>
      <c r="DJ355" s="30"/>
      <c r="DK355" s="30"/>
      <c r="DL355" s="30"/>
      <c r="DM355" s="30"/>
      <c r="DN355" s="30"/>
      <c r="DO355" s="30"/>
      <c r="DP355" s="30"/>
      <c r="DQ355" s="30"/>
      <c r="DR355" s="30"/>
      <c r="DS355" s="30"/>
      <c r="DT355" s="30"/>
      <c r="DU355" s="30"/>
      <c r="DV355" s="30"/>
      <c r="DW355" s="30"/>
      <c r="DX355" s="30"/>
      <c r="DY355" s="30"/>
      <c r="DZ355" s="30"/>
      <c r="EA355" s="30"/>
      <c r="EB355" s="30"/>
      <c r="EC355" s="30"/>
      <c r="ED355" s="30"/>
      <c r="EE355" s="30"/>
      <c r="EF355" s="30"/>
      <c r="EG355" s="30"/>
      <c r="EH355" s="30"/>
      <c r="EI355" s="30"/>
      <c r="EJ355" s="30"/>
      <c r="EK355" s="30"/>
      <c r="EL355" s="30"/>
      <c r="EM355" s="30"/>
      <c r="EN355" s="30"/>
      <c r="EO355" s="30"/>
      <c r="EP355" s="30"/>
      <c r="EQ355" s="30"/>
      <c r="ER355" s="30"/>
      <c r="ES355" s="30"/>
      <c r="ET355" s="30"/>
      <c r="EU355" s="30"/>
      <c r="EV355" s="30"/>
      <c r="EW355" s="30"/>
      <c r="EX355" s="30"/>
      <c r="EY355" s="30"/>
      <c r="EZ355" s="30"/>
      <c r="FA355" s="30"/>
      <c r="FB355" s="30"/>
      <c r="FC355" s="30"/>
      <c r="FD355" s="30"/>
      <c r="FE355" s="30"/>
      <c r="FF355" s="30"/>
      <c r="FG355" s="30"/>
      <c r="FH355" s="30"/>
      <c r="FI355" s="30"/>
      <c r="FJ355" s="30"/>
      <c r="FK355" s="30"/>
      <c r="FL355" s="30"/>
      <c r="FM355" s="30"/>
      <c r="FN355" s="30"/>
      <c r="FO355" s="30"/>
      <c r="FP355" s="30"/>
      <c r="FQ355" s="30"/>
      <c r="FR355" s="30"/>
      <c r="FS355" s="30"/>
      <c r="FT355" s="30"/>
      <c r="FU355" s="30"/>
      <c r="FV355" s="30"/>
      <c r="FW355" s="30"/>
      <c r="FX355" s="30"/>
      <c r="FY355" s="30"/>
      <c r="FZ355" s="30"/>
      <c r="GA355" s="30"/>
      <c r="GB355" s="30"/>
      <c r="GC355" s="30"/>
      <c r="GD355" s="30"/>
      <c r="GE355" s="30"/>
      <c r="GF355" s="30"/>
      <c r="GG355" s="30"/>
      <c r="GH355" s="30"/>
      <c r="GI355" s="30"/>
      <c r="GJ355" s="30"/>
      <c r="GK355" s="30"/>
      <c r="GL355" s="30"/>
      <c r="GM355" s="30"/>
      <c r="GN355" s="30"/>
      <c r="GO355" s="30"/>
      <c r="GP355" s="30"/>
      <c r="GQ355" s="30"/>
      <c r="GR355" s="30"/>
      <c r="GS355" s="30"/>
      <c r="GT355" s="30"/>
      <c r="GU355" s="30"/>
      <c r="GV355" s="30"/>
      <c r="GW355" s="30"/>
      <c r="GX355" s="30"/>
      <c r="GY355" s="30"/>
      <c r="GZ355" s="30"/>
      <c r="HA355" s="30"/>
      <c r="HB355" s="30"/>
      <c r="HC355" s="30"/>
      <c r="HD355" s="30"/>
      <c r="HE355" s="30"/>
      <c r="HF355" s="30"/>
      <c r="HG355" s="30"/>
      <c r="HH355" s="30"/>
      <c r="HI355" s="30"/>
      <c r="HJ355" s="30"/>
      <c r="HK355" s="30"/>
      <c r="HL355" s="30"/>
      <c r="HM355" s="30"/>
      <c r="HN355" s="30"/>
      <c r="HO355" s="30"/>
      <c r="HP355" s="30"/>
      <c r="HQ355" s="30"/>
      <c r="HR355" s="30"/>
      <c r="HS355" s="30"/>
      <c r="HT355" s="30"/>
      <c r="HU355" s="30"/>
      <c r="HV355" s="30"/>
      <c r="HW355" s="30"/>
      <c r="HX355" s="30"/>
      <c r="HY355" s="30"/>
      <c r="HZ355" s="30"/>
      <c r="IA355" s="30"/>
      <c r="IB355" s="30"/>
      <c r="IC355" s="30"/>
      <c r="ID355" s="30"/>
      <c r="IE355" s="30"/>
      <c r="IF355" s="30"/>
      <c r="IG355" s="30"/>
      <c r="IH355" s="30"/>
      <c r="II355" s="30"/>
      <c r="IJ355" s="30"/>
      <c r="IK355" s="30"/>
      <c r="IL355" s="30"/>
      <c r="IM355" s="30"/>
      <c r="IN355" s="30"/>
      <c r="IO355" s="30"/>
      <c r="IP355" s="30"/>
      <c r="IQ355" s="30"/>
      <c r="IR355" s="30"/>
      <c r="IS355" s="30"/>
      <c r="IT355" s="30"/>
      <c r="IU355" s="30"/>
      <c r="IV355" s="30"/>
      <c r="IW355" s="30"/>
      <c r="IX355" s="30"/>
      <c r="IY355" s="30"/>
      <c r="IZ355" s="30"/>
      <c r="JA355" s="30"/>
      <c r="JB355" s="30"/>
      <c r="JC355" s="30"/>
      <c r="JD355" s="30"/>
      <c r="JE355" s="30"/>
      <c r="JF355" s="30"/>
      <c r="JG355" s="30"/>
      <c r="JH355" s="30"/>
      <c r="JI355" s="30"/>
      <c r="JJ355" s="30"/>
      <c r="JK355" s="30"/>
      <c r="JL355" s="30"/>
      <c r="JM355" s="30"/>
      <c r="JN355" s="30"/>
      <c r="JO355" s="30"/>
      <c r="JP355" s="30"/>
      <c r="JQ355" s="30"/>
      <c r="JR355" s="30"/>
      <c r="JS355" s="30"/>
      <c r="JT355" s="30"/>
      <c r="JU355" s="30"/>
      <c r="JV355" s="30"/>
      <c r="JW355" s="30"/>
      <c r="JX355" s="30"/>
      <c r="JY355" s="30"/>
      <c r="JZ355" s="30"/>
      <c r="KA355" s="30"/>
      <c r="KB355" s="30"/>
      <c r="KC355" s="30"/>
      <c r="KD355" s="30"/>
      <c r="KE355" s="30"/>
      <c r="KF355" s="30"/>
      <c r="KG355" s="30"/>
      <c r="KH355" s="30"/>
      <c r="KI355" s="30"/>
      <c r="KJ355" s="30"/>
      <c r="KK355" s="30"/>
      <c r="KL355" s="30"/>
      <c r="KM355" s="30"/>
      <c r="KN355" s="30"/>
      <c r="KO355" s="30"/>
      <c r="KP355" s="30"/>
      <c r="KQ355" s="30"/>
      <c r="KR355" s="30"/>
      <c r="KS355" s="30"/>
      <c r="KT355" s="30"/>
      <c r="KU355" s="30"/>
      <c r="KV355" s="30"/>
      <c r="KW355" s="30"/>
      <c r="KX355" s="30"/>
      <c r="KY355" s="30"/>
      <c r="KZ355" s="30"/>
      <c r="LA355" s="30"/>
      <c r="LB355" s="30"/>
      <c r="LC355" s="30"/>
      <c r="LD355" s="30"/>
      <c r="LE355" s="30"/>
      <c r="LF355" s="30"/>
      <c r="LG355" s="30"/>
      <c r="LH355" s="30"/>
      <c r="LI355" s="30"/>
      <c r="LJ355" s="30"/>
      <c r="LK355" s="30"/>
      <c r="LL355" s="30"/>
      <c r="LM355" s="30"/>
      <c r="LN355" s="30"/>
      <c r="LO355" s="30"/>
      <c r="LP355" s="30"/>
      <c r="LQ355" s="30"/>
      <c r="LR355" s="30"/>
      <c r="LS355" s="30"/>
      <c r="LT355" s="30"/>
      <c r="LU355" s="30"/>
      <c r="LV355" s="30"/>
      <c r="LW355" s="30"/>
      <c r="LX355" s="30"/>
      <c r="LY355" s="30"/>
      <c r="LZ355" s="30"/>
      <c r="MA355" s="30"/>
      <c r="MB355" s="30"/>
      <c r="MC355" s="30"/>
      <c r="MD355" s="30"/>
      <c r="ME355" s="30"/>
      <c r="MF355" s="30"/>
      <c r="MG355" s="30"/>
      <c r="MH355" s="30"/>
      <c r="MI355" s="30"/>
      <c r="MJ355" s="30"/>
      <c r="MK355" s="30"/>
      <c r="ML355" s="30"/>
      <c r="MM355" s="30"/>
      <c r="MN355" s="30"/>
      <c r="MO355" s="30"/>
      <c r="MP355" s="30"/>
      <c r="MQ355" s="30"/>
      <c r="MR355" s="30"/>
      <c r="MS355" s="30"/>
      <c r="MT355" s="30"/>
      <c r="MU355" s="30"/>
      <c r="MV355" s="30"/>
      <c r="MW355" s="30"/>
      <c r="MX355" s="30"/>
      <c r="MY355" s="30"/>
      <c r="MZ355" s="30"/>
      <c r="NA355" s="30"/>
      <c r="NB355" s="30"/>
      <c r="NC355" s="30"/>
      <c r="ND355" s="30"/>
      <c r="NE355" s="30"/>
      <c r="NF355" s="30"/>
      <c r="NG355" s="30"/>
      <c r="NH355" s="30"/>
      <c r="NI355" s="30"/>
      <c r="NJ355" s="30"/>
      <c r="NK355" s="30"/>
      <c r="NL355" s="30"/>
      <c r="NM355" s="30"/>
      <c r="NN355" s="30"/>
      <c r="NO355" s="30"/>
      <c r="NP355" s="30"/>
      <c r="NQ355" s="30"/>
      <c r="NR355" s="30"/>
      <c r="NS355" s="30"/>
      <c r="NT355" s="30"/>
      <c r="NU355" s="30"/>
      <c r="NV355" s="30"/>
      <c r="NW355" s="30"/>
      <c r="NX355" s="30"/>
      <c r="NY355" s="30"/>
      <c r="NZ355" s="30"/>
      <c r="OA355" s="30"/>
      <c r="OB355" s="30"/>
      <c r="OC355" s="30"/>
      <c r="OD355" s="30"/>
      <c r="OE355" s="30"/>
    </row>
    <row r="356" spans="1:395" ht="13.8" customHeight="1" outlineLevel="1" x14ac:dyDescent="0.3">
      <c r="D356" s="133" t="s">
        <v>57</v>
      </c>
      <c r="E356" s="12">
        <f>ROUNDUP(E353*E355,0)</f>
        <v>8</v>
      </c>
      <c r="F356" s="257" t="s">
        <v>34</v>
      </c>
      <c r="N356" s="30" t="s">
        <v>106</v>
      </c>
      <c r="O356" s="30"/>
      <c r="P356" s="32" t="s">
        <v>73</v>
      </c>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0"/>
      <c r="HS356" s="30"/>
      <c r="HT356" s="30"/>
      <c r="HU356" s="30"/>
      <c r="HV356" s="30"/>
      <c r="HW356" s="30"/>
      <c r="HX356" s="30"/>
      <c r="HY356" s="30"/>
      <c r="HZ356" s="30"/>
      <c r="IA356" s="30"/>
      <c r="IB356" s="30"/>
      <c r="IC356" s="30"/>
      <c r="ID356" s="30"/>
      <c r="IE356" s="30"/>
      <c r="IF356" s="30"/>
      <c r="IG356" s="30"/>
      <c r="IH356" s="30"/>
      <c r="II356" s="30"/>
      <c r="IJ356" s="30"/>
      <c r="IK356" s="30"/>
      <c r="IL356" s="30"/>
      <c r="IM356" s="30"/>
      <c r="IN356" s="30"/>
      <c r="IO356" s="30"/>
      <c r="IP356" s="30"/>
      <c r="IQ356" s="30"/>
      <c r="IR356" s="30"/>
      <c r="IS356" s="30"/>
      <c r="IT356" s="30"/>
      <c r="IU356" s="30"/>
      <c r="IV356" s="30"/>
      <c r="IW356" s="30"/>
      <c r="IX356" s="30"/>
      <c r="IY356" s="30"/>
      <c r="IZ356" s="30"/>
      <c r="JA356" s="30"/>
      <c r="JB356" s="30"/>
      <c r="JC356" s="30"/>
      <c r="JD356" s="30"/>
      <c r="JE356" s="30"/>
      <c r="JF356" s="30"/>
      <c r="JG356" s="30"/>
      <c r="JH356" s="30"/>
      <c r="JI356" s="30"/>
      <c r="JJ356" s="30"/>
      <c r="JK356" s="30"/>
      <c r="JL356" s="30"/>
      <c r="JM356" s="30"/>
      <c r="JN356" s="30"/>
      <c r="JO356" s="30"/>
      <c r="JP356" s="30"/>
      <c r="JQ356" s="30"/>
      <c r="JR356" s="30"/>
      <c r="JS356" s="30"/>
      <c r="JT356" s="30"/>
      <c r="JU356" s="30"/>
      <c r="JV356" s="30"/>
      <c r="JW356" s="30"/>
      <c r="JX356" s="30"/>
      <c r="JY356" s="30"/>
      <c r="JZ356" s="30"/>
      <c r="KA356" s="30"/>
      <c r="KB356" s="30"/>
      <c r="KC356" s="30"/>
      <c r="KD356" s="30"/>
      <c r="KE356" s="30"/>
      <c r="KF356" s="30"/>
      <c r="KG356" s="30"/>
      <c r="KH356" s="30"/>
      <c r="KI356" s="30"/>
      <c r="KJ356" s="30"/>
      <c r="KK356" s="30"/>
      <c r="KL356" s="30"/>
      <c r="KM356" s="30"/>
      <c r="KN356" s="30"/>
      <c r="KO356" s="30"/>
      <c r="KP356" s="30"/>
      <c r="KQ356" s="30"/>
      <c r="KR356" s="30"/>
      <c r="KS356" s="30"/>
      <c r="KT356" s="30"/>
      <c r="KU356" s="30"/>
      <c r="KV356" s="30"/>
      <c r="KW356" s="30"/>
      <c r="KX356" s="30"/>
      <c r="KY356" s="30"/>
      <c r="KZ356" s="30"/>
      <c r="LA356" s="30"/>
      <c r="LB356" s="30"/>
      <c r="LC356" s="30"/>
      <c r="LD356" s="30"/>
      <c r="LE356" s="30"/>
      <c r="LF356" s="30"/>
      <c r="LG356" s="30"/>
      <c r="LH356" s="30"/>
      <c r="LI356" s="30"/>
      <c r="LJ356" s="30"/>
      <c r="LK356" s="30"/>
      <c r="LL356" s="30"/>
      <c r="LM356" s="30"/>
      <c r="LN356" s="30"/>
      <c r="LO356" s="30"/>
      <c r="LP356" s="30"/>
      <c r="LQ356" s="30"/>
      <c r="LR356" s="30"/>
      <c r="LS356" s="30"/>
      <c r="LT356" s="30"/>
      <c r="LU356" s="30"/>
      <c r="LV356" s="30"/>
      <c r="LW356" s="30"/>
      <c r="LX356" s="30"/>
      <c r="LY356" s="30"/>
      <c r="LZ356" s="30"/>
      <c r="MA356" s="30"/>
      <c r="MB356" s="30"/>
      <c r="MC356" s="30"/>
      <c r="MD356" s="30"/>
      <c r="ME356" s="30"/>
      <c r="MF356" s="30"/>
      <c r="MG356" s="30"/>
      <c r="MH356" s="30"/>
      <c r="MI356" s="30"/>
      <c r="MJ356" s="30"/>
      <c r="MK356" s="30"/>
      <c r="ML356" s="30"/>
      <c r="MM356" s="30"/>
      <c r="MN356" s="30"/>
      <c r="MO356" s="30"/>
      <c r="MP356" s="30"/>
      <c r="MQ356" s="30"/>
      <c r="MR356" s="30"/>
      <c r="MS356" s="30"/>
      <c r="MT356" s="30"/>
      <c r="MU356" s="30"/>
      <c r="MV356" s="30"/>
      <c r="MW356" s="30"/>
      <c r="MX356" s="30"/>
      <c r="MY356" s="30"/>
      <c r="MZ356" s="30"/>
      <c r="NA356" s="30"/>
      <c r="NB356" s="30"/>
      <c r="NC356" s="30"/>
      <c r="ND356" s="30"/>
      <c r="NE356" s="30"/>
      <c r="NF356" s="30"/>
      <c r="NG356" s="30"/>
      <c r="NH356" s="30"/>
      <c r="NI356" s="30"/>
      <c r="NJ356" s="30"/>
      <c r="NK356" s="30"/>
      <c r="NL356" s="30"/>
      <c r="NM356" s="30"/>
      <c r="NN356" s="30"/>
      <c r="NO356" s="30"/>
      <c r="NP356" s="30"/>
      <c r="NQ356" s="30"/>
      <c r="NR356" s="30"/>
      <c r="NS356" s="30"/>
      <c r="NT356" s="30"/>
      <c r="NU356" s="30"/>
      <c r="NV356" s="30"/>
      <c r="NW356" s="30"/>
      <c r="NX356" s="30"/>
      <c r="NY356" s="30"/>
      <c r="NZ356" s="30"/>
      <c r="OA356" s="30"/>
      <c r="OB356" s="30"/>
      <c r="OC356" s="30"/>
      <c r="OD356" s="30"/>
      <c r="OE356" s="30"/>
    </row>
    <row r="357" spans="1:395" ht="13.8" customHeight="1" outlineLevel="1" x14ac:dyDescent="0.3">
      <c r="C357" s="128" t="s">
        <v>120</v>
      </c>
      <c r="D357" s="133"/>
      <c r="N357" s="30"/>
      <c r="O357" s="30"/>
      <c r="P357" s="32"/>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0"/>
      <c r="HS357" s="30"/>
      <c r="HT357" s="30"/>
      <c r="HU357" s="30"/>
      <c r="HV357" s="30"/>
      <c r="HW357" s="30"/>
      <c r="HX357" s="30"/>
      <c r="HY357" s="30"/>
      <c r="HZ357" s="30"/>
      <c r="IA357" s="30"/>
      <c r="IB357" s="30"/>
      <c r="IC357" s="30"/>
      <c r="ID357" s="30"/>
      <c r="IE357" s="30"/>
      <c r="IF357" s="30"/>
      <c r="IG357" s="30"/>
      <c r="IH357" s="30"/>
      <c r="II357" s="30"/>
      <c r="IJ357" s="30"/>
      <c r="IK357" s="30"/>
      <c r="IL357" s="30"/>
      <c r="IM357" s="30"/>
      <c r="IN357" s="30"/>
      <c r="IO357" s="30"/>
      <c r="IP357" s="30"/>
      <c r="IQ357" s="30"/>
      <c r="IR357" s="30"/>
      <c r="IS357" s="30"/>
      <c r="IT357" s="30"/>
      <c r="IU357" s="30"/>
      <c r="IV357" s="30"/>
      <c r="IW357" s="30"/>
      <c r="IX357" s="30"/>
      <c r="IY357" s="30"/>
      <c r="IZ357" s="30"/>
      <c r="JA357" s="30"/>
      <c r="JB357" s="30"/>
      <c r="JC357" s="30"/>
      <c r="JD357" s="30"/>
      <c r="JE357" s="30"/>
      <c r="JF357" s="30"/>
      <c r="JG357" s="30"/>
      <c r="JH357" s="30"/>
      <c r="JI357" s="30"/>
      <c r="JJ357" s="30"/>
      <c r="JK357" s="30"/>
      <c r="JL357" s="30"/>
      <c r="JM357" s="30"/>
      <c r="JN357" s="30"/>
      <c r="JO357" s="30"/>
      <c r="JP357" s="30"/>
      <c r="JQ357" s="30"/>
      <c r="JR357" s="30"/>
      <c r="JS357" s="30"/>
      <c r="JT357" s="30"/>
      <c r="JU357" s="30"/>
      <c r="JV357" s="30"/>
      <c r="JW357" s="30"/>
      <c r="JX357" s="30"/>
      <c r="JY357" s="30"/>
      <c r="JZ357" s="30"/>
      <c r="KA357" s="30"/>
      <c r="KB357" s="30"/>
      <c r="KC357" s="30"/>
      <c r="KD357" s="30"/>
      <c r="KE357" s="30"/>
      <c r="KF357" s="30"/>
      <c r="KG357" s="30"/>
      <c r="KH357" s="30"/>
      <c r="KI357" s="30"/>
      <c r="KJ357" s="30"/>
      <c r="KK357" s="30"/>
      <c r="KL357" s="30"/>
      <c r="KM357" s="30"/>
      <c r="KN357" s="30"/>
      <c r="KO357" s="30"/>
      <c r="KP357" s="30"/>
      <c r="KQ357" s="30"/>
      <c r="KR357" s="30"/>
      <c r="KS357" s="30"/>
      <c r="KT357" s="30"/>
      <c r="KU357" s="30"/>
      <c r="KV357" s="30"/>
      <c r="KW357" s="30"/>
      <c r="KX357" s="30"/>
      <c r="KY357" s="30"/>
      <c r="KZ357" s="30"/>
      <c r="LA357" s="30"/>
      <c r="LB357" s="30"/>
      <c r="LC357" s="30"/>
      <c r="LD357" s="30"/>
      <c r="LE357" s="30"/>
      <c r="LF357" s="30"/>
      <c r="LG357" s="30"/>
      <c r="LH357" s="30"/>
      <c r="LI357" s="30"/>
      <c r="LJ357" s="30"/>
      <c r="LK357" s="30"/>
      <c r="LL357" s="30"/>
      <c r="LM357" s="30"/>
      <c r="LN357" s="30"/>
      <c r="LO357" s="30"/>
      <c r="LP357" s="30"/>
      <c r="LQ357" s="30"/>
      <c r="LR357" s="30"/>
      <c r="LS357" s="30"/>
      <c r="LT357" s="30"/>
      <c r="LU357" s="30"/>
      <c r="LV357" s="30"/>
      <c r="LW357" s="30"/>
      <c r="LX357" s="30"/>
      <c r="LY357" s="30"/>
      <c r="LZ357" s="30"/>
      <c r="MA357" s="30"/>
      <c r="MB357" s="30"/>
      <c r="MC357" s="30"/>
      <c r="MD357" s="30"/>
      <c r="ME357" s="30"/>
      <c r="MF357" s="30"/>
      <c r="MG357" s="30"/>
      <c r="MH357" s="30"/>
      <c r="MI357" s="30"/>
      <c r="MJ357" s="30"/>
      <c r="MK357" s="30"/>
      <c r="ML357" s="30"/>
      <c r="MM357" s="30"/>
      <c r="MN357" s="30"/>
      <c r="MO357" s="30"/>
      <c r="MP357" s="30"/>
      <c r="MQ357" s="30"/>
      <c r="MR357" s="30"/>
      <c r="MS357" s="30"/>
      <c r="MT357" s="30"/>
      <c r="MU357" s="30"/>
      <c r="MV357" s="30"/>
      <c r="MW357" s="30"/>
      <c r="MX357" s="30"/>
      <c r="MY357" s="30"/>
      <c r="MZ357" s="30"/>
      <c r="NA357" s="30"/>
      <c r="NB357" s="30"/>
      <c r="NC357" s="30"/>
      <c r="ND357" s="30"/>
      <c r="NE357" s="30"/>
      <c r="NF357" s="30"/>
      <c r="NG357" s="30"/>
      <c r="NH357" s="30"/>
      <c r="NI357" s="30"/>
      <c r="NJ357" s="30"/>
      <c r="NK357" s="30"/>
      <c r="NL357" s="30"/>
      <c r="NM357" s="30"/>
      <c r="NN357" s="30"/>
      <c r="NO357" s="30"/>
      <c r="NP357" s="30"/>
      <c r="NQ357" s="30"/>
      <c r="NR357" s="30"/>
      <c r="NS357" s="30"/>
      <c r="NT357" s="30"/>
      <c r="NU357" s="30"/>
      <c r="NV357" s="30"/>
      <c r="NW357" s="30"/>
      <c r="NX357" s="30"/>
      <c r="NY357" s="30"/>
      <c r="NZ357" s="30"/>
      <c r="OA357" s="30"/>
      <c r="OB357" s="30"/>
      <c r="OC357" s="30"/>
      <c r="OD357" s="30"/>
      <c r="OE357" s="30"/>
    </row>
    <row r="358" spans="1:395" ht="13.8" customHeight="1" outlineLevel="1" x14ac:dyDescent="0.3">
      <c r="D358" s="133" t="s">
        <v>60</v>
      </c>
      <c r="E358" s="12">
        <v>230</v>
      </c>
      <c r="F358" s="257" t="s">
        <v>65</v>
      </c>
      <c r="N358" s="30" t="s">
        <v>107</v>
      </c>
      <c r="O358" s="30"/>
      <c r="P358" s="32" t="s">
        <v>31</v>
      </c>
      <c r="Q358" s="30"/>
      <c r="R358" s="30"/>
      <c r="S358" s="30"/>
      <c r="T358" s="30"/>
      <c r="U358" s="30"/>
      <c r="V358" s="30"/>
      <c r="W358" s="30"/>
      <c r="X358" s="30"/>
      <c r="Y358" s="30"/>
      <c r="Z358" s="30"/>
      <c r="AA358" s="30"/>
      <c r="AB358" s="30"/>
      <c r="AC358" s="30"/>
      <c r="AD358" s="30"/>
      <c r="AE358" s="30"/>
      <c r="AF358" s="30"/>
      <c r="AG358" s="30"/>
      <c r="AH358" s="30"/>
      <c r="AI358" s="30"/>
      <c r="AJ358" s="30"/>
      <c r="AK358" s="30"/>
      <c r="AL358" s="30"/>
      <c r="AM358" s="30"/>
      <c r="AN358" s="30"/>
      <c r="AO358" s="30"/>
      <c r="AP358" s="30"/>
      <c r="AQ358" s="30"/>
      <c r="AR358" s="30"/>
      <c r="AS358" s="30"/>
      <c r="AT358" s="30"/>
      <c r="AU358" s="30"/>
      <c r="AV358" s="30"/>
      <c r="AW358" s="30"/>
      <c r="AX358" s="30"/>
      <c r="AY358" s="30"/>
      <c r="AZ358" s="30"/>
      <c r="BA358" s="30"/>
      <c r="BB358" s="30"/>
      <c r="BC358" s="30"/>
      <c r="BD358" s="30"/>
      <c r="BE358" s="30"/>
      <c r="BF358" s="30"/>
      <c r="BG358" s="30"/>
      <c r="BH358" s="30"/>
      <c r="BI358" s="30"/>
      <c r="BJ358" s="30"/>
      <c r="BK358" s="30"/>
      <c r="BL358" s="30"/>
      <c r="BM358" s="30"/>
      <c r="BN358" s="30"/>
      <c r="BO358" s="30"/>
      <c r="BP358" s="30"/>
      <c r="BQ358" s="30"/>
      <c r="BR358" s="30"/>
      <c r="BS358" s="30"/>
      <c r="BT358" s="30"/>
      <c r="BU358" s="30"/>
      <c r="BV358" s="30"/>
      <c r="BW358" s="30"/>
      <c r="BX358" s="30"/>
      <c r="BY358" s="30"/>
      <c r="BZ358" s="30"/>
      <c r="CA358" s="30"/>
      <c r="CB358" s="30"/>
      <c r="CC358" s="30"/>
      <c r="CD358" s="30"/>
      <c r="CE358" s="30"/>
      <c r="CF358" s="30"/>
      <c r="CG358" s="30"/>
      <c r="CH358" s="30"/>
      <c r="CI358" s="30"/>
      <c r="CJ358" s="30"/>
      <c r="CK358" s="30"/>
      <c r="CL358" s="30"/>
      <c r="CM358" s="30"/>
      <c r="CN358" s="30"/>
      <c r="CO358" s="30"/>
      <c r="CP358" s="30"/>
      <c r="CQ358" s="30"/>
      <c r="CR358" s="30"/>
      <c r="CS358" s="30"/>
      <c r="CT358" s="30"/>
      <c r="CU358" s="30"/>
      <c r="CV358" s="30"/>
      <c r="CW358" s="30"/>
      <c r="CX358" s="30"/>
      <c r="CY358" s="30"/>
      <c r="CZ358" s="30"/>
      <c r="DA358" s="30"/>
      <c r="DB358" s="30"/>
      <c r="DC358" s="30"/>
      <c r="DD358" s="30"/>
      <c r="DE358" s="30"/>
      <c r="DF358" s="30"/>
      <c r="DG358" s="30"/>
      <c r="DH358" s="30"/>
      <c r="DI358" s="30"/>
      <c r="DJ358" s="30"/>
      <c r="DK358" s="30"/>
      <c r="DL358" s="30"/>
      <c r="DM358" s="30"/>
      <c r="DN358" s="30"/>
      <c r="DO358" s="30"/>
      <c r="DP358" s="30"/>
      <c r="DQ358" s="30"/>
      <c r="DR358" s="30"/>
      <c r="DS358" s="30"/>
      <c r="DT358" s="30"/>
      <c r="DU358" s="30"/>
      <c r="DV358" s="30"/>
      <c r="DW358" s="30"/>
      <c r="DX358" s="30"/>
      <c r="DY358" s="30"/>
      <c r="DZ358" s="30"/>
      <c r="EA358" s="30"/>
      <c r="EB358" s="30"/>
      <c r="EC358" s="30"/>
      <c r="ED358" s="30"/>
      <c r="EE358" s="30"/>
      <c r="EF358" s="30"/>
      <c r="EG358" s="30"/>
      <c r="EH358" s="30"/>
      <c r="EI358" s="30"/>
      <c r="EJ358" s="30"/>
      <c r="EK358" s="30"/>
      <c r="EL358" s="30"/>
      <c r="EM358" s="30"/>
      <c r="EN358" s="30"/>
      <c r="EO358" s="30"/>
      <c r="EP358" s="30"/>
      <c r="EQ358" s="30"/>
      <c r="ER358" s="30"/>
      <c r="ES358" s="30"/>
      <c r="ET358" s="30"/>
      <c r="EU358" s="30"/>
      <c r="EV358" s="30"/>
      <c r="EW358" s="30"/>
      <c r="EX358" s="30"/>
      <c r="EY358" s="30"/>
      <c r="EZ358" s="30"/>
      <c r="FA358" s="30"/>
      <c r="FB358" s="30"/>
      <c r="FC358" s="30"/>
      <c r="FD358" s="30"/>
      <c r="FE358" s="30"/>
      <c r="FF358" s="30"/>
      <c r="FG358" s="30"/>
      <c r="FH358" s="30"/>
      <c r="FI358" s="30"/>
      <c r="FJ358" s="30"/>
      <c r="FK358" s="30"/>
      <c r="FL358" s="30"/>
      <c r="FM358" s="30"/>
      <c r="FN358" s="30"/>
      <c r="FO358" s="30"/>
      <c r="FP358" s="30"/>
      <c r="FQ358" s="30"/>
      <c r="FR358" s="30"/>
      <c r="FS358" s="30"/>
      <c r="FT358" s="30"/>
      <c r="FU358" s="30"/>
      <c r="FV358" s="30"/>
      <c r="FW358" s="30"/>
      <c r="FX358" s="30"/>
      <c r="FY358" s="30"/>
      <c r="FZ358" s="30"/>
      <c r="GA358" s="30"/>
      <c r="GB358" s="30"/>
      <c r="GC358" s="30"/>
      <c r="GD358" s="30"/>
      <c r="GE358" s="30"/>
      <c r="GF358" s="30"/>
      <c r="GG358" s="30"/>
      <c r="GH358" s="30"/>
      <c r="GI358" s="30"/>
      <c r="GJ358" s="30"/>
      <c r="GK358" s="30"/>
      <c r="GL358" s="30"/>
      <c r="GM358" s="30"/>
      <c r="GN358" s="30"/>
      <c r="GO358" s="30"/>
      <c r="GP358" s="30"/>
      <c r="GQ358" s="30"/>
      <c r="GR358" s="30"/>
      <c r="GS358" s="30"/>
      <c r="GT358" s="30"/>
      <c r="GU358" s="30"/>
      <c r="GV358" s="30"/>
      <c r="GW358" s="30"/>
      <c r="GX358" s="30"/>
      <c r="GY358" s="30"/>
      <c r="GZ358" s="30"/>
      <c r="HA358" s="30"/>
      <c r="HB358" s="30"/>
      <c r="HC358" s="30"/>
      <c r="HD358" s="30"/>
      <c r="HE358" s="30"/>
      <c r="HF358" s="30"/>
      <c r="HG358" s="30"/>
      <c r="HH358" s="30"/>
      <c r="HI358" s="30"/>
      <c r="HJ358" s="30"/>
      <c r="HK358" s="30"/>
      <c r="HL358" s="30"/>
      <c r="HM358" s="30"/>
      <c r="HN358" s="30"/>
      <c r="HO358" s="30"/>
      <c r="HP358" s="30"/>
      <c r="HQ358" s="30"/>
      <c r="HR358" s="30"/>
      <c r="HS358" s="30"/>
      <c r="HT358" s="30"/>
      <c r="HU358" s="30"/>
      <c r="HV358" s="30"/>
      <c r="HW358" s="30"/>
      <c r="HX358" s="30"/>
      <c r="HY358" s="30"/>
      <c r="HZ358" s="30"/>
      <c r="IA358" s="30"/>
      <c r="IB358" s="30"/>
      <c r="IC358" s="30"/>
      <c r="ID358" s="30"/>
      <c r="IE358" s="30"/>
      <c r="IF358" s="30"/>
      <c r="IG358" s="30"/>
      <c r="IH358" s="30"/>
      <c r="II358" s="30"/>
      <c r="IJ358" s="30"/>
      <c r="IK358" s="30"/>
      <c r="IL358" s="30"/>
      <c r="IM358" s="30"/>
      <c r="IN358" s="30"/>
      <c r="IO358" s="30"/>
      <c r="IP358" s="30"/>
      <c r="IQ358" s="30"/>
      <c r="IR358" s="30"/>
      <c r="IS358" s="30"/>
      <c r="IT358" s="30"/>
      <c r="IU358" s="30"/>
      <c r="IV358" s="30"/>
      <c r="IW358" s="30"/>
      <c r="IX358" s="30"/>
      <c r="IY358" s="30"/>
      <c r="IZ358" s="30"/>
      <c r="JA358" s="30"/>
      <c r="JB358" s="30"/>
      <c r="JC358" s="30"/>
      <c r="JD358" s="30"/>
      <c r="JE358" s="30"/>
      <c r="JF358" s="30"/>
      <c r="JG358" s="30"/>
      <c r="JH358" s="30"/>
      <c r="JI358" s="30"/>
      <c r="JJ358" s="30"/>
      <c r="JK358" s="30"/>
      <c r="JL358" s="30"/>
      <c r="JM358" s="30"/>
      <c r="JN358" s="30"/>
      <c r="JO358" s="30"/>
      <c r="JP358" s="30"/>
      <c r="JQ358" s="30"/>
      <c r="JR358" s="30"/>
      <c r="JS358" s="30"/>
      <c r="JT358" s="30"/>
      <c r="JU358" s="30"/>
      <c r="JV358" s="30"/>
      <c r="JW358" s="30"/>
      <c r="JX358" s="30"/>
      <c r="JY358" s="30"/>
      <c r="JZ358" s="30"/>
      <c r="KA358" s="30"/>
      <c r="KB358" s="30"/>
      <c r="KC358" s="30"/>
      <c r="KD358" s="30"/>
      <c r="KE358" s="30"/>
      <c r="KF358" s="30"/>
      <c r="KG358" s="30"/>
      <c r="KH358" s="30"/>
      <c r="KI358" s="30"/>
      <c r="KJ358" s="30"/>
      <c r="KK358" s="30"/>
      <c r="KL358" s="30"/>
      <c r="KM358" s="30"/>
      <c r="KN358" s="30"/>
      <c r="KO358" s="30"/>
      <c r="KP358" s="30"/>
      <c r="KQ358" s="30"/>
      <c r="KR358" s="30"/>
      <c r="KS358" s="30"/>
      <c r="KT358" s="30"/>
      <c r="KU358" s="30"/>
      <c r="KV358" s="30"/>
      <c r="KW358" s="30"/>
      <c r="KX358" s="30"/>
      <c r="KY358" s="30"/>
      <c r="KZ358" s="30"/>
      <c r="LA358" s="30"/>
      <c r="LB358" s="30"/>
      <c r="LC358" s="30"/>
      <c r="LD358" s="30"/>
      <c r="LE358" s="30"/>
      <c r="LF358" s="30"/>
      <c r="LG358" s="30"/>
      <c r="LH358" s="30"/>
      <c r="LI358" s="30"/>
      <c r="LJ358" s="30"/>
      <c r="LK358" s="30"/>
      <c r="LL358" s="30"/>
      <c r="LM358" s="30"/>
      <c r="LN358" s="30"/>
      <c r="LO358" s="30"/>
      <c r="LP358" s="30"/>
      <c r="LQ358" s="30"/>
      <c r="LR358" s="30"/>
      <c r="LS358" s="30"/>
      <c r="LT358" s="30"/>
      <c r="LU358" s="30"/>
      <c r="LV358" s="30"/>
      <c r="LW358" s="30"/>
      <c r="LX358" s="30"/>
      <c r="LY358" s="30"/>
      <c r="LZ358" s="30"/>
      <c r="MA358" s="30"/>
      <c r="MB358" s="30"/>
      <c r="MC358" s="30"/>
      <c r="MD358" s="30"/>
      <c r="ME358" s="30"/>
      <c r="MF358" s="30"/>
      <c r="MG358" s="30"/>
      <c r="MH358" s="30"/>
      <c r="MI358" s="30"/>
      <c r="MJ358" s="30"/>
      <c r="MK358" s="30"/>
      <c r="ML358" s="30"/>
      <c r="MM358" s="30"/>
      <c r="MN358" s="30"/>
      <c r="MO358" s="30"/>
      <c r="MP358" s="30"/>
      <c r="MQ358" s="30"/>
      <c r="MR358" s="30"/>
      <c r="MS358" s="30"/>
      <c r="MT358" s="30"/>
      <c r="MU358" s="30"/>
      <c r="MV358" s="30"/>
      <c r="MW358" s="30"/>
      <c r="MX358" s="30"/>
      <c r="MY358" s="30"/>
      <c r="MZ358" s="30"/>
      <c r="NA358" s="30"/>
      <c r="NB358" s="30"/>
      <c r="NC358" s="30"/>
      <c r="ND358" s="30"/>
      <c r="NE358" s="30"/>
      <c r="NF358" s="30"/>
      <c r="NG358" s="30"/>
      <c r="NH358" s="30"/>
      <c r="NI358" s="30"/>
      <c r="NJ358" s="30"/>
      <c r="NK358" s="30"/>
      <c r="NL358" s="30"/>
      <c r="NM358" s="30"/>
      <c r="NN358" s="30"/>
      <c r="NO358" s="30"/>
      <c r="NP358" s="30"/>
      <c r="NQ358" s="30"/>
      <c r="NR358" s="30"/>
      <c r="NS358" s="30"/>
      <c r="NT358" s="30"/>
      <c r="NU358" s="30"/>
      <c r="NV358" s="30"/>
      <c r="NW358" s="30"/>
      <c r="NX358" s="30"/>
      <c r="NY358" s="30"/>
      <c r="NZ358" s="30"/>
      <c r="OA358" s="30"/>
      <c r="OB358" s="30"/>
      <c r="OC358" s="30"/>
      <c r="OD358" s="30"/>
      <c r="OE358" s="30"/>
    </row>
    <row r="359" spans="1:395" ht="13.8" customHeight="1" outlineLevel="1" x14ac:dyDescent="0.3">
      <c r="D359" s="133" t="s">
        <v>118</v>
      </c>
      <c r="E359" s="14">
        <v>0</v>
      </c>
      <c r="F359" s="257" t="s">
        <v>31</v>
      </c>
      <c r="N359" s="30"/>
      <c r="O359" s="30"/>
      <c r="P359" s="32"/>
      <c r="Q359" s="30"/>
      <c r="R359" s="30"/>
      <c r="S359" s="30"/>
      <c r="T359" s="30"/>
      <c r="U359" s="30"/>
      <c r="V359" s="30"/>
      <c r="W359" s="30"/>
      <c r="X359" s="30"/>
      <c r="Y359" s="30"/>
      <c r="Z359" s="30"/>
      <c r="AA359" s="30"/>
      <c r="AB359" s="30"/>
      <c r="AC359" s="30"/>
      <c r="AD359" s="30"/>
      <c r="AE359" s="30"/>
      <c r="AF359" s="30"/>
      <c r="AG359" s="30"/>
      <c r="AH359" s="30"/>
      <c r="AI359" s="30"/>
      <c r="AJ359" s="30"/>
      <c r="AK359" s="30"/>
      <c r="AL359" s="30"/>
      <c r="AM359" s="30"/>
      <c r="AN359" s="30"/>
      <c r="AO359" s="30"/>
      <c r="AP359" s="30"/>
      <c r="AQ359" s="30"/>
      <c r="AR359" s="30"/>
      <c r="AS359" s="30"/>
      <c r="AT359" s="30"/>
      <c r="AU359" s="30"/>
      <c r="AV359" s="30"/>
      <c r="AW359" s="30"/>
      <c r="AX359" s="30"/>
      <c r="AY359" s="30"/>
      <c r="AZ359" s="30"/>
      <c r="BA359" s="30"/>
      <c r="BB359" s="30"/>
      <c r="BC359" s="30"/>
      <c r="BD359" s="30"/>
      <c r="BE359" s="30"/>
      <c r="BF359" s="30"/>
      <c r="BG359" s="30"/>
      <c r="BH359" s="30"/>
      <c r="BI359" s="30"/>
      <c r="BJ359" s="30"/>
      <c r="BK359" s="30"/>
      <c r="BL359" s="30"/>
      <c r="BM359" s="30"/>
      <c r="BN359" s="30"/>
      <c r="BO359" s="30"/>
      <c r="BP359" s="30"/>
      <c r="BQ359" s="30"/>
      <c r="BR359" s="30"/>
      <c r="BS359" s="30"/>
      <c r="BT359" s="30"/>
      <c r="BU359" s="30"/>
      <c r="BV359" s="30"/>
      <c r="BW359" s="30"/>
      <c r="BX359" s="30"/>
      <c r="BY359" s="30"/>
      <c r="BZ359" s="30"/>
      <c r="CA359" s="30"/>
      <c r="CB359" s="30"/>
      <c r="CC359" s="30"/>
      <c r="CD359" s="30"/>
      <c r="CE359" s="30"/>
      <c r="CF359" s="30"/>
      <c r="CG359" s="30"/>
      <c r="CH359" s="30"/>
      <c r="CI359" s="30"/>
      <c r="CJ359" s="30"/>
      <c r="CK359" s="30"/>
      <c r="CL359" s="30"/>
      <c r="CM359" s="30"/>
      <c r="CN359" s="30"/>
      <c r="CO359" s="30"/>
      <c r="CP359" s="30"/>
      <c r="CQ359" s="30"/>
      <c r="CR359" s="30"/>
      <c r="CS359" s="30"/>
      <c r="CT359" s="30"/>
      <c r="CU359" s="30"/>
      <c r="CV359" s="30"/>
      <c r="CW359" s="30"/>
      <c r="CX359" s="30"/>
      <c r="CY359" s="30"/>
      <c r="CZ359" s="30"/>
      <c r="DA359" s="30"/>
      <c r="DB359" s="30"/>
      <c r="DC359" s="30"/>
      <c r="DD359" s="30"/>
      <c r="DE359" s="30"/>
      <c r="DF359" s="30"/>
      <c r="DG359" s="30"/>
      <c r="DH359" s="30"/>
      <c r="DI359" s="30"/>
      <c r="DJ359" s="30"/>
      <c r="DK359" s="30"/>
      <c r="DL359" s="30"/>
      <c r="DM359" s="30"/>
      <c r="DN359" s="30"/>
      <c r="DO359" s="30"/>
      <c r="DP359" s="30"/>
      <c r="DQ359" s="30"/>
      <c r="DR359" s="30"/>
      <c r="DS359" s="30"/>
      <c r="DT359" s="30"/>
      <c r="DU359" s="30"/>
      <c r="DV359" s="30"/>
      <c r="DW359" s="30"/>
      <c r="DX359" s="30"/>
      <c r="DY359" s="30"/>
      <c r="DZ359" s="30"/>
      <c r="EA359" s="30"/>
      <c r="EB359" s="30"/>
      <c r="EC359" s="30"/>
      <c r="ED359" s="30"/>
      <c r="EE359" s="30"/>
      <c r="EF359" s="30"/>
      <c r="EG359" s="30"/>
      <c r="EH359" s="30"/>
      <c r="EI359" s="30"/>
      <c r="EJ359" s="30"/>
      <c r="EK359" s="30"/>
      <c r="EL359" s="30"/>
      <c r="EM359" s="30"/>
      <c r="EN359" s="30"/>
      <c r="EO359" s="30"/>
      <c r="EP359" s="30"/>
      <c r="EQ359" s="30"/>
      <c r="ER359" s="30"/>
      <c r="ES359" s="30"/>
      <c r="ET359" s="30"/>
      <c r="EU359" s="30"/>
      <c r="EV359" s="30"/>
      <c r="EW359" s="30"/>
      <c r="EX359" s="30"/>
      <c r="EY359" s="30"/>
      <c r="EZ359" s="30"/>
      <c r="FA359" s="30"/>
      <c r="FB359" s="30"/>
      <c r="FC359" s="30"/>
      <c r="FD359" s="30"/>
      <c r="FE359" s="30"/>
      <c r="FF359" s="30"/>
      <c r="FG359" s="30"/>
      <c r="FH359" s="30"/>
      <c r="FI359" s="30"/>
      <c r="FJ359" s="30"/>
      <c r="FK359" s="30"/>
      <c r="FL359" s="30"/>
      <c r="FM359" s="30"/>
      <c r="FN359" s="30"/>
      <c r="FO359" s="30"/>
      <c r="FP359" s="30"/>
      <c r="FQ359" s="30"/>
      <c r="FR359" s="30"/>
      <c r="FS359" s="30"/>
      <c r="FT359" s="30"/>
      <c r="FU359" s="30"/>
      <c r="FV359" s="30"/>
      <c r="FW359" s="30"/>
      <c r="FX359" s="30"/>
      <c r="FY359" s="30"/>
      <c r="FZ359" s="30"/>
      <c r="GA359" s="30"/>
      <c r="GB359" s="30"/>
      <c r="GC359" s="30"/>
      <c r="GD359" s="30"/>
      <c r="GE359" s="30"/>
      <c r="GF359" s="30"/>
      <c r="GG359" s="30"/>
      <c r="GH359" s="30"/>
      <c r="GI359" s="30"/>
      <c r="GJ359" s="30"/>
      <c r="GK359" s="30"/>
      <c r="GL359" s="30"/>
      <c r="GM359" s="30"/>
      <c r="GN359" s="30"/>
      <c r="GO359" s="30"/>
      <c r="GP359" s="30"/>
      <c r="GQ359" s="30"/>
      <c r="GR359" s="30"/>
      <c r="GS359" s="30"/>
      <c r="GT359" s="30"/>
      <c r="GU359" s="30"/>
      <c r="GV359" s="30"/>
      <c r="GW359" s="30"/>
      <c r="GX359" s="30"/>
      <c r="GY359" s="30"/>
      <c r="GZ359" s="30"/>
      <c r="HA359" s="30"/>
      <c r="HB359" s="30"/>
      <c r="HC359" s="30"/>
      <c r="HD359" s="30"/>
      <c r="HE359" s="30"/>
      <c r="HF359" s="30"/>
      <c r="HG359" s="30"/>
      <c r="HH359" s="30"/>
      <c r="HI359" s="30"/>
      <c r="HJ359" s="30"/>
      <c r="HK359" s="30"/>
      <c r="HL359" s="30"/>
      <c r="HM359" s="30"/>
      <c r="HN359" s="30"/>
      <c r="HO359" s="30"/>
      <c r="HP359" s="30"/>
      <c r="HQ359" s="30"/>
      <c r="HR359" s="30"/>
      <c r="HS359" s="30"/>
      <c r="HT359" s="30"/>
      <c r="HU359" s="30"/>
      <c r="HV359" s="30"/>
      <c r="HW359" s="30"/>
      <c r="HX359" s="30"/>
      <c r="HY359" s="30"/>
      <c r="HZ359" s="30"/>
      <c r="IA359" s="30"/>
      <c r="IB359" s="30"/>
      <c r="IC359" s="30"/>
      <c r="ID359" s="30"/>
      <c r="IE359" s="30"/>
      <c r="IF359" s="30"/>
      <c r="IG359" s="30"/>
      <c r="IH359" s="30"/>
      <c r="II359" s="30"/>
      <c r="IJ359" s="30"/>
      <c r="IK359" s="30"/>
      <c r="IL359" s="30"/>
      <c r="IM359" s="30"/>
      <c r="IN359" s="30"/>
      <c r="IO359" s="30"/>
      <c r="IP359" s="30"/>
      <c r="IQ359" s="30"/>
      <c r="IR359" s="30"/>
      <c r="IS359" s="30"/>
      <c r="IT359" s="30"/>
      <c r="IU359" s="30"/>
      <c r="IV359" s="30"/>
      <c r="IW359" s="30"/>
      <c r="IX359" s="30"/>
      <c r="IY359" s="30"/>
      <c r="IZ359" s="30"/>
      <c r="JA359" s="30"/>
      <c r="JB359" s="30"/>
      <c r="JC359" s="30"/>
      <c r="JD359" s="30"/>
      <c r="JE359" s="30"/>
      <c r="JF359" s="30"/>
      <c r="JG359" s="30"/>
      <c r="JH359" s="30"/>
      <c r="JI359" s="30"/>
      <c r="JJ359" s="30"/>
      <c r="JK359" s="30"/>
      <c r="JL359" s="30"/>
      <c r="JM359" s="30"/>
      <c r="JN359" s="30"/>
      <c r="JO359" s="30"/>
      <c r="JP359" s="30"/>
      <c r="JQ359" s="30"/>
      <c r="JR359" s="30"/>
      <c r="JS359" s="30"/>
      <c r="JT359" s="30"/>
      <c r="JU359" s="30"/>
      <c r="JV359" s="30"/>
      <c r="JW359" s="30"/>
      <c r="JX359" s="30"/>
      <c r="JY359" s="30"/>
      <c r="JZ359" s="30"/>
      <c r="KA359" s="30"/>
      <c r="KB359" s="30"/>
      <c r="KC359" s="30"/>
      <c r="KD359" s="30"/>
      <c r="KE359" s="30"/>
      <c r="KF359" s="30"/>
      <c r="KG359" s="30"/>
      <c r="KH359" s="30"/>
      <c r="KI359" s="30"/>
      <c r="KJ359" s="30"/>
      <c r="KK359" s="30"/>
      <c r="KL359" s="30"/>
      <c r="KM359" s="30"/>
      <c r="KN359" s="30"/>
      <c r="KO359" s="30"/>
      <c r="KP359" s="30"/>
      <c r="KQ359" s="30"/>
      <c r="KR359" s="30"/>
      <c r="KS359" s="30"/>
      <c r="KT359" s="30"/>
      <c r="KU359" s="30"/>
      <c r="KV359" s="30"/>
      <c r="KW359" s="30"/>
      <c r="KX359" s="30"/>
      <c r="KY359" s="30"/>
      <c r="KZ359" s="30"/>
      <c r="LA359" s="30"/>
      <c r="LB359" s="30"/>
      <c r="LC359" s="30"/>
      <c r="LD359" s="30"/>
      <c r="LE359" s="30"/>
      <c r="LF359" s="30"/>
      <c r="LG359" s="30"/>
      <c r="LH359" s="30"/>
      <c r="LI359" s="30"/>
      <c r="LJ359" s="30"/>
      <c r="LK359" s="30"/>
      <c r="LL359" s="30"/>
      <c r="LM359" s="30"/>
      <c r="LN359" s="30"/>
      <c r="LO359" s="30"/>
      <c r="LP359" s="30"/>
      <c r="LQ359" s="30"/>
      <c r="LR359" s="30"/>
      <c r="LS359" s="30"/>
      <c r="LT359" s="30"/>
      <c r="LU359" s="30"/>
      <c r="LV359" s="30"/>
      <c r="LW359" s="30"/>
      <c r="LX359" s="30"/>
      <c r="LY359" s="30"/>
      <c r="LZ359" s="30"/>
      <c r="MA359" s="30"/>
      <c r="MB359" s="30"/>
      <c r="MC359" s="30"/>
      <c r="MD359" s="30"/>
      <c r="ME359" s="30"/>
      <c r="MF359" s="30"/>
      <c r="MG359" s="30"/>
      <c r="MH359" s="30"/>
      <c r="MI359" s="30"/>
      <c r="MJ359" s="30"/>
      <c r="MK359" s="30"/>
      <c r="ML359" s="30"/>
      <c r="MM359" s="30"/>
      <c r="MN359" s="30"/>
      <c r="MO359" s="30"/>
      <c r="MP359" s="30"/>
      <c r="MQ359" s="30"/>
      <c r="MR359" s="30"/>
      <c r="MS359" s="30"/>
      <c r="MT359" s="30"/>
      <c r="MU359" s="30"/>
      <c r="MV359" s="30"/>
      <c r="MW359" s="30"/>
      <c r="MX359" s="30"/>
      <c r="MY359" s="30"/>
      <c r="MZ359" s="30"/>
      <c r="NA359" s="30"/>
      <c r="NB359" s="30"/>
      <c r="NC359" s="30"/>
      <c r="ND359" s="30"/>
      <c r="NE359" s="30"/>
      <c r="NF359" s="30"/>
      <c r="NG359" s="30"/>
      <c r="NH359" s="30"/>
      <c r="NI359" s="30"/>
      <c r="NJ359" s="30"/>
      <c r="NK359" s="30"/>
      <c r="NL359" s="30"/>
      <c r="NM359" s="30"/>
      <c r="NN359" s="30"/>
      <c r="NO359" s="30"/>
      <c r="NP359" s="30"/>
      <c r="NQ359" s="30"/>
      <c r="NR359" s="30"/>
      <c r="NS359" s="30"/>
      <c r="NT359" s="30"/>
      <c r="NU359" s="30"/>
      <c r="NV359" s="30"/>
      <c r="NW359" s="30"/>
      <c r="NX359" s="30"/>
      <c r="NY359" s="30"/>
      <c r="NZ359" s="30"/>
      <c r="OA359" s="30"/>
      <c r="OB359" s="30"/>
      <c r="OC359" s="30"/>
      <c r="OD359" s="30"/>
      <c r="OE359" s="30"/>
    </row>
    <row r="360" spans="1:395" ht="13.8" customHeight="1" outlineLevel="1" x14ac:dyDescent="0.3">
      <c r="D360" s="133" t="s">
        <v>62</v>
      </c>
      <c r="E360" s="12">
        <v>-3</v>
      </c>
      <c r="F360" s="257" t="s">
        <v>66</v>
      </c>
      <c r="N360" s="30" t="s">
        <v>108</v>
      </c>
      <c r="O360" s="30"/>
      <c r="P360" s="32" t="s">
        <v>75</v>
      </c>
      <c r="Q360" s="30"/>
      <c r="R360" s="30"/>
      <c r="S360" s="30"/>
      <c r="T360" s="30"/>
      <c r="U360" s="30"/>
      <c r="V360" s="30"/>
      <c r="W360" s="30"/>
      <c r="X360" s="30"/>
      <c r="Y360" s="30"/>
      <c r="Z360" s="30"/>
      <c r="AA360" s="30"/>
      <c r="AB360" s="30"/>
      <c r="AC360" s="30"/>
      <c r="AD360" s="30"/>
      <c r="AE360" s="30"/>
      <c r="AF360" s="30"/>
      <c r="AG360" s="30"/>
      <c r="AH360" s="30"/>
      <c r="AI360" s="30"/>
      <c r="AJ360" s="30"/>
      <c r="AK360" s="30"/>
      <c r="AL360" s="30"/>
      <c r="AM360" s="30"/>
      <c r="AN360" s="30"/>
      <c r="AO360" s="30"/>
      <c r="AP360" s="30"/>
      <c r="AQ360" s="30"/>
      <c r="AR360" s="30"/>
      <c r="AS360" s="30"/>
      <c r="AT360" s="30"/>
      <c r="AU360" s="30"/>
      <c r="AV360" s="30"/>
      <c r="AW360" s="30"/>
      <c r="AX360" s="30"/>
      <c r="AY360" s="30"/>
      <c r="AZ360" s="30"/>
      <c r="BA360" s="30"/>
      <c r="BB360" s="30"/>
      <c r="BC360" s="30"/>
      <c r="BD360" s="30"/>
      <c r="BE360" s="30"/>
      <c r="BF360" s="30"/>
      <c r="BG360" s="30"/>
      <c r="BH360" s="30"/>
      <c r="BI360" s="30"/>
      <c r="BJ360" s="30"/>
      <c r="BK360" s="30"/>
      <c r="BL360" s="30"/>
      <c r="BM360" s="30"/>
      <c r="BN360" s="30"/>
      <c r="BO360" s="30"/>
      <c r="BP360" s="30"/>
      <c r="BQ360" s="30"/>
      <c r="BR360" s="30"/>
      <c r="BS360" s="30"/>
      <c r="BT360" s="30"/>
      <c r="BU360" s="30"/>
      <c r="BV360" s="30"/>
      <c r="BW360" s="30"/>
      <c r="BX360" s="30"/>
      <c r="BY360" s="30"/>
      <c r="BZ360" s="30"/>
      <c r="CA360" s="30"/>
      <c r="CB360" s="30"/>
      <c r="CC360" s="30"/>
      <c r="CD360" s="30"/>
      <c r="CE360" s="30"/>
      <c r="CF360" s="30"/>
      <c r="CG360" s="30"/>
      <c r="CH360" s="30"/>
      <c r="CI360" s="30"/>
      <c r="CJ360" s="30"/>
      <c r="CK360" s="30"/>
      <c r="CL360" s="30"/>
      <c r="CM360" s="30"/>
      <c r="CN360" s="30"/>
      <c r="CO360" s="30"/>
      <c r="CP360" s="30"/>
      <c r="CQ360" s="30"/>
      <c r="CR360" s="30"/>
      <c r="CS360" s="30"/>
      <c r="CT360" s="30"/>
      <c r="CU360" s="30"/>
      <c r="CV360" s="30"/>
      <c r="CW360" s="30"/>
      <c r="CX360" s="30"/>
      <c r="CY360" s="30"/>
      <c r="CZ360" s="30"/>
      <c r="DA360" s="30"/>
      <c r="DB360" s="30"/>
      <c r="DC360" s="30"/>
      <c r="DD360" s="30"/>
      <c r="DE360" s="30"/>
      <c r="DF360" s="30"/>
      <c r="DG360" s="30"/>
      <c r="DH360" s="30"/>
      <c r="DI360" s="30"/>
      <c r="DJ360" s="30"/>
      <c r="DK360" s="30"/>
      <c r="DL360" s="30"/>
      <c r="DM360" s="30"/>
      <c r="DN360" s="30"/>
      <c r="DO360" s="30"/>
      <c r="DP360" s="30"/>
      <c r="DQ360" s="30"/>
      <c r="DR360" s="30"/>
      <c r="DS360" s="30"/>
      <c r="DT360" s="30"/>
      <c r="DU360" s="30"/>
      <c r="DV360" s="30"/>
      <c r="DW360" s="30"/>
      <c r="DX360" s="30"/>
      <c r="DY360" s="30"/>
      <c r="DZ360" s="30"/>
      <c r="EA360" s="30"/>
      <c r="EB360" s="30"/>
      <c r="EC360" s="30"/>
      <c r="ED360" s="30"/>
      <c r="EE360" s="30"/>
      <c r="EF360" s="30"/>
      <c r="EG360" s="30"/>
      <c r="EH360" s="30"/>
      <c r="EI360" s="30"/>
      <c r="EJ360" s="30"/>
      <c r="EK360" s="30"/>
      <c r="EL360" s="30"/>
      <c r="EM360" s="30"/>
      <c r="EN360" s="30"/>
      <c r="EO360" s="30"/>
      <c r="EP360" s="30"/>
      <c r="EQ360" s="30"/>
      <c r="ER360" s="30"/>
      <c r="ES360" s="30"/>
      <c r="ET360" s="30"/>
      <c r="EU360" s="30"/>
      <c r="EV360" s="30"/>
      <c r="EW360" s="30"/>
      <c r="EX360" s="30"/>
      <c r="EY360" s="30"/>
      <c r="EZ360" s="30"/>
      <c r="FA360" s="30"/>
      <c r="FB360" s="30"/>
      <c r="FC360" s="30"/>
      <c r="FD360" s="30"/>
      <c r="FE360" s="30"/>
      <c r="FF360" s="30"/>
      <c r="FG360" s="30"/>
      <c r="FH360" s="30"/>
      <c r="FI360" s="30"/>
      <c r="FJ360" s="30"/>
      <c r="FK360" s="30"/>
      <c r="FL360" s="30"/>
      <c r="FM360" s="30"/>
      <c r="FN360" s="30"/>
      <c r="FO360" s="30"/>
      <c r="FP360" s="30"/>
      <c r="FQ360" s="30"/>
      <c r="FR360" s="30"/>
      <c r="FS360" s="30"/>
      <c r="FT360" s="30"/>
      <c r="FU360" s="30"/>
      <c r="FV360" s="30"/>
      <c r="FW360" s="30"/>
      <c r="FX360" s="30"/>
      <c r="FY360" s="30"/>
      <c r="FZ360" s="30"/>
      <c r="GA360" s="30"/>
      <c r="GB360" s="30"/>
      <c r="GC360" s="30"/>
      <c r="GD360" s="30"/>
      <c r="GE360" s="30"/>
      <c r="GF360" s="30"/>
      <c r="GG360" s="30"/>
      <c r="GH360" s="30"/>
      <c r="GI360" s="30"/>
      <c r="GJ360" s="30"/>
      <c r="GK360" s="30"/>
      <c r="GL360" s="30"/>
      <c r="GM360" s="30"/>
      <c r="GN360" s="30"/>
      <c r="GO360" s="30"/>
      <c r="GP360" s="30"/>
      <c r="GQ360" s="30"/>
      <c r="GR360" s="30"/>
      <c r="GS360" s="30"/>
      <c r="GT360" s="30"/>
      <c r="GU360" s="30"/>
      <c r="GV360" s="30"/>
      <c r="GW360" s="30"/>
      <c r="GX360" s="30"/>
      <c r="GY360" s="30"/>
      <c r="GZ360" s="30"/>
      <c r="HA360" s="30"/>
      <c r="HB360" s="30"/>
      <c r="HC360" s="30"/>
      <c r="HD360" s="30"/>
      <c r="HE360" s="30"/>
      <c r="HF360" s="30"/>
      <c r="HG360" s="30"/>
      <c r="HH360" s="30"/>
      <c r="HI360" s="30"/>
      <c r="HJ360" s="30"/>
      <c r="HK360" s="30"/>
      <c r="HL360" s="30"/>
      <c r="HM360" s="30"/>
      <c r="HN360" s="30"/>
      <c r="HO360" s="30"/>
      <c r="HP360" s="30"/>
      <c r="HQ360" s="30"/>
      <c r="HR360" s="30"/>
      <c r="HS360" s="30"/>
      <c r="HT360" s="30"/>
      <c r="HU360" s="30"/>
      <c r="HV360" s="30"/>
      <c r="HW360" s="30"/>
      <c r="HX360" s="30"/>
      <c r="HY360" s="30"/>
      <c r="HZ360" s="30"/>
      <c r="IA360" s="30"/>
      <c r="IB360" s="30"/>
      <c r="IC360" s="30"/>
      <c r="ID360" s="30"/>
      <c r="IE360" s="30"/>
      <c r="IF360" s="30"/>
      <c r="IG360" s="30"/>
      <c r="IH360" s="30"/>
      <c r="II360" s="30"/>
      <c r="IJ360" s="30"/>
      <c r="IK360" s="30"/>
      <c r="IL360" s="30"/>
      <c r="IM360" s="30"/>
      <c r="IN360" s="30"/>
      <c r="IO360" s="30"/>
      <c r="IP360" s="30"/>
      <c r="IQ360" s="30"/>
      <c r="IR360" s="30"/>
      <c r="IS360" s="30"/>
      <c r="IT360" s="30"/>
      <c r="IU360" s="30"/>
      <c r="IV360" s="30"/>
      <c r="IW360" s="30"/>
      <c r="IX360" s="30"/>
      <c r="IY360" s="30"/>
      <c r="IZ360" s="30"/>
      <c r="JA360" s="30"/>
      <c r="JB360" s="30"/>
      <c r="JC360" s="30"/>
      <c r="JD360" s="30"/>
      <c r="JE360" s="30"/>
      <c r="JF360" s="30"/>
      <c r="JG360" s="30"/>
      <c r="JH360" s="30"/>
      <c r="JI360" s="30"/>
      <c r="JJ360" s="30"/>
      <c r="JK360" s="30"/>
      <c r="JL360" s="30"/>
      <c r="JM360" s="30"/>
      <c r="JN360" s="30"/>
      <c r="JO360" s="30"/>
      <c r="JP360" s="30"/>
      <c r="JQ360" s="30"/>
      <c r="JR360" s="30"/>
      <c r="JS360" s="30"/>
      <c r="JT360" s="30"/>
      <c r="JU360" s="30"/>
      <c r="JV360" s="30"/>
      <c r="JW360" s="30"/>
      <c r="JX360" s="30"/>
      <c r="JY360" s="30"/>
      <c r="JZ360" s="30"/>
      <c r="KA360" s="30"/>
      <c r="KB360" s="30"/>
      <c r="KC360" s="30"/>
      <c r="KD360" s="30"/>
      <c r="KE360" s="30"/>
      <c r="KF360" s="30"/>
      <c r="KG360" s="30"/>
      <c r="KH360" s="30"/>
      <c r="KI360" s="30"/>
      <c r="KJ360" s="30"/>
      <c r="KK360" s="30"/>
      <c r="KL360" s="30"/>
      <c r="KM360" s="30"/>
      <c r="KN360" s="30"/>
      <c r="KO360" s="30"/>
      <c r="KP360" s="30"/>
      <c r="KQ360" s="30"/>
      <c r="KR360" s="30"/>
      <c r="KS360" s="30"/>
      <c r="KT360" s="30"/>
      <c r="KU360" s="30"/>
      <c r="KV360" s="30"/>
      <c r="KW360" s="30"/>
      <c r="KX360" s="30"/>
      <c r="KY360" s="30"/>
      <c r="KZ360" s="30"/>
      <c r="LA360" s="30"/>
      <c r="LB360" s="30"/>
      <c r="LC360" s="30"/>
      <c r="LD360" s="30"/>
      <c r="LE360" s="30"/>
      <c r="LF360" s="30"/>
      <c r="LG360" s="30"/>
      <c r="LH360" s="30"/>
      <c r="LI360" s="30"/>
      <c r="LJ360" s="30"/>
      <c r="LK360" s="30"/>
      <c r="LL360" s="30"/>
      <c r="LM360" s="30"/>
      <c r="LN360" s="30"/>
      <c r="LO360" s="30"/>
      <c r="LP360" s="30"/>
      <c r="LQ360" s="30"/>
      <c r="LR360" s="30"/>
      <c r="LS360" s="30"/>
      <c r="LT360" s="30"/>
      <c r="LU360" s="30"/>
      <c r="LV360" s="30"/>
      <c r="LW360" s="30"/>
      <c r="LX360" s="30"/>
      <c r="LY360" s="30"/>
      <c r="LZ360" s="30"/>
      <c r="MA360" s="30"/>
      <c r="MB360" s="30"/>
      <c r="MC360" s="30"/>
      <c r="MD360" s="30"/>
      <c r="ME360" s="30"/>
      <c r="MF360" s="30"/>
      <c r="MG360" s="30"/>
      <c r="MH360" s="30"/>
      <c r="MI360" s="30"/>
      <c r="MJ360" s="30"/>
      <c r="MK360" s="30"/>
      <c r="ML360" s="30"/>
      <c r="MM360" s="30"/>
      <c r="MN360" s="30"/>
      <c r="MO360" s="30"/>
      <c r="MP360" s="30"/>
      <c r="MQ360" s="30"/>
      <c r="MR360" s="30"/>
      <c r="MS360" s="30"/>
      <c r="MT360" s="30"/>
      <c r="MU360" s="30"/>
      <c r="MV360" s="30"/>
      <c r="MW360" s="30"/>
      <c r="MX360" s="30"/>
      <c r="MY360" s="30"/>
      <c r="MZ360" s="30"/>
      <c r="NA360" s="30"/>
      <c r="NB360" s="30"/>
      <c r="NC360" s="30"/>
      <c r="ND360" s="30"/>
      <c r="NE360" s="30"/>
      <c r="NF360" s="30"/>
      <c r="NG360" s="30"/>
      <c r="NH360" s="30"/>
      <c r="NI360" s="30"/>
      <c r="NJ360" s="30"/>
      <c r="NK360" s="30"/>
      <c r="NL360" s="30"/>
      <c r="NM360" s="30"/>
      <c r="NN360" s="30"/>
      <c r="NO360" s="30"/>
      <c r="NP360" s="30"/>
      <c r="NQ360" s="30"/>
      <c r="NR360" s="30"/>
      <c r="NS360" s="30"/>
      <c r="NT360" s="30"/>
      <c r="NU360" s="30"/>
      <c r="NV360" s="30"/>
      <c r="NW360" s="30"/>
      <c r="NX360" s="30"/>
      <c r="NY360" s="30"/>
      <c r="NZ360" s="30"/>
      <c r="OA360" s="30"/>
      <c r="OB360" s="30"/>
      <c r="OC360" s="30"/>
      <c r="OD360" s="30"/>
      <c r="OE360" s="30"/>
    </row>
    <row r="361" spans="1:395" ht="13.8" customHeight="1" outlineLevel="1" x14ac:dyDescent="0.3">
      <c r="C361" s="128" t="s">
        <v>121</v>
      </c>
      <c r="D361" s="133"/>
      <c r="N361" s="30" t="s">
        <v>111</v>
      </c>
      <c r="O361" s="30"/>
      <c r="P361" s="32" t="s">
        <v>75</v>
      </c>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0"/>
      <c r="HS361" s="30"/>
      <c r="HT361" s="30"/>
      <c r="HU361" s="30"/>
      <c r="HV361" s="30"/>
      <c r="HW361" s="30"/>
      <c r="HX361" s="30"/>
      <c r="HY361" s="30"/>
      <c r="HZ361" s="30"/>
      <c r="IA361" s="30"/>
      <c r="IB361" s="30"/>
      <c r="IC361" s="30"/>
      <c r="ID361" s="30"/>
      <c r="IE361" s="30"/>
      <c r="IF361" s="30"/>
      <c r="IG361" s="30"/>
      <c r="IH361" s="30"/>
      <c r="II361" s="30"/>
      <c r="IJ361" s="30"/>
      <c r="IK361" s="30"/>
      <c r="IL361" s="30"/>
      <c r="IM361" s="30"/>
      <c r="IN361" s="30"/>
      <c r="IO361" s="30"/>
      <c r="IP361" s="30"/>
      <c r="IQ361" s="30"/>
      <c r="IR361" s="30"/>
      <c r="IS361" s="30"/>
      <c r="IT361" s="30"/>
      <c r="IU361" s="30"/>
      <c r="IV361" s="30"/>
      <c r="IW361" s="30"/>
      <c r="IX361" s="30"/>
      <c r="IY361" s="30"/>
      <c r="IZ361" s="30"/>
      <c r="JA361" s="30"/>
      <c r="JB361" s="30"/>
      <c r="JC361" s="30"/>
      <c r="JD361" s="30"/>
      <c r="JE361" s="30"/>
      <c r="JF361" s="30"/>
      <c r="JG361" s="30"/>
      <c r="JH361" s="30"/>
      <c r="JI361" s="30"/>
      <c r="JJ361" s="30"/>
      <c r="JK361" s="30"/>
      <c r="JL361" s="30"/>
      <c r="JM361" s="30"/>
      <c r="JN361" s="30"/>
      <c r="JO361" s="30"/>
      <c r="JP361" s="30"/>
      <c r="JQ361" s="30"/>
      <c r="JR361" s="30"/>
      <c r="JS361" s="30"/>
      <c r="JT361" s="30"/>
      <c r="JU361" s="30"/>
      <c r="JV361" s="30"/>
      <c r="JW361" s="30"/>
      <c r="JX361" s="30"/>
      <c r="JY361" s="30"/>
      <c r="JZ361" s="30"/>
      <c r="KA361" s="30"/>
      <c r="KB361" s="30"/>
      <c r="KC361" s="30"/>
      <c r="KD361" s="30"/>
      <c r="KE361" s="30"/>
      <c r="KF361" s="30"/>
      <c r="KG361" s="30"/>
      <c r="KH361" s="30"/>
      <c r="KI361" s="30"/>
      <c r="KJ361" s="30"/>
      <c r="KK361" s="30"/>
      <c r="KL361" s="30"/>
      <c r="KM361" s="30"/>
      <c r="KN361" s="30"/>
      <c r="KO361" s="30"/>
      <c r="KP361" s="30"/>
      <c r="KQ361" s="30"/>
      <c r="KR361" s="30"/>
      <c r="KS361" s="30"/>
      <c r="KT361" s="30"/>
      <c r="KU361" s="30"/>
      <c r="KV361" s="30"/>
      <c r="KW361" s="30"/>
      <c r="KX361" s="30"/>
      <c r="KY361" s="30"/>
      <c r="KZ361" s="30"/>
      <c r="LA361" s="30"/>
      <c r="LB361" s="30"/>
      <c r="LC361" s="30"/>
      <c r="LD361" s="30"/>
      <c r="LE361" s="30"/>
      <c r="LF361" s="30"/>
      <c r="LG361" s="30"/>
      <c r="LH361" s="30"/>
      <c r="LI361" s="30"/>
      <c r="LJ361" s="30"/>
      <c r="LK361" s="30"/>
      <c r="LL361" s="30"/>
      <c r="LM361" s="30"/>
      <c r="LN361" s="30"/>
      <c r="LO361" s="30"/>
      <c r="LP361" s="30"/>
      <c r="LQ361" s="30"/>
      <c r="LR361" s="30"/>
      <c r="LS361" s="30"/>
      <c r="LT361" s="30"/>
      <c r="LU361" s="30"/>
      <c r="LV361" s="30"/>
      <c r="LW361" s="30"/>
      <c r="LX361" s="30"/>
      <c r="LY361" s="30"/>
      <c r="LZ361" s="30"/>
      <c r="MA361" s="30"/>
      <c r="MB361" s="30"/>
      <c r="MC361" s="30"/>
      <c r="MD361" s="30"/>
      <c r="ME361" s="30"/>
      <c r="MF361" s="30"/>
      <c r="MG361" s="30"/>
      <c r="MH361" s="30"/>
      <c r="MI361" s="30"/>
      <c r="MJ361" s="30"/>
      <c r="MK361" s="30"/>
      <c r="ML361" s="30"/>
      <c r="MM361" s="30"/>
      <c r="MN361" s="30"/>
      <c r="MO361" s="30"/>
      <c r="MP361" s="30"/>
      <c r="MQ361" s="30"/>
      <c r="MR361" s="30"/>
      <c r="MS361" s="30"/>
      <c r="MT361" s="30"/>
      <c r="MU361" s="30"/>
      <c r="MV361" s="30"/>
      <c r="MW361" s="30"/>
      <c r="MX361" s="30"/>
      <c r="MY361" s="30"/>
      <c r="MZ361" s="30"/>
      <c r="NA361" s="30"/>
      <c r="NB361" s="30"/>
      <c r="NC361" s="30"/>
      <c r="ND361" s="30"/>
      <c r="NE361" s="30"/>
      <c r="NF361" s="30"/>
      <c r="NG361" s="30"/>
      <c r="NH361" s="30"/>
      <c r="NI361" s="30"/>
      <c r="NJ361" s="30"/>
      <c r="NK361" s="30"/>
      <c r="NL361" s="30"/>
      <c r="NM361" s="30"/>
      <c r="NN361" s="30"/>
      <c r="NO361" s="30"/>
      <c r="NP361" s="30"/>
      <c r="NQ361" s="30"/>
      <c r="NR361" s="30"/>
      <c r="NS361" s="30"/>
      <c r="NT361" s="30"/>
      <c r="NU361" s="30"/>
      <c r="NV361" s="30"/>
      <c r="NW361" s="30"/>
      <c r="NX361" s="30"/>
      <c r="NY361" s="30"/>
      <c r="NZ361" s="30"/>
      <c r="OA361" s="30"/>
      <c r="OB361" s="30"/>
      <c r="OC361" s="30"/>
      <c r="OD361" s="30"/>
      <c r="OE361" s="30"/>
    </row>
    <row r="362" spans="1:395" ht="13.8" customHeight="1" outlineLevel="1" x14ac:dyDescent="0.3">
      <c r="D362" s="133" t="s">
        <v>101</v>
      </c>
      <c r="E362" s="12">
        <f>E358</f>
        <v>230</v>
      </c>
      <c r="F362" s="257" t="s">
        <v>65</v>
      </c>
      <c r="N362" s="30"/>
      <c r="O362" s="30"/>
      <c r="P362" s="32"/>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0"/>
      <c r="HS362" s="30"/>
      <c r="HT362" s="30"/>
      <c r="HU362" s="30"/>
      <c r="HV362" s="30"/>
      <c r="HW362" s="30"/>
      <c r="HX362" s="30"/>
      <c r="HY362" s="30"/>
      <c r="HZ362" s="30"/>
      <c r="IA362" s="30"/>
      <c r="IB362" s="30"/>
      <c r="IC362" s="30"/>
      <c r="ID362" s="30"/>
      <c r="IE362" s="30"/>
      <c r="IF362" s="30"/>
      <c r="IG362" s="30"/>
      <c r="IH362" s="30"/>
      <c r="II362" s="30"/>
      <c r="IJ362" s="30"/>
      <c r="IK362" s="30"/>
      <c r="IL362" s="30"/>
      <c r="IM362" s="30"/>
      <c r="IN362" s="30"/>
      <c r="IO362" s="30"/>
      <c r="IP362" s="30"/>
      <c r="IQ362" s="30"/>
      <c r="IR362" s="30"/>
      <c r="IS362" s="30"/>
      <c r="IT362" s="30"/>
      <c r="IU362" s="30"/>
      <c r="IV362" s="30"/>
      <c r="IW362" s="30"/>
      <c r="IX362" s="30"/>
      <c r="IY362" s="30"/>
      <c r="IZ362" s="30"/>
      <c r="JA362" s="30"/>
      <c r="JB362" s="30"/>
      <c r="JC362" s="30"/>
      <c r="JD362" s="30"/>
      <c r="JE362" s="30"/>
      <c r="JF362" s="30"/>
      <c r="JG362" s="30"/>
      <c r="JH362" s="30"/>
      <c r="JI362" s="30"/>
      <c r="JJ362" s="30"/>
      <c r="JK362" s="30"/>
      <c r="JL362" s="30"/>
      <c r="JM362" s="30"/>
      <c r="JN362" s="30"/>
      <c r="JO362" s="30"/>
      <c r="JP362" s="30"/>
      <c r="JQ362" s="30"/>
      <c r="JR362" s="30"/>
      <c r="JS362" s="30"/>
      <c r="JT362" s="30"/>
      <c r="JU362" s="30"/>
      <c r="JV362" s="30"/>
      <c r="JW362" s="30"/>
      <c r="JX362" s="30"/>
      <c r="JY362" s="30"/>
      <c r="JZ362" s="30"/>
      <c r="KA362" s="30"/>
      <c r="KB362" s="30"/>
      <c r="KC362" s="30"/>
      <c r="KD362" s="30"/>
      <c r="KE362" s="30"/>
      <c r="KF362" s="30"/>
      <c r="KG362" s="30"/>
      <c r="KH362" s="30"/>
      <c r="KI362" s="30"/>
      <c r="KJ362" s="30"/>
      <c r="KK362" s="30"/>
      <c r="KL362" s="30"/>
      <c r="KM362" s="30"/>
      <c r="KN362" s="30"/>
      <c r="KO362" s="30"/>
      <c r="KP362" s="30"/>
      <c r="KQ362" s="30"/>
      <c r="KR362" s="30"/>
      <c r="KS362" s="30"/>
      <c r="KT362" s="30"/>
      <c r="KU362" s="30"/>
      <c r="KV362" s="30"/>
      <c r="KW362" s="30"/>
      <c r="KX362" s="30"/>
      <c r="KY362" s="30"/>
      <c r="KZ362" s="30"/>
      <c r="LA362" s="30"/>
      <c r="LB362" s="30"/>
      <c r="LC362" s="30"/>
      <c r="LD362" s="30"/>
      <c r="LE362" s="30"/>
      <c r="LF362" s="30"/>
      <c r="LG362" s="30"/>
      <c r="LH362" s="30"/>
      <c r="LI362" s="30"/>
      <c r="LJ362" s="30"/>
      <c r="LK362" s="30"/>
      <c r="LL362" s="30"/>
      <c r="LM362" s="30"/>
      <c r="LN362" s="30"/>
      <c r="LO362" s="30"/>
      <c r="LP362" s="30"/>
      <c r="LQ362" s="30"/>
      <c r="LR362" s="30"/>
      <c r="LS362" s="30"/>
      <c r="LT362" s="30"/>
      <c r="LU362" s="30"/>
      <c r="LV362" s="30"/>
      <c r="LW362" s="30"/>
      <c r="LX362" s="30"/>
      <c r="LY362" s="30"/>
      <c r="LZ362" s="30"/>
      <c r="MA362" s="30"/>
      <c r="MB362" s="30"/>
      <c r="MC362" s="30"/>
      <c r="MD362" s="30"/>
      <c r="ME362" s="30"/>
      <c r="MF362" s="30"/>
      <c r="MG362" s="30"/>
      <c r="MH362" s="30"/>
      <c r="MI362" s="30"/>
      <c r="MJ362" s="30"/>
      <c r="MK362" s="30"/>
      <c r="ML362" s="30"/>
      <c r="MM362" s="30"/>
      <c r="MN362" s="30"/>
      <c r="MO362" s="30"/>
      <c r="MP362" s="30"/>
      <c r="MQ362" s="30"/>
      <c r="MR362" s="30"/>
      <c r="MS362" s="30"/>
      <c r="MT362" s="30"/>
      <c r="MU362" s="30"/>
      <c r="MV362" s="30"/>
      <c r="MW362" s="30"/>
      <c r="MX362" s="30"/>
      <c r="MY362" s="30"/>
      <c r="MZ362" s="30"/>
      <c r="NA362" s="30"/>
      <c r="NB362" s="30"/>
      <c r="NC362" s="30"/>
      <c r="ND362" s="30"/>
      <c r="NE362" s="30"/>
      <c r="NF362" s="30"/>
      <c r="NG362" s="30"/>
      <c r="NH362" s="30"/>
      <c r="NI362" s="30"/>
      <c r="NJ362" s="30"/>
      <c r="NK362" s="30"/>
      <c r="NL362" s="30"/>
      <c r="NM362" s="30"/>
      <c r="NN362" s="30"/>
      <c r="NO362" s="30"/>
      <c r="NP362" s="30"/>
      <c r="NQ362" s="30"/>
      <c r="NR362" s="30"/>
      <c r="NS362" s="30"/>
      <c r="NT362" s="30"/>
      <c r="NU362" s="30"/>
      <c r="NV362" s="30"/>
      <c r="NW362" s="30"/>
      <c r="NX362" s="30"/>
      <c r="NY362" s="30"/>
      <c r="NZ362" s="30"/>
      <c r="OA362" s="30"/>
      <c r="OB362" s="30"/>
      <c r="OC362" s="30"/>
      <c r="OD362" s="30"/>
      <c r="OE362" s="30"/>
    </row>
    <row r="363" spans="1:395" s="6" customFormat="1" ht="13.8" customHeight="1" x14ac:dyDescent="0.3">
      <c r="A363" s="128"/>
      <c r="B363" s="128"/>
      <c r="C363" s="128"/>
      <c r="D363" s="133" t="s">
        <v>102</v>
      </c>
      <c r="E363" s="12">
        <v>6</v>
      </c>
      <c r="F363" s="257" t="s">
        <v>103</v>
      </c>
      <c r="G363"/>
      <c r="H363"/>
      <c r="I363"/>
      <c r="J363"/>
      <c r="K363"/>
      <c r="L363"/>
      <c r="M363"/>
      <c r="N363" s="30" t="s">
        <v>110</v>
      </c>
      <c r="O363" s="30"/>
      <c r="P363" s="32" t="s">
        <v>78</v>
      </c>
      <c r="Q363" s="30"/>
      <c r="R363" s="30"/>
      <c r="S363" s="30"/>
      <c r="T363" s="30"/>
      <c r="U363" s="30"/>
      <c r="V363" s="30"/>
      <c r="W363" s="30"/>
      <c r="X363" s="30"/>
      <c r="Y363" s="30"/>
      <c r="Z363" s="30"/>
      <c r="AA363" s="30"/>
      <c r="AB363" s="30"/>
      <c r="AC363" s="30"/>
      <c r="AD363" s="30"/>
      <c r="AE363" s="30"/>
      <c r="AF363" s="30"/>
      <c r="AG363" s="30"/>
      <c r="AH363" s="30"/>
      <c r="AI363" s="30"/>
      <c r="AJ363" s="30"/>
      <c r="AK363" s="30"/>
      <c r="AL363" s="30"/>
      <c r="AM363" s="30"/>
      <c r="AN363" s="30"/>
      <c r="AO363" s="30"/>
      <c r="AP363" s="30"/>
      <c r="AQ363" s="30"/>
      <c r="AR363" s="30"/>
      <c r="AS363" s="30"/>
      <c r="AT363" s="30"/>
      <c r="AU363" s="30"/>
      <c r="AV363" s="30"/>
      <c r="AW363" s="30"/>
      <c r="AX363" s="30"/>
      <c r="AY363" s="30"/>
      <c r="AZ363" s="30"/>
      <c r="BA363" s="30"/>
      <c r="BB363" s="30"/>
      <c r="BC363" s="30"/>
      <c r="BD363" s="30"/>
      <c r="BE363" s="30"/>
      <c r="BF363" s="30"/>
      <c r="BG363" s="30"/>
      <c r="BH363" s="30"/>
      <c r="BI363" s="30"/>
      <c r="BJ363" s="30"/>
      <c r="BK363" s="30"/>
      <c r="BL363" s="30"/>
      <c r="BM363" s="30"/>
      <c r="BN363" s="30"/>
      <c r="BO363" s="30"/>
      <c r="BP363" s="30"/>
      <c r="BQ363" s="30"/>
      <c r="BR363" s="30"/>
      <c r="BS363" s="30"/>
      <c r="BT363" s="30"/>
      <c r="BU363" s="30"/>
      <c r="BV363" s="30"/>
      <c r="BW363" s="30"/>
      <c r="BX363" s="30"/>
      <c r="BY363" s="30"/>
      <c r="BZ363" s="30"/>
      <c r="CA363" s="30"/>
      <c r="CB363" s="30"/>
      <c r="CC363" s="30"/>
      <c r="CD363" s="30"/>
      <c r="CE363" s="30"/>
      <c r="CF363" s="30"/>
      <c r="CG363" s="30"/>
      <c r="CH363" s="30"/>
      <c r="CI363" s="30"/>
      <c r="CJ363" s="30"/>
      <c r="CK363" s="30"/>
      <c r="CL363" s="30"/>
      <c r="CM363" s="30"/>
      <c r="CN363" s="30"/>
      <c r="CO363" s="30"/>
      <c r="CP363" s="30"/>
      <c r="CQ363" s="30"/>
      <c r="CR363" s="30"/>
      <c r="CS363" s="30"/>
      <c r="CT363" s="30"/>
      <c r="CU363" s="30"/>
      <c r="CV363" s="30"/>
      <c r="CW363" s="30"/>
      <c r="CX363" s="30"/>
      <c r="CY363" s="30"/>
      <c r="CZ363" s="30"/>
      <c r="DA363" s="30"/>
      <c r="DB363" s="30"/>
      <c r="DC363" s="30"/>
      <c r="DD363" s="30"/>
      <c r="DE363" s="30"/>
      <c r="DF363" s="30"/>
      <c r="DG363" s="30"/>
      <c r="DH363" s="30"/>
      <c r="DI363" s="30"/>
      <c r="DJ363" s="30"/>
      <c r="DK363" s="30"/>
      <c r="DL363" s="30"/>
      <c r="DM363" s="30"/>
      <c r="DN363" s="30"/>
      <c r="DO363" s="30"/>
      <c r="DP363" s="30"/>
      <c r="DQ363" s="30"/>
      <c r="DR363" s="30"/>
      <c r="DS363" s="30"/>
      <c r="DT363" s="30"/>
      <c r="DU363" s="30"/>
      <c r="DV363" s="30"/>
      <c r="DW363" s="30"/>
      <c r="DX363" s="30"/>
      <c r="DY363" s="30"/>
      <c r="DZ363" s="30"/>
      <c r="EA363" s="30"/>
      <c r="EB363" s="30"/>
      <c r="EC363" s="30"/>
      <c r="ED363" s="30"/>
      <c r="EE363" s="30"/>
      <c r="EF363" s="30"/>
      <c r="EG363" s="30"/>
      <c r="EH363" s="30"/>
      <c r="EI363" s="30"/>
      <c r="EJ363" s="30"/>
      <c r="EK363" s="30"/>
      <c r="EL363" s="30"/>
      <c r="EM363" s="30"/>
      <c r="EN363" s="30"/>
      <c r="EO363" s="30"/>
      <c r="EP363" s="30"/>
      <c r="EQ363" s="30"/>
      <c r="ER363" s="30"/>
      <c r="ES363" s="30"/>
      <c r="ET363" s="30"/>
      <c r="EU363" s="30"/>
      <c r="EV363" s="30"/>
      <c r="EW363" s="30"/>
      <c r="EX363" s="30"/>
      <c r="EY363" s="30"/>
      <c r="EZ363" s="30"/>
      <c r="FA363" s="30"/>
      <c r="FB363" s="30"/>
      <c r="FC363" s="30"/>
      <c r="FD363" s="30"/>
      <c r="FE363" s="30"/>
      <c r="FF363" s="30"/>
      <c r="FG363" s="30"/>
      <c r="FH363" s="30"/>
      <c r="FI363" s="30"/>
      <c r="FJ363" s="30"/>
      <c r="FK363" s="30"/>
      <c r="FL363" s="30"/>
      <c r="FM363" s="30"/>
      <c r="FN363" s="30"/>
      <c r="FO363" s="30"/>
      <c r="FP363" s="30"/>
      <c r="FQ363" s="30"/>
      <c r="FR363" s="30"/>
      <c r="FS363" s="30"/>
      <c r="FT363" s="30"/>
      <c r="FU363" s="30"/>
      <c r="FV363" s="30"/>
      <c r="FW363" s="30"/>
      <c r="FX363" s="30"/>
      <c r="FY363" s="30"/>
      <c r="FZ363" s="30"/>
      <c r="GA363" s="30"/>
      <c r="GB363" s="30"/>
      <c r="GC363" s="30"/>
      <c r="GD363" s="30"/>
      <c r="GE363" s="30"/>
      <c r="GF363" s="30"/>
      <c r="GG363" s="30"/>
      <c r="GH363" s="30"/>
      <c r="GI363" s="30"/>
      <c r="GJ363" s="30"/>
      <c r="GK363" s="30"/>
      <c r="GL363" s="30"/>
      <c r="GM363" s="30"/>
      <c r="GN363" s="30"/>
      <c r="GO363" s="30"/>
      <c r="GP363" s="30"/>
      <c r="GQ363" s="30"/>
      <c r="GR363" s="30"/>
      <c r="GS363" s="30"/>
      <c r="GT363" s="30"/>
      <c r="GU363" s="30"/>
      <c r="GV363" s="30"/>
      <c r="GW363" s="30"/>
      <c r="GX363" s="30"/>
      <c r="GY363" s="30"/>
      <c r="GZ363" s="30"/>
      <c r="HA363" s="30"/>
      <c r="HB363" s="30"/>
      <c r="HC363" s="30"/>
      <c r="HD363" s="30"/>
      <c r="HE363" s="30"/>
      <c r="HF363" s="30"/>
      <c r="HG363" s="30"/>
      <c r="HH363" s="30"/>
      <c r="HI363" s="30"/>
      <c r="HJ363" s="30"/>
      <c r="HK363" s="30"/>
      <c r="HL363" s="30"/>
      <c r="HM363" s="30"/>
      <c r="HN363" s="30"/>
      <c r="HO363" s="30"/>
      <c r="HP363" s="30"/>
      <c r="HQ363" s="30"/>
      <c r="HR363" s="30"/>
      <c r="HS363" s="30"/>
      <c r="HT363" s="30"/>
      <c r="HU363" s="30"/>
      <c r="HV363" s="30"/>
      <c r="HW363" s="30"/>
      <c r="HX363" s="30"/>
      <c r="HY363" s="30"/>
      <c r="HZ363" s="30"/>
      <c r="IA363" s="30"/>
      <c r="IB363" s="30"/>
      <c r="IC363" s="30"/>
      <c r="ID363" s="30"/>
      <c r="IE363" s="30"/>
      <c r="IF363" s="30"/>
      <c r="IG363" s="30"/>
      <c r="IH363" s="30"/>
      <c r="II363" s="30"/>
      <c r="IJ363" s="30"/>
      <c r="IK363" s="30"/>
      <c r="IL363" s="30"/>
      <c r="IM363" s="30"/>
      <c r="IN363" s="30"/>
      <c r="IO363" s="30"/>
      <c r="IP363" s="30"/>
      <c r="IQ363" s="30"/>
      <c r="IR363" s="30"/>
      <c r="IS363" s="30"/>
      <c r="IT363" s="30"/>
      <c r="IU363" s="30"/>
      <c r="IV363" s="30"/>
      <c r="IW363" s="30"/>
      <c r="IX363" s="30"/>
      <c r="IY363" s="30"/>
      <c r="IZ363" s="30"/>
      <c r="JA363" s="30"/>
      <c r="JB363" s="30"/>
      <c r="JC363" s="30"/>
      <c r="JD363" s="30"/>
      <c r="JE363" s="30"/>
      <c r="JF363" s="30"/>
      <c r="JG363" s="30"/>
      <c r="JH363" s="30"/>
      <c r="JI363" s="30"/>
      <c r="JJ363" s="30"/>
      <c r="JK363" s="30"/>
      <c r="JL363" s="30"/>
      <c r="JM363" s="30"/>
      <c r="JN363" s="30"/>
      <c r="JO363" s="30"/>
      <c r="JP363" s="30"/>
      <c r="JQ363" s="30"/>
      <c r="JR363" s="30"/>
      <c r="JS363" s="30"/>
      <c r="JT363" s="30"/>
      <c r="JU363" s="30"/>
      <c r="JV363" s="30"/>
      <c r="JW363" s="30"/>
      <c r="JX363" s="30"/>
      <c r="JY363" s="30"/>
      <c r="JZ363" s="30"/>
      <c r="KA363" s="30"/>
      <c r="KB363" s="30"/>
      <c r="KC363" s="30"/>
      <c r="KD363" s="30"/>
      <c r="KE363" s="30"/>
      <c r="KF363" s="30"/>
      <c r="KG363" s="30"/>
      <c r="KH363" s="30"/>
      <c r="KI363" s="30"/>
      <c r="KJ363" s="30"/>
      <c r="KK363" s="30"/>
      <c r="KL363" s="30"/>
      <c r="KM363" s="30"/>
      <c r="KN363" s="30"/>
      <c r="KO363" s="30"/>
      <c r="KP363" s="30"/>
      <c r="KQ363" s="30"/>
      <c r="KR363" s="30"/>
      <c r="KS363" s="30"/>
      <c r="KT363" s="30"/>
      <c r="KU363" s="30"/>
      <c r="KV363" s="30"/>
      <c r="KW363" s="30"/>
      <c r="KX363" s="30"/>
      <c r="KY363" s="30"/>
      <c r="KZ363" s="30"/>
      <c r="LA363" s="30"/>
      <c r="LB363" s="30"/>
      <c r="LC363" s="30"/>
      <c r="LD363" s="30"/>
      <c r="LE363" s="30"/>
      <c r="LF363" s="30"/>
      <c r="LG363" s="30"/>
      <c r="LH363" s="30"/>
      <c r="LI363" s="30"/>
      <c r="LJ363" s="30"/>
      <c r="LK363" s="30"/>
      <c r="LL363" s="30"/>
      <c r="LM363" s="30"/>
      <c r="LN363" s="30"/>
      <c r="LO363" s="30"/>
      <c r="LP363" s="30"/>
      <c r="LQ363" s="30"/>
      <c r="LR363" s="30"/>
      <c r="LS363" s="30"/>
      <c r="LT363" s="30"/>
      <c r="LU363" s="30"/>
      <c r="LV363" s="30"/>
      <c r="LW363" s="30"/>
      <c r="LX363" s="30"/>
      <c r="LY363" s="30"/>
      <c r="LZ363" s="30"/>
      <c r="MA363" s="30"/>
      <c r="MB363" s="30"/>
      <c r="MC363" s="30"/>
      <c r="MD363" s="30"/>
      <c r="ME363" s="30"/>
      <c r="MF363" s="30"/>
      <c r="MG363" s="30"/>
      <c r="MH363" s="30"/>
      <c r="MI363" s="30"/>
      <c r="MJ363" s="30"/>
      <c r="MK363" s="30"/>
      <c r="ML363" s="30"/>
      <c r="MM363" s="30"/>
      <c r="MN363" s="30"/>
      <c r="MO363" s="30"/>
      <c r="MP363" s="30"/>
      <c r="MQ363" s="30"/>
      <c r="MR363" s="30"/>
      <c r="MS363" s="30"/>
      <c r="MT363" s="30"/>
      <c r="MU363" s="30"/>
      <c r="MV363" s="30"/>
      <c r="MW363" s="30"/>
      <c r="MX363" s="30"/>
      <c r="MY363" s="30"/>
      <c r="MZ363" s="30"/>
      <c r="NA363" s="30"/>
      <c r="NB363" s="30"/>
      <c r="NC363" s="30"/>
      <c r="ND363" s="30"/>
      <c r="NE363" s="30"/>
      <c r="NF363" s="30"/>
      <c r="NG363" s="30"/>
      <c r="NH363" s="30"/>
      <c r="NI363" s="30"/>
      <c r="NJ363" s="30"/>
      <c r="NK363" s="30"/>
      <c r="NL363" s="30"/>
      <c r="NM363" s="30"/>
      <c r="NN363" s="30"/>
      <c r="NO363" s="30"/>
      <c r="NP363" s="30"/>
      <c r="NQ363" s="30"/>
      <c r="NR363" s="30"/>
      <c r="NS363" s="30"/>
      <c r="NT363" s="30"/>
      <c r="NU363" s="30"/>
      <c r="NV363" s="30"/>
      <c r="NW363" s="30"/>
      <c r="NX363" s="30"/>
      <c r="NY363" s="30"/>
      <c r="NZ363" s="30"/>
      <c r="OA363" s="30"/>
      <c r="OB363" s="30"/>
      <c r="OC363" s="30"/>
      <c r="OD363" s="30"/>
      <c r="OE363" s="30"/>
    </row>
    <row r="364" spans="1:395" ht="13.8" customHeight="1" collapsed="1" x14ac:dyDescent="0.3">
      <c r="D364" s="133" t="s">
        <v>61</v>
      </c>
      <c r="E364" s="12">
        <v>85</v>
      </c>
      <c r="F364" s="257" t="s">
        <v>65</v>
      </c>
      <c r="N364" s="30" t="s">
        <v>109</v>
      </c>
      <c r="O364" s="30"/>
      <c r="P364" s="32" t="s">
        <v>78</v>
      </c>
      <c r="Q364" s="30"/>
      <c r="R364" s="30"/>
      <c r="S364" s="30"/>
      <c r="T364" s="30"/>
      <c r="U364" s="30"/>
      <c r="V364" s="30"/>
      <c r="W364" s="30"/>
      <c r="X364" s="30"/>
      <c r="Y364" s="30"/>
      <c r="Z364" s="30"/>
      <c r="AA364" s="30"/>
      <c r="AB364" s="30"/>
      <c r="AC364" s="30"/>
      <c r="AD364" s="30"/>
      <c r="AE364" s="30"/>
      <c r="AF364" s="30"/>
      <c r="AG364" s="30"/>
      <c r="AH364" s="30"/>
      <c r="AI364" s="30"/>
      <c r="AJ364" s="30"/>
      <c r="AK364" s="30"/>
      <c r="AL364" s="30"/>
      <c r="AM364" s="30"/>
      <c r="AN364" s="30"/>
      <c r="AO364" s="30"/>
      <c r="AP364" s="30"/>
      <c r="AQ364" s="30"/>
      <c r="AR364" s="30"/>
      <c r="AS364" s="30"/>
      <c r="AT364" s="30"/>
      <c r="AU364" s="30"/>
      <c r="AV364" s="30"/>
      <c r="AW364" s="30"/>
      <c r="AX364" s="30"/>
      <c r="AY364" s="30"/>
      <c r="AZ364" s="30"/>
      <c r="BA364" s="30"/>
      <c r="BB364" s="30"/>
      <c r="BC364" s="30"/>
      <c r="BD364" s="30"/>
      <c r="BE364" s="30"/>
      <c r="BF364" s="30"/>
      <c r="BG364" s="30"/>
      <c r="BH364" s="30"/>
      <c r="BI364" s="30"/>
      <c r="BJ364" s="30"/>
      <c r="BK364" s="30"/>
      <c r="BL364" s="30"/>
      <c r="BM364" s="30"/>
      <c r="BN364" s="30"/>
      <c r="BO364" s="30"/>
      <c r="BP364" s="30"/>
      <c r="BQ364" s="30"/>
      <c r="BR364" s="30"/>
      <c r="BS364" s="30"/>
      <c r="BT364" s="30"/>
      <c r="BU364" s="30"/>
      <c r="BV364" s="30"/>
      <c r="BW364" s="30"/>
      <c r="BX364" s="30"/>
      <c r="BY364" s="30"/>
      <c r="BZ364" s="30"/>
      <c r="CA364" s="30"/>
      <c r="CB364" s="30"/>
      <c r="CC364" s="30"/>
      <c r="CD364" s="30"/>
      <c r="CE364" s="30"/>
      <c r="CF364" s="30"/>
      <c r="CG364" s="30"/>
      <c r="CH364" s="30"/>
      <c r="CI364" s="30"/>
      <c r="CJ364" s="30"/>
      <c r="CK364" s="30"/>
      <c r="CL364" s="30"/>
      <c r="CM364" s="30"/>
      <c r="CN364" s="30"/>
      <c r="CO364" s="30"/>
      <c r="CP364" s="30"/>
      <c r="CQ364" s="30"/>
      <c r="CR364" s="30"/>
      <c r="CS364" s="30"/>
      <c r="CT364" s="30"/>
      <c r="CU364" s="30"/>
      <c r="CV364" s="30"/>
      <c r="CW364" s="30"/>
      <c r="CX364" s="30"/>
      <c r="CY364" s="30"/>
      <c r="CZ364" s="30"/>
      <c r="DA364" s="30"/>
      <c r="DB364" s="30"/>
      <c r="DC364" s="30"/>
      <c r="DD364" s="30"/>
      <c r="DE364" s="30"/>
      <c r="DF364" s="30"/>
      <c r="DG364" s="30"/>
      <c r="DH364" s="30"/>
      <c r="DI364" s="30"/>
      <c r="DJ364" s="30"/>
      <c r="DK364" s="30"/>
      <c r="DL364" s="30"/>
      <c r="DM364" s="30"/>
      <c r="DN364" s="30"/>
      <c r="DO364" s="30"/>
      <c r="DP364" s="30"/>
      <c r="DQ364" s="30"/>
      <c r="DR364" s="30"/>
      <c r="DS364" s="30"/>
      <c r="DT364" s="30"/>
      <c r="DU364" s="30"/>
      <c r="DV364" s="30"/>
      <c r="DW364" s="30"/>
      <c r="DX364" s="30"/>
      <c r="DY364" s="30"/>
      <c r="DZ364" s="30"/>
      <c r="EA364" s="30"/>
      <c r="EB364" s="30"/>
      <c r="EC364" s="30"/>
      <c r="ED364" s="30"/>
      <c r="EE364" s="30"/>
      <c r="EF364" s="30"/>
      <c r="EG364" s="30"/>
      <c r="EH364" s="30"/>
      <c r="EI364" s="30"/>
      <c r="EJ364" s="30"/>
      <c r="EK364" s="30"/>
      <c r="EL364" s="30"/>
      <c r="EM364" s="30"/>
      <c r="EN364" s="30"/>
      <c r="EO364" s="30"/>
      <c r="EP364" s="30"/>
      <c r="EQ364" s="30"/>
      <c r="ER364" s="30"/>
      <c r="ES364" s="30"/>
      <c r="ET364" s="30"/>
      <c r="EU364" s="30"/>
      <c r="EV364" s="30"/>
      <c r="EW364" s="30"/>
      <c r="EX364" s="30"/>
      <c r="EY364" s="30"/>
      <c r="EZ364" s="30"/>
      <c r="FA364" s="30"/>
      <c r="FB364" s="30"/>
      <c r="FC364" s="30"/>
      <c r="FD364" s="30"/>
      <c r="FE364" s="30"/>
      <c r="FF364" s="30"/>
      <c r="FG364" s="30"/>
      <c r="FH364" s="30"/>
      <c r="FI364" s="30"/>
      <c r="FJ364" s="30"/>
      <c r="FK364" s="30"/>
      <c r="FL364" s="30"/>
      <c r="FM364" s="30"/>
      <c r="FN364" s="30"/>
      <c r="FO364" s="30"/>
      <c r="FP364" s="30"/>
      <c r="FQ364" s="30"/>
      <c r="FR364" s="30"/>
      <c r="FS364" s="30"/>
      <c r="FT364" s="30"/>
      <c r="FU364" s="30"/>
      <c r="FV364" s="30"/>
      <c r="FW364" s="30"/>
      <c r="FX364" s="30"/>
      <c r="FY364" s="30"/>
      <c r="FZ364" s="30"/>
      <c r="GA364" s="30"/>
      <c r="GB364" s="30"/>
      <c r="GC364" s="30"/>
      <c r="GD364" s="30"/>
      <c r="GE364" s="30"/>
      <c r="GF364" s="30"/>
      <c r="GG364" s="30"/>
      <c r="GH364" s="30"/>
      <c r="GI364" s="30"/>
      <c r="GJ364" s="30"/>
      <c r="GK364" s="30"/>
      <c r="GL364" s="30"/>
      <c r="GM364" s="30"/>
      <c r="GN364" s="30"/>
      <c r="GO364" s="30"/>
      <c r="GP364" s="30"/>
      <c r="GQ364" s="30"/>
      <c r="GR364" s="30"/>
      <c r="GS364" s="30"/>
      <c r="GT364" s="30"/>
      <c r="GU364" s="30"/>
      <c r="GV364" s="30"/>
      <c r="GW364" s="30"/>
      <c r="GX364" s="30"/>
      <c r="GY364" s="30"/>
      <c r="GZ364" s="30"/>
      <c r="HA364" s="30"/>
      <c r="HB364" s="30"/>
      <c r="HC364" s="30"/>
      <c r="HD364" s="30"/>
      <c r="HE364" s="30"/>
      <c r="HF364" s="30"/>
      <c r="HG364" s="30"/>
      <c r="HH364" s="30"/>
      <c r="HI364" s="30"/>
      <c r="HJ364" s="30"/>
      <c r="HK364" s="30"/>
      <c r="HL364" s="30"/>
      <c r="HM364" s="30"/>
      <c r="HN364" s="30"/>
      <c r="HO364" s="30"/>
      <c r="HP364" s="30"/>
      <c r="HQ364" s="30"/>
      <c r="HR364" s="30"/>
      <c r="HS364" s="30"/>
      <c r="HT364" s="30"/>
      <c r="HU364" s="30"/>
      <c r="HV364" s="30"/>
      <c r="HW364" s="30"/>
      <c r="HX364" s="30"/>
      <c r="HY364" s="30"/>
      <c r="HZ364" s="30"/>
      <c r="IA364" s="30"/>
      <c r="IB364" s="30"/>
      <c r="IC364" s="30"/>
      <c r="ID364" s="30"/>
      <c r="IE364" s="30"/>
      <c r="IF364" s="30"/>
      <c r="IG364" s="30"/>
      <c r="IH364" s="30"/>
      <c r="II364" s="30"/>
      <c r="IJ364" s="30"/>
      <c r="IK364" s="30"/>
      <c r="IL364" s="30"/>
      <c r="IM364" s="30"/>
      <c r="IN364" s="30"/>
      <c r="IO364" s="30"/>
      <c r="IP364" s="30"/>
      <c r="IQ364" s="30"/>
      <c r="IR364" s="30"/>
      <c r="IS364" s="30"/>
      <c r="IT364" s="30"/>
      <c r="IU364" s="30"/>
      <c r="IV364" s="30"/>
      <c r="IW364" s="30"/>
      <c r="IX364" s="30"/>
      <c r="IY364" s="30"/>
      <c r="IZ364" s="30"/>
      <c r="JA364" s="30"/>
      <c r="JB364" s="30"/>
      <c r="JC364" s="30"/>
      <c r="JD364" s="30"/>
      <c r="JE364" s="30"/>
      <c r="JF364" s="30"/>
      <c r="JG364" s="30"/>
      <c r="JH364" s="30"/>
      <c r="JI364" s="30"/>
      <c r="JJ364" s="30"/>
      <c r="JK364" s="30"/>
      <c r="JL364" s="30"/>
      <c r="JM364" s="30"/>
      <c r="JN364" s="30"/>
      <c r="JO364" s="30"/>
      <c r="JP364" s="30"/>
      <c r="JQ364" s="30"/>
      <c r="JR364" s="30"/>
      <c r="JS364" s="30"/>
      <c r="JT364" s="30"/>
      <c r="JU364" s="30"/>
      <c r="JV364" s="30"/>
      <c r="JW364" s="30"/>
      <c r="JX364" s="30"/>
      <c r="JY364" s="30"/>
      <c r="JZ364" s="30"/>
      <c r="KA364" s="30"/>
      <c r="KB364" s="30"/>
      <c r="KC364" s="30"/>
      <c r="KD364" s="30"/>
      <c r="KE364" s="30"/>
      <c r="KF364" s="30"/>
      <c r="KG364" s="30"/>
      <c r="KH364" s="30"/>
      <c r="KI364" s="30"/>
      <c r="KJ364" s="30"/>
      <c r="KK364" s="30"/>
      <c r="KL364" s="30"/>
      <c r="KM364" s="30"/>
      <c r="KN364" s="30"/>
      <c r="KO364" s="30"/>
      <c r="KP364" s="30"/>
      <c r="KQ364" s="30"/>
      <c r="KR364" s="30"/>
      <c r="KS364" s="30"/>
      <c r="KT364" s="30"/>
      <c r="KU364" s="30"/>
      <c r="KV364" s="30"/>
      <c r="KW364" s="30"/>
      <c r="KX364" s="30"/>
      <c r="KY364" s="30"/>
      <c r="KZ364" s="30"/>
      <c r="LA364" s="30"/>
      <c r="LB364" s="30"/>
      <c r="LC364" s="30"/>
      <c r="LD364" s="30"/>
      <c r="LE364" s="30"/>
      <c r="LF364" s="30"/>
      <c r="LG364" s="30"/>
      <c r="LH364" s="30"/>
      <c r="LI364" s="30"/>
      <c r="LJ364" s="30"/>
      <c r="LK364" s="30"/>
      <c r="LL364" s="30"/>
      <c r="LM364" s="30"/>
      <c r="LN364" s="30"/>
      <c r="LO364" s="30"/>
      <c r="LP364" s="30"/>
      <c r="LQ364" s="30"/>
      <c r="LR364" s="30"/>
      <c r="LS364" s="30"/>
      <c r="LT364" s="30"/>
      <c r="LU364" s="30"/>
      <c r="LV364" s="30"/>
      <c r="LW364" s="30"/>
      <c r="LX364" s="30"/>
      <c r="LY364" s="30"/>
      <c r="LZ364" s="30"/>
      <c r="MA364" s="30"/>
      <c r="MB364" s="30"/>
      <c r="MC364" s="30"/>
      <c r="MD364" s="30"/>
      <c r="ME364" s="30"/>
      <c r="MF364" s="30"/>
      <c r="MG364" s="30"/>
      <c r="MH364" s="30"/>
      <c r="MI364" s="30"/>
      <c r="MJ364" s="30"/>
      <c r="MK364" s="30"/>
      <c r="ML364" s="30"/>
      <c r="MM364" s="30"/>
      <c r="MN364" s="30"/>
      <c r="MO364" s="30"/>
      <c r="MP364" s="30"/>
      <c r="MQ364" s="30"/>
      <c r="MR364" s="30"/>
      <c r="MS364" s="30"/>
      <c r="MT364" s="30"/>
      <c r="MU364" s="30"/>
      <c r="MV364" s="30"/>
      <c r="MW364" s="30"/>
      <c r="MX364" s="30"/>
      <c r="MY364" s="30"/>
      <c r="MZ364" s="30"/>
      <c r="NA364" s="30"/>
      <c r="NB364" s="30"/>
      <c r="NC364" s="30"/>
      <c r="ND364" s="30"/>
      <c r="NE364" s="30"/>
      <c r="NF364" s="30"/>
      <c r="NG364" s="30"/>
      <c r="NH364" s="30"/>
      <c r="NI364" s="30"/>
      <c r="NJ364" s="30"/>
      <c r="NK364" s="30"/>
      <c r="NL364" s="30"/>
      <c r="NM364" s="30"/>
      <c r="NN364" s="30"/>
      <c r="NO364" s="30"/>
      <c r="NP364" s="30"/>
      <c r="NQ364" s="30"/>
      <c r="NR364" s="30"/>
      <c r="NS364" s="30"/>
      <c r="NT364" s="30"/>
      <c r="NU364" s="30"/>
      <c r="NV364" s="30"/>
      <c r="NW364" s="30"/>
      <c r="NX364" s="30"/>
      <c r="NY364" s="30"/>
      <c r="NZ364" s="30"/>
      <c r="OA364" s="30"/>
      <c r="OB364" s="30"/>
      <c r="OC364" s="30"/>
      <c r="OD364" s="30"/>
      <c r="OE364" s="30"/>
    </row>
    <row r="365" spans="1:395" ht="13.8" hidden="1" customHeight="1" outlineLevel="1" x14ac:dyDescent="0.3">
      <c r="C365" s="128" t="s">
        <v>122</v>
      </c>
      <c r="D365" s="133"/>
      <c r="N365" s="30" t="s">
        <v>112</v>
      </c>
      <c r="O365" s="30"/>
      <c r="P365" s="32" t="s">
        <v>78</v>
      </c>
      <c r="Q365" s="30"/>
      <c r="R365" s="30"/>
      <c r="S365" s="30"/>
      <c r="T365" s="30"/>
      <c r="U365" s="30"/>
      <c r="V365" s="30"/>
      <c r="W365" s="30"/>
      <c r="X365" s="30"/>
      <c r="Y365" s="30"/>
      <c r="Z365" s="30"/>
      <c r="AA365" s="30"/>
      <c r="AB365" s="30"/>
      <c r="AC365" s="30"/>
      <c r="AD365" s="30"/>
      <c r="AE365" s="30"/>
      <c r="AF365" s="30"/>
      <c r="AG365" s="30"/>
      <c r="AH365" s="30"/>
      <c r="AI365" s="30"/>
      <c r="AJ365" s="30"/>
      <c r="AK365" s="30"/>
      <c r="AL365" s="30"/>
      <c r="AM365" s="30"/>
      <c r="AN365" s="30"/>
      <c r="AO365" s="30"/>
      <c r="AP365" s="30"/>
      <c r="AQ365" s="30"/>
      <c r="AR365" s="30"/>
      <c r="AS365" s="30"/>
      <c r="AT365" s="30"/>
      <c r="AU365" s="30"/>
      <c r="AV365" s="30"/>
      <c r="AW365" s="30"/>
      <c r="AX365" s="30"/>
      <c r="AY365" s="30"/>
      <c r="AZ365" s="30"/>
      <c r="BA365" s="30"/>
      <c r="BB365" s="30"/>
      <c r="BC365" s="30"/>
      <c r="BD365" s="30"/>
      <c r="BE365" s="30"/>
      <c r="BF365" s="30"/>
      <c r="BG365" s="30"/>
      <c r="BH365" s="30"/>
      <c r="BI365" s="30"/>
      <c r="BJ365" s="30"/>
      <c r="BK365" s="30"/>
      <c r="BL365" s="30"/>
      <c r="BM365" s="30"/>
      <c r="BN365" s="30"/>
      <c r="BO365" s="30"/>
      <c r="BP365" s="30"/>
      <c r="BQ365" s="30"/>
      <c r="BR365" s="30"/>
      <c r="BS365" s="30"/>
      <c r="BT365" s="30"/>
      <c r="BU365" s="30"/>
      <c r="BV365" s="30"/>
      <c r="BW365" s="30"/>
      <c r="BX365" s="30"/>
      <c r="BY365" s="30"/>
      <c r="BZ365" s="30"/>
      <c r="CA365" s="30"/>
      <c r="CB365" s="30"/>
      <c r="CC365" s="30"/>
      <c r="CD365" s="30"/>
      <c r="CE365" s="30"/>
      <c r="CF365" s="30"/>
      <c r="CG365" s="30"/>
      <c r="CH365" s="30"/>
      <c r="CI365" s="30"/>
      <c r="CJ365" s="30"/>
      <c r="CK365" s="30"/>
      <c r="CL365" s="30"/>
      <c r="CM365" s="30"/>
      <c r="CN365" s="30"/>
      <c r="CO365" s="30"/>
      <c r="CP365" s="30"/>
      <c r="CQ365" s="30"/>
      <c r="CR365" s="30"/>
      <c r="CS365" s="30"/>
      <c r="CT365" s="30"/>
      <c r="CU365" s="30"/>
      <c r="CV365" s="30"/>
      <c r="CW365" s="30"/>
      <c r="CX365" s="30"/>
      <c r="CY365" s="30"/>
      <c r="CZ365" s="30"/>
      <c r="DA365" s="30"/>
      <c r="DB365" s="30"/>
      <c r="DC365" s="30"/>
      <c r="DD365" s="30"/>
      <c r="DE365" s="30"/>
      <c r="DF365" s="30"/>
      <c r="DG365" s="30"/>
      <c r="DH365" s="30"/>
      <c r="DI365" s="30"/>
      <c r="DJ365" s="30"/>
      <c r="DK365" s="30"/>
      <c r="DL365" s="30"/>
      <c r="DM365" s="30"/>
      <c r="DN365" s="30"/>
      <c r="DO365" s="30"/>
      <c r="DP365" s="30"/>
      <c r="DQ365" s="30"/>
      <c r="DR365" s="30"/>
      <c r="DS365" s="30"/>
      <c r="DT365" s="30"/>
      <c r="DU365" s="30"/>
      <c r="DV365" s="30"/>
      <c r="DW365" s="30"/>
      <c r="DX365" s="30"/>
      <c r="DY365" s="30"/>
      <c r="DZ365" s="30"/>
      <c r="EA365" s="30"/>
      <c r="EB365" s="30"/>
      <c r="EC365" s="30"/>
      <c r="ED365" s="30"/>
      <c r="EE365" s="30"/>
      <c r="EF365" s="30"/>
      <c r="EG365" s="30"/>
      <c r="EH365" s="30"/>
      <c r="EI365" s="30"/>
      <c r="EJ365" s="30"/>
      <c r="EK365" s="30"/>
      <c r="EL365" s="30"/>
      <c r="EM365" s="30"/>
      <c r="EN365" s="30"/>
      <c r="EO365" s="30"/>
      <c r="EP365" s="30"/>
      <c r="EQ365" s="30"/>
      <c r="ER365" s="30"/>
      <c r="ES365" s="30"/>
      <c r="ET365" s="30"/>
      <c r="EU365" s="30"/>
      <c r="EV365" s="30"/>
      <c r="EW365" s="30"/>
      <c r="EX365" s="30"/>
      <c r="EY365" s="30"/>
      <c r="EZ365" s="30"/>
      <c r="FA365" s="30"/>
      <c r="FB365" s="30"/>
      <c r="FC365" s="30"/>
      <c r="FD365" s="30"/>
      <c r="FE365" s="30"/>
      <c r="FF365" s="30"/>
      <c r="FG365" s="30"/>
      <c r="FH365" s="30"/>
      <c r="FI365" s="30"/>
      <c r="FJ365" s="30"/>
      <c r="FK365" s="30"/>
      <c r="FL365" s="30"/>
      <c r="FM365" s="30"/>
      <c r="FN365" s="30"/>
      <c r="FO365" s="30"/>
      <c r="FP365" s="30"/>
      <c r="FQ365" s="30"/>
      <c r="FR365" s="30"/>
      <c r="FS365" s="30"/>
      <c r="FT365" s="30"/>
      <c r="FU365" s="30"/>
      <c r="FV365" s="30"/>
      <c r="FW365" s="30"/>
      <c r="FX365" s="30"/>
      <c r="FY365" s="30"/>
      <c r="FZ365" s="30"/>
      <c r="GA365" s="30"/>
      <c r="GB365" s="30"/>
      <c r="GC365" s="30"/>
      <c r="GD365" s="30"/>
      <c r="GE365" s="30"/>
      <c r="GF365" s="30"/>
      <c r="GG365" s="30"/>
      <c r="GH365" s="30"/>
      <c r="GI365" s="30"/>
      <c r="GJ365" s="30"/>
      <c r="GK365" s="30"/>
      <c r="GL365" s="30"/>
      <c r="GM365" s="30"/>
      <c r="GN365" s="30"/>
      <c r="GO365" s="30"/>
      <c r="GP365" s="30"/>
      <c r="GQ365" s="30"/>
      <c r="GR365" s="30"/>
      <c r="GS365" s="30"/>
      <c r="GT365" s="30"/>
      <c r="GU365" s="30"/>
      <c r="GV365" s="30"/>
      <c r="GW365" s="30"/>
      <c r="GX365" s="30"/>
      <c r="GY365" s="30"/>
      <c r="GZ365" s="30"/>
      <c r="HA365" s="30"/>
      <c r="HB365" s="30"/>
      <c r="HC365" s="30"/>
      <c r="HD365" s="30"/>
      <c r="HE365" s="30"/>
      <c r="HF365" s="30"/>
      <c r="HG365" s="30"/>
      <c r="HH365" s="30"/>
      <c r="HI365" s="30"/>
      <c r="HJ365" s="30"/>
      <c r="HK365" s="30"/>
      <c r="HL365" s="30"/>
      <c r="HM365" s="30"/>
      <c r="HN365" s="30"/>
      <c r="HO365" s="30"/>
      <c r="HP365" s="30"/>
      <c r="HQ365" s="30"/>
      <c r="HR365" s="30"/>
      <c r="HS365" s="30"/>
      <c r="HT365" s="30"/>
      <c r="HU365" s="30"/>
      <c r="HV365" s="30"/>
      <c r="HW365" s="30"/>
      <c r="HX365" s="30"/>
      <c r="HY365" s="30"/>
      <c r="HZ365" s="30"/>
      <c r="IA365" s="30"/>
      <c r="IB365" s="30"/>
      <c r="IC365" s="30"/>
      <c r="ID365" s="30"/>
      <c r="IE365" s="30"/>
      <c r="IF365" s="30"/>
      <c r="IG365" s="30"/>
      <c r="IH365" s="30"/>
      <c r="II365" s="30"/>
      <c r="IJ365" s="30"/>
      <c r="IK365" s="30"/>
      <c r="IL365" s="30"/>
      <c r="IM365" s="30"/>
      <c r="IN365" s="30"/>
      <c r="IO365" s="30"/>
      <c r="IP365" s="30"/>
      <c r="IQ365" s="30"/>
      <c r="IR365" s="30"/>
      <c r="IS365" s="30"/>
      <c r="IT365" s="30"/>
      <c r="IU365" s="30"/>
      <c r="IV365" s="30"/>
      <c r="IW365" s="30"/>
      <c r="IX365" s="30"/>
      <c r="IY365" s="30"/>
      <c r="IZ365" s="30"/>
      <c r="JA365" s="30"/>
      <c r="JB365" s="30"/>
      <c r="JC365" s="30"/>
      <c r="JD365" s="30"/>
      <c r="JE365" s="30"/>
      <c r="JF365" s="30"/>
      <c r="JG365" s="30"/>
      <c r="JH365" s="30"/>
      <c r="JI365" s="30"/>
      <c r="JJ365" s="30"/>
      <c r="JK365" s="30"/>
      <c r="JL365" s="30"/>
      <c r="JM365" s="30"/>
      <c r="JN365" s="30"/>
      <c r="JO365" s="30"/>
      <c r="JP365" s="30"/>
      <c r="JQ365" s="30"/>
      <c r="JR365" s="30"/>
      <c r="JS365" s="30"/>
      <c r="JT365" s="30"/>
      <c r="JU365" s="30"/>
      <c r="JV365" s="30"/>
      <c r="JW365" s="30"/>
      <c r="JX365" s="30"/>
      <c r="JY365" s="30"/>
      <c r="JZ365" s="30"/>
      <c r="KA365" s="30"/>
      <c r="KB365" s="30"/>
      <c r="KC365" s="30"/>
      <c r="KD365" s="30"/>
      <c r="KE365" s="30"/>
      <c r="KF365" s="30"/>
      <c r="KG365" s="30"/>
      <c r="KH365" s="30"/>
      <c r="KI365" s="30"/>
      <c r="KJ365" s="30"/>
      <c r="KK365" s="30"/>
      <c r="KL365" s="30"/>
      <c r="KM365" s="30"/>
      <c r="KN365" s="30"/>
      <c r="KO365" s="30"/>
      <c r="KP365" s="30"/>
      <c r="KQ365" s="30"/>
      <c r="KR365" s="30"/>
      <c r="KS365" s="30"/>
      <c r="KT365" s="30"/>
      <c r="KU365" s="30"/>
      <c r="KV365" s="30"/>
      <c r="KW365" s="30"/>
      <c r="KX365" s="30"/>
      <c r="KY365" s="30"/>
      <c r="KZ365" s="30"/>
      <c r="LA365" s="30"/>
      <c r="LB365" s="30"/>
      <c r="LC365" s="30"/>
      <c r="LD365" s="30"/>
      <c r="LE365" s="30"/>
      <c r="LF365" s="30"/>
      <c r="LG365" s="30"/>
      <c r="LH365" s="30"/>
      <c r="LI365" s="30"/>
      <c r="LJ365" s="30"/>
      <c r="LK365" s="30"/>
      <c r="LL365" s="30"/>
      <c r="LM365" s="30"/>
      <c r="LN365" s="30"/>
      <c r="LO365" s="30"/>
      <c r="LP365" s="30"/>
      <c r="LQ365" s="30"/>
      <c r="LR365" s="30"/>
      <c r="LS365" s="30"/>
      <c r="LT365" s="30"/>
      <c r="LU365" s="30"/>
      <c r="LV365" s="30"/>
      <c r="LW365" s="30"/>
      <c r="LX365" s="30"/>
      <c r="LY365" s="30"/>
      <c r="LZ365" s="30"/>
      <c r="MA365" s="30"/>
      <c r="MB365" s="30"/>
      <c r="MC365" s="30"/>
      <c r="MD365" s="30"/>
      <c r="ME365" s="30"/>
      <c r="MF365" s="30"/>
      <c r="MG365" s="30"/>
      <c r="MH365" s="30"/>
      <c r="MI365" s="30"/>
      <c r="MJ365" s="30"/>
      <c r="MK365" s="30"/>
      <c r="ML365" s="30"/>
      <c r="MM365" s="30"/>
      <c r="MN365" s="30"/>
      <c r="MO365" s="30"/>
      <c r="MP365" s="30"/>
      <c r="MQ365" s="30"/>
      <c r="MR365" s="30"/>
      <c r="MS365" s="30"/>
      <c r="MT365" s="30"/>
      <c r="MU365" s="30"/>
      <c r="MV365" s="30"/>
      <c r="MW365" s="30"/>
      <c r="MX365" s="30"/>
      <c r="MY365" s="30"/>
      <c r="MZ365" s="30"/>
      <c r="NA365" s="30"/>
      <c r="NB365" s="30"/>
      <c r="NC365" s="30"/>
      <c r="ND365" s="30"/>
      <c r="NE365" s="30"/>
      <c r="NF365" s="30"/>
      <c r="NG365" s="30"/>
      <c r="NH365" s="30"/>
      <c r="NI365" s="30"/>
      <c r="NJ365" s="30"/>
      <c r="NK365" s="30"/>
      <c r="NL365" s="30"/>
      <c r="NM365" s="30"/>
      <c r="NN365" s="30"/>
      <c r="NO365" s="30"/>
      <c r="NP365" s="30"/>
      <c r="NQ365" s="30"/>
      <c r="NR365" s="30"/>
      <c r="NS365" s="30"/>
      <c r="NT365" s="30"/>
      <c r="NU365" s="30"/>
      <c r="NV365" s="30"/>
      <c r="NW365" s="30"/>
      <c r="NX365" s="30"/>
      <c r="NY365" s="30"/>
      <c r="NZ365" s="30"/>
      <c r="OA365" s="30"/>
      <c r="OB365" s="30"/>
      <c r="OC365" s="30"/>
      <c r="OD365" s="30"/>
      <c r="OE365" s="30"/>
    </row>
    <row r="366" spans="1:395" ht="13.8" hidden="1" customHeight="1" outlineLevel="1" x14ac:dyDescent="0.3">
      <c r="D366" s="133" t="s">
        <v>117</v>
      </c>
      <c r="E366" s="14">
        <v>0</v>
      </c>
      <c r="F366" s="257" t="s">
        <v>31</v>
      </c>
      <c r="N366" s="30"/>
      <c r="O366" s="30"/>
      <c r="P366" s="32"/>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0"/>
      <c r="HS366" s="30"/>
      <c r="HT366" s="30"/>
      <c r="HU366" s="30"/>
      <c r="HV366" s="30"/>
      <c r="HW366" s="30"/>
      <c r="HX366" s="30"/>
      <c r="HY366" s="30"/>
      <c r="HZ366" s="30"/>
      <c r="IA366" s="30"/>
      <c r="IB366" s="30"/>
      <c r="IC366" s="30"/>
      <c r="ID366" s="30"/>
      <c r="IE366" s="30"/>
      <c r="IF366" s="30"/>
      <c r="IG366" s="30"/>
      <c r="IH366" s="30"/>
      <c r="II366" s="30"/>
      <c r="IJ366" s="30"/>
      <c r="IK366" s="30"/>
      <c r="IL366" s="30"/>
      <c r="IM366" s="30"/>
      <c r="IN366" s="30"/>
      <c r="IO366" s="30"/>
      <c r="IP366" s="30"/>
      <c r="IQ366" s="30"/>
      <c r="IR366" s="30"/>
      <c r="IS366" s="30"/>
      <c r="IT366" s="30"/>
      <c r="IU366" s="30"/>
      <c r="IV366" s="30"/>
      <c r="IW366" s="30"/>
      <c r="IX366" s="30"/>
      <c r="IY366" s="30"/>
      <c r="IZ366" s="30"/>
      <c r="JA366" s="30"/>
      <c r="JB366" s="30"/>
      <c r="JC366" s="30"/>
      <c r="JD366" s="30"/>
      <c r="JE366" s="30"/>
      <c r="JF366" s="30"/>
      <c r="JG366" s="30"/>
      <c r="JH366" s="30"/>
      <c r="JI366" s="30"/>
      <c r="JJ366" s="30"/>
      <c r="JK366" s="30"/>
      <c r="JL366" s="30"/>
      <c r="JM366" s="30"/>
      <c r="JN366" s="30"/>
      <c r="JO366" s="30"/>
      <c r="JP366" s="30"/>
      <c r="JQ366" s="30"/>
      <c r="JR366" s="30"/>
      <c r="JS366" s="30"/>
      <c r="JT366" s="30"/>
      <c r="JU366" s="30"/>
      <c r="JV366" s="30"/>
      <c r="JW366" s="30"/>
      <c r="JX366" s="30"/>
      <c r="JY366" s="30"/>
      <c r="JZ366" s="30"/>
      <c r="KA366" s="30"/>
      <c r="KB366" s="30"/>
      <c r="KC366" s="30"/>
      <c r="KD366" s="30"/>
      <c r="KE366" s="30"/>
      <c r="KF366" s="30"/>
      <c r="KG366" s="30"/>
      <c r="KH366" s="30"/>
      <c r="KI366" s="30"/>
      <c r="KJ366" s="30"/>
      <c r="KK366" s="30"/>
      <c r="KL366" s="30"/>
      <c r="KM366" s="30"/>
      <c r="KN366" s="30"/>
      <c r="KO366" s="30"/>
      <c r="KP366" s="30"/>
      <c r="KQ366" s="30"/>
      <c r="KR366" s="30"/>
      <c r="KS366" s="30"/>
      <c r="KT366" s="30"/>
      <c r="KU366" s="30"/>
      <c r="KV366" s="30"/>
      <c r="KW366" s="30"/>
      <c r="KX366" s="30"/>
      <c r="KY366" s="30"/>
      <c r="KZ366" s="30"/>
      <c r="LA366" s="30"/>
      <c r="LB366" s="30"/>
      <c r="LC366" s="30"/>
      <c r="LD366" s="30"/>
      <c r="LE366" s="30"/>
      <c r="LF366" s="30"/>
      <c r="LG366" s="30"/>
      <c r="LH366" s="30"/>
      <c r="LI366" s="30"/>
      <c r="LJ366" s="30"/>
      <c r="LK366" s="30"/>
      <c r="LL366" s="30"/>
      <c r="LM366" s="30"/>
      <c r="LN366" s="30"/>
      <c r="LO366" s="30"/>
      <c r="LP366" s="30"/>
      <c r="LQ366" s="30"/>
      <c r="LR366" s="30"/>
      <c r="LS366" s="30"/>
      <c r="LT366" s="30"/>
      <c r="LU366" s="30"/>
      <c r="LV366" s="30"/>
      <c r="LW366" s="30"/>
      <c r="LX366" s="30"/>
      <c r="LY366" s="30"/>
      <c r="LZ366" s="30"/>
      <c r="MA366" s="30"/>
      <c r="MB366" s="30"/>
      <c r="MC366" s="30"/>
      <c r="MD366" s="30"/>
      <c r="ME366" s="30"/>
      <c r="MF366" s="30"/>
      <c r="MG366" s="30"/>
      <c r="MH366" s="30"/>
      <c r="MI366" s="30"/>
      <c r="MJ366" s="30"/>
      <c r="MK366" s="30"/>
      <c r="ML366" s="30"/>
      <c r="MM366" s="30"/>
      <c r="MN366" s="30"/>
      <c r="MO366" s="30"/>
      <c r="MP366" s="30"/>
      <c r="MQ366" s="30"/>
      <c r="MR366" s="30"/>
      <c r="MS366" s="30"/>
      <c r="MT366" s="30"/>
      <c r="MU366" s="30"/>
      <c r="MV366" s="30"/>
      <c r="MW366" s="30"/>
      <c r="MX366" s="30"/>
      <c r="MY366" s="30"/>
      <c r="MZ366" s="30"/>
      <c r="NA366" s="30"/>
      <c r="NB366" s="30"/>
      <c r="NC366" s="30"/>
      <c r="ND366" s="30"/>
      <c r="NE366" s="30"/>
      <c r="NF366" s="30"/>
      <c r="NG366" s="30"/>
      <c r="NH366" s="30"/>
      <c r="NI366" s="30"/>
      <c r="NJ366" s="30"/>
      <c r="NK366" s="30"/>
      <c r="NL366" s="30"/>
      <c r="NM366" s="30"/>
      <c r="NN366" s="30"/>
      <c r="NO366" s="30"/>
      <c r="NP366" s="30"/>
      <c r="NQ366" s="30"/>
      <c r="NR366" s="30"/>
      <c r="NS366" s="30"/>
      <c r="NT366" s="30"/>
      <c r="NU366" s="30"/>
      <c r="NV366" s="30"/>
      <c r="NW366" s="30"/>
      <c r="NX366" s="30"/>
      <c r="NY366" s="30"/>
      <c r="NZ366" s="30"/>
      <c r="OA366" s="30"/>
      <c r="OB366" s="30"/>
      <c r="OC366" s="30"/>
      <c r="OD366" s="30"/>
      <c r="OE366" s="30"/>
    </row>
    <row r="367" spans="1:395" ht="13.8" hidden="1" customHeight="1" outlineLevel="1" x14ac:dyDescent="0.3">
      <c r="C367" s="128" t="s">
        <v>123</v>
      </c>
      <c r="N367" s="30" t="s">
        <v>113</v>
      </c>
      <c r="O367" s="30"/>
      <c r="P367" s="32" t="s">
        <v>31</v>
      </c>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0"/>
      <c r="HS367" s="30"/>
      <c r="HT367" s="30"/>
      <c r="HU367" s="30"/>
      <c r="HV367" s="30"/>
      <c r="HW367" s="30"/>
      <c r="HX367" s="30"/>
      <c r="HY367" s="30"/>
      <c r="HZ367" s="30"/>
      <c r="IA367" s="30"/>
      <c r="IB367" s="30"/>
      <c r="IC367" s="30"/>
      <c r="ID367" s="30"/>
      <c r="IE367" s="30"/>
      <c r="IF367" s="30"/>
      <c r="IG367" s="30"/>
      <c r="IH367" s="30"/>
      <c r="II367" s="30"/>
      <c r="IJ367" s="30"/>
      <c r="IK367" s="30"/>
      <c r="IL367" s="30"/>
      <c r="IM367" s="30"/>
      <c r="IN367" s="30"/>
      <c r="IO367" s="30"/>
      <c r="IP367" s="30"/>
      <c r="IQ367" s="30"/>
      <c r="IR367" s="30"/>
      <c r="IS367" s="30"/>
      <c r="IT367" s="30"/>
      <c r="IU367" s="30"/>
      <c r="IV367" s="30"/>
      <c r="IW367" s="30"/>
      <c r="IX367" s="30"/>
      <c r="IY367" s="30"/>
      <c r="IZ367" s="30"/>
      <c r="JA367" s="30"/>
      <c r="JB367" s="30"/>
      <c r="JC367" s="30"/>
      <c r="JD367" s="30"/>
      <c r="JE367" s="30"/>
      <c r="JF367" s="30"/>
      <c r="JG367" s="30"/>
      <c r="JH367" s="30"/>
      <c r="JI367" s="30"/>
      <c r="JJ367" s="30"/>
      <c r="JK367" s="30"/>
      <c r="JL367" s="30"/>
      <c r="JM367" s="30"/>
      <c r="JN367" s="30"/>
      <c r="JO367" s="30"/>
      <c r="JP367" s="30"/>
      <c r="JQ367" s="30"/>
      <c r="JR367" s="30"/>
      <c r="JS367" s="30"/>
      <c r="JT367" s="30"/>
      <c r="JU367" s="30"/>
      <c r="JV367" s="30"/>
      <c r="JW367" s="30"/>
      <c r="JX367" s="30"/>
      <c r="JY367" s="30"/>
      <c r="JZ367" s="30"/>
      <c r="KA367" s="30"/>
      <c r="KB367" s="30"/>
      <c r="KC367" s="30"/>
      <c r="KD367" s="30"/>
      <c r="KE367" s="30"/>
      <c r="KF367" s="30"/>
      <c r="KG367" s="30"/>
      <c r="KH367" s="30"/>
      <c r="KI367" s="30"/>
      <c r="KJ367" s="30"/>
      <c r="KK367" s="30"/>
      <c r="KL367" s="30"/>
      <c r="KM367" s="30"/>
      <c r="KN367" s="30"/>
      <c r="KO367" s="30"/>
      <c r="KP367" s="30"/>
      <c r="KQ367" s="30"/>
      <c r="KR367" s="30"/>
      <c r="KS367" s="30"/>
      <c r="KT367" s="30"/>
      <c r="KU367" s="30"/>
      <c r="KV367" s="30"/>
      <c r="KW367" s="30"/>
      <c r="KX367" s="30"/>
      <c r="KY367" s="30"/>
      <c r="KZ367" s="30"/>
      <c r="LA367" s="30"/>
      <c r="LB367" s="30"/>
      <c r="LC367" s="30"/>
      <c r="LD367" s="30"/>
      <c r="LE367" s="30"/>
      <c r="LF367" s="30"/>
      <c r="LG367" s="30"/>
      <c r="LH367" s="30"/>
      <c r="LI367" s="30"/>
      <c r="LJ367" s="30"/>
      <c r="LK367" s="30"/>
      <c r="LL367" s="30"/>
      <c r="LM367" s="30"/>
      <c r="LN367" s="30"/>
      <c r="LO367" s="30"/>
      <c r="LP367" s="30"/>
      <c r="LQ367" s="30"/>
      <c r="LR367" s="30"/>
      <c r="LS367" s="30"/>
      <c r="LT367" s="30"/>
      <c r="LU367" s="30"/>
      <c r="LV367" s="30"/>
      <c r="LW367" s="30"/>
      <c r="LX367" s="30"/>
      <c r="LY367" s="30"/>
      <c r="LZ367" s="30"/>
      <c r="MA367" s="30"/>
      <c r="MB367" s="30"/>
      <c r="MC367" s="30"/>
      <c r="MD367" s="30"/>
      <c r="ME367" s="30"/>
      <c r="MF367" s="30"/>
      <c r="MG367" s="30"/>
      <c r="MH367" s="30"/>
      <c r="MI367" s="30"/>
      <c r="MJ367" s="30"/>
      <c r="MK367" s="30"/>
      <c r="ML367" s="30"/>
      <c r="MM367" s="30"/>
      <c r="MN367" s="30"/>
      <c r="MO367" s="30"/>
      <c r="MP367" s="30"/>
      <c r="MQ367" s="30"/>
      <c r="MR367" s="30"/>
      <c r="MS367" s="30"/>
      <c r="MT367" s="30"/>
      <c r="MU367" s="30"/>
      <c r="MV367" s="30"/>
      <c r="MW367" s="30"/>
      <c r="MX367" s="30"/>
      <c r="MY367" s="30"/>
      <c r="MZ367" s="30"/>
      <c r="NA367" s="30"/>
      <c r="NB367" s="30"/>
      <c r="NC367" s="30"/>
      <c r="ND367" s="30"/>
      <c r="NE367" s="30"/>
      <c r="NF367" s="30"/>
      <c r="NG367" s="30"/>
      <c r="NH367" s="30"/>
      <c r="NI367" s="30"/>
      <c r="NJ367" s="30"/>
      <c r="NK367" s="30"/>
      <c r="NL367" s="30"/>
      <c r="NM367" s="30"/>
      <c r="NN367" s="30"/>
      <c r="NO367" s="30"/>
      <c r="NP367" s="30"/>
      <c r="NQ367" s="30"/>
      <c r="NR367" s="30"/>
      <c r="NS367" s="30"/>
      <c r="NT367" s="30"/>
      <c r="NU367" s="30"/>
      <c r="NV367" s="30"/>
      <c r="NW367" s="30"/>
      <c r="NX367" s="30"/>
      <c r="NY367" s="30"/>
      <c r="NZ367" s="30"/>
      <c r="OA367" s="30"/>
      <c r="OB367" s="30"/>
      <c r="OC367" s="30"/>
      <c r="OD367" s="30"/>
      <c r="OE367" s="30"/>
    </row>
    <row r="368" spans="1:395" ht="13.8" hidden="1" customHeight="1" outlineLevel="1" x14ac:dyDescent="0.3">
      <c r="D368" s="21" t="s">
        <v>68</v>
      </c>
      <c r="E368" s="29">
        <v>0.17499999999999999</v>
      </c>
      <c r="F368" s="257" t="s">
        <v>31</v>
      </c>
      <c r="N368" s="30" t="s">
        <v>114</v>
      </c>
      <c r="O368" s="30"/>
      <c r="P368" s="32" t="s">
        <v>29</v>
      </c>
      <c r="Q368" s="30"/>
      <c r="R368" s="30"/>
      <c r="S368" s="30"/>
      <c r="T368" s="30"/>
      <c r="U368" s="30"/>
      <c r="V368" s="30"/>
      <c r="W368" s="30"/>
      <c r="X368" s="30"/>
      <c r="Y368" s="30"/>
      <c r="Z368" s="30"/>
      <c r="AA368" s="30"/>
      <c r="AB368" s="30"/>
      <c r="AC368" s="30"/>
      <c r="AD368" s="30"/>
      <c r="AE368" s="30"/>
      <c r="AF368" s="30"/>
      <c r="AG368" s="30"/>
      <c r="AH368" s="30"/>
      <c r="AI368" s="30"/>
      <c r="AJ368" s="30"/>
      <c r="AK368" s="30"/>
      <c r="AL368" s="30"/>
      <c r="AM368" s="30"/>
      <c r="AN368" s="30"/>
      <c r="AO368" s="30"/>
      <c r="AP368" s="30"/>
      <c r="AQ368" s="30"/>
      <c r="AR368" s="30"/>
      <c r="AS368" s="30"/>
      <c r="AT368" s="30"/>
      <c r="AU368" s="30"/>
      <c r="AV368" s="30"/>
      <c r="AW368" s="30"/>
      <c r="AX368" s="30"/>
      <c r="AY368" s="30"/>
      <c r="AZ368" s="30"/>
      <c r="BA368" s="30"/>
      <c r="BB368" s="30"/>
      <c r="BC368" s="30"/>
      <c r="BD368" s="30"/>
      <c r="BE368" s="30"/>
      <c r="BF368" s="30"/>
      <c r="BG368" s="30"/>
      <c r="BH368" s="30"/>
      <c r="BI368" s="30"/>
      <c r="BJ368" s="30"/>
      <c r="BK368" s="30"/>
      <c r="BL368" s="30"/>
      <c r="BM368" s="30"/>
      <c r="BN368" s="30"/>
      <c r="BO368" s="30"/>
      <c r="BP368" s="30"/>
      <c r="BQ368" s="30"/>
      <c r="BR368" s="30"/>
      <c r="BS368" s="30"/>
      <c r="BT368" s="30"/>
      <c r="BU368" s="30"/>
      <c r="BV368" s="30"/>
      <c r="BW368" s="30"/>
      <c r="BX368" s="30"/>
      <c r="BY368" s="30"/>
      <c r="BZ368" s="30"/>
      <c r="CA368" s="30"/>
      <c r="CB368" s="30"/>
      <c r="CC368" s="30"/>
      <c r="CD368" s="30"/>
      <c r="CE368" s="30"/>
      <c r="CF368" s="30"/>
      <c r="CG368" s="30"/>
      <c r="CH368" s="30"/>
      <c r="CI368" s="30"/>
      <c r="CJ368" s="30"/>
      <c r="CK368" s="30"/>
      <c r="CL368" s="30"/>
      <c r="CM368" s="30"/>
      <c r="CN368" s="30"/>
      <c r="CO368" s="30"/>
      <c r="CP368" s="30"/>
      <c r="CQ368" s="30"/>
      <c r="CR368" s="30"/>
      <c r="CS368" s="30"/>
      <c r="CT368" s="30"/>
      <c r="CU368" s="30"/>
      <c r="CV368" s="30"/>
      <c r="CW368" s="30"/>
      <c r="CX368" s="30"/>
      <c r="CY368" s="30"/>
      <c r="CZ368" s="30"/>
      <c r="DA368" s="30"/>
      <c r="DB368" s="30"/>
      <c r="DC368" s="30"/>
      <c r="DD368" s="30"/>
      <c r="DE368" s="30"/>
      <c r="DF368" s="30"/>
      <c r="DG368" s="30"/>
      <c r="DH368" s="30"/>
      <c r="DI368" s="30"/>
      <c r="DJ368" s="30"/>
      <c r="DK368" s="30"/>
      <c r="DL368" s="30"/>
      <c r="DM368" s="30"/>
      <c r="DN368" s="30"/>
      <c r="DO368" s="30"/>
      <c r="DP368" s="30"/>
      <c r="DQ368" s="30"/>
      <c r="DR368" s="30"/>
      <c r="DS368" s="30"/>
      <c r="DT368" s="30"/>
      <c r="DU368" s="30"/>
      <c r="DV368" s="30"/>
      <c r="DW368" s="30"/>
      <c r="DX368" s="30"/>
      <c r="DY368" s="30"/>
      <c r="DZ368" s="30"/>
      <c r="EA368" s="30"/>
      <c r="EB368" s="30"/>
      <c r="EC368" s="30"/>
      <c r="ED368" s="30"/>
      <c r="EE368" s="30"/>
      <c r="EF368" s="30"/>
      <c r="EG368" s="30"/>
      <c r="EH368" s="30"/>
      <c r="EI368" s="30"/>
      <c r="EJ368" s="30"/>
      <c r="EK368" s="30"/>
      <c r="EL368" s="30"/>
      <c r="EM368" s="30"/>
      <c r="EN368" s="30"/>
      <c r="EO368" s="30"/>
      <c r="EP368" s="30"/>
      <c r="EQ368" s="30"/>
      <c r="ER368" s="30"/>
      <c r="ES368" s="30"/>
      <c r="ET368" s="30"/>
      <c r="EU368" s="30"/>
      <c r="EV368" s="30"/>
      <c r="EW368" s="30"/>
      <c r="EX368" s="30"/>
      <c r="EY368" s="30"/>
      <c r="EZ368" s="30"/>
      <c r="FA368" s="30"/>
      <c r="FB368" s="30"/>
      <c r="FC368" s="30"/>
      <c r="FD368" s="30"/>
      <c r="FE368" s="30"/>
      <c r="FF368" s="30"/>
      <c r="FG368" s="30"/>
      <c r="FH368" s="30"/>
      <c r="FI368" s="30"/>
      <c r="FJ368" s="30"/>
      <c r="FK368" s="30"/>
      <c r="FL368" s="30"/>
      <c r="FM368" s="30"/>
      <c r="FN368" s="30"/>
      <c r="FO368" s="30"/>
      <c r="FP368" s="30"/>
      <c r="FQ368" s="30"/>
      <c r="FR368" s="30"/>
      <c r="FS368" s="30"/>
      <c r="FT368" s="30"/>
      <c r="FU368" s="30"/>
      <c r="FV368" s="30"/>
      <c r="FW368" s="30"/>
      <c r="FX368" s="30"/>
      <c r="FY368" s="30"/>
      <c r="FZ368" s="30"/>
      <c r="GA368" s="30"/>
      <c r="GB368" s="30"/>
      <c r="GC368" s="30"/>
      <c r="GD368" s="30"/>
      <c r="GE368" s="30"/>
      <c r="GF368" s="30"/>
      <c r="GG368" s="30"/>
      <c r="GH368" s="30"/>
      <c r="GI368" s="30"/>
      <c r="GJ368" s="30"/>
      <c r="GK368" s="30"/>
      <c r="GL368" s="30"/>
      <c r="GM368" s="30"/>
      <c r="GN368" s="30"/>
      <c r="GO368" s="30"/>
      <c r="GP368" s="30"/>
      <c r="GQ368" s="30"/>
      <c r="GR368" s="30"/>
      <c r="GS368" s="30"/>
      <c r="GT368" s="30"/>
      <c r="GU368" s="30"/>
      <c r="GV368" s="30"/>
      <c r="GW368" s="30"/>
      <c r="GX368" s="30"/>
      <c r="GY368" s="30"/>
      <c r="GZ368" s="30"/>
      <c r="HA368" s="30"/>
      <c r="HB368" s="30"/>
      <c r="HC368" s="30"/>
      <c r="HD368" s="30"/>
      <c r="HE368" s="30"/>
      <c r="HF368" s="30"/>
      <c r="HG368" s="30"/>
      <c r="HH368" s="30"/>
      <c r="HI368" s="30"/>
      <c r="HJ368" s="30"/>
      <c r="HK368" s="30"/>
      <c r="HL368" s="30"/>
      <c r="HM368" s="30"/>
      <c r="HN368" s="30"/>
      <c r="HO368" s="30"/>
      <c r="HP368" s="30"/>
      <c r="HQ368" s="30"/>
      <c r="HR368" s="30"/>
      <c r="HS368" s="30"/>
      <c r="HT368" s="30"/>
      <c r="HU368" s="30"/>
      <c r="HV368" s="30"/>
      <c r="HW368" s="30"/>
      <c r="HX368" s="30"/>
      <c r="HY368" s="30"/>
      <c r="HZ368" s="30"/>
      <c r="IA368" s="30"/>
      <c r="IB368" s="30"/>
      <c r="IC368" s="30"/>
      <c r="ID368" s="30"/>
      <c r="IE368" s="30"/>
      <c r="IF368" s="30"/>
      <c r="IG368" s="30"/>
      <c r="IH368" s="30"/>
      <c r="II368" s="30"/>
      <c r="IJ368" s="30"/>
      <c r="IK368" s="30"/>
      <c r="IL368" s="30"/>
      <c r="IM368" s="30"/>
      <c r="IN368" s="30"/>
      <c r="IO368" s="30"/>
      <c r="IP368" s="30"/>
      <c r="IQ368" s="30"/>
      <c r="IR368" s="30"/>
      <c r="IS368" s="30"/>
      <c r="IT368" s="30"/>
      <c r="IU368" s="30"/>
      <c r="IV368" s="30"/>
      <c r="IW368" s="30"/>
      <c r="IX368" s="30"/>
      <c r="IY368" s="30"/>
      <c r="IZ368" s="30"/>
      <c r="JA368" s="30"/>
      <c r="JB368" s="30"/>
      <c r="JC368" s="30"/>
      <c r="JD368" s="30"/>
      <c r="JE368" s="30"/>
      <c r="JF368" s="30"/>
      <c r="JG368" s="30"/>
      <c r="JH368" s="30"/>
      <c r="JI368" s="30"/>
      <c r="JJ368" s="30"/>
      <c r="JK368" s="30"/>
      <c r="JL368" s="30"/>
      <c r="JM368" s="30"/>
      <c r="JN368" s="30"/>
      <c r="JO368" s="30"/>
      <c r="JP368" s="30"/>
      <c r="JQ368" s="30"/>
      <c r="JR368" s="30"/>
      <c r="JS368" s="30"/>
      <c r="JT368" s="30"/>
      <c r="JU368" s="30"/>
      <c r="JV368" s="30"/>
      <c r="JW368" s="30"/>
      <c r="JX368" s="30"/>
      <c r="JY368" s="30"/>
      <c r="JZ368" s="30"/>
      <c r="KA368" s="30"/>
      <c r="KB368" s="30"/>
      <c r="KC368" s="30"/>
      <c r="KD368" s="30"/>
      <c r="KE368" s="30"/>
      <c r="KF368" s="30"/>
      <c r="KG368" s="30"/>
      <c r="KH368" s="30"/>
      <c r="KI368" s="30"/>
      <c r="KJ368" s="30"/>
      <c r="KK368" s="30"/>
      <c r="KL368" s="30"/>
      <c r="KM368" s="30"/>
      <c r="KN368" s="30"/>
      <c r="KO368" s="30"/>
      <c r="KP368" s="30"/>
      <c r="KQ368" s="30"/>
      <c r="KR368" s="30"/>
      <c r="KS368" s="30"/>
      <c r="KT368" s="30"/>
      <c r="KU368" s="30"/>
      <c r="KV368" s="30"/>
      <c r="KW368" s="30"/>
      <c r="KX368" s="30"/>
      <c r="KY368" s="30"/>
      <c r="KZ368" s="30"/>
      <c r="LA368" s="30"/>
      <c r="LB368" s="30"/>
      <c r="LC368" s="30"/>
      <c r="LD368" s="30"/>
      <c r="LE368" s="30"/>
      <c r="LF368" s="30"/>
      <c r="LG368" s="30"/>
      <c r="LH368" s="30"/>
      <c r="LI368" s="30"/>
      <c r="LJ368" s="30"/>
      <c r="LK368" s="30"/>
      <c r="LL368" s="30"/>
      <c r="LM368" s="30"/>
      <c r="LN368" s="30"/>
      <c r="LO368" s="30"/>
      <c r="LP368" s="30"/>
      <c r="LQ368" s="30"/>
      <c r="LR368" s="30"/>
      <c r="LS368" s="30"/>
      <c r="LT368" s="30"/>
      <c r="LU368" s="30"/>
      <c r="LV368" s="30"/>
      <c r="LW368" s="30"/>
      <c r="LX368" s="30"/>
      <c r="LY368" s="30"/>
      <c r="LZ368" s="30"/>
      <c r="MA368" s="30"/>
      <c r="MB368" s="30"/>
      <c r="MC368" s="30"/>
      <c r="MD368" s="30"/>
      <c r="ME368" s="30"/>
      <c r="MF368" s="30"/>
      <c r="MG368" s="30"/>
      <c r="MH368" s="30"/>
      <c r="MI368" s="30"/>
      <c r="MJ368" s="30"/>
      <c r="MK368" s="30"/>
      <c r="ML368" s="30"/>
      <c r="MM368" s="30"/>
      <c r="MN368" s="30"/>
      <c r="MO368" s="30"/>
      <c r="MP368" s="30"/>
      <c r="MQ368" s="30"/>
      <c r="MR368" s="30"/>
      <c r="MS368" s="30"/>
      <c r="MT368" s="30"/>
      <c r="MU368" s="30"/>
      <c r="MV368" s="30"/>
      <c r="MW368" s="30"/>
      <c r="MX368" s="30"/>
      <c r="MY368" s="30"/>
      <c r="MZ368" s="30"/>
      <c r="NA368" s="30"/>
      <c r="NB368" s="30"/>
      <c r="NC368" s="30"/>
      <c r="ND368" s="30"/>
      <c r="NE368" s="30"/>
      <c r="NF368" s="30"/>
      <c r="NG368" s="30"/>
      <c r="NH368" s="30"/>
      <c r="NI368" s="30"/>
      <c r="NJ368" s="30"/>
      <c r="NK368" s="30"/>
      <c r="NL368" s="30"/>
      <c r="NM368" s="30"/>
      <c r="NN368" s="30"/>
      <c r="NO368" s="30"/>
      <c r="NP368" s="30"/>
      <c r="NQ368" s="30"/>
      <c r="NR368" s="30"/>
      <c r="NS368" s="30"/>
      <c r="NT368" s="30"/>
      <c r="NU368" s="30"/>
      <c r="NV368" s="30"/>
      <c r="NW368" s="30"/>
      <c r="NX368" s="30"/>
      <c r="NY368" s="30"/>
      <c r="NZ368" s="30"/>
      <c r="OA368" s="30"/>
      <c r="OB368" s="30"/>
      <c r="OC368" s="30"/>
      <c r="OD368" s="30"/>
      <c r="OE368" s="30"/>
    </row>
    <row r="369" spans="2:395" ht="13.8" hidden="1" customHeight="1" outlineLevel="1" x14ac:dyDescent="0.3">
      <c r="D369" s="21" t="s">
        <v>69</v>
      </c>
      <c r="E369" s="28">
        <v>0.15</v>
      </c>
      <c r="F369" s="257" t="s">
        <v>31</v>
      </c>
      <c r="N369" s="30"/>
      <c r="O369" s="30"/>
      <c r="P369" s="32"/>
      <c r="Q369" s="30"/>
      <c r="R369" s="30"/>
      <c r="S369" s="30"/>
      <c r="T369" s="30"/>
      <c r="U369" s="30"/>
      <c r="V369" s="30"/>
      <c r="W369" s="30"/>
      <c r="X369" s="30"/>
      <c r="Y369" s="30"/>
      <c r="Z369" s="30"/>
      <c r="AA369" s="30"/>
      <c r="AB369" s="30"/>
      <c r="AC369" s="30"/>
      <c r="AD369" s="30"/>
      <c r="AE369" s="30"/>
      <c r="AF369" s="30"/>
      <c r="AG369" s="30"/>
      <c r="AH369" s="30"/>
      <c r="AI369" s="30"/>
      <c r="AJ369" s="30"/>
      <c r="AK369" s="30"/>
      <c r="AL369" s="30"/>
      <c r="AM369" s="30"/>
      <c r="AN369" s="30"/>
      <c r="AO369" s="30"/>
      <c r="AP369" s="30"/>
      <c r="AQ369" s="30"/>
      <c r="AR369" s="30"/>
      <c r="AS369" s="30"/>
      <c r="AT369" s="30"/>
      <c r="AU369" s="30"/>
      <c r="AV369" s="30"/>
      <c r="AW369" s="30"/>
      <c r="AX369" s="30"/>
      <c r="AY369" s="30"/>
      <c r="AZ369" s="30"/>
      <c r="BA369" s="30"/>
      <c r="BB369" s="30"/>
      <c r="BC369" s="30"/>
      <c r="BD369" s="30"/>
      <c r="BE369" s="30"/>
      <c r="BF369" s="30"/>
      <c r="BG369" s="30"/>
      <c r="BH369" s="30"/>
      <c r="BI369" s="30"/>
      <c r="BJ369" s="30"/>
      <c r="BK369" s="30"/>
      <c r="BL369" s="30"/>
      <c r="BM369" s="30"/>
      <c r="BN369" s="30"/>
      <c r="BO369" s="30"/>
      <c r="BP369" s="30"/>
      <c r="BQ369" s="30"/>
      <c r="BR369" s="30"/>
      <c r="BS369" s="30"/>
      <c r="BT369" s="30"/>
      <c r="BU369" s="30"/>
      <c r="BV369" s="30"/>
      <c r="BW369" s="30"/>
      <c r="BX369" s="30"/>
      <c r="BY369" s="30"/>
      <c r="BZ369" s="30"/>
      <c r="CA369" s="30"/>
      <c r="CB369" s="30"/>
      <c r="CC369" s="30"/>
      <c r="CD369" s="30"/>
      <c r="CE369" s="30"/>
      <c r="CF369" s="30"/>
      <c r="CG369" s="30"/>
      <c r="CH369" s="30"/>
      <c r="CI369" s="30"/>
      <c r="CJ369" s="30"/>
      <c r="CK369" s="30"/>
      <c r="CL369" s="30"/>
      <c r="CM369" s="30"/>
      <c r="CN369" s="30"/>
      <c r="CO369" s="30"/>
      <c r="CP369" s="30"/>
      <c r="CQ369" s="30"/>
      <c r="CR369" s="30"/>
      <c r="CS369" s="30"/>
      <c r="CT369" s="30"/>
      <c r="CU369" s="30"/>
      <c r="CV369" s="30"/>
      <c r="CW369" s="30"/>
      <c r="CX369" s="30"/>
      <c r="CY369" s="30"/>
      <c r="CZ369" s="30"/>
      <c r="DA369" s="30"/>
      <c r="DB369" s="30"/>
      <c r="DC369" s="30"/>
      <c r="DD369" s="30"/>
      <c r="DE369" s="30"/>
      <c r="DF369" s="30"/>
      <c r="DG369" s="30"/>
      <c r="DH369" s="30"/>
      <c r="DI369" s="30"/>
      <c r="DJ369" s="30"/>
      <c r="DK369" s="30"/>
      <c r="DL369" s="30"/>
      <c r="DM369" s="30"/>
      <c r="DN369" s="30"/>
      <c r="DO369" s="30"/>
      <c r="DP369" s="30"/>
      <c r="DQ369" s="30"/>
      <c r="DR369" s="30"/>
      <c r="DS369" s="30"/>
      <c r="DT369" s="30"/>
      <c r="DU369" s="30"/>
      <c r="DV369" s="30"/>
      <c r="DW369" s="30"/>
      <c r="DX369" s="30"/>
      <c r="DY369" s="30"/>
      <c r="DZ369" s="30"/>
      <c r="EA369" s="30"/>
      <c r="EB369" s="30"/>
      <c r="EC369" s="30"/>
      <c r="ED369" s="30"/>
      <c r="EE369" s="30"/>
      <c r="EF369" s="30"/>
      <c r="EG369" s="30"/>
      <c r="EH369" s="30"/>
      <c r="EI369" s="30"/>
      <c r="EJ369" s="30"/>
      <c r="EK369" s="30"/>
      <c r="EL369" s="30"/>
      <c r="EM369" s="30"/>
      <c r="EN369" s="30"/>
      <c r="EO369" s="30"/>
      <c r="EP369" s="30"/>
      <c r="EQ369" s="30"/>
      <c r="ER369" s="30"/>
      <c r="ES369" s="30"/>
      <c r="ET369" s="30"/>
      <c r="EU369" s="30"/>
      <c r="EV369" s="30"/>
      <c r="EW369" s="30"/>
      <c r="EX369" s="30"/>
      <c r="EY369" s="30"/>
      <c r="EZ369" s="30"/>
      <c r="FA369" s="30"/>
      <c r="FB369" s="30"/>
      <c r="FC369" s="30"/>
      <c r="FD369" s="30"/>
      <c r="FE369" s="30"/>
      <c r="FF369" s="30"/>
      <c r="FG369" s="30"/>
      <c r="FH369" s="30"/>
      <c r="FI369" s="30"/>
      <c r="FJ369" s="30"/>
      <c r="FK369" s="30"/>
      <c r="FL369" s="30"/>
      <c r="FM369" s="30"/>
      <c r="FN369" s="30"/>
      <c r="FO369" s="30"/>
      <c r="FP369" s="30"/>
      <c r="FQ369" s="30"/>
      <c r="FR369" s="30"/>
      <c r="FS369" s="30"/>
      <c r="FT369" s="30"/>
      <c r="FU369" s="30"/>
      <c r="FV369" s="30"/>
      <c r="FW369" s="30"/>
      <c r="FX369" s="30"/>
      <c r="FY369" s="30"/>
      <c r="FZ369" s="30"/>
      <c r="GA369" s="30"/>
      <c r="GB369" s="30"/>
      <c r="GC369" s="30"/>
      <c r="GD369" s="30"/>
      <c r="GE369" s="30"/>
      <c r="GF369" s="30"/>
      <c r="GG369" s="30"/>
      <c r="GH369" s="30"/>
      <c r="GI369" s="30"/>
      <c r="GJ369" s="30"/>
      <c r="GK369" s="30"/>
      <c r="GL369" s="30"/>
      <c r="GM369" s="30"/>
      <c r="GN369" s="30"/>
      <c r="GO369" s="30"/>
      <c r="GP369" s="30"/>
      <c r="GQ369" s="30"/>
      <c r="GR369" s="30"/>
      <c r="GS369" s="30"/>
      <c r="GT369" s="30"/>
      <c r="GU369" s="30"/>
      <c r="GV369" s="30"/>
      <c r="GW369" s="30"/>
      <c r="GX369" s="30"/>
      <c r="GY369" s="30"/>
      <c r="GZ369" s="30"/>
      <c r="HA369" s="30"/>
      <c r="HB369" s="30"/>
      <c r="HC369" s="30"/>
      <c r="HD369" s="30"/>
      <c r="HE369" s="30"/>
      <c r="HF369" s="30"/>
      <c r="HG369" s="30"/>
      <c r="HH369" s="30"/>
      <c r="HI369" s="30"/>
      <c r="HJ369" s="30"/>
      <c r="HK369" s="30"/>
      <c r="HL369" s="30"/>
      <c r="HM369" s="30"/>
      <c r="HN369" s="30"/>
      <c r="HO369" s="30"/>
      <c r="HP369" s="30"/>
      <c r="HQ369" s="30"/>
      <c r="HR369" s="30"/>
      <c r="HS369" s="30"/>
      <c r="HT369" s="30"/>
      <c r="HU369" s="30"/>
      <c r="HV369" s="30"/>
      <c r="HW369" s="30"/>
      <c r="HX369" s="30"/>
      <c r="HY369" s="30"/>
      <c r="HZ369" s="30"/>
      <c r="IA369" s="30"/>
      <c r="IB369" s="30"/>
      <c r="IC369" s="30"/>
      <c r="ID369" s="30"/>
      <c r="IE369" s="30"/>
      <c r="IF369" s="30"/>
      <c r="IG369" s="30"/>
      <c r="IH369" s="30"/>
      <c r="II369" s="30"/>
      <c r="IJ369" s="30"/>
      <c r="IK369" s="30"/>
      <c r="IL369" s="30"/>
      <c r="IM369" s="30"/>
      <c r="IN369" s="30"/>
      <c r="IO369" s="30"/>
      <c r="IP369" s="30"/>
      <c r="IQ369" s="30"/>
      <c r="IR369" s="30"/>
      <c r="IS369" s="30"/>
      <c r="IT369" s="30"/>
      <c r="IU369" s="30"/>
      <c r="IV369" s="30"/>
      <c r="IW369" s="30"/>
      <c r="IX369" s="30"/>
      <c r="IY369" s="30"/>
      <c r="IZ369" s="30"/>
      <c r="JA369" s="30"/>
      <c r="JB369" s="30"/>
      <c r="JC369" s="30"/>
      <c r="JD369" s="30"/>
      <c r="JE369" s="30"/>
      <c r="JF369" s="30"/>
      <c r="JG369" s="30"/>
      <c r="JH369" s="30"/>
      <c r="JI369" s="30"/>
      <c r="JJ369" s="30"/>
      <c r="JK369" s="30"/>
      <c r="JL369" s="30"/>
      <c r="JM369" s="30"/>
      <c r="JN369" s="30"/>
      <c r="JO369" s="30"/>
      <c r="JP369" s="30"/>
      <c r="JQ369" s="30"/>
      <c r="JR369" s="30"/>
      <c r="JS369" s="30"/>
      <c r="JT369" s="30"/>
      <c r="JU369" s="30"/>
      <c r="JV369" s="30"/>
      <c r="JW369" s="30"/>
      <c r="JX369" s="30"/>
      <c r="JY369" s="30"/>
      <c r="JZ369" s="30"/>
      <c r="KA369" s="30"/>
      <c r="KB369" s="30"/>
      <c r="KC369" s="30"/>
      <c r="KD369" s="30"/>
      <c r="KE369" s="30"/>
      <c r="KF369" s="30"/>
      <c r="KG369" s="30"/>
      <c r="KH369" s="30"/>
      <c r="KI369" s="30"/>
      <c r="KJ369" s="30"/>
      <c r="KK369" s="30"/>
      <c r="KL369" s="30"/>
      <c r="KM369" s="30"/>
      <c r="KN369" s="30"/>
      <c r="KO369" s="30"/>
      <c r="KP369" s="30"/>
      <c r="KQ369" s="30"/>
      <c r="KR369" s="30"/>
      <c r="KS369" s="30"/>
      <c r="KT369" s="30"/>
      <c r="KU369" s="30"/>
      <c r="KV369" s="30"/>
      <c r="KW369" s="30"/>
      <c r="KX369" s="30"/>
      <c r="KY369" s="30"/>
      <c r="KZ369" s="30"/>
      <c r="LA369" s="30"/>
      <c r="LB369" s="30"/>
      <c r="LC369" s="30"/>
      <c r="LD369" s="30"/>
      <c r="LE369" s="30"/>
      <c r="LF369" s="30"/>
      <c r="LG369" s="30"/>
      <c r="LH369" s="30"/>
      <c r="LI369" s="30"/>
      <c r="LJ369" s="30"/>
      <c r="LK369" s="30"/>
      <c r="LL369" s="30"/>
      <c r="LM369" s="30"/>
      <c r="LN369" s="30"/>
      <c r="LO369" s="30"/>
      <c r="LP369" s="30"/>
      <c r="LQ369" s="30"/>
      <c r="LR369" s="30"/>
      <c r="LS369" s="30"/>
      <c r="LT369" s="30"/>
      <c r="LU369" s="30"/>
      <c r="LV369" s="30"/>
      <c r="LW369" s="30"/>
      <c r="LX369" s="30"/>
      <c r="LY369" s="30"/>
      <c r="LZ369" s="30"/>
      <c r="MA369" s="30"/>
      <c r="MB369" s="30"/>
      <c r="MC369" s="30"/>
      <c r="MD369" s="30"/>
      <c r="ME369" s="30"/>
      <c r="MF369" s="30"/>
      <c r="MG369" s="30"/>
      <c r="MH369" s="30"/>
      <c r="MI369" s="30"/>
      <c r="MJ369" s="30"/>
      <c r="MK369" s="30"/>
      <c r="ML369" s="30"/>
      <c r="MM369" s="30"/>
      <c r="MN369" s="30"/>
      <c r="MO369" s="30"/>
      <c r="MP369" s="30"/>
      <c r="MQ369" s="30"/>
      <c r="MR369" s="30"/>
      <c r="MS369" s="30"/>
      <c r="MT369" s="30"/>
      <c r="MU369" s="30"/>
      <c r="MV369" s="30"/>
      <c r="MW369" s="30"/>
      <c r="MX369" s="30"/>
      <c r="MY369" s="30"/>
      <c r="MZ369" s="30"/>
      <c r="NA369" s="30"/>
      <c r="NB369" s="30"/>
      <c r="NC369" s="30"/>
      <c r="ND369" s="30"/>
      <c r="NE369" s="30"/>
      <c r="NF369" s="30"/>
      <c r="NG369" s="30"/>
      <c r="NH369" s="30"/>
      <c r="NI369" s="30"/>
      <c r="NJ369" s="30"/>
      <c r="NK369" s="30"/>
      <c r="NL369" s="30"/>
      <c r="NM369" s="30"/>
      <c r="NN369" s="30"/>
      <c r="NO369" s="30"/>
      <c r="NP369" s="30"/>
      <c r="NQ369" s="30"/>
      <c r="NR369" s="30"/>
      <c r="NS369" s="30"/>
      <c r="NT369" s="30"/>
      <c r="NU369" s="30"/>
      <c r="NV369" s="30"/>
      <c r="NW369" s="30"/>
      <c r="NX369" s="30"/>
      <c r="NY369" s="30"/>
      <c r="NZ369" s="30"/>
      <c r="OA369" s="30"/>
      <c r="OB369" s="30"/>
      <c r="OC369" s="30"/>
      <c r="OD369" s="30"/>
      <c r="OE369" s="30"/>
    </row>
    <row r="370" spans="2:395" ht="13.8" hidden="1" customHeight="1" outlineLevel="1" x14ac:dyDescent="0.3">
      <c r="D370" s="21" t="s">
        <v>63</v>
      </c>
      <c r="E370" s="29">
        <v>5.0000000000000001E-3</v>
      </c>
      <c r="F370" s="257" t="s">
        <v>67</v>
      </c>
      <c r="N370" s="30" t="s">
        <v>115</v>
      </c>
      <c r="O370" s="30"/>
      <c r="P370" s="32" t="s">
        <v>125</v>
      </c>
      <c r="Q370" s="30"/>
      <c r="R370" s="30"/>
      <c r="S370" s="30"/>
      <c r="T370" s="30"/>
      <c r="U370" s="30"/>
      <c r="V370" s="30"/>
      <c r="W370" s="30"/>
      <c r="X370" s="30"/>
      <c r="Y370" s="30"/>
      <c r="Z370" s="30"/>
      <c r="AA370" s="30"/>
      <c r="AB370" s="30"/>
      <c r="AC370" s="30"/>
      <c r="AD370" s="30"/>
      <c r="AE370" s="30"/>
      <c r="AF370" s="30"/>
      <c r="AG370" s="30"/>
      <c r="AH370" s="30"/>
      <c r="AI370" s="30"/>
      <c r="AJ370" s="30"/>
      <c r="AK370" s="30"/>
      <c r="AL370" s="30"/>
      <c r="AM370" s="30"/>
      <c r="AN370" s="30"/>
      <c r="AO370" s="30"/>
      <c r="AP370" s="30"/>
      <c r="AQ370" s="30"/>
      <c r="AR370" s="30"/>
      <c r="AS370" s="30"/>
      <c r="AT370" s="30"/>
      <c r="AU370" s="30"/>
      <c r="AV370" s="30"/>
      <c r="AW370" s="30"/>
      <c r="AX370" s="30"/>
      <c r="AY370" s="30"/>
      <c r="AZ370" s="30"/>
      <c r="BA370" s="30"/>
      <c r="BB370" s="30"/>
      <c r="BC370" s="30"/>
      <c r="BD370" s="30"/>
      <c r="BE370" s="30"/>
      <c r="BF370" s="30"/>
      <c r="BG370" s="30"/>
      <c r="BH370" s="30"/>
      <c r="BI370" s="30"/>
      <c r="BJ370" s="30"/>
      <c r="BK370" s="30"/>
      <c r="BL370" s="30"/>
      <c r="BM370" s="30"/>
      <c r="BN370" s="30"/>
      <c r="BO370" s="30"/>
      <c r="BP370" s="30"/>
      <c r="BQ370" s="30"/>
      <c r="BR370" s="30"/>
      <c r="BS370" s="30"/>
      <c r="BT370" s="30"/>
      <c r="BU370" s="30"/>
      <c r="BV370" s="30"/>
      <c r="BW370" s="30"/>
      <c r="BX370" s="30"/>
      <c r="BY370" s="30"/>
      <c r="BZ370" s="30"/>
      <c r="CA370" s="30"/>
      <c r="CB370" s="30"/>
      <c r="CC370" s="30"/>
      <c r="CD370" s="30"/>
      <c r="CE370" s="30"/>
      <c r="CF370" s="30"/>
      <c r="CG370" s="30"/>
      <c r="CH370" s="30"/>
      <c r="CI370" s="30"/>
      <c r="CJ370" s="30"/>
      <c r="CK370" s="30"/>
      <c r="CL370" s="30"/>
      <c r="CM370" s="30"/>
      <c r="CN370" s="30"/>
      <c r="CO370" s="30"/>
      <c r="CP370" s="30"/>
      <c r="CQ370" s="30"/>
      <c r="CR370" s="30"/>
      <c r="CS370" s="30"/>
      <c r="CT370" s="30"/>
      <c r="CU370" s="30"/>
      <c r="CV370" s="30"/>
      <c r="CW370" s="30"/>
      <c r="CX370" s="30"/>
      <c r="CY370" s="30"/>
      <c r="CZ370" s="30"/>
      <c r="DA370" s="30"/>
      <c r="DB370" s="30"/>
      <c r="DC370" s="30"/>
      <c r="DD370" s="30"/>
      <c r="DE370" s="30"/>
      <c r="DF370" s="30"/>
      <c r="DG370" s="30"/>
      <c r="DH370" s="30"/>
      <c r="DI370" s="30"/>
      <c r="DJ370" s="30"/>
      <c r="DK370" s="30"/>
      <c r="DL370" s="30"/>
      <c r="DM370" s="30"/>
      <c r="DN370" s="30"/>
      <c r="DO370" s="30"/>
      <c r="DP370" s="30"/>
      <c r="DQ370" s="30"/>
      <c r="DR370" s="30"/>
      <c r="DS370" s="30"/>
      <c r="DT370" s="30"/>
      <c r="DU370" s="30"/>
      <c r="DV370" s="30"/>
      <c r="DW370" s="30"/>
      <c r="DX370" s="30"/>
      <c r="DY370" s="30"/>
      <c r="DZ370" s="30"/>
      <c r="EA370" s="30"/>
      <c r="EB370" s="30"/>
      <c r="EC370" s="30"/>
      <c r="ED370" s="30"/>
      <c r="EE370" s="30"/>
      <c r="EF370" s="30"/>
      <c r="EG370" s="30"/>
      <c r="EH370" s="30"/>
      <c r="EI370" s="30"/>
      <c r="EJ370" s="30"/>
      <c r="EK370" s="30"/>
      <c r="EL370" s="30"/>
      <c r="EM370" s="30"/>
      <c r="EN370" s="30"/>
      <c r="EO370" s="30"/>
      <c r="EP370" s="30"/>
      <c r="EQ370" s="30"/>
      <c r="ER370" s="30"/>
      <c r="ES370" s="30"/>
      <c r="ET370" s="30"/>
      <c r="EU370" s="30"/>
      <c r="EV370" s="30"/>
      <c r="EW370" s="30"/>
      <c r="EX370" s="30"/>
      <c r="EY370" s="30"/>
      <c r="EZ370" s="30"/>
      <c r="FA370" s="30"/>
      <c r="FB370" s="30"/>
      <c r="FC370" s="30"/>
      <c r="FD370" s="30"/>
      <c r="FE370" s="30"/>
      <c r="FF370" s="30"/>
      <c r="FG370" s="30"/>
      <c r="FH370" s="30"/>
      <c r="FI370" s="30"/>
      <c r="FJ370" s="30"/>
      <c r="FK370" s="30"/>
      <c r="FL370" s="30"/>
      <c r="FM370" s="30"/>
      <c r="FN370" s="30"/>
      <c r="FO370" s="30"/>
      <c r="FP370" s="30"/>
      <c r="FQ370" s="30"/>
      <c r="FR370" s="30"/>
      <c r="FS370" s="30"/>
      <c r="FT370" s="30"/>
      <c r="FU370" s="30"/>
      <c r="FV370" s="30"/>
      <c r="FW370" s="30"/>
      <c r="FX370" s="30"/>
      <c r="FY370" s="30"/>
      <c r="FZ370" s="30"/>
      <c r="GA370" s="30"/>
      <c r="GB370" s="30"/>
      <c r="GC370" s="30"/>
      <c r="GD370" s="30"/>
      <c r="GE370" s="30"/>
      <c r="GF370" s="30"/>
      <c r="GG370" s="30"/>
      <c r="GH370" s="30"/>
      <c r="GI370" s="30"/>
      <c r="GJ370" s="30"/>
      <c r="GK370" s="30"/>
      <c r="GL370" s="30"/>
      <c r="GM370" s="30"/>
      <c r="GN370" s="30"/>
      <c r="GO370" s="30"/>
      <c r="GP370" s="30"/>
      <c r="GQ370" s="30"/>
      <c r="GR370" s="30"/>
      <c r="GS370" s="30"/>
      <c r="GT370" s="30"/>
      <c r="GU370" s="30"/>
      <c r="GV370" s="30"/>
      <c r="GW370" s="30"/>
      <c r="GX370" s="30"/>
      <c r="GY370" s="30"/>
      <c r="GZ370" s="30"/>
      <c r="HA370" s="30"/>
      <c r="HB370" s="30"/>
      <c r="HC370" s="30"/>
      <c r="HD370" s="30"/>
      <c r="HE370" s="30"/>
      <c r="HF370" s="30"/>
      <c r="HG370" s="30"/>
      <c r="HH370" s="30"/>
      <c r="HI370" s="30"/>
      <c r="HJ370" s="30"/>
      <c r="HK370" s="30"/>
      <c r="HL370" s="30"/>
      <c r="HM370" s="30"/>
      <c r="HN370" s="30"/>
      <c r="HO370" s="30"/>
      <c r="HP370" s="30"/>
      <c r="HQ370" s="30"/>
      <c r="HR370" s="30"/>
      <c r="HS370" s="30"/>
      <c r="HT370" s="30"/>
      <c r="HU370" s="30"/>
      <c r="HV370" s="30"/>
      <c r="HW370" s="30"/>
      <c r="HX370" s="30"/>
      <c r="HY370" s="30"/>
      <c r="HZ370" s="30"/>
      <c r="IA370" s="30"/>
      <c r="IB370" s="30"/>
      <c r="IC370" s="30"/>
      <c r="ID370" s="30"/>
      <c r="IE370" s="30"/>
      <c r="IF370" s="30"/>
      <c r="IG370" s="30"/>
      <c r="IH370" s="30"/>
      <c r="II370" s="30"/>
      <c r="IJ370" s="30"/>
      <c r="IK370" s="30"/>
      <c r="IL370" s="30"/>
      <c r="IM370" s="30"/>
      <c r="IN370" s="30"/>
      <c r="IO370" s="30"/>
      <c r="IP370" s="30"/>
      <c r="IQ370" s="30"/>
      <c r="IR370" s="30"/>
      <c r="IS370" s="30"/>
      <c r="IT370" s="30"/>
      <c r="IU370" s="30"/>
      <c r="IV370" s="30"/>
      <c r="IW370" s="30"/>
      <c r="IX370" s="30"/>
      <c r="IY370" s="30"/>
      <c r="IZ370" s="30"/>
      <c r="JA370" s="30"/>
      <c r="JB370" s="30"/>
      <c r="JC370" s="30"/>
      <c r="JD370" s="30"/>
      <c r="JE370" s="30"/>
      <c r="JF370" s="30"/>
      <c r="JG370" s="30"/>
      <c r="JH370" s="30"/>
      <c r="JI370" s="30"/>
      <c r="JJ370" s="30"/>
      <c r="JK370" s="30"/>
      <c r="JL370" s="30"/>
      <c r="JM370" s="30"/>
      <c r="JN370" s="30"/>
      <c r="JO370" s="30"/>
      <c r="JP370" s="30"/>
      <c r="JQ370" s="30"/>
      <c r="JR370" s="30"/>
      <c r="JS370" s="30"/>
      <c r="JT370" s="30"/>
      <c r="JU370" s="30"/>
      <c r="JV370" s="30"/>
      <c r="JW370" s="30"/>
      <c r="JX370" s="30"/>
      <c r="JY370" s="30"/>
      <c r="JZ370" s="30"/>
      <c r="KA370" s="30"/>
      <c r="KB370" s="30"/>
      <c r="KC370" s="30"/>
      <c r="KD370" s="30"/>
      <c r="KE370" s="30"/>
      <c r="KF370" s="30"/>
      <c r="KG370" s="30"/>
      <c r="KH370" s="30"/>
      <c r="KI370" s="30"/>
      <c r="KJ370" s="30"/>
      <c r="KK370" s="30"/>
      <c r="KL370" s="30"/>
      <c r="KM370" s="30"/>
      <c r="KN370" s="30"/>
      <c r="KO370" s="30"/>
      <c r="KP370" s="30"/>
      <c r="KQ370" s="30"/>
      <c r="KR370" s="30"/>
      <c r="KS370" s="30"/>
      <c r="KT370" s="30"/>
      <c r="KU370" s="30"/>
      <c r="KV370" s="30"/>
      <c r="KW370" s="30"/>
      <c r="KX370" s="30"/>
      <c r="KY370" s="30"/>
      <c r="KZ370" s="30"/>
      <c r="LA370" s="30"/>
      <c r="LB370" s="30"/>
      <c r="LC370" s="30"/>
      <c r="LD370" s="30"/>
      <c r="LE370" s="30"/>
      <c r="LF370" s="30"/>
      <c r="LG370" s="30"/>
      <c r="LH370" s="30"/>
      <c r="LI370" s="30"/>
      <c r="LJ370" s="30"/>
      <c r="LK370" s="30"/>
      <c r="LL370" s="30"/>
      <c r="LM370" s="30"/>
      <c r="LN370" s="30"/>
      <c r="LO370" s="30"/>
      <c r="LP370" s="30"/>
      <c r="LQ370" s="30"/>
      <c r="LR370" s="30"/>
      <c r="LS370" s="30"/>
      <c r="LT370" s="30"/>
      <c r="LU370" s="30"/>
      <c r="LV370" s="30"/>
      <c r="LW370" s="30"/>
      <c r="LX370" s="30"/>
      <c r="LY370" s="30"/>
      <c r="LZ370" s="30"/>
      <c r="MA370" s="30"/>
      <c r="MB370" s="30"/>
      <c r="MC370" s="30"/>
      <c r="MD370" s="30"/>
      <c r="ME370" s="30"/>
      <c r="MF370" s="30"/>
      <c r="MG370" s="30"/>
      <c r="MH370" s="30"/>
      <c r="MI370" s="30"/>
      <c r="MJ370" s="30"/>
      <c r="MK370" s="30"/>
      <c r="ML370" s="30"/>
      <c r="MM370" s="30"/>
      <c r="MN370" s="30"/>
      <c r="MO370" s="30"/>
      <c r="MP370" s="30"/>
      <c r="MQ370" s="30"/>
      <c r="MR370" s="30"/>
      <c r="MS370" s="30"/>
      <c r="MT370" s="30"/>
      <c r="MU370" s="30"/>
      <c r="MV370" s="30"/>
      <c r="MW370" s="30"/>
      <c r="MX370" s="30"/>
      <c r="MY370" s="30"/>
      <c r="MZ370" s="30"/>
      <c r="NA370" s="30"/>
      <c r="NB370" s="30"/>
      <c r="NC370" s="30"/>
      <c r="ND370" s="30"/>
      <c r="NE370" s="30"/>
      <c r="NF370" s="30"/>
      <c r="NG370" s="30"/>
      <c r="NH370" s="30"/>
      <c r="NI370" s="30"/>
      <c r="NJ370" s="30"/>
      <c r="NK370" s="30"/>
      <c r="NL370" s="30"/>
      <c r="NM370" s="30"/>
      <c r="NN370" s="30"/>
      <c r="NO370" s="30"/>
      <c r="NP370" s="30"/>
      <c r="NQ370" s="30"/>
      <c r="NR370" s="30"/>
      <c r="NS370" s="30"/>
      <c r="NT370" s="30"/>
      <c r="NU370" s="30"/>
      <c r="NV370" s="30"/>
      <c r="NW370" s="30"/>
      <c r="NX370" s="30"/>
      <c r="NY370" s="30"/>
      <c r="NZ370" s="30"/>
      <c r="OA370" s="30"/>
      <c r="OB370" s="30"/>
      <c r="OC370" s="30"/>
      <c r="OD370" s="30"/>
      <c r="OE370" s="30"/>
    </row>
    <row r="371" spans="2:395" ht="13.8" hidden="1" customHeight="1" outlineLevel="1" x14ac:dyDescent="0.3">
      <c r="D371" s="21" t="s">
        <v>70</v>
      </c>
      <c r="E371" s="26">
        <f>8600</f>
        <v>8600</v>
      </c>
      <c r="F371" s="257" t="s">
        <v>71</v>
      </c>
      <c r="N371" s="30" t="s">
        <v>116</v>
      </c>
      <c r="O371" s="30"/>
      <c r="P371" s="32" t="s">
        <v>26</v>
      </c>
      <c r="Q371" s="30"/>
      <c r="R371" s="30"/>
      <c r="S371" s="30"/>
      <c r="T371" s="30"/>
      <c r="U371" s="30"/>
      <c r="V371" s="30"/>
      <c r="W371" s="30"/>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0"/>
      <c r="HS371" s="30"/>
      <c r="HT371" s="30"/>
      <c r="HU371" s="30"/>
      <c r="HV371" s="30"/>
      <c r="HW371" s="30"/>
      <c r="HX371" s="30"/>
      <c r="HY371" s="30"/>
      <c r="HZ371" s="30"/>
      <c r="IA371" s="30"/>
      <c r="IB371" s="30"/>
      <c r="IC371" s="30"/>
      <c r="ID371" s="30"/>
      <c r="IE371" s="30"/>
      <c r="IF371" s="30"/>
      <c r="IG371" s="30"/>
      <c r="IH371" s="30"/>
      <c r="II371" s="30"/>
      <c r="IJ371" s="30"/>
      <c r="IK371" s="30"/>
      <c r="IL371" s="30"/>
      <c r="IM371" s="30"/>
      <c r="IN371" s="30"/>
      <c r="IO371" s="30"/>
      <c r="IP371" s="30"/>
      <c r="IQ371" s="30"/>
      <c r="IR371" s="30"/>
      <c r="IS371" s="30"/>
      <c r="IT371" s="30"/>
      <c r="IU371" s="30"/>
      <c r="IV371" s="30"/>
      <c r="IW371" s="30"/>
      <c r="IX371" s="30"/>
      <c r="IY371" s="30"/>
      <c r="IZ371" s="30"/>
      <c r="JA371" s="30"/>
      <c r="JB371" s="30"/>
      <c r="JC371" s="30"/>
      <c r="JD371" s="30"/>
      <c r="JE371" s="30"/>
      <c r="JF371" s="30"/>
      <c r="JG371" s="30"/>
      <c r="JH371" s="30"/>
      <c r="JI371" s="30"/>
      <c r="JJ371" s="30"/>
      <c r="JK371" s="30"/>
      <c r="JL371" s="30"/>
      <c r="JM371" s="30"/>
      <c r="JN371" s="30"/>
      <c r="JO371" s="30"/>
      <c r="JP371" s="30"/>
      <c r="JQ371" s="30"/>
      <c r="JR371" s="30"/>
      <c r="JS371" s="30"/>
      <c r="JT371" s="30"/>
      <c r="JU371" s="30"/>
      <c r="JV371" s="30"/>
      <c r="JW371" s="30"/>
      <c r="JX371" s="30"/>
      <c r="JY371" s="30"/>
      <c r="JZ371" s="30"/>
      <c r="KA371" s="30"/>
      <c r="KB371" s="30"/>
      <c r="KC371" s="30"/>
      <c r="KD371" s="30"/>
      <c r="KE371" s="30"/>
      <c r="KF371" s="30"/>
      <c r="KG371" s="30"/>
      <c r="KH371" s="30"/>
      <c r="KI371" s="30"/>
      <c r="KJ371" s="30"/>
      <c r="KK371" s="30"/>
      <c r="KL371" s="30"/>
      <c r="KM371" s="30"/>
      <c r="KN371" s="30"/>
      <c r="KO371" s="30"/>
      <c r="KP371" s="30"/>
      <c r="KQ371" s="30"/>
      <c r="KR371" s="30"/>
      <c r="KS371" s="30"/>
      <c r="KT371" s="30"/>
      <c r="KU371" s="30"/>
      <c r="KV371" s="30"/>
      <c r="KW371" s="30"/>
      <c r="KX371" s="30"/>
      <c r="KY371" s="30"/>
      <c r="KZ371" s="30"/>
      <c r="LA371" s="30"/>
      <c r="LB371" s="30"/>
      <c r="LC371" s="30"/>
      <c r="LD371" s="30"/>
      <c r="LE371" s="30"/>
      <c r="LF371" s="30"/>
      <c r="LG371" s="30"/>
      <c r="LH371" s="30"/>
      <c r="LI371" s="30"/>
      <c r="LJ371" s="30"/>
      <c r="LK371" s="30"/>
      <c r="LL371" s="30"/>
      <c r="LM371" s="30"/>
      <c r="LN371" s="30"/>
      <c r="LO371" s="30"/>
      <c r="LP371" s="30"/>
      <c r="LQ371" s="30"/>
      <c r="LR371" s="30"/>
      <c r="LS371" s="30"/>
      <c r="LT371" s="30"/>
      <c r="LU371" s="30"/>
      <c r="LV371" s="30"/>
      <c r="LW371" s="30"/>
      <c r="LX371" s="30"/>
      <c r="LY371" s="30"/>
      <c r="LZ371" s="30"/>
      <c r="MA371" s="30"/>
      <c r="MB371" s="30"/>
      <c r="MC371" s="30"/>
      <c r="MD371" s="30"/>
      <c r="ME371" s="30"/>
      <c r="MF371" s="30"/>
      <c r="MG371" s="30"/>
      <c r="MH371" s="30"/>
      <c r="MI371" s="30"/>
      <c r="MJ371" s="30"/>
      <c r="MK371" s="30"/>
      <c r="ML371" s="30"/>
      <c r="MM371" s="30"/>
      <c r="MN371" s="30"/>
      <c r="MO371" s="30"/>
      <c r="MP371" s="30"/>
      <c r="MQ371" s="30"/>
      <c r="MR371" s="30"/>
      <c r="MS371" s="30"/>
      <c r="MT371" s="30"/>
      <c r="MU371" s="30"/>
      <c r="MV371" s="30"/>
      <c r="MW371" s="30"/>
      <c r="MX371" s="30"/>
      <c r="MY371" s="30"/>
      <c r="MZ371" s="30"/>
      <c r="NA371" s="30"/>
      <c r="NB371" s="30"/>
      <c r="NC371" s="30"/>
      <c r="ND371" s="30"/>
      <c r="NE371" s="30"/>
      <c r="NF371" s="30"/>
      <c r="NG371" s="30"/>
      <c r="NH371" s="30"/>
      <c r="NI371" s="30"/>
      <c r="NJ371" s="30"/>
      <c r="NK371" s="30"/>
      <c r="NL371" s="30"/>
      <c r="NM371" s="30"/>
      <c r="NN371" s="30"/>
      <c r="NO371" s="30"/>
      <c r="NP371" s="30"/>
      <c r="NQ371" s="30"/>
      <c r="NR371" s="30"/>
      <c r="NS371" s="30"/>
      <c r="NT371" s="30"/>
      <c r="NU371" s="30"/>
      <c r="NV371" s="30"/>
      <c r="NW371" s="30"/>
      <c r="NX371" s="30"/>
      <c r="NY371" s="30"/>
      <c r="NZ371" s="30"/>
      <c r="OA371" s="30"/>
      <c r="OB371" s="30"/>
      <c r="OC371" s="30"/>
      <c r="OD371" s="30"/>
      <c r="OE371" s="30"/>
    </row>
    <row r="372" spans="2:395" ht="13.8" customHeight="1" x14ac:dyDescent="0.3">
      <c r="N372" s="30"/>
      <c r="O372" s="30"/>
      <c r="P372" s="32"/>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0"/>
      <c r="HS372" s="30"/>
      <c r="HT372" s="30"/>
      <c r="HU372" s="30"/>
      <c r="HV372" s="30"/>
      <c r="HW372" s="30"/>
      <c r="HX372" s="30"/>
      <c r="HY372" s="30"/>
      <c r="HZ372" s="30"/>
      <c r="IA372" s="30"/>
      <c r="IB372" s="30"/>
      <c r="IC372" s="30"/>
      <c r="ID372" s="30"/>
      <c r="IE372" s="30"/>
      <c r="IF372" s="30"/>
      <c r="IG372" s="30"/>
      <c r="IH372" s="30"/>
      <c r="II372" s="30"/>
      <c r="IJ372" s="30"/>
      <c r="IK372" s="30"/>
      <c r="IL372" s="30"/>
      <c r="IM372" s="30"/>
      <c r="IN372" s="30"/>
      <c r="IO372" s="30"/>
      <c r="IP372" s="30"/>
      <c r="IQ372" s="30"/>
      <c r="IR372" s="30"/>
      <c r="IS372" s="30"/>
      <c r="IT372" s="30"/>
      <c r="IU372" s="30"/>
      <c r="IV372" s="30"/>
      <c r="IW372" s="30"/>
      <c r="IX372" s="30"/>
      <c r="IY372" s="30"/>
      <c r="IZ372" s="30"/>
      <c r="JA372" s="30"/>
      <c r="JB372" s="30"/>
      <c r="JC372" s="30"/>
      <c r="JD372" s="30"/>
      <c r="JE372" s="30"/>
      <c r="JF372" s="30"/>
      <c r="JG372" s="30"/>
      <c r="JH372" s="30"/>
      <c r="JI372" s="30"/>
      <c r="JJ372" s="30"/>
      <c r="JK372" s="30"/>
      <c r="JL372" s="30"/>
      <c r="JM372" s="30"/>
      <c r="JN372" s="30"/>
      <c r="JO372" s="30"/>
      <c r="JP372" s="30"/>
      <c r="JQ372" s="30"/>
      <c r="JR372" s="30"/>
      <c r="JS372" s="30"/>
      <c r="JT372" s="30"/>
      <c r="JU372" s="30"/>
      <c r="JV372" s="30"/>
      <c r="JW372" s="30"/>
      <c r="JX372" s="30"/>
      <c r="JY372" s="30"/>
      <c r="JZ372" s="30"/>
      <c r="KA372" s="30"/>
      <c r="KB372" s="30"/>
      <c r="KC372" s="30"/>
      <c r="KD372" s="30"/>
      <c r="KE372" s="30"/>
      <c r="KF372" s="30"/>
      <c r="KG372" s="30"/>
      <c r="KH372" s="30"/>
      <c r="KI372" s="30"/>
      <c r="KJ372" s="30"/>
      <c r="KK372" s="30"/>
      <c r="KL372" s="30"/>
      <c r="KM372" s="30"/>
      <c r="KN372" s="30"/>
      <c r="KO372" s="30"/>
      <c r="KP372" s="30"/>
      <c r="KQ372" s="30"/>
      <c r="KR372" s="30"/>
      <c r="KS372" s="30"/>
      <c r="KT372" s="30"/>
      <c r="KU372" s="30"/>
      <c r="KV372" s="30"/>
      <c r="KW372" s="30"/>
      <c r="KX372" s="30"/>
      <c r="KY372" s="30"/>
      <c r="KZ372" s="30"/>
      <c r="LA372" s="30"/>
      <c r="LB372" s="30"/>
      <c r="LC372" s="30"/>
      <c r="LD372" s="30"/>
      <c r="LE372" s="30"/>
      <c r="LF372" s="30"/>
      <c r="LG372" s="30"/>
      <c r="LH372" s="30"/>
      <c r="LI372" s="30"/>
      <c r="LJ372" s="30"/>
      <c r="LK372" s="30"/>
      <c r="LL372" s="30"/>
      <c r="LM372" s="30"/>
      <c r="LN372" s="30"/>
      <c r="LO372" s="30"/>
      <c r="LP372" s="30"/>
      <c r="LQ372" s="30"/>
      <c r="LR372" s="30"/>
      <c r="LS372" s="30"/>
      <c r="LT372" s="30"/>
      <c r="LU372" s="30"/>
      <c r="LV372" s="30"/>
      <c r="LW372" s="30"/>
      <c r="LX372" s="30"/>
      <c r="LY372" s="30"/>
      <c r="LZ372" s="30"/>
      <c r="MA372" s="30"/>
      <c r="MB372" s="30"/>
      <c r="MC372" s="30"/>
      <c r="MD372" s="30"/>
      <c r="ME372" s="30"/>
      <c r="MF372" s="30"/>
      <c r="MG372" s="30"/>
      <c r="MH372" s="30"/>
      <c r="MI372" s="30"/>
      <c r="MJ372" s="30"/>
      <c r="MK372" s="30"/>
      <c r="ML372" s="30"/>
      <c r="MM372" s="30"/>
      <c r="MN372" s="30"/>
      <c r="MO372" s="30"/>
      <c r="MP372" s="30"/>
      <c r="MQ372" s="30"/>
      <c r="MR372" s="30"/>
      <c r="MS372" s="30"/>
      <c r="MT372" s="30"/>
      <c r="MU372" s="30"/>
      <c r="MV372" s="30"/>
      <c r="MW372" s="30"/>
      <c r="MX372" s="30"/>
      <c r="MY372" s="30"/>
      <c r="MZ372" s="30"/>
      <c r="NA372" s="30"/>
      <c r="NB372" s="30"/>
      <c r="NC372" s="30"/>
      <c r="ND372" s="30"/>
      <c r="NE372" s="30"/>
      <c r="NF372" s="30"/>
      <c r="NG372" s="30"/>
      <c r="NH372" s="30"/>
      <c r="NI372" s="30"/>
      <c r="NJ372" s="30"/>
      <c r="NK372" s="30"/>
      <c r="NL372" s="30"/>
      <c r="NM372" s="30"/>
      <c r="NN372" s="30"/>
      <c r="NO372" s="30"/>
      <c r="NP372" s="30"/>
      <c r="NQ372" s="30"/>
      <c r="NR372" s="30"/>
      <c r="NS372" s="30"/>
      <c r="NT372" s="30"/>
      <c r="NU372" s="30"/>
      <c r="NV372" s="30"/>
      <c r="NW372" s="30"/>
      <c r="NX372" s="30"/>
      <c r="NY372" s="30"/>
      <c r="NZ372" s="30"/>
      <c r="OA372" s="30"/>
      <c r="OB372" s="30"/>
      <c r="OC372" s="30"/>
      <c r="OD372" s="30"/>
      <c r="OE372" s="30"/>
    </row>
    <row r="373" spans="2:395" ht="13.8" customHeight="1" x14ac:dyDescent="0.3">
      <c r="N373" s="30" t="s">
        <v>127</v>
      </c>
      <c r="O373" s="30"/>
      <c r="P373" s="32" t="s">
        <v>31</v>
      </c>
      <c r="Q373" s="30"/>
      <c r="R373" s="30"/>
      <c r="S373" s="30"/>
      <c r="T373" s="30"/>
      <c r="U373" s="30"/>
      <c r="V373" s="30"/>
      <c r="W373" s="30"/>
      <c r="X373" s="30"/>
      <c r="Y373" s="30"/>
      <c r="Z373" s="30"/>
      <c r="AA373" s="30"/>
      <c r="AB373" s="30"/>
      <c r="AC373" s="30"/>
      <c r="AD373" s="30"/>
      <c r="AE373" s="30"/>
      <c r="AF373" s="30"/>
      <c r="AG373" s="30"/>
      <c r="AH373" s="30"/>
      <c r="AI373" s="30"/>
      <c r="AJ373" s="30"/>
      <c r="AK373" s="30"/>
      <c r="AL373" s="30"/>
      <c r="AM373" s="30"/>
      <c r="AN373" s="30"/>
      <c r="AO373" s="30"/>
      <c r="AP373" s="30"/>
      <c r="AQ373" s="30"/>
      <c r="AR373" s="30"/>
      <c r="AS373" s="30"/>
      <c r="AT373" s="30"/>
      <c r="AU373" s="30"/>
      <c r="AV373" s="30"/>
      <c r="AW373" s="30"/>
      <c r="AX373" s="30"/>
      <c r="AY373" s="30"/>
      <c r="AZ373" s="30"/>
      <c r="BA373" s="30"/>
      <c r="BB373" s="30"/>
      <c r="BC373" s="30"/>
      <c r="BD373" s="30"/>
      <c r="BE373" s="30"/>
      <c r="BF373" s="30"/>
      <c r="BG373" s="30"/>
      <c r="BH373" s="30"/>
      <c r="BI373" s="30"/>
      <c r="BJ373" s="30"/>
      <c r="BK373" s="30"/>
      <c r="BL373" s="30"/>
      <c r="BM373" s="30"/>
      <c r="BN373" s="30"/>
      <c r="BO373" s="30"/>
      <c r="BP373" s="30"/>
      <c r="BQ373" s="30"/>
      <c r="BR373" s="30"/>
      <c r="BS373" s="30"/>
      <c r="BT373" s="30"/>
      <c r="BU373" s="30"/>
      <c r="BV373" s="30"/>
      <c r="BW373" s="30"/>
      <c r="BX373" s="30"/>
      <c r="BY373" s="30"/>
      <c r="BZ373" s="30"/>
      <c r="CA373" s="30"/>
      <c r="CB373" s="30"/>
      <c r="CC373" s="30"/>
      <c r="CD373" s="30"/>
      <c r="CE373" s="30"/>
      <c r="CF373" s="30"/>
      <c r="CG373" s="30"/>
      <c r="CH373" s="30"/>
      <c r="CI373" s="30"/>
      <c r="CJ373" s="30"/>
      <c r="CK373" s="30"/>
      <c r="CL373" s="30"/>
      <c r="CM373" s="30"/>
      <c r="CN373" s="30"/>
      <c r="CO373" s="30"/>
      <c r="CP373" s="30"/>
      <c r="CQ373" s="30"/>
      <c r="CR373" s="30"/>
      <c r="CS373" s="30"/>
      <c r="CT373" s="30"/>
      <c r="CU373" s="30"/>
      <c r="CV373" s="30"/>
      <c r="CW373" s="30"/>
      <c r="CX373" s="30"/>
      <c r="CY373" s="30"/>
      <c r="CZ373" s="30"/>
      <c r="DA373" s="30"/>
      <c r="DB373" s="30"/>
      <c r="DC373" s="30"/>
      <c r="DD373" s="30"/>
      <c r="DE373" s="30"/>
      <c r="DF373" s="30"/>
      <c r="DG373" s="30"/>
      <c r="DH373" s="30"/>
      <c r="DI373" s="30"/>
      <c r="DJ373" s="30"/>
      <c r="DK373" s="30"/>
      <c r="DL373" s="30"/>
      <c r="DM373" s="30"/>
      <c r="DN373" s="30"/>
      <c r="DO373" s="30"/>
      <c r="DP373" s="30"/>
      <c r="DQ373" s="30"/>
      <c r="DR373" s="30"/>
      <c r="DS373" s="30"/>
      <c r="DT373" s="30"/>
      <c r="DU373" s="30"/>
      <c r="DV373" s="30"/>
      <c r="DW373" s="30"/>
      <c r="DX373" s="30"/>
      <c r="DY373" s="30"/>
      <c r="DZ373" s="30"/>
      <c r="EA373" s="30"/>
      <c r="EB373" s="30"/>
      <c r="EC373" s="30"/>
      <c r="ED373" s="30"/>
      <c r="EE373" s="30"/>
      <c r="EF373" s="30"/>
      <c r="EG373" s="30"/>
      <c r="EH373" s="30"/>
      <c r="EI373" s="30"/>
      <c r="EJ373" s="30"/>
      <c r="EK373" s="30"/>
      <c r="EL373" s="30"/>
      <c r="EM373" s="30"/>
      <c r="EN373" s="30"/>
      <c r="EO373" s="30"/>
      <c r="EP373" s="30"/>
      <c r="EQ373" s="30"/>
      <c r="ER373" s="30"/>
      <c r="ES373" s="30"/>
      <c r="ET373" s="30"/>
      <c r="EU373" s="30"/>
      <c r="EV373" s="30"/>
      <c r="EW373" s="30"/>
      <c r="EX373" s="30"/>
      <c r="EY373" s="30"/>
      <c r="EZ373" s="30"/>
      <c r="FA373" s="30"/>
      <c r="FB373" s="30"/>
      <c r="FC373" s="30"/>
      <c r="FD373" s="30"/>
      <c r="FE373" s="30"/>
      <c r="FF373" s="30"/>
      <c r="FG373" s="30"/>
      <c r="FH373" s="30"/>
      <c r="FI373" s="30"/>
      <c r="FJ373" s="30"/>
      <c r="FK373" s="30"/>
      <c r="FL373" s="30"/>
      <c r="FM373" s="30"/>
      <c r="FN373" s="30"/>
      <c r="FO373" s="30"/>
      <c r="FP373" s="30"/>
      <c r="FQ373" s="30"/>
      <c r="FR373" s="30"/>
      <c r="FS373" s="30"/>
      <c r="FT373" s="30"/>
      <c r="FU373" s="30"/>
      <c r="FV373" s="30"/>
      <c r="FW373" s="30"/>
      <c r="FX373" s="30"/>
      <c r="FY373" s="30"/>
      <c r="FZ373" s="30"/>
      <c r="GA373" s="30"/>
      <c r="GB373" s="30"/>
      <c r="GC373" s="30"/>
      <c r="GD373" s="30"/>
      <c r="GE373" s="30"/>
      <c r="GF373" s="30"/>
      <c r="GG373" s="30"/>
      <c r="GH373" s="30"/>
      <c r="GI373" s="30"/>
      <c r="GJ373" s="30"/>
      <c r="GK373" s="30"/>
      <c r="GL373" s="30"/>
      <c r="GM373" s="30"/>
      <c r="GN373" s="30"/>
      <c r="GO373" s="30"/>
      <c r="GP373" s="30"/>
      <c r="GQ373" s="30"/>
      <c r="GR373" s="30"/>
      <c r="GS373" s="30"/>
      <c r="GT373" s="30"/>
      <c r="GU373" s="30"/>
      <c r="GV373" s="30"/>
      <c r="GW373" s="30"/>
      <c r="GX373" s="30"/>
      <c r="GY373" s="30"/>
      <c r="GZ373" s="30"/>
      <c r="HA373" s="30"/>
      <c r="HB373" s="30"/>
      <c r="HC373" s="30"/>
      <c r="HD373" s="30"/>
      <c r="HE373" s="30"/>
      <c r="HF373" s="30"/>
      <c r="HG373" s="30"/>
      <c r="HH373" s="30"/>
      <c r="HI373" s="30"/>
      <c r="HJ373" s="30"/>
      <c r="HK373" s="30"/>
      <c r="HL373" s="30"/>
      <c r="HM373" s="30"/>
      <c r="HN373" s="30"/>
      <c r="HO373" s="30"/>
      <c r="HP373" s="30"/>
      <c r="HQ373" s="30"/>
      <c r="HR373" s="30"/>
      <c r="HS373" s="30"/>
      <c r="HT373" s="30"/>
      <c r="HU373" s="30"/>
      <c r="HV373" s="30"/>
      <c r="HW373" s="30"/>
      <c r="HX373" s="30"/>
      <c r="HY373" s="30"/>
      <c r="HZ373" s="30"/>
      <c r="IA373" s="30"/>
      <c r="IB373" s="30"/>
      <c r="IC373" s="30"/>
      <c r="ID373" s="30"/>
      <c r="IE373" s="30"/>
      <c r="IF373" s="30"/>
      <c r="IG373" s="30"/>
      <c r="IH373" s="30"/>
      <c r="II373" s="30"/>
      <c r="IJ373" s="30"/>
      <c r="IK373" s="30"/>
      <c r="IL373" s="30"/>
      <c r="IM373" s="30"/>
      <c r="IN373" s="30"/>
      <c r="IO373" s="30"/>
      <c r="IP373" s="30"/>
      <c r="IQ373" s="30"/>
      <c r="IR373" s="30"/>
      <c r="IS373" s="30"/>
      <c r="IT373" s="30"/>
      <c r="IU373" s="30"/>
      <c r="IV373" s="30"/>
      <c r="IW373" s="30"/>
      <c r="IX373" s="30"/>
      <c r="IY373" s="30"/>
      <c r="IZ373" s="30"/>
      <c r="JA373" s="30"/>
      <c r="JB373" s="30"/>
      <c r="JC373" s="30"/>
      <c r="JD373" s="30"/>
      <c r="JE373" s="30"/>
      <c r="JF373" s="30"/>
      <c r="JG373" s="30"/>
      <c r="JH373" s="30"/>
      <c r="JI373" s="30"/>
      <c r="JJ373" s="30"/>
      <c r="JK373" s="30"/>
      <c r="JL373" s="30"/>
      <c r="JM373" s="30"/>
      <c r="JN373" s="30"/>
      <c r="JO373" s="30"/>
      <c r="JP373" s="30"/>
      <c r="JQ373" s="30"/>
      <c r="JR373" s="30"/>
      <c r="JS373" s="30"/>
      <c r="JT373" s="30"/>
      <c r="JU373" s="30"/>
      <c r="JV373" s="30"/>
      <c r="JW373" s="30"/>
      <c r="JX373" s="30"/>
      <c r="JY373" s="30"/>
      <c r="JZ373" s="30"/>
      <c r="KA373" s="30"/>
      <c r="KB373" s="30"/>
      <c r="KC373" s="30"/>
      <c r="KD373" s="30"/>
      <c r="KE373" s="30"/>
      <c r="KF373" s="30"/>
      <c r="KG373" s="30"/>
      <c r="KH373" s="30"/>
      <c r="KI373" s="30"/>
      <c r="KJ373" s="30"/>
      <c r="KK373" s="30"/>
      <c r="KL373" s="30"/>
      <c r="KM373" s="30"/>
      <c r="KN373" s="30"/>
      <c r="KO373" s="30"/>
      <c r="KP373" s="30"/>
      <c r="KQ373" s="30"/>
      <c r="KR373" s="30"/>
      <c r="KS373" s="30"/>
      <c r="KT373" s="30"/>
      <c r="KU373" s="30"/>
      <c r="KV373" s="30"/>
      <c r="KW373" s="30"/>
      <c r="KX373" s="30"/>
      <c r="KY373" s="30"/>
      <c r="KZ373" s="30"/>
      <c r="LA373" s="30"/>
      <c r="LB373" s="30"/>
      <c r="LC373" s="30"/>
      <c r="LD373" s="30"/>
      <c r="LE373" s="30"/>
      <c r="LF373" s="30"/>
      <c r="LG373" s="30"/>
      <c r="LH373" s="30"/>
      <c r="LI373" s="30"/>
      <c r="LJ373" s="30"/>
      <c r="LK373" s="30"/>
      <c r="LL373" s="30"/>
      <c r="LM373" s="30"/>
      <c r="LN373" s="30"/>
      <c r="LO373" s="30"/>
      <c r="LP373" s="30"/>
      <c r="LQ373" s="30"/>
      <c r="LR373" s="30"/>
      <c r="LS373" s="30"/>
      <c r="LT373" s="30"/>
      <c r="LU373" s="30"/>
      <c r="LV373" s="30"/>
      <c r="LW373" s="30"/>
      <c r="LX373" s="30"/>
      <c r="LY373" s="30"/>
      <c r="LZ373" s="30"/>
      <c r="MA373" s="30"/>
      <c r="MB373" s="30"/>
      <c r="MC373" s="30"/>
      <c r="MD373" s="30"/>
      <c r="ME373" s="30"/>
      <c r="MF373" s="30"/>
      <c r="MG373" s="30"/>
      <c r="MH373" s="30"/>
      <c r="MI373" s="30"/>
      <c r="MJ373" s="30"/>
      <c r="MK373" s="30"/>
      <c r="ML373" s="30"/>
      <c r="MM373" s="30"/>
      <c r="MN373" s="30"/>
      <c r="MO373" s="30"/>
      <c r="MP373" s="30"/>
      <c r="MQ373" s="30"/>
      <c r="MR373" s="30"/>
      <c r="MS373" s="30"/>
      <c r="MT373" s="30"/>
      <c r="MU373" s="30"/>
      <c r="MV373" s="30"/>
      <c r="MW373" s="30"/>
      <c r="MX373" s="30"/>
      <c r="MY373" s="30"/>
      <c r="MZ373" s="30"/>
      <c r="NA373" s="30"/>
      <c r="NB373" s="30"/>
      <c r="NC373" s="30"/>
      <c r="ND373" s="30"/>
      <c r="NE373" s="30"/>
      <c r="NF373" s="30"/>
      <c r="NG373" s="30"/>
      <c r="NH373" s="30"/>
      <c r="NI373" s="30"/>
      <c r="NJ373" s="30"/>
      <c r="NK373" s="30"/>
      <c r="NL373" s="30"/>
      <c r="NM373" s="30"/>
      <c r="NN373" s="30"/>
      <c r="NO373" s="30"/>
      <c r="NP373" s="30"/>
      <c r="NQ373" s="30"/>
      <c r="NR373" s="30"/>
      <c r="NS373" s="30"/>
      <c r="NT373" s="30"/>
      <c r="NU373" s="30"/>
      <c r="NV373" s="30"/>
      <c r="NW373" s="30"/>
      <c r="NX373" s="30"/>
      <c r="NY373" s="30"/>
      <c r="NZ373" s="30"/>
      <c r="OA373" s="30"/>
      <c r="OB373" s="30"/>
      <c r="OC373" s="30"/>
      <c r="OD373" s="30"/>
      <c r="OE373" s="30"/>
    </row>
    <row r="374" spans="2:395" ht="13.8" customHeight="1" x14ac:dyDescent="0.3">
      <c r="B374" s="21"/>
      <c r="C374" s="21"/>
      <c r="N374" s="87" t="s">
        <v>76</v>
      </c>
      <c r="O374" s="6"/>
      <c r="P374" s="33" t="s">
        <v>14</v>
      </c>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c r="CM374" s="6"/>
      <c r="CN374" s="6"/>
      <c r="CO374" s="6"/>
      <c r="CP374" s="6"/>
      <c r="CQ374" s="6"/>
      <c r="CR374" s="6"/>
      <c r="CS374" s="6"/>
      <c r="CT374" s="6"/>
      <c r="CU374" s="6"/>
      <c r="CV374" s="6"/>
      <c r="CW374" s="6"/>
      <c r="CX374" s="6"/>
      <c r="CY374" s="6"/>
      <c r="CZ374" s="6"/>
      <c r="DA374" s="6"/>
      <c r="DB374" s="6"/>
      <c r="DC374" s="6"/>
      <c r="DD374" s="6"/>
      <c r="DE374" s="6"/>
      <c r="DF374" s="6"/>
      <c r="DG374" s="6"/>
      <c r="DH374" s="6"/>
      <c r="DI374" s="6"/>
      <c r="DJ374" s="6"/>
      <c r="DK374" s="6"/>
      <c r="DL374" s="6"/>
      <c r="DM374" s="6"/>
      <c r="DN374" s="6"/>
      <c r="DO374" s="6"/>
      <c r="DP374" s="6"/>
      <c r="DQ374" s="6"/>
      <c r="DR374" s="6"/>
      <c r="DS374" s="6"/>
      <c r="DT374" s="6"/>
      <c r="DU374" s="6"/>
      <c r="DV374" s="6"/>
      <c r="DW374" s="6"/>
      <c r="DX374" s="6"/>
      <c r="DY374" s="6"/>
      <c r="DZ374" s="6"/>
      <c r="EA374" s="6"/>
      <c r="EB374" s="6"/>
      <c r="EC374" s="6"/>
      <c r="ED374" s="6"/>
      <c r="EE374" s="6"/>
      <c r="EF374" s="6"/>
      <c r="EG374" s="6"/>
      <c r="EH374" s="6"/>
      <c r="EI374" s="6"/>
      <c r="EJ374" s="6"/>
      <c r="EK374" s="6"/>
      <c r="EL374" s="6"/>
      <c r="EM374" s="6"/>
      <c r="EN374" s="6"/>
      <c r="EO374" s="6"/>
      <c r="EP374" s="6"/>
      <c r="EQ374" s="6"/>
      <c r="ER374" s="6"/>
      <c r="ES374" s="6"/>
      <c r="ET374" s="6"/>
      <c r="EU374" s="6"/>
      <c r="EV374" s="6"/>
      <c r="EW374" s="6"/>
      <c r="EX374" s="6"/>
      <c r="EY374" s="6"/>
      <c r="EZ374" s="6"/>
      <c r="FA374" s="6"/>
      <c r="FB374" s="6"/>
      <c r="FC374" s="6"/>
      <c r="FD374" s="6"/>
      <c r="FE374" s="6"/>
      <c r="FF374" s="6"/>
      <c r="FG374" s="6"/>
      <c r="FH374" s="6"/>
      <c r="FI374" s="6"/>
      <c r="FJ374" s="6"/>
      <c r="FK374" s="6"/>
      <c r="FL374" s="6"/>
      <c r="FM374" s="6"/>
      <c r="FN374" s="6"/>
      <c r="FO374" s="6"/>
      <c r="FP374" s="6"/>
      <c r="FQ374" s="6"/>
      <c r="FR374" s="6"/>
      <c r="FS374" s="6"/>
      <c r="FT374" s="6"/>
      <c r="FU374" s="6"/>
      <c r="FV374" s="6"/>
      <c r="FW374" s="6"/>
      <c r="FX374" s="6"/>
      <c r="FY374" s="6"/>
      <c r="FZ374" s="6"/>
      <c r="GA374" s="6"/>
      <c r="GB374" s="6"/>
      <c r="GC374" s="6"/>
      <c r="GD374" s="6"/>
      <c r="GE374" s="6"/>
      <c r="GF374" s="6"/>
      <c r="GG374" s="6"/>
      <c r="GH374" s="6"/>
      <c r="GI374" s="6"/>
      <c r="GJ374" s="6"/>
      <c r="GK374" s="6"/>
      <c r="GL374" s="6"/>
      <c r="GM374" s="6"/>
      <c r="GN374" s="6"/>
      <c r="GO374" s="6"/>
      <c r="GP374" s="6"/>
      <c r="GQ374" s="6"/>
      <c r="GR374" s="6"/>
      <c r="GS374" s="6"/>
      <c r="GT374" s="6"/>
      <c r="GU374" s="6"/>
      <c r="GV374" s="6"/>
      <c r="GW374" s="6"/>
      <c r="GX374" s="6"/>
      <c r="GY374" s="6"/>
      <c r="GZ374" s="6"/>
      <c r="HA374" s="6"/>
      <c r="HB374" s="6"/>
      <c r="HC374" s="6"/>
      <c r="HD374" s="6"/>
      <c r="HE374" s="6"/>
      <c r="HF374" s="6"/>
      <c r="HG374" s="6"/>
      <c r="HH374" s="6"/>
      <c r="HI374" s="6"/>
      <c r="HJ374" s="6"/>
      <c r="HK374" s="6"/>
      <c r="HL374" s="6"/>
      <c r="HM374" s="6"/>
      <c r="HN374" s="6"/>
      <c r="HO374" s="6"/>
      <c r="HP374" s="6"/>
      <c r="HQ374" s="6"/>
      <c r="HR374" s="6"/>
      <c r="HS374" s="6"/>
      <c r="HT374" s="6"/>
      <c r="HU374" s="6"/>
      <c r="HV374" s="6"/>
      <c r="HW374" s="6"/>
      <c r="HX374" s="6"/>
      <c r="HY374" s="6"/>
      <c r="HZ374" s="6"/>
      <c r="IA374" s="6"/>
      <c r="IB374" s="6"/>
      <c r="IC374" s="6"/>
      <c r="ID374" s="6"/>
      <c r="IE374" s="6"/>
      <c r="IF374" s="6"/>
      <c r="IG374" s="6"/>
      <c r="IH374" s="6"/>
      <c r="II374" s="6"/>
      <c r="IJ374" s="6"/>
      <c r="IK374" s="6"/>
      <c r="IL374" s="6"/>
      <c r="IM374" s="6"/>
      <c r="IN374" s="6"/>
      <c r="IO374" s="6"/>
      <c r="IP374" s="6"/>
      <c r="IQ374" s="6"/>
      <c r="IR374" s="6"/>
      <c r="IS374" s="6"/>
      <c r="IT374" s="6"/>
      <c r="IU374" s="6"/>
      <c r="IV374" s="6"/>
      <c r="IW374" s="6"/>
      <c r="IX374" s="6"/>
      <c r="IY374" s="6"/>
      <c r="IZ374" s="6"/>
      <c r="JA374" s="6"/>
      <c r="JB374" s="6"/>
      <c r="JC374" s="6"/>
      <c r="JD374" s="6"/>
      <c r="JE374" s="6"/>
      <c r="JF374" s="6"/>
      <c r="JG374" s="6"/>
      <c r="JH374" s="6"/>
      <c r="JI374" s="6"/>
      <c r="JJ374" s="6"/>
      <c r="JK374" s="6"/>
      <c r="JL374" s="6"/>
      <c r="JM374" s="6"/>
      <c r="JN374" s="6"/>
      <c r="JO374" s="6"/>
      <c r="JP374" s="6"/>
      <c r="JQ374" s="6"/>
      <c r="JR374" s="6"/>
      <c r="JS374" s="6"/>
      <c r="JT374" s="6"/>
      <c r="JU374" s="6"/>
      <c r="JV374" s="6"/>
      <c r="JW374" s="6"/>
      <c r="JX374" s="6"/>
      <c r="JY374" s="6"/>
      <c r="JZ374" s="6"/>
      <c r="KA374" s="6"/>
      <c r="KB374" s="6"/>
      <c r="KC374" s="6"/>
      <c r="KD374" s="6"/>
      <c r="KE374" s="6"/>
      <c r="KF374" s="6"/>
      <c r="KG374" s="6"/>
      <c r="KH374" s="6"/>
      <c r="KI374" s="6"/>
      <c r="KJ374" s="6"/>
      <c r="KK374" s="6"/>
      <c r="KL374" s="6"/>
      <c r="KM374" s="6"/>
      <c r="KN374" s="6"/>
      <c r="KO374" s="6"/>
      <c r="KP374" s="6"/>
      <c r="KQ374" s="6"/>
      <c r="KR374" s="6"/>
      <c r="KS374" s="6"/>
      <c r="KT374" s="6"/>
      <c r="KU374" s="6"/>
      <c r="KV374" s="6"/>
      <c r="KW374" s="6"/>
      <c r="KX374" s="6"/>
      <c r="KY374" s="6"/>
      <c r="KZ374" s="6"/>
      <c r="LA374" s="6"/>
      <c r="LB374" s="6"/>
      <c r="LC374" s="6"/>
      <c r="LD374" s="6"/>
      <c r="LE374" s="6"/>
      <c r="LF374" s="6"/>
      <c r="LG374" s="6"/>
      <c r="LH374" s="6"/>
      <c r="LI374" s="6"/>
      <c r="LJ374" s="6"/>
      <c r="LK374" s="6"/>
      <c r="LL374" s="6"/>
      <c r="LM374" s="6"/>
      <c r="LN374" s="6"/>
      <c r="LO374" s="6"/>
      <c r="LP374" s="6"/>
      <c r="LQ374" s="6"/>
      <c r="LR374" s="6"/>
      <c r="LS374" s="6"/>
      <c r="LT374" s="6"/>
      <c r="LU374" s="6"/>
      <c r="LV374" s="6"/>
      <c r="LW374" s="6"/>
      <c r="LX374" s="6"/>
      <c r="LY374" s="6"/>
      <c r="LZ374" s="6"/>
      <c r="MA374" s="6"/>
      <c r="MB374" s="6"/>
      <c r="MC374" s="6"/>
      <c r="MD374" s="6"/>
      <c r="ME374" s="6"/>
      <c r="MF374" s="6"/>
      <c r="MG374" s="6"/>
      <c r="MH374" s="6"/>
      <c r="MI374" s="6"/>
      <c r="MJ374" s="6"/>
      <c r="MK374" s="6"/>
      <c r="ML374" s="6"/>
      <c r="MM374" s="6"/>
      <c r="MN374" s="6"/>
      <c r="MO374" s="6"/>
      <c r="MP374" s="6"/>
      <c r="MQ374" s="6"/>
      <c r="MR374" s="6"/>
      <c r="MS374" s="6"/>
      <c r="MT374" s="6"/>
      <c r="MU374" s="6"/>
      <c r="MV374" s="6"/>
      <c r="MW374" s="6"/>
      <c r="MX374" s="6"/>
      <c r="MY374" s="6"/>
      <c r="MZ374" s="6"/>
      <c r="NA374" s="6"/>
      <c r="NB374" s="6"/>
      <c r="NC374" s="6"/>
      <c r="ND374" s="6"/>
      <c r="NE374" s="6"/>
      <c r="NF374" s="6"/>
      <c r="NG374" s="6"/>
      <c r="NH374" s="6"/>
      <c r="NI374" s="6"/>
      <c r="NJ374" s="6"/>
      <c r="NK374" s="6"/>
      <c r="NL374" s="6"/>
      <c r="NM374" s="6"/>
      <c r="NN374" s="6"/>
      <c r="NO374" s="6"/>
      <c r="NP374" s="6"/>
      <c r="NQ374" s="6"/>
      <c r="NR374" s="6"/>
      <c r="NS374" s="6"/>
      <c r="NT374" s="6"/>
      <c r="NU374" s="6"/>
      <c r="NV374" s="6"/>
      <c r="NW374" s="6"/>
      <c r="NX374" s="6"/>
      <c r="NY374" s="6"/>
      <c r="NZ374" s="6"/>
      <c r="OA374" s="6"/>
      <c r="OB374" s="6"/>
      <c r="OC374" s="6"/>
      <c r="OD374" s="6"/>
      <c r="OE374" s="6"/>
    </row>
    <row r="375" spans="2:395" ht="13.8" customHeight="1" x14ac:dyDescent="0.3">
      <c r="B375" s="128" t="s">
        <v>20</v>
      </c>
      <c r="C375" s="21"/>
      <c r="N375" s="91" t="s">
        <v>137</v>
      </c>
      <c r="P375" s="8"/>
    </row>
    <row r="376" spans="2:395" ht="13.8" customHeight="1" x14ac:dyDescent="0.3">
      <c r="D376" s="21" t="s">
        <v>130</v>
      </c>
      <c r="E376" s="83">
        <v>107.2</v>
      </c>
      <c r="F376" s="257" t="s">
        <v>15</v>
      </c>
      <c r="N376" s="30" t="s">
        <v>50</v>
      </c>
      <c r="P376" s="8"/>
    </row>
    <row r="377" spans="2:395" ht="13.8" customHeight="1" x14ac:dyDescent="0.3">
      <c r="D377" s="21" t="s">
        <v>131</v>
      </c>
      <c r="E377" s="26">
        <v>10</v>
      </c>
      <c r="F377" s="257" t="s">
        <v>132</v>
      </c>
      <c r="N377" s="30" t="s">
        <v>51</v>
      </c>
      <c r="P377" s="8"/>
    </row>
    <row r="378" spans="2:395" ht="13.8" customHeight="1" x14ac:dyDescent="0.3">
      <c r="D378" s="21" t="s">
        <v>128</v>
      </c>
      <c r="E378" s="83">
        <v>11.4</v>
      </c>
      <c r="F378" s="257" t="s">
        <v>15</v>
      </c>
      <c r="N378" s="30" t="s">
        <v>134</v>
      </c>
      <c r="P378" s="8"/>
      <c r="Q378" s="11"/>
    </row>
    <row r="379" spans="2:395" ht="13.8" customHeight="1" x14ac:dyDescent="0.3">
      <c r="D379" s="21" t="s">
        <v>129</v>
      </c>
      <c r="E379" s="26">
        <v>5</v>
      </c>
      <c r="F379" s="257" t="s">
        <v>132</v>
      </c>
      <c r="N379" s="30" t="s">
        <v>135</v>
      </c>
      <c r="P379" s="8"/>
    </row>
    <row r="380" spans="2:395" ht="13.8" customHeight="1" x14ac:dyDescent="0.3">
      <c r="D380" s="21" t="s">
        <v>3</v>
      </c>
      <c r="E380" s="83">
        <v>65</v>
      </c>
      <c r="F380" s="257" t="s">
        <v>15</v>
      </c>
      <c r="N380" s="30" t="s">
        <v>52</v>
      </c>
      <c r="P380" s="8"/>
      <c r="Q380" s="9"/>
    </row>
    <row r="381" spans="2:395" ht="13.8" customHeight="1" x14ac:dyDescent="0.3">
      <c r="D381" s="21" t="s">
        <v>126</v>
      </c>
      <c r="E381" s="28">
        <v>0.15</v>
      </c>
      <c r="F381" s="257" t="s">
        <v>31</v>
      </c>
      <c r="N381" s="30" t="s">
        <v>136</v>
      </c>
      <c r="P381" s="8"/>
    </row>
    <row r="382" spans="2:395" ht="13.8" customHeight="1" x14ac:dyDescent="0.3">
      <c r="N382" s="30" t="s">
        <v>3</v>
      </c>
      <c r="P382" s="8"/>
    </row>
    <row r="383" spans="2:395" ht="13.8" customHeight="1" x14ac:dyDescent="0.3">
      <c r="N383" s="30" t="s">
        <v>79</v>
      </c>
      <c r="P383" s="8"/>
    </row>
    <row r="384" spans="2:395" ht="13.8" customHeight="1" x14ac:dyDescent="0.3">
      <c r="N384" t="s">
        <v>133</v>
      </c>
      <c r="P384" s="8"/>
      <c r="Q384" cm="1">
        <f t="array" ref="Q384:OE384">IF(_xlfn.ANCHORARRAY(Q6)&lt;=E379,E376+E378, IF(_xlfn.ANCHORARRAY(Q6)&lt;=E377,E376,E380))</f>
        <v>118.60000000000001</v>
      </c>
      <c r="R384">
        <v>118.60000000000001</v>
      </c>
      <c r="S384">
        <v>118.60000000000001</v>
      </c>
      <c r="T384">
        <v>118.60000000000001</v>
      </c>
      <c r="U384">
        <v>118.60000000000001</v>
      </c>
      <c r="V384">
        <v>118.60000000000001</v>
      </c>
      <c r="W384">
        <v>118.60000000000001</v>
      </c>
      <c r="X384">
        <v>118.60000000000001</v>
      </c>
      <c r="Y384">
        <v>118.60000000000001</v>
      </c>
      <c r="Z384">
        <v>118.60000000000001</v>
      </c>
      <c r="AA384">
        <v>118.60000000000001</v>
      </c>
      <c r="AB384">
        <v>118.60000000000001</v>
      </c>
      <c r="AC384">
        <v>118.60000000000001</v>
      </c>
      <c r="AD384">
        <v>118.60000000000001</v>
      </c>
      <c r="AE384">
        <v>118.60000000000001</v>
      </c>
      <c r="AF384">
        <v>118.60000000000001</v>
      </c>
      <c r="AG384">
        <v>118.60000000000001</v>
      </c>
      <c r="AH384">
        <v>118.60000000000001</v>
      </c>
      <c r="AI384">
        <v>118.60000000000001</v>
      </c>
      <c r="AJ384">
        <v>118.60000000000001</v>
      </c>
      <c r="AK384">
        <v>118.60000000000001</v>
      </c>
      <c r="AL384">
        <v>118.60000000000001</v>
      </c>
      <c r="AM384">
        <v>118.60000000000001</v>
      </c>
      <c r="AN384">
        <v>118.60000000000001</v>
      </c>
      <c r="AO384">
        <v>118.60000000000001</v>
      </c>
      <c r="AP384">
        <v>118.60000000000001</v>
      </c>
      <c r="AQ384">
        <v>118.60000000000001</v>
      </c>
      <c r="AR384">
        <v>118.60000000000001</v>
      </c>
      <c r="AS384">
        <v>118.60000000000001</v>
      </c>
      <c r="AT384">
        <v>118.60000000000001</v>
      </c>
      <c r="AU384">
        <v>118.60000000000001</v>
      </c>
      <c r="AV384">
        <v>118.60000000000001</v>
      </c>
      <c r="AW384">
        <v>118.60000000000001</v>
      </c>
      <c r="AX384">
        <v>118.60000000000001</v>
      </c>
      <c r="AY384">
        <v>118.60000000000001</v>
      </c>
      <c r="AZ384">
        <v>118.60000000000001</v>
      </c>
      <c r="BA384">
        <v>118.60000000000001</v>
      </c>
      <c r="BB384">
        <v>118.60000000000001</v>
      </c>
      <c r="BC384">
        <v>118.60000000000001</v>
      </c>
      <c r="BD384">
        <v>118.60000000000001</v>
      </c>
      <c r="BE384">
        <v>118.60000000000001</v>
      </c>
      <c r="BF384">
        <v>118.60000000000001</v>
      </c>
      <c r="BG384">
        <v>118.60000000000001</v>
      </c>
      <c r="BH384">
        <v>118.60000000000001</v>
      </c>
      <c r="BI384">
        <v>118.60000000000001</v>
      </c>
      <c r="BJ384">
        <v>118.60000000000001</v>
      </c>
      <c r="BK384">
        <v>118.60000000000001</v>
      </c>
      <c r="BL384">
        <v>118.60000000000001</v>
      </c>
      <c r="BM384">
        <v>118.60000000000001</v>
      </c>
      <c r="BN384">
        <v>118.60000000000001</v>
      </c>
      <c r="BO384">
        <v>118.60000000000001</v>
      </c>
      <c r="BP384">
        <v>118.60000000000001</v>
      </c>
      <c r="BQ384">
        <v>118.60000000000001</v>
      </c>
      <c r="BR384">
        <v>118.60000000000001</v>
      </c>
      <c r="BS384">
        <v>118.60000000000001</v>
      </c>
      <c r="BT384">
        <v>118.60000000000001</v>
      </c>
      <c r="BU384">
        <v>118.60000000000001</v>
      </c>
      <c r="BV384">
        <v>118.60000000000001</v>
      </c>
      <c r="BW384">
        <v>118.60000000000001</v>
      </c>
      <c r="BX384">
        <v>118.60000000000001</v>
      </c>
      <c r="BY384">
        <v>107.2</v>
      </c>
      <c r="BZ384">
        <v>107.2</v>
      </c>
      <c r="CA384">
        <v>107.2</v>
      </c>
      <c r="CB384">
        <v>107.2</v>
      </c>
      <c r="CC384">
        <v>107.2</v>
      </c>
      <c r="CD384">
        <v>107.2</v>
      </c>
      <c r="CE384">
        <v>107.2</v>
      </c>
      <c r="CF384">
        <v>107.2</v>
      </c>
      <c r="CG384">
        <v>107.2</v>
      </c>
      <c r="CH384">
        <v>107.2</v>
      </c>
      <c r="CI384">
        <v>107.2</v>
      </c>
      <c r="CJ384">
        <v>107.2</v>
      </c>
      <c r="CK384">
        <v>107.2</v>
      </c>
      <c r="CL384">
        <v>107.2</v>
      </c>
      <c r="CM384">
        <v>107.2</v>
      </c>
      <c r="CN384">
        <v>107.2</v>
      </c>
      <c r="CO384">
        <v>107.2</v>
      </c>
      <c r="CP384">
        <v>107.2</v>
      </c>
      <c r="CQ384">
        <v>107.2</v>
      </c>
      <c r="CR384">
        <v>107.2</v>
      </c>
      <c r="CS384">
        <v>107.2</v>
      </c>
      <c r="CT384">
        <v>107.2</v>
      </c>
      <c r="CU384">
        <v>107.2</v>
      </c>
      <c r="CV384">
        <v>107.2</v>
      </c>
      <c r="CW384">
        <v>107.2</v>
      </c>
      <c r="CX384">
        <v>107.2</v>
      </c>
      <c r="CY384">
        <v>107.2</v>
      </c>
      <c r="CZ384">
        <v>107.2</v>
      </c>
      <c r="DA384">
        <v>107.2</v>
      </c>
      <c r="DB384">
        <v>107.2</v>
      </c>
      <c r="DC384">
        <v>107.2</v>
      </c>
      <c r="DD384">
        <v>107.2</v>
      </c>
      <c r="DE384">
        <v>107.2</v>
      </c>
      <c r="DF384">
        <v>107.2</v>
      </c>
      <c r="DG384">
        <v>107.2</v>
      </c>
      <c r="DH384">
        <v>107.2</v>
      </c>
      <c r="DI384">
        <v>107.2</v>
      </c>
      <c r="DJ384">
        <v>107.2</v>
      </c>
      <c r="DK384">
        <v>107.2</v>
      </c>
      <c r="DL384">
        <v>107.2</v>
      </c>
      <c r="DM384">
        <v>107.2</v>
      </c>
      <c r="DN384">
        <v>107.2</v>
      </c>
      <c r="DO384">
        <v>107.2</v>
      </c>
      <c r="DP384">
        <v>107.2</v>
      </c>
      <c r="DQ384">
        <v>107.2</v>
      </c>
      <c r="DR384">
        <v>107.2</v>
      </c>
      <c r="DS384">
        <v>107.2</v>
      </c>
      <c r="DT384">
        <v>107.2</v>
      </c>
      <c r="DU384">
        <v>107.2</v>
      </c>
      <c r="DV384">
        <v>107.2</v>
      </c>
      <c r="DW384">
        <v>107.2</v>
      </c>
      <c r="DX384">
        <v>107.2</v>
      </c>
      <c r="DY384">
        <v>107.2</v>
      </c>
      <c r="DZ384">
        <v>107.2</v>
      </c>
      <c r="EA384">
        <v>107.2</v>
      </c>
      <c r="EB384">
        <v>107.2</v>
      </c>
      <c r="EC384">
        <v>107.2</v>
      </c>
      <c r="ED384">
        <v>107.2</v>
      </c>
      <c r="EE384">
        <v>107.2</v>
      </c>
      <c r="EF384">
        <v>107.2</v>
      </c>
      <c r="EG384">
        <v>65</v>
      </c>
      <c r="EH384">
        <v>65</v>
      </c>
      <c r="EI384">
        <v>65</v>
      </c>
      <c r="EJ384">
        <v>65</v>
      </c>
      <c r="EK384">
        <v>65</v>
      </c>
      <c r="EL384">
        <v>65</v>
      </c>
      <c r="EM384">
        <v>65</v>
      </c>
      <c r="EN384">
        <v>65</v>
      </c>
      <c r="EO384">
        <v>65</v>
      </c>
      <c r="EP384">
        <v>65</v>
      </c>
      <c r="EQ384">
        <v>65</v>
      </c>
      <c r="ER384">
        <v>65</v>
      </c>
      <c r="ES384">
        <v>65</v>
      </c>
      <c r="ET384">
        <v>65</v>
      </c>
      <c r="EU384">
        <v>65</v>
      </c>
      <c r="EV384">
        <v>65</v>
      </c>
      <c r="EW384">
        <v>65</v>
      </c>
      <c r="EX384">
        <v>65</v>
      </c>
      <c r="EY384">
        <v>65</v>
      </c>
      <c r="EZ384">
        <v>65</v>
      </c>
      <c r="FA384">
        <v>65</v>
      </c>
      <c r="FB384">
        <v>65</v>
      </c>
      <c r="FC384">
        <v>65</v>
      </c>
      <c r="FD384">
        <v>65</v>
      </c>
      <c r="FE384">
        <v>65</v>
      </c>
      <c r="FF384">
        <v>65</v>
      </c>
      <c r="FG384">
        <v>65</v>
      </c>
      <c r="FH384">
        <v>65</v>
      </c>
      <c r="FI384">
        <v>65</v>
      </c>
      <c r="FJ384">
        <v>65</v>
      </c>
      <c r="FK384">
        <v>65</v>
      </c>
      <c r="FL384">
        <v>65</v>
      </c>
      <c r="FM384">
        <v>65</v>
      </c>
      <c r="FN384">
        <v>65</v>
      </c>
      <c r="FO384">
        <v>65</v>
      </c>
      <c r="FP384">
        <v>65</v>
      </c>
      <c r="FQ384">
        <v>65</v>
      </c>
      <c r="FR384">
        <v>65</v>
      </c>
      <c r="FS384">
        <v>65</v>
      </c>
      <c r="FT384">
        <v>65</v>
      </c>
      <c r="FU384">
        <v>65</v>
      </c>
      <c r="FV384">
        <v>65</v>
      </c>
      <c r="FW384">
        <v>65</v>
      </c>
      <c r="FX384">
        <v>65</v>
      </c>
      <c r="FY384">
        <v>65</v>
      </c>
      <c r="FZ384">
        <v>65</v>
      </c>
      <c r="GA384">
        <v>65</v>
      </c>
      <c r="GB384">
        <v>65</v>
      </c>
      <c r="GC384">
        <v>65</v>
      </c>
      <c r="GD384">
        <v>65</v>
      </c>
      <c r="GE384">
        <v>65</v>
      </c>
      <c r="GF384">
        <v>65</v>
      </c>
      <c r="GG384">
        <v>65</v>
      </c>
      <c r="GH384">
        <v>65</v>
      </c>
      <c r="GI384">
        <v>65</v>
      </c>
      <c r="GJ384">
        <v>65</v>
      </c>
      <c r="GK384">
        <v>65</v>
      </c>
      <c r="GL384">
        <v>65</v>
      </c>
      <c r="GM384">
        <v>65</v>
      </c>
      <c r="GN384">
        <v>65</v>
      </c>
      <c r="GO384">
        <v>65</v>
      </c>
      <c r="GP384">
        <v>65</v>
      </c>
      <c r="GQ384">
        <v>65</v>
      </c>
      <c r="GR384">
        <v>65</v>
      </c>
      <c r="GS384">
        <v>65</v>
      </c>
      <c r="GT384">
        <v>65</v>
      </c>
      <c r="GU384">
        <v>65</v>
      </c>
      <c r="GV384">
        <v>65</v>
      </c>
      <c r="GW384">
        <v>65</v>
      </c>
      <c r="GX384">
        <v>65</v>
      </c>
      <c r="GY384">
        <v>65</v>
      </c>
      <c r="GZ384">
        <v>65</v>
      </c>
      <c r="HA384">
        <v>65</v>
      </c>
      <c r="HB384">
        <v>65</v>
      </c>
      <c r="HC384">
        <v>65</v>
      </c>
      <c r="HD384">
        <v>65</v>
      </c>
      <c r="HE384">
        <v>65</v>
      </c>
      <c r="HF384">
        <v>65</v>
      </c>
      <c r="HG384">
        <v>65</v>
      </c>
      <c r="HH384">
        <v>65</v>
      </c>
      <c r="HI384">
        <v>65</v>
      </c>
      <c r="HJ384">
        <v>65</v>
      </c>
      <c r="HK384">
        <v>65</v>
      </c>
      <c r="HL384">
        <v>65</v>
      </c>
      <c r="HM384">
        <v>65</v>
      </c>
      <c r="HN384">
        <v>65</v>
      </c>
      <c r="HO384">
        <v>65</v>
      </c>
      <c r="HP384">
        <v>65</v>
      </c>
      <c r="HQ384">
        <v>65</v>
      </c>
      <c r="HR384">
        <v>65</v>
      </c>
      <c r="HS384">
        <v>65</v>
      </c>
      <c r="HT384">
        <v>65</v>
      </c>
      <c r="HU384">
        <v>65</v>
      </c>
      <c r="HV384">
        <v>65</v>
      </c>
      <c r="HW384">
        <v>65</v>
      </c>
      <c r="HX384">
        <v>65</v>
      </c>
      <c r="HY384">
        <v>65</v>
      </c>
      <c r="HZ384">
        <v>65</v>
      </c>
      <c r="IA384">
        <v>65</v>
      </c>
      <c r="IB384">
        <v>65</v>
      </c>
      <c r="IC384">
        <v>65</v>
      </c>
      <c r="ID384">
        <v>65</v>
      </c>
      <c r="IE384">
        <v>65</v>
      </c>
      <c r="IF384">
        <v>65</v>
      </c>
      <c r="IG384">
        <v>65</v>
      </c>
      <c r="IH384">
        <v>65</v>
      </c>
      <c r="II384">
        <v>65</v>
      </c>
      <c r="IJ384">
        <v>65</v>
      </c>
      <c r="IK384">
        <v>65</v>
      </c>
      <c r="IL384">
        <v>65</v>
      </c>
      <c r="IM384">
        <v>65</v>
      </c>
      <c r="IN384">
        <v>65</v>
      </c>
      <c r="IO384">
        <v>65</v>
      </c>
      <c r="IP384">
        <v>65</v>
      </c>
      <c r="IQ384">
        <v>65</v>
      </c>
      <c r="IR384">
        <v>65</v>
      </c>
      <c r="IS384">
        <v>65</v>
      </c>
      <c r="IT384">
        <v>65</v>
      </c>
      <c r="IU384">
        <v>65</v>
      </c>
      <c r="IV384">
        <v>65</v>
      </c>
      <c r="IW384">
        <v>65</v>
      </c>
      <c r="IX384">
        <v>65</v>
      </c>
      <c r="IY384">
        <v>65</v>
      </c>
      <c r="IZ384">
        <v>65</v>
      </c>
      <c r="JA384">
        <v>65</v>
      </c>
      <c r="JB384">
        <v>65</v>
      </c>
      <c r="JC384">
        <v>65</v>
      </c>
      <c r="JD384">
        <v>65</v>
      </c>
      <c r="JE384">
        <v>65</v>
      </c>
      <c r="JF384">
        <v>65</v>
      </c>
      <c r="JG384">
        <v>65</v>
      </c>
      <c r="JH384">
        <v>65</v>
      </c>
      <c r="JI384">
        <v>65</v>
      </c>
      <c r="JJ384">
        <v>65</v>
      </c>
      <c r="JK384">
        <v>65</v>
      </c>
      <c r="JL384">
        <v>65</v>
      </c>
      <c r="JM384">
        <v>65</v>
      </c>
      <c r="JN384">
        <v>65</v>
      </c>
      <c r="JO384">
        <v>65</v>
      </c>
      <c r="JP384">
        <v>65</v>
      </c>
      <c r="JQ384">
        <v>65</v>
      </c>
      <c r="JR384">
        <v>65</v>
      </c>
      <c r="JS384">
        <v>65</v>
      </c>
      <c r="JT384">
        <v>65</v>
      </c>
      <c r="JU384">
        <v>65</v>
      </c>
      <c r="JV384">
        <v>65</v>
      </c>
      <c r="JW384">
        <v>65</v>
      </c>
      <c r="JX384">
        <v>65</v>
      </c>
      <c r="JY384">
        <v>65</v>
      </c>
      <c r="JZ384">
        <v>65</v>
      </c>
      <c r="KA384">
        <v>65</v>
      </c>
      <c r="KB384">
        <v>65</v>
      </c>
      <c r="KC384">
        <v>65</v>
      </c>
      <c r="KD384">
        <v>65</v>
      </c>
      <c r="KE384">
        <v>65</v>
      </c>
      <c r="KF384">
        <v>65</v>
      </c>
      <c r="KG384">
        <v>65</v>
      </c>
      <c r="KH384">
        <v>65</v>
      </c>
      <c r="KI384">
        <v>65</v>
      </c>
      <c r="KJ384">
        <v>65</v>
      </c>
      <c r="KK384">
        <v>65</v>
      </c>
      <c r="KL384">
        <v>65</v>
      </c>
      <c r="KM384">
        <v>65</v>
      </c>
      <c r="KN384">
        <v>65</v>
      </c>
      <c r="KO384">
        <v>65</v>
      </c>
      <c r="KP384">
        <v>65</v>
      </c>
      <c r="KQ384">
        <v>65</v>
      </c>
      <c r="KR384">
        <v>65</v>
      </c>
      <c r="KS384">
        <v>65</v>
      </c>
      <c r="KT384">
        <v>65</v>
      </c>
      <c r="KU384">
        <v>65</v>
      </c>
      <c r="KV384">
        <v>65</v>
      </c>
      <c r="KW384">
        <v>65</v>
      </c>
      <c r="KX384">
        <v>65</v>
      </c>
      <c r="KY384">
        <v>65</v>
      </c>
      <c r="KZ384">
        <v>65</v>
      </c>
      <c r="LA384">
        <v>65</v>
      </c>
      <c r="LB384">
        <v>65</v>
      </c>
      <c r="LC384">
        <v>65</v>
      </c>
      <c r="LD384">
        <v>65</v>
      </c>
      <c r="LE384">
        <v>65</v>
      </c>
      <c r="LF384">
        <v>65</v>
      </c>
      <c r="LG384">
        <v>65</v>
      </c>
      <c r="LH384">
        <v>65</v>
      </c>
      <c r="LI384">
        <v>65</v>
      </c>
      <c r="LJ384">
        <v>65</v>
      </c>
      <c r="LK384">
        <v>65</v>
      </c>
      <c r="LL384">
        <v>65</v>
      </c>
      <c r="LM384">
        <v>65</v>
      </c>
      <c r="LN384">
        <v>65</v>
      </c>
      <c r="LO384">
        <v>65</v>
      </c>
      <c r="LP384">
        <v>65</v>
      </c>
      <c r="LQ384">
        <v>65</v>
      </c>
      <c r="LR384">
        <v>65</v>
      </c>
      <c r="LS384">
        <v>65</v>
      </c>
      <c r="LT384">
        <v>65</v>
      </c>
      <c r="LU384">
        <v>65</v>
      </c>
      <c r="LV384">
        <v>65</v>
      </c>
      <c r="LW384">
        <v>65</v>
      </c>
      <c r="LX384">
        <v>65</v>
      </c>
      <c r="LY384">
        <v>65</v>
      </c>
      <c r="LZ384">
        <v>65</v>
      </c>
      <c r="MA384">
        <v>65</v>
      </c>
      <c r="MB384">
        <v>65</v>
      </c>
      <c r="MC384">
        <v>65</v>
      </c>
      <c r="MD384">
        <v>65</v>
      </c>
      <c r="ME384">
        <v>65</v>
      </c>
      <c r="MF384">
        <v>65</v>
      </c>
      <c r="MG384">
        <v>65</v>
      </c>
      <c r="MH384">
        <v>65</v>
      </c>
      <c r="MI384">
        <v>65</v>
      </c>
      <c r="MJ384">
        <v>65</v>
      </c>
      <c r="MK384">
        <v>65</v>
      </c>
      <c r="ML384">
        <v>65</v>
      </c>
      <c r="MM384">
        <v>65</v>
      </c>
      <c r="MN384">
        <v>65</v>
      </c>
      <c r="MO384">
        <v>65</v>
      </c>
      <c r="MP384">
        <v>65</v>
      </c>
      <c r="MQ384">
        <v>65</v>
      </c>
      <c r="MR384">
        <v>65</v>
      </c>
      <c r="MS384">
        <v>65</v>
      </c>
      <c r="MT384">
        <v>65</v>
      </c>
      <c r="MU384">
        <v>65</v>
      </c>
      <c r="MV384">
        <v>65</v>
      </c>
      <c r="MW384">
        <v>65</v>
      </c>
      <c r="MX384">
        <v>65</v>
      </c>
      <c r="MY384">
        <v>65</v>
      </c>
      <c r="MZ384">
        <v>65</v>
      </c>
      <c r="NA384">
        <v>65</v>
      </c>
      <c r="NB384">
        <v>65</v>
      </c>
      <c r="NC384">
        <v>65</v>
      </c>
      <c r="ND384">
        <v>65</v>
      </c>
      <c r="NE384">
        <v>65</v>
      </c>
      <c r="NF384">
        <v>65</v>
      </c>
      <c r="NG384">
        <v>65</v>
      </c>
      <c r="NH384">
        <v>65</v>
      </c>
      <c r="NI384">
        <v>65</v>
      </c>
      <c r="NJ384">
        <v>65</v>
      </c>
      <c r="NK384">
        <v>65</v>
      </c>
      <c r="NL384">
        <v>65</v>
      </c>
      <c r="NM384">
        <v>65</v>
      </c>
      <c r="NN384">
        <v>65</v>
      </c>
      <c r="NO384">
        <v>65</v>
      </c>
      <c r="NP384">
        <v>65</v>
      </c>
      <c r="NQ384">
        <v>65</v>
      </c>
      <c r="NR384">
        <v>65</v>
      </c>
      <c r="NS384">
        <v>65</v>
      </c>
      <c r="NT384">
        <v>65</v>
      </c>
      <c r="NU384">
        <v>65</v>
      </c>
      <c r="NV384">
        <v>65</v>
      </c>
      <c r="NW384">
        <v>65</v>
      </c>
      <c r="NX384">
        <v>65</v>
      </c>
      <c r="NY384">
        <v>65</v>
      </c>
      <c r="NZ384">
        <v>65</v>
      </c>
      <c r="OA384">
        <v>65</v>
      </c>
      <c r="OB384">
        <v>65</v>
      </c>
      <c r="OC384">
        <v>65</v>
      </c>
      <c r="OD384">
        <v>65</v>
      </c>
      <c r="OE384">
        <v>65</v>
      </c>
    </row>
    <row r="385" spans="14:395" ht="13.8" customHeight="1" x14ac:dyDescent="0.3">
      <c r="N385" s="37" t="s">
        <v>4</v>
      </c>
      <c r="O385" s="38"/>
      <c r="P385" s="39" t="s">
        <v>81</v>
      </c>
      <c r="Q385" s="38" t="e" cm="1">
        <f t="array" ref="Q385">_xlfn.ANCHORARRAY(Q374)*Q384</f>
        <v>#REF!</v>
      </c>
      <c r="R385" s="38"/>
      <c r="S385" s="38"/>
      <c r="T385" s="38"/>
      <c r="U385" s="38"/>
      <c r="V385" s="38"/>
      <c r="W385" s="38"/>
      <c r="X385" s="38"/>
      <c r="Y385" s="38"/>
      <c r="Z385" s="38"/>
      <c r="AA385" s="38"/>
      <c r="AB385" s="38"/>
      <c r="AC385" s="38"/>
      <c r="AD385" s="38"/>
      <c r="AE385" s="38"/>
      <c r="AF385" s="38"/>
      <c r="AG385" s="38"/>
      <c r="AH385" s="38"/>
      <c r="AI385" s="38"/>
      <c r="AJ385" s="38"/>
      <c r="AK385" s="38"/>
      <c r="AL385" s="38"/>
      <c r="AM385" s="38"/>
      <c r="AN385" s="38"/>
      <c r="AO385" s="38"/>
      <c r="AP385" s="38"/>
      <c r="AQ385" s="38"/>
      <c r="AR385" s="38"/>
      <c r="AS385" s="38"/>
      <c r="AT385" s="38"/>
      <c r="AU385" s="38"/>
      <c r="AV385" s="38"/>
      <c r="AW385" s="38"/>
      <c r="AX385" s="38"/>
      <c r="AY385" s="38"/>
      <c r="AZ385" s="38"/>
      <c r="BA385" s="38"/>
      <c r="BB385" s="38"/>
      <c r="BC385" s="38"/>
      <c r="BD385" s="38"/>
      <c r="BE385" s="38"/>
      <c r="BF385" s="38"/>
      <c r="BG385" s="38"/>
      <c r="BH385" s="38"/>
      <c r="BI385" s="38"/>
      <c r="BJ385" s="38"/>
      <c r="BK385" s="38"/>
      <c r="BL385" s="38"/>
      <c r="BM385" s="38"/>
      <c r="BN385" s="38"/>
      <c r="BO385" s="38"/>
      <c r="BP385" s="38"/>
      <c r="BQ385" s="38"/>
      <c r="BR385" s="38"/>
      <c r="BS385" s="38"/>
      <c r="BT385" s="38"/>
      <c r="BU385" s="38"/>
      <c r="BV385" s="38"/>
      <c r="BW385" s="38"/>
      <c r="BX385" s="38"/>
      <c r="BY385" s="38"/>
      <c r="BZ385" s="38"/>
      <c r="CA385" s="38"/>
      <c r="CB385" s="38"/>
      <c r="CC385" s="38"/>
      <c r="CD385" s="38"/>
      <c r="CE385" s="38"/>
      <c r="CF385" s="38"/>
      <c r="CG385" s="38"/>
      <c r="CH385" s="38"/>
      <c r="CI385" s="38"/>
      <c r="CJ385" s="38"/>
      <c r="CK385" s="38"/>
      <c r="CL385" s="38"/>
      <c r="CM385" s="38"/>
      <c r="CN385" s="38"/>
      <c r="CO385" s="38"/>
      <c r="CP385" s="38"/>
      <c r="CQ385" s="38"/>
      <c r="CR385" s="38"/>
      <c r="CS385" s="38"/>
      <c r="CT385" s="38"/>
      <c r="CU385" s="38"/>
      <c r="CV385" s="38"/>
      <c r="CW385" s="38"/>
      <c r="CX385" s="38"/>
      <c r="CY385" s="38"/>
      <c r="CZ385" s="38"/>
      <c r="DA385" s="38"/>
      <c r="DB385" s="38"/>
      <c r="DC385" s="38"/>
      <c r="DD385" s="38"/>
      <c r="DE385" s="38"/>
      <c r="DF385" s="38"/>
      <c r="DG385" s="38"/>
      <c r="DH385" s="38"/>
      <c r="DI385" s="38"/>
      <c r="DJ385" s="38"/>
      <c r="DK385" s="38"/>
      <c r="DL385" s="38"/>
      <c r="DM385" s="38"/>
      <c r="DN385" s="38"/>
      <c r="DO385" s="38"/>
      <c r="DP385" s="38"/>
      <c r="DQ385" s="38"/>
      <c r="DR385" s="38"/>
      <c r="DS385" s="38"/>
      <c r="DT385" s="38"/>
      <c r="DU385" s="38"/>
      <c r="DV385" s="38"/>
      <c r="DW385" s="38"/>
      <c r="DX385" s="38"/>
      <c r="DY385" s="38"/>
      <c r="DZ385" s="38"/>
      <c r="EA385" s="38"/>
      <c r="EB385" s="38"/>
      <c r="EC385" s="38"/>
      <c r="ED385" s="38"/>
      <c r="EE385" s="38"/>
      <c r="EF385" s="38"/>
      <c r="EG385" s="38"/>
      <c r="EH385" s="38"/>
      <c r="EI385" s="38"/>
      <c r="EJ385" s="38"/>
      <c r="EK385" s="38"/>
      <c r="EL385" s="38"/>
      <c r="EM385" s="38"/>
      <c r="EN385" s="38"/>
      <c r="EO385" s="38"/>
      <c r="EP385" s="38"/>
      <c r="EQ385" s="38"/>
      <c r="ER385" s="38"/>
      <c r="ES385" s="38"/>
      <c r="ET385" s="38"/>
      <c r="EU385" s="38"/>
      <c r="EV385" s="38"/>
      <c r="EW385" s="38"/>
      <c r="EX385" s="38"/>
      <c r="EY385" s="38"/>
      <c r="EZ385" s="38"/>
      <c r="FA385" s="38"/>
      <c r="FB385" s="38"/>
      <c r="FC385" s="38"/>
      <c r="FD385" s="38"/>
      <c r="FE385" s="38"/>
      <c r="FF385" s="38"/>
      <c r="FG385" s="38"/>
      <c r="FH385" s="38"/>
      <c r="FI385" s="38"/>
      <c r="FJ385" s="38"/>
      <c r="FK385" s="38"/>
      <c r="FL385" s="38"/>
      <c r="FM385" s="38"/>
      <c r="FN385" s="38"/>
      <c r="FO385" s="38"/>
      <c r="FP385" s="38"/>
      <c r="FQ385" s="38"/>
      <c r="FR385" s="38"/>
      <c r="FS385" s="38"/>
      <c r="FT385" s="38"/>
      <c r="FU385" s="38"/>
      <c r="FV385" s="38"/>
      <c r="FW385" s="38"/>
      <c r="FX385" s="38"/>
      <c r="FY385" s="38"/>
      <c r="FZ385" s="38"/>
      <c r="GA385" s="38"/>
      <c r="GB385" s="38"/>
      <c r="GC385" s="38"/>
      <c r="GD385" s="38"/>
      <c r="GE385" s="38"/>
      <c r="GF385" s="38"/>
      <c r="GG385" s="38"/>
      <c r="GH385" s="38"/>
      <c r="GI385" s="38"/>
      <c r="GJ385" s="38"/>
      <c r="GK385" s="38"/>
      <c r="GL385" s="38"/>
      <c r="GM385" s="38"/>
      <c r="GN385" s="38"/>
      <c r="GO385" s="38"/>
      <c r="GP385" s="38"/>
      <c r="GQ385" s="38"/>
      <c r="GR385" s="38"/>
      <c r="GS385" s="38"/>
      <c r="GT385" s="38"/>
      <c r="GU385" s="38"/>
      <c r="GV385" s="38"/>
      <c r="GW385" s="38"/>
      <c r="GX385" s="38"/>
      <c r="GY385" s="38"/>
      <c r="GZ385" s="38"/>
      <c r="HA385" s="38"/>
      <c r="HB385" s="38"/>
      <c r="HC385" s="38"/>
      <c r="HD385" s="38"/>
      <c r="HE385" s="38"/>
      <c r="HF385" s="38"/>
      <c r="HG385" s="38"/>
      <c r="HH385" s="38"/>
      <c r="HI385" s="38"/>
      <c r="HJ385" s="38"/>
      <c r="HK385" s="38"/>
      <c r="HL385" s="38"/>
      <c r="HM385" s="38"/>
      <c r="HN385" s="38"/>
      <c r="HO385" s="38"/>
      <c r="HP385" s="38"/>
      <c r="HQ385" s="38"/>
      <c r="HR385" s="38"/>
      <c r="HS385" s="38"/>
      <c r="HT385" s="38"/>
      <c r="HU385" s="38"/>
      <c r="HV385" s="38"/>
      <c r="HW385" s="38"/>
      <c r="HX385" s="38"/>
      <c r="HY385" s="38"/>
      <c r="HZ385" s="38"/>
      <c r="IA385" s="38"/>
      <c r="IB385" s="38"/>
      <c r="IC385" s="38"/>
      <c r="ID385" s="38"/>
      <c r="IE385" s="38"/>
      <c r="IF385" s="38"/>
      <c r="IG385" s="38"/>
      <c r="IH385" s="38"/>
      <c r="II385" s="38"/>
      <c r="IJ385" s="38"/>
      <c r="IK385" s="38"/>
      <c r="IL385" s="38"/>
      <c r="IM385" s="38"/>
      <c r="IN385" s="38"/>
      <c r="IO385" s="38"/>
      <c r="IP385" s="38"/>
      <c r="IQ385" s="38"/>
      <c r="IR385" s="38"/>
      <c r="IS385" s="38"/>
      <c r="IT385" s="38"/>
      <c r="IU385" s="38"/>
      <c r="IV385" s="38"/>
      <c r="IW385" s="38"/>
      <c r="IX385" s="38"/>
      <c r="IY385" s="38"/>
      <c r="IZ385" s="38"/>
      <c r="JA385" s="38"/>
      <c r="JB385" s="38"/>
      <c r="JC385" s="38"/>
      <c r="JD385" s="38"/>
      <c r="JE385" s="38"/>
      <c r="JF385" s="38"/>
      <c r="JG385" s="38"/>
      <c r="JH385" s="38"/>
      <c r="JI385" s="38"/>
      <c r="JJ385" s="38"/>
      <c r="JK385" s="38"/>
      <c r="JL385" s="38"/>
      <c r="JM385" s="38"/>
      <c r="JN385" s="38"/>
      <c r="JO385" s="38"/>
      <c r="JP385" s="38"/>
      <c r="JQ385" s="38"/>
      <c r="JR385" s="38"/>
      <c r="JS385" s="38"/>
      <c r="JT385" s="38"/>
      <c r="JU385" s="38"/>
      <c r="JV385" s="38"/>
      <c r="JW385" s="38"/>
      <c r="JX385" s="38"/>
      <c r="JY385" s="38"/>
      <c r="JZ385" s="38"/>
      <c r="KA385" s="38"/>
      <c r="KB385" s="38"/>
      <c r="KC385" s="38"/>
      <c r="KD385" s="38"/>
      <c r="KE385" s="38"/>
      <c r="KF385" s="38"/>
      <c r="KG385" s="38"/>
      <c r="KH385" s="38"/>
      <c r="KI385" s="38"/>
      <c r="KJ385" s="38"/>
      <c r="KK385" s="38"/>
      <c r="KL385" s="38"/>
      <c r="KM385" s="38"/>
      <c r="KN385" s="38"/>
      <c r="KO385" s="38"/>
      <c r="KP385" s="38"/>
      <c r="KQ385" s="38"/>
      <c r="KR385" s="38"/>
      <c r="KS385" s="38"/>
      <c r="KT385" s="38"/>
      <c r="KU385" s="38"/>
      <c r="KV385" s="38"/>
      <c r="KW385" s="38"/>
      <c r="KX385" s="38"/>
      <c r="KY385" s="38"/>
      <c r="KZ385" s="38"/>
      <c r="LA385" s="38"/>
      <c r="LB385" s="38"/>
      <c r="LC385" s="38"/>
      <c r="LD385" s="38"/>
      <c r="LE385" s="38"/>
      <c r="LF385" s="38"/>
      <c r="LG385" s="38"/>
      <c r="LH385" s="38"/>
      <c r="LI385" s="38"/>
      <c r="LJ385" s="38"/>
      <c r="LK385" s="38"/>
      <c r="LL385" s="38"/>
      <c r="LM385" s="38"/>
      <c r="LN385" s="38"/>
      <c r="LO385" s="38"/>
      <c r="LP385" s="38"/>
      <c r="LQ385" s="38"/>
      <c r="LR385" s="38"/>
      <c r="LS385" s="38"/>
      <c r="LT385" s="38"/>
      <c r="LU385" s="38"/>
      <c r="LV385" s="38"/>
      <c r="LW385" s="38"/>
      <c r="LX385" s="38"/>
      <c r="LY385" s="38"/>
      <c r="LZ385" s="38"/>
      <c r="MA385" s="38"/>
      <c r="MB385" s="38"/>
      <c r="MC385" s="38"/>
      <c r="MD385" s="38"/>
      <c r="ME385" s="38"/>
      <c r="MF385" s="38"/>
      <c r="MG385" s="38"/>
      <c r="MH385" s="38"/>
      <c r="MI385" s="38"/>
      <c r="MJ385" s="38"/>
      <c r="MK385" s="38"/>
      <c r="ML385" s="38"/>
      <c r="MM385" s="38"/>
      <c r="MN385" s="38"/>
      <c r="MO385" s="38"/>
      <c r="MP385" s="38"/>
      <c r="MQ385" s="38"/>
      <c r="MR385" s="38"/>
      <c r="MS385" s="38"/>
      <c r="MT385" s="38"/>
      <c r="MU385" s="38"/>
      <c r="MV385" s="38"/>
      <c r="MW385" s="38"/>
      <c r="MX385" s="38"/>
      <c r="MY385" s="38"/>
      <c r="MZ385" s="38"/>
      <c r="NA385" s="38"/>
      <c r="NB385" s="38"/>
      <c r="NC385" s="38"/>
      <c r="ND385" s="38"/>
      <c r="NE385" s="38"/>
      <c r="NF385" s="38"/>
      <c r="NG385" s="38"/>
      <c r="NH385" s="38"/>
      <c r="NI385" s="38"/>
      <c r="NJ385" s="38"/>
      <c r="NK385" s="38"/>
      <c r="NL385" s="38"/>
      <c r="NM385" s="38"/>
      <c r="NN385" s="38"/>
      <c r="NO385" s="38"/>
      <c r="NP385" s="38"/>
      <c r="NQ385" s="38"/>
      <c r="NR385" s="38"/>
      <c r="NS385" s="38"/>
      <c r="NT385" s="38"/>
      <c r="NU385" s="38"/>
      <c r="NV385" s="38"/>
      <c r="NW385" s="38"/>
      <c r="NX385" s="38"/>
      <c r="NY385" s="38"/>
      <c r="NZ385" s="38"/>
      <c r="OA385" s="38"/>
      <c r="OB385" s="38"/>
      <c r="OC385" s="38"/>
      <c r="OD385" s="38"/>
      <c r="OE385" s="38"/>
    </row>
  </sheetData>
  <mergeCells count="6">
    <mergeCell ref="F319:F322"/>
    <mergeCell ref="A8:D8"/>
    <mergeCell ref="F309:F313"/>
    <mergeCell ref="F307:F308"/>
    <mergeCell ref="F305:F306"/>
    <mergeCell ref="F314:F318"/>
  </mergeCells>
  <conditionalFormatting sqref="Q12:OE35">
    <cfRule type="cellIs" dxfId="21" priority="24" operator="notEqual">
      <formula>""</formula>
    </cfRule>
  </conditionalFormatting>
  <conditionalFormatting sqref="Q2:OE2">
    <cfRule type="expression" dxfId="20" priority="6">
      <formula>($P$2=FALSE)</formula>
    </cfRule>
  </conditionalFormatting>
  <conditionalFormatting sqref="Q3:AV3">
    <cfRule type="expression" dxfId="19" priority="5">
      <formula>($P$3=FALSE)</formula>
    </cfRule>
  </conditionalFormatting>
  <conditionalFormatting sqref="Q4:EM4">
    <cfRule type="expression" dxfId="18" priority="4">
      <formula>($P$4=FALSE)</formula>
    </cfRule>
  </conditionalFormatting>
  <conditionalFormatting sqref="O2">
    <cfRule type="expression" dxfId="17" priority="3">
      <formula>($O$2=$O$1)</formula>
    </cfRule>
  </conditionalFormatting>
  <conditionalFormatting sqref="O3">
    <cfRule type="expression" dxfId="16" priority="2">
      <formula>($O$3=$O$1)</formula>
    </cfRule>
  </conditionalFormatting>
  <conditionalFormatting sqref="O4">
    <cfRule type="expression" dxfId="15" priority="1">
      <formula>($O$4=$O$1)</formula>
    </cfRule>
  </conditionalFormatting>
  <dataValidations count="2">
    <dataValidation type="list" allowBlank="1" showInputMessage="1" showErrorMessage="1" sqref="E2" xr:uid="{EF6DBBCF-38D6-4E46-B1D4-9049344999C6}">
      <formula1>$I$8:$J$8</formula1>
    </dataValidation>
    <dataValidation type="list" allowBlank="1" showInputMessage="1" showErrorMessage="1" sqref="O1" xr:uid="{7EDE27A2-E762-4102-8017-256DF0B057E7}">
      <formula1>$O$2:$O$4</formula1>
    </dataValidation>
  </dataValidations>
  <hyperlinks>
    <hyperlink ref="F7" r:id="rId1" display="Sayı" xr:uid="{B955B038-A3D6-40AF-9FBC-A2A380E4E5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6" r:id="rId4" name="Button 144">
              <controlPr defaultSize="0" print="0" autoFill="0" autoPict="0" macro="[0]!InsertScenarioColumn" altText="Add New Scenario Column">
                <anchor moveWithCells="1" sizeWithCells="1">
                  <from>
                    <xdr:col>10</xdr:col>
                    <xdr:colOff>15240</xdr:colOff>
                    <xdr:row>7</xdr:row>
                    <xdr:rowOff>7620</xdr:rowOff>
                  </from>
                  <to>
                    <xdr:col>10</xdr:col>
                    <xdr:colOff>167640</xdr:colOff>
                    <xdr:row>7</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1439-36AB-457D-8BB5-6E31DF914524}">
  <sheetPr codeName="Sayfa4">
    <outlinePr summaryBelow="0" summaryRight="0"/>
  </sheetPr>
  <dimension ref="A1:OK356"/>
  <sheetViews>
    <sheetView zoomScale="70" zoomScaleNormal="70" workbookViewId="0">
      <pane ySplit="6" topLeftCell="A145" activePane="bottomLeft" state="frozen"/>
      <selection pane="bottomLeft" activeCell="M184" sqref="M184"/>
    </sheetView>
  </sheetViews>
  <sheetFormatPr defaultRowHeight="13.8" customHeight="1" outlineLevelRow="1" outlineLevelCol="1" x14ac:dyDescent="0.3"/>
  <cols>
    <col min="1" max="3" width="2.5546875" style="128" customWidth="1"/>
    <col min="4" max="4" width="23.5546875" style="21" customWidth="1"/>
    <col min="5" max="5" width="17.5546875" customWidth="1"/>
    <col min="6" max="6" width="7.5546875" customWidth="1"/>
    <col min="7" max="7" width="11.5546875" customWidth="1"/>
    <col min="8" max="9" width="15.109375" customWidth="1" outlineLevel="1"/>
    <col min="10" max="12" width="2.5546875" customWidth="1"/>
    <col min="13" max="13" width="22.33203125" customWidth="1"/>
    <col min="14" max="15" width="11.77734375" customWidth="1"/>
    <col min="16" max="16" width="12.6640625" customWidth="1"/>
    <col min="17" max="18" width="10.109375" customWidth="1"/>
    <col min="19" max="394" width="11.77734375" customWidth="1"/>
  </cols>
  <sheetData>
    <row r="1" spans="1:401" ht="13.8" customHeight="1" x14ac:dyDescent="0.3">
      <c r="A1" s="127" t="s">
        <v>138</v>
      </c>
      <c r="E1" s="7"/>
      <c r="F1" s="21"/>
      <c r="G1" s="68"/>
      <c r="J1" s="73"/>
      <c r="K1" s="74"/>
      <c r="L1" s="75"/>
      <c r="M1" s="57"/>
      <c r="N1" s="57"/>
      <c r="O1" s="58"/>
      <c r="P1" s="1" cm="1">
        <f t="array" ref="P1:OK1">_xlfn.SEQUENCE(1,COUNTA(_xlfn.ANCHORARRAY(P2)),1,0)</f>
        <v>1</v>
      </c>
      <c r="Q1" s="1">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v>1</v>
      </c>
      <c r="OF1">
        <v>1</v>
      </c>
      <c r="OG1">
        <v>1</v>
      </c>
      <c r="OH1">
        <v>1</v>
      </c>
      <c r="OI1">
        <v>1</v>
      </c>
      <c r="OJ1">
        <v>1</v>
      </c>
      <c r="OK1">
        <v>1</v>
      </c>
    </row>
    <row r="2" spans="1:401" ht="13.8" customHeight="1" x14ac:dyDescent="0.3">
      <c r="A2" s="127" t="s">
        <v>139</v>
      </c>
      <c r="J2" s="76"/>
      <c r="K2" s="66"/>
      <c r="L2" s="77"/>
      <c r="M2" s="6" t="s">
        <v>11</v>
      </c>
      <c r="N2" s="6"/>
      <c r="O2" s="17"/>
      <c r="P2" s="56" cm="1">
        <f t="array" ref="P2:OK2">EDATE(GES!E5,_xlfn.SEQUENCE(1,((YEAR(GES!E6)-YEAR(GES!E5))*12+(MONTH(GES!E6)-MONTH(GES!E5))+1),0))</f>
        <v>45962</v>
      </c>
      <c r="Q2" s="56">
        <v>45992</v>
      </c>
      <c r="R2" s="56">
        <v>46023</v>
      </c>
      <c r="S2" s="56">
        <v>46054</v>
      </c>
      <c r="T2" s="56">
        <v>46082</v>
      </c>
      <c r="U2" s="56">
        <v>46113</v>
      </c>
      <c r="V2" s="56">
        <v>46143</v>
      </c>
      <c r="W2" s="56">
        <v>46174</v>
      </c>
      <c r="X2" s="56">
        <v>46204</v>
      </c>
      <c r="Y2" s="56">
        <v>46235</v>
      </c>
      <c r="Z2" s="56">
        <v>46266</v>
      </c>
      <c r="AA2" s="56">
        <v>46296</v>
      </c>
      <c r="AB2" s="56">
        <v>46327</v>
      </c>
      <c r="AC2" s="56">
        <v>46357</v>
      </c>
      <c r="AD2" s="56">
        <v>46388</v>
      </c>
      <c r="AE2" s="56">
        <v>46419</v>
      </c>
      <c r="AF2" s="56">
        <v>46447</v>
      </c>
      <c r="AG2" s="56">
        <v>46478</v>
      </c>
      <c r="AH2" s="56">
        <v>46508</v>
      </c>
      <c r="AI2" s="56">
        <v>46539</v>
      </c>
      <c r="AJ2" s="56">
        <v>46569</v>
      </c>
      <c r="AK2" s="56">
        <v>46600</v>
      </c>
      <c r="AL2" s="56">
        <v>46631</v>
      </c>
      <c r="AM2" s="56">
        <v>46661</v>
      </c>
      <c r="AN2" s="56">
        <v>46692</v>
      </c>
      <c r="AO2" s="56">
        <v>46722</v>
      </c>
      <c r="AP2" s="56">
        <v>46753</v>
      </c>
      <c r="AQ2" s="56">
        <v>46784</v>
      </c>
      <c r="AR2" s="56">
        <v>46813</v>
      </c>
      <c r="AS2" s="56">
        <v>46844</v>
      </c>
      <c r="AT2" s="56">
        <v>46874</v>
      </c>
      <c r="AU2" s="56">
        <v>46905</v>
      </c>
      <c r="AV2" s="56">
        <v>46935</v>
      </c>
      <c r="AW2" s="56">
        <v>46966</v>
      </c>
      <c r="AX2" s="56">
        <v>46997</v>
      </c>
      <c r="AY2" s="56">
        <v>47027</v>
      </c>
      <c r="AZ2" s="56">
        <v>47058</v>
      </c>
      <c r="BA2" s="56">
        <v>47088</v>
      </c>
      <c r="BB2" s="56">
        <v>47119</v>
      </c>
      <c r="BC2" s="56">
        <v>47150</v>
      </c>
      <c r="BD2" s="56">
        <v>47178</v>
      </c>
      <c r="BE2" s="56">
        <v>47209</v>
      </c>
      <c r="BF2" s="56">
        <v>47239</v>
      </c>
      <c r="BG2" s="56">
        <v>47270</v>
      </c>
      <c r="BH2" s="56">
        <v>47300</v>
      </c>
      <c r="BI2" s="56">
        <v>47331</v>
      </c>
      <c r="BJ2" s="56">
        <v>47362</v>
      </c>
      <c r="BK2" s="56">
        <v>47392</v>
      </c>
      <c r="BL2" s="56">
        <v>47423</v>
      </c>
      <c r="BM2" s="56">
        <v>47453</v>
      </c>
      <c r="BN2" s="56">
        <v>47484</v>
      </c>
      <c r="BO2" s="56">
        <v>47515</v>
      </c>
      <c r="BP2" s="56">
        <v>47543</v>
      </c>
      <c r="BQ2" s="56">
        <v>47574</v>
      </c>
      <c r="BR2" s="56">
        <v>47604</v>
      </c>
      <c r="BS2" s="56">
        <v>47635</v>
      </c>
      <c r="BT2" s="56">
        <v>47665</v>
      </c>
      <c r="BU2" s="56">
        <v>47696</v>
      </c>
      <c r="BV2" s="56">
        <v>47727</v>
      </c>
      <c r="BW2" s="56">
        <v>47757</v>
      </c>
      <c r="BX2" s="56">
        <v>47788</v>
      </c>
      <c r="BY2" s="56">
        <v>47818</v>
      </c>
      <c r="BZ2" s="56">
        <v>47849</v>
      </c>
      <c r="CA2" s="56">
        <v>47880</v>
      </c>
      <c r="CB2" s="56">
        <v>47908</v>
      </c>
      <c r="CC2" s="56">
        <v>47939</v>
      </c>
      <c r="CD2" s="56">
        <v>47969</v>
      </c>
      <c r="CE2" s="56">
        <v>48000</v>
      </c>
      <c r="CF2" s="56">
        <v>48030</v>
      </c>
      <c r="CG2" s="56">
        <v>48061</v>
      </c>
      <c r="CH2" s="56">
        <v>48092</v>
      </c>
      <c r="CI2" s="56">
        <v>48122</v>
      </c>
      <c r="CJ2" s="56">
        <v>48153</v>
      </c>
      <c r="CK2" s="56">
        <v>48183</v>
      </c>
      <c r="CL2" s="56">
        <v>48214</v>
      </c>
      <c r="CM2" s="56">
        <v>48245</v>
      </c>
      <c r="CN2" s="56">
        <v>48274</v>
      </c>
      <c r="CO2" s="56">
        <v>48305</v>
      </c>
      <c r="CP2" s="56">
        <v>48335</v>
      </c>
      <c r="CQ2" s="56">
        <v>48366</v>
      </c>
      <c r="CR2" s="56">
        <v>48396</v>
      </c>
      <c r="CS2" s="56">
        <v>48427</v>
      </c>
      <c r="CT2" s="56">
        <v>48458</v>
      </c>
      <c r="CU2" s="56">
        <v>48488</v>
      </c>
      <c r="CV2" s="56">
        <v>48519</v>
      </c>
      <c r="CW2" s="56">
        <v>48549</v>
      </c>
      <c r="CX2" s="56">
        <v>48580</v>
      </c>
      <c r="CY2" s="56">
        <v>48611</v>
      </c>
      <c r="CZ2" s="56">
        <v>48639</v>
      </c>
      <c r="DA2" s="56">
        <v>48670</v>
      </c>
      <c r="DB2" s="56">
        <v>48700</v>
      </c>
      <c r="DC2" s="56">
        <v>48731</v>
      </c>
      <c r="DD2" s="56">
        <v>48761</v>
      </c>
      <c r="DE2" s="56">
        <v>48792</v>
      </c>
      <c r="DF2" s="56">
        <v>48823</v>
      </c>
      <c r="DG2" s="56">
        <v>48853</v>
      </c>
      <c r="DH2" s="56">
        <v>48884</v>
      </c>
      <c r="DI2" s="56">
        <v>48914</v>
      </c>
      <c r="DJ2" s="56">
        <v>48945</v>
      </c>
      <c r="DK2" s="56">
        <v>48976</v>
      </c>
      <c r="DL2" s="56">
        <v>49004</v>
      </c>
      <c r="DM2" s="56">
        <v>49035</v>
      </c>
      <c r="DN2" s="56">
        <v>49065</v>
      </c>
      <c r="DO2" s="56">
        <v>49096</v>
      </c>
      <c r="DP2" s="56">
        <v>49126</v>
      </c>
      <c r="DQ2" s="56">
        <v>49157</v>
      </c>
      <c r="DR2" s="56">
        <v>49188</v>
      </c>
      <c r="DS2" s="56">
        <v>49218</v>
      </c>
      <c r="DT2" s="56">
        <v>49249</v>
      </c>
      <c r="DU2" s="56">
        <v>49279</v>
      </c>
      <c r="DV2" s="56">
        <v>49310</v>
      </c>
      <c r="DW2" s="56">
        <v>49341</v>
      </c>
      <c r="DX2" s="56">
        <v>49369</v>
      </c>
      <c r="DY2" s="56">
        <v>49400</v>
      </c>
      <c r="DZ2" s="56">
        <v>49430</v>
      </c>
      <c r="EA2" s="56">
        <v>49461</v>
      </c>
      <c r="EB2" s="56">
        <v>49491</v>
      </c>
      <c r="EC2" s="56">
        <v>49522</v>
      </c>
      <c r="ED2" s="56">
        <v>49553</v>
      </c>
      <c r="EE2" s="56">
        <v>49583</v>
      </c>
      <c r="EF2" s="56">
        <v>49614</v>
      </c>
      <c r="EG2" s="56">
        <v>49644</v>
      </c>
      <c r="EH2" s="56">
        <v>49675</v>
      </c>
      <c r="EI2" s="56">
        <v>49706</v>
      </c>
      <c r="EJ2" s="56">
        <v>49735</v>
      </c>
      <c r="EK2" s="56">
        <v>49766</v>
      </c>
      <c r="EL2" s="56">
        <v>49796</v>
      </c>
      <c r="EM2" s="56">
        <v>49827</v>
      </c>
      <c r="EN2" s="56">
        <v>49857</v>
      </c>
      <c r="EO2" s="56">
        <v>49888</v>
      </c>
      <c r="EP2" s="56">
        <v>49919</v>
      </c>
      <c r="EQ2" s="56">
        <v>49949</v>
      </c>
      <c r="ER2" s="56">
        <v>49980</v>
      </c>
      <c r="ES2" s="56">
        <v>50010</v>
      </c>
      <c r="ET2" s="56">
        <v>50041</v>
      </c>
      <c r="EU2" s="56">
        <v>50072</v>
      </c>
      <c r="EV2" s="56">
        <v>50100</v>
      </c>
      <c r="EW2" s="56">
        <v>50131</v>
      </c>
      <c r="EX2" s="56">
        <v>50161</v>
      </c>
      <c r="EY2" s="56">
        <v>50192</v>
      </c>
      <c r="EZ2" s="56">
        <v>50222</v>
      </c>
      <c r="FA2" s="56">
        <v>50253</v>
      </c>
      <c r="FB2" s="56">
        <v>50284</v>
      </c>
      <c r="FC2" s="56">
        <v>50314</v>
      </c>
      <c r="FD2" s="56">
        <v>50345</v>
      </c>
      <c r="FE2" s="56">
        <v>50375</v>
      </c>
      <c r="FF2" s="56">
        <v>50406</v>
      </c>
      <c r="FG2" s="56">
        <v>50437</v>
      </c>
      <c r="FH2" s="56">
        <v>50465</v>
      </c>
      <c r="FI2" s="56">
        <v>50496</v>
      </c>
      <c r="FJ2" s="56">
        <v>50526</v>
      </c>
      <c r="FK2" s="56">
        <v>50557</v>
      </c>
      <c r="FL2" s="56">
        <v>50587</v>
      </c>
      <c r="FM2" s="56">
        <v>50618</v>
      </c>
      <c r="FN2" s="56">
        <v>50649</v>
      </c>
      <c r="FO2" s="56">
        <v>50679</v>
      </c>
      <c r="FP2" s="56">
        <v>50710</v>
      </c>
      <c r="FQ2" s="56">
        <v>50740</v>
      </c>
      <c r="FR2" s="56">
        <v>50771</v>
      </c>
      <c r="FS2" s="56">
        <v>50802</v>
      </c>
      <c r="FT2" s="56">
        <v>50830</v>
      </c>
      <c r="FU2" s="56">
        <v>50861</v>
      </c>
      <c r="FV2" s="56">
        <v>50891</v>
      </c>
      <c r="FW2" s="56">
        <v>50922</v>
      </c>
      <c r="FX2" s="56">
        <v>50952</v>
      </c>
      <c r="FY2" s="56">
        <v>50983</v>
      </c>
      <c r="FZ2" s="56">
        <v>51014</v>
      </c>
      <c r="GA2" s="56">
        <v>51044</v>
      </c>
      <c r="GB2" s="56">
        <v>51075</v>
      </c>
      <c r="GC2" s="56">
        <v>51105</v>
      </c>
      <c r="GD2" s="56">
        <v>51136</v>
      </c>
      <c r="GE2" s="56">
        <v>51167</v>
      </c>
      <c r="GF2" s="56">
        <v>51196</v>
      </c>
      <c r="GG2" s="56">
        <v>51227</v>
      </c>
      <c r="GH2" s="56">
        <v>51257</v>
      </c>
      <c r="GI2" s="56">
        <v>51288</v>
      </c>
      <c r="GJ2" s="56">
        <v>51318</v>
      </c>
      <c r="GK2" s="56">
        <v>51349</v>
      </c>
      <c r="GL2" s="56">
        <v>51380</v>
      </c>
      <c r="GM2" s="56">
        <v>51410</v>
      </c>
      <c r="GN2" s="56">
        <v>51441</v>
      </c>
      <c r="GO2" s="56">
        <v>51471</v>
      </c>
      <c r="GP2" s="56">
        <v>51502</v>
      </c>
      <c r="GQ2" s="56">
        <v>51533</v>
      </c>
      <c r="GR2" s="56">
        <v>51561</v>
      </c>
      <c r="GS2" s="56">
        <v>51592</v>
      </c>
      <c r="GT2" s="56">
        <v>51622</v>
      </c>
      <c r="GU2" s="56">
        <v>51653</v>
      </c>
      <c r="GV2" s="56">
        <v>51683</v>
      </c>
      <c r="GW2" s="56">
        <v>51714</v>
      </c>
      <c r="GX2" s="56">
        <v>51745</v>
      </c>
      <c r="GY2" s="56">
        <v>51775</v>
      </c>
      <c r="GZ2" s="56">
        <v>51806</v>
      </c>
      <c r="HA2" s="56">
        <v>51836</v>
      </c>
      <c r="HB2" s="56">
        <v>51867</v>
      </c>
      <c r="HC2" s="56">
        <v>51898</v>
      </c>
      <c r="HD2" s="56">
        <v>51926</v>
      </c>
      <c r="HE2" s="56">
        <v>51957</v>
      </c>
      <c r="HF2" s="56">
        <v>51987</v>
      </c>
      <c r="HG2" s="56">
        <v>52018</v>
      </c>
      <c r="HH2" s="56">
        <v>52048</v>
      </c>
      <c r="HI2" s="56">
        <v>52079</v>
      </c>
      <c r="HJ2" s="56">
        <v>52110</v>
      </c>
      <c r="HK2" s="56">
        <v>52140</v>
      </c>
      <c r="HL2" s="56">
        <v>52171</v>
      </c>
      <c r="HM2" s="56">
        <v>52201</v>
      </c>
      <c r="HN2" s="56">
        <v>52232</v>
      </c>
      <c r="HO2" s="56">
        <v>52263</v>
      </c>
      <c r="HP2" s="56">
        <v>52291</v>
      </c>
      <c r="HQ2" s="56">
        <v>52322</v>
      </c>
      <c r="HR2" s="56">
        <v>52352</v>
      </c>
      <c r="HS2" s="56">
        <v>52383</v>
      </c>
      <c r="HT2" s="56">
        <v>52413</v>
      </c>
      <c r="HU2" s="56">
        <v>52444</v>
      </c>
      <c r="HV2" s="56">
        <v>52475</v>
      </c>
      <c r="HW2" s="56">
        <v>52505</v>
      </c>
      <c r="HX2" s="56">
        <v>52536</v>
      </c>
      <c r="HY2" s="56">
        <v>52566</v>
      </c>
      <c r="HZ2" s="56">
        <v>52597</v>
      </c>
      <c r="IA2" s="56">
        <v>52628</v>
      </c>
      <c r="IB2" s="56">
        <v>52657</v>
      </c>
      <c r="IC2" s="56">
        <v>52688</v>
      </c>
      <c r="ID2" s="56">
        <v>52718</v>
      </c>
      <c r="IE2" s="56">
        <v>52749</v>
      </c>
      <c r="IF2" s="56">
        <v>52779</v>
      </c>
      <c r="IG2" s="56">
        <v>52810</v>
      </c>
      <c r="IH2" s="56">
        <v>52841</v>
      </c>
      <c r="II2" s="56">
        <v>52871</v>
      </c>
      <c r="IJ2" s="56">
        <v>52902</v>
      </c>
      <c r="IK2" s="56">
        <v>52932</v>
      </c>
      <c r="IL2" s="56">
        <v>52963</v>
      </c>
      <c r="IM2" s="56">
        <v>52994</v>
      </c>
      <c r="IN2" s="56">
        <v>53022</v>
      </c>
      <c r="IO2" s="56">
        <v>53053</v>
      </c>
      <c r="IP2" s="56">
        <v>53083</v>
      </c>
      <c r="IQ2" s="56">
        <v>53114</v>
      </c>
      <c r="IR2" s="56">
        <v>53144</v>
      </c>
      <c r="IS2" s="56">
        <v>53175</v>
      </c>
      <c r="IT2" s="56">
        <v>53206</v>
      </c>
      <c r="IU2" s="56">
        <v>53236</v>
      </c>
      <c r="IV2" s="56">
        <v>53267</v>
      </c>
      <c r="IW2" s="56">
        <v>53297</v>
      </c>
      <c r="IX2" s="56">
        <v>53328</v>
      </c>
      <c r="IY2" s="56">
        <v>53359</v>
      </c>
      <c r="IZ2" s="56">
        <v>53387</v>
      </c>
      <c r="JA2" s="56">
        <v>53418</v>
      </c>
      <c r="JB2" s="56">
        <v>53448</v>
      </c>
      <c r="JC2" s="56">
        <v>53479</v>
      </c>
      <c r="JD2" s="56">
        <v>53509</v>
      </c>
      <c r="JE2" s="56">
        <v>53540</v>
      </c>
      <c r="JF2" s="56">
        <v>53571</v>
      </c>
      <c r="JG2" s="56">
        <v>53601</v>
      </c>
      <c r="JH2" s="56">
        <v>53632</v>
      </c>
      <c r="JI2" s="56">
        <v>53662</v>
      </c>
      <c r="JJ2" s="56">
        <v>53693</v>
      </c>
      <c r="JK2" s="56">
        <v>53724</v>
      </c>
      <c r="JL2" s="56">
        <v>53752</v>
      </c>
      <c r="JM2" s="56">
        <v>53783</v>
      </c>
      <c r="JN2" s="56">
        <v>53813</v>
      </c>
      <c r="JO2" s="56">
        <v>53844</v>
      </c>
      <c r="JP2" s="56">
        <v>53874</v>
      </c>
      <c r="JQ2" s="56">
        <v>53905</v>
      </c>
      <c r="JR2" s="56">
        <v>53936</v>
      </c>
      <c r="JS2" s="56">
        <v>53966</v>
      </c>
      <c r="JT2" s="56">
        <v>53997</v>
      </c>
      <c r="JU2" s="56">
        <v>54027</v>
      </c>
      <c r="JV2" s="56">
        <v>54058</v>
      </c>
      <c r="JW2" s="56">
        <v>54089</v>
      </c>
      <c r="JX2" s="56">
        <v>54118</v>
      </c>
      <c r="JY2" s="56">
        <v>54149</v>
      </c>
      <c r="JZ2" s="56">
        <v>54179</v>
      </c>
      <c r="KA2" s="56">
        <v>54210</v>
      </c>
      <c r="KB2" s="56">
        <v>54240</v>
      </c>
      <c r="KC2" s="56">
        <v>54271</v>
      </c>
      <c r="KD2" s="56">
        <v>54302</v>
      </c>
      <c r="KE2" s="56">
        <v>54332</v>
      </c>
      <c r="KF2" s="56">
        <v>54363</v>
      </c>
      <c r="KG2" s="56">
        <v>54393</v>
      </c>
      <c r="KH2" s="56">
        <v>54424</v>
      </c>
      <c r="KI2" s="56">
        <v>54455</v>
      </c>
      <c r="KJ2" s="56">
        <v>54483</v>
      </c>
      <c r="KK2" s="56">
        <v>54514</v>
      </c>
      <c r="KL2" s="56">
        <v>54544</v>
      </c>
      <c r="KM2" s="56">
        <v>54575</v>
      </c>
      <c r="KN2" s="56">
        <v>54605</v>
      </c>
      <c r="KO2" s="56">
        <v>54636</v>
      </c>
      <c r="KP2" s="56">
        <v>54667</v>
      </c>
      <c r="KQ2" s="56">
        <v>54697</v>
      </c>
      <c r="KR2" s="56">
        <v>54728</v>
      </c>
      <c r="KS2" s="56">
        <v>54758</v>
      </c>
      <c r="KT2" s="56">
        <v>54789</v>
      </c>
      <c r="KU2" s="56">
        <v>54820</v>
      </c>
      <c r="KV2" s="56">
        <v>54848</v>
      </c>
      <c r="KW2" s="56">
        <v>54879</v>
      </c>
      <c r="KX2" s="56">
        <v>54909</v>
      </c>
      <c r="KY2" s="56">
        <v>54940</v>
      </c>
      <c r="KZ2" s="56">
        <v>54970</v>
      </c>
      <c r="LA2" s="56">
        <v>55001</v>
      </c>
      <c r="LB2" s="56">
        <v>55032</v>
      </c>
      <c r="LC2" s="56">
        <v>55062</v>
      </c>
      <c r="LD2" s="56">
        <v>55093</v>
      </c>
      <c r="LE2" s="56">
        <v>55123</v>
      </c>
      <c r="LF2" s="56">
        <v>55154</v>
      </c>
      <c r="LG2" s="56">
        <v>55185</v>
      </c>
      <c r="LH2" s="56">
        <v>55213</v>
      </c>
      <c r="LI2" s="56">
        <v>55244</v>
      </c>
      <c r="LJ2" s="56">
        <v>55274</v>
      </c>
      <c r="LK2" s="56">
        <v>55305</v>
      </c>
      <c r="LL2" s="56">
        <v>55335</v>
      </c>
      <c r="LM2" s="56">
        <v>55366</v>
      </c>
      <c r="LN2" s="56">
        <v>55397</v>
      </c>
      <c r="LO2" s="56">
        <v>55427</v>
      </c>
      <c r="LP2" s="56">
        <v>55458</v>
      </c>
      <c r="LQ2" s="56">
        <v>55488</v>
      </c>
      <c r="LR2" s="56">
        <v>55519</v>
      </c>
      <c r="LS2" s="56">
        <v>55550</v>
      </c>
      <c r="LT2" s="56">
        <v>55579</v>
      </c>
      <c r="LU2" s="56">
        <v>55610</v>
      </c>
      <c r="LV2" s="56">
        <v>55640</v>
      </c>
      <c r="LW2" s="56">
        <v>55671</v>
      </c>
      <c r="LX2" s="56">
        <v>55701</v>
      </c>
      <c r="LY2" s="56">
        <v>55732</v>
      </c>
      <c r="LZ2" s="56">
        <v>55763</v>
      </c>
      <c r="MA2" s="56">
        <v>55793</v>
      </c>
      <c r="MB2" s="56">
        <v>55824</v>
      </c>
      <c r="MC2" s="56">
        <v>55854</v>
      </c>
      <c r="MD2" s="56">
        <v>55885</v>
      </c>
      <c r="ME2" s="56">
        <v>55916</v>
      </c>
      <c r="MF2" s="56">
        <v>55944</v>
      </c>
      <c r="MG2" s="56">
        <v>55975</v>
      </c>
      <c r="MH2" s="56">
        <v>56005</v>
      </c>
      <c r="MI2" s="56">
        <v>56036</v>
      </c>
      <c r="MJ2" s="56">
        <v>56066</v>
      </c>
      <c r="MK2" s="56">
        <v>56097</v>
      </c>
      <c r="ML2" s="56">
        <v>56128</v>
      </c>
      <c r="MM2" s="56">
        <v>56158</v>
      </c>
      <c r="MN2" s="56">
        <v>56189</v>
      </c>
      <c r="MO2" s="56">
        <v>56219</v>
      </c>
      <c r="MP2" s="56">
        <v>56250</v>
      </c>
      <c r="MQ2" s="56">
        <v>56281</v>
      </c>
      <c r="MR2" s="56">
        <v>56309</v>
      </c>
      <c r="MS2" s="56">
        <v>56340</v>
      </c>
      <c r="MT2" s="56">
        <v>56370</v>
      </c>
      <c r="MU2" s="56">
        <v>56401</v>
      </c>
      <c r="MV2" s="56">
        <v>56431</v>
      </c>
      <c r="MW2" s="56">
        <v>56462</v>
      </c>
      <c r="MX2" s="56">
        <v>56493</v>
      </c>
      <c r="MY2" s="56">
        <v>56523</v>
      </c>
      <c r="MZ2" s="56">
        <v>56554</v>
      </c>
      <c r="NA2" s="56">
        <v>56584</v>
      </c>
      <c r="NB2" s="56">
        <v>56615</v>
      </c>
      <c r="NC2" s="56">
        <v>56646</v>
      </c>
      <c r="ND2" s="56">
        <v>56674</v>
      </c>
      <c r="NE2" s="56">
        <v>56705</v>
      </c>
      <c r="NF2" s="56">
        <v>56735</v>
      </c>
      <c r="NG2" s="56">
        <v>56766</v>
      </c>
      <c r="NH2" s="56">
        <v>56796</v>
      </c>
      <c r="NI2" s="56">
        <v>56827</v>
      </c>
      <c r="NJ2" s="56">
        <v>56858</v>
      </c>
      <c r="NK2" s="56">
        <v>56888</v>
      </c>
      <c r="NL2" s="56">
        <v>56919</v>
      </c>
      <c r="NM2" s="56">
        <v>56949</v>
      </c>
      <c r="NN2" s="56">
        <v>56980</v>
      </c>
      <c r="NO2" s="56">
        <v>57011</v>
      </c>
      <c r="NP2" s="56">
        <v>57040</v>
      </c>
      <c r="NQ2" s="56">
        <v>57071</v>
      </c>
      <c r="NR2" s="56">
        <v>57101</v>
      </c>
      <c r="NS2" s="56">
        <v>57132</v>
      </c>
      <c r="NT2" s="56">
        <v>57162</v>
      </c>
      <c r="NU2" s="56">
        <v>57193</v>
      </c>
      <c r="NV2" s="56">
        <v>57224</v>
      </c>
      <c r="NW2" s="56">
        <v>57254</v>
      </c>
      <c r="NX2" s="56">
        <v>57285</v>
      </c>
      <c r="NY2" s="56">
        <v>57315</v>
      </c>
      <c r="NZ2" s="56">
        <v>57346</v>
      </c>
      <c r="OA2" s="56">
        <v>57377</v>
      </c>
      <c r="OB2" s="56">
        <v>57405</v>
      </c>
      <c r="OC2" s="56">
        <v>57436</v>
      </c>
      <c r="OD2" s="56">
        <v>57466</v>
      </c>
      <c r="OE2">
        <v>57497</v>
      </c>
      <c r="OF2">
        <v>57527</v>
      </c>
      <c r="OG2">
        <v>57558</v>
      </c>
      <c r="OH2">
        <v>57589</v>
      </c>
      <c r="OI2">
        <v>57619</v>
      </c>
      <c r="OJ2">
        <v>57650</v>
      </c>
      <c r="OK2">
        <v>57680</v>
      </c>
    </row>
    <row r="3" spans="1:401" ht="14.4" customHeight="1" x14ac:dyDescent="0.3">
      <c r="D3" s="21" t="s">
        <v>55</v>
      </c>
      <c r="E3" s="25" t="s">
        <v>53</v>
      </c>
      <c r="J3" s="76"/>
      <c r="K3" s="66"/>
      <c r="L3" s="77"/>
      <c r="M3" t="s">
        <v>9</v>
      </c>
      <c r="O3" s="18"/>
      <c r="P3" s="24" cm="1">
        <f t="array" ref="P3:OK3">_xlfn.SEQUENCE(1,COUNTA(_xlfn.ANCHORARRAY(P2)),1)</f>
        <v>1</v>
      </c>
      <c r="Q3" s="24">
        <v>2</v>
      </c>
      <c r="R3" s="24">
        <v>3</v>
      </c>
      <c r="S3" s="24">
        <v>4</v>
      </c>
      <c r="T3" s="24">
        <v>5</v>
      </c>
      <c r="U3" s="24">
        <v>6</v>
      </c>
      <c r="V3" s="24">
        <v>7</v>
      </c>
      <c r="W3" s="24">
        <v>8</v>
      </c>
      <c r="X3" s="24">
        <v>9</v>
      </c>
      <c r="Y3" s="24">
        <v>10</v>
      </c>
      <c r="Z3" s="24">
        <v>11</v>
      </c>
      <c r="AA3" s="24">
        <v>12</v>
      </c>
      <c r="AB3" s="24">
        <v>13</v>
      </c>
      <c r="AC3" s="24">
        <v>14</v>
      </c>
      <c r="AD3" s="24">
        <v>15</v>
      </c>
      <c r="AE3" s="24">
        <v>16</v>
      </c>
      <c r="AF3" s="24">
        <v>17</v>
      </c>
      <c r="AG3" s="24">
        <v>18</v>
      </c>
      <c r="AH3" s="24">
        <v>19</v>
      </c>
      <c r="AI3" s="24">
        <v>20</v>
      </c>
      <c r="AJ3" s="24">
        <v>21</v>
      </c>
      <c r="AK3" s="24">
        <v>22</v>
      </c>
      <c r="AL3" s="24">
        <v>23</v>
      </c>
      <c r="AM3" s="24">
        <v>24</v>
      </c>
      <c r="AN3" s="24">
        <v>25</v>
      </c>
      <c r="AO3" s="24">
        <v>26</v>
      </c>
      <c r="AP3" s="24">
        <v>27</v>
      </c>
      <c r="AQ3" s="24">
        <v>28</v>
      </c>
      <c r="AR3" s="24">
        <v>29</v>
      </c>
      <c r="AS3" s="24">
        <v>30</v>
      </c>
      <c r="AT3" s="24">
        <v>31</v>
      </c>
      <c r="AU3" s="24">
        <v>32</v>
      </c>
      <c r="AV3" s="24">
        <v>33</v>
      </c>
      <c r="AW3" s="24">
        <v>34</v>
      </c>
      <c r="AX3" s="24">
        <v>35</v>
      </c>
      <c r="AY3" s="24">
        <v>36</v>
      </c>
      <c r="AZ3" s="24">
        <v>37</v>
      </c>
      <c r="BA3" s="24">
        <v>38</v>
      </c>
      <c r="BB3" s="24">
        <v>39</v>
      </c>
      <c r="BC3" s="24">
        <v>40</v>
      </c>
      <c r="BD3" s="24">
        <v>41</v>
      </c>
      <c r="BE3" s="24">
        <v>42</v>
      </c>
      <c r="BF3" s="24">
        <v>43</v>
      </c>
      <c r="BG3" s="24">
        <v>44</v>
      </c>
      <c r="BH3" s="24">
        <v>45</v>
      </c>
      <c r="BI3" s="24">
        <v>46</v>
      </c>
      <c r="BJ3" s="24">
        <v>47</v>
      </c>
      <c r="BK3" s="24">
        <v>48</v>
      </c>
      <c r="BL3" s="24">
        <v>49</v>
      </c>
      <c r="BM3" s="24">
        <v>50</v>
      </c>
      <c r="BN3" s="24">
        <v>51</v>
      </c>
      <c r="BO3" s="24">
        <v>52</v>
      </c>
      <c r="BP3" s="24">
        <v>53</v>
      </c>
      <c r="BQ3" s="24">
        <v>54</v>
      </c>
      <c r="BR3" s="24">
        <v>55</v>
      </c>
      <c r="BS3" s="24">
        <v>56</v>
      </c>
      <c r="BT3" s="24">
        <v>57</v>
      </c>
      <c r="BU3" s="24">
        <v>58</v>
      </c>
      <c r="BV3" s="24">
        <v>59</v>
      </c>
      <c r="BW3" s="24">
        <v>60</v>
      </c>
      <c r="BX3" s="24">
        <v>61</v>
      </c>
      <c r="BY3" s="24">
        <v>62</v>
      </c>
      <c r="BZ3" s="24">
        <v>63</v>
      </c>
      <c r="CA3" s="24">
        <v>64</v>
      </c>
      <c r="CB3" s="24">
        <v>65</v>
      </c>
      <c r="CC3" s="24">
        <v>66</v>
      </c>
      <c r="CD3" s="24">
        <v>67</v>
      </c>
      <c r="CE3" s="24">
        <v>68</v>
      </c>
      <c r="CF3" s="24">
        <v>69</v>
      </c>
      <c r="CG3" s="24">
        <v>70</v>
      </c>
      <c r="CH3" s="24">
        <v>71</v>
      </c>
      <c r="CI3" s="24">
        <v>72</v>
      </c>
      <c r="CJ3" s="24">
        <v>73</v>
      </c>
      <c r="CK3" s="24">
        <v>74</v>
      </c>
      <c r="CL3" s="24">
        <v>75</v>
      </c>
      <c r="CM3" s="24">
        <v>76</v>
      </c>
      <c r="CN3" s="24">
        <v>77</v>
      </c>
      <c r="CO3" s="24">
        <v>78</v>
      </c>
      <c r="CP3" s="24">
        <v>79</v>
      </c>
      <c r="CQ3" s="24">
        <v>80</v>
      </c>
      <c r="CR3" s="24">
        <v>81</v>
      </c>
      <c r="CS3" s="24">
        <v>82</v>
      </c>
      <c r="CT3" s="24">
        <v>83</v>
      </c>
      <c r="CU3" s="24">
        <v>84</v>
      </c>
      <c r="CV3" s="24">
        <v>85</v>
      </c>
      <c r="CW3" s="24">
        <v>86</v>
      </c>
      <c r="CX3" s="24">
        <v>87</v>
      </c>
      <c r="CY3" s="24">
        <v>88</v>
      </c>
      <c r="CZ3" s="24">
        <v>89</v>
      </c>
      <c r="DA3" s="24">
        <v>90</v>
      </c>
      <c r="DB3" s="24">
        <v>91</v>
      </c>
      <c r="DC3" s="24">
        <v>92</v>
      </c>
      <c r="DD3" s="24">
        <v>93</v>
      </c>
      <c r="DE3" s="24">
        <v>94</v>
      </c>
      <c r="DF3" s="24">
        <v>95</v>
      </c>
      <c r="DG3" s="24">
        <v>96</v>
      </c>
      <c r="DH3" s="24">
        <v>97</v>
      </c>
      <c r="DI3" s="24">
        <v>98</v>
      </c>
      <c r="DJ3" s="24">
        <v>99</v>
      </c>
      <c r="DK3" s="24">
        <v>100</v>
      </c>
      <c r="DL3" s="24">
        <v>101</v>
      </c>
      <c r="DM3" s="24">
        <v>102</v>
      </c>
      <c r="DN3" s="24">
        <v>103</v>
      </c>
      <c r="DO3" s="24">
        <v>104</v>
      </c>
      <c r="DP3" s="24">
        <v>105</v>
      </c>
      <c r="DQ3" s="24">
        <v>106</v>
      </c>
      <c r="DR3" s="24">
        <v>107</v>
      </c>
      <c r="DS3" s="24">
        <v>108</v>
      </c>
      <c r="DT3" s="24">
        <v>109</v>
      </c>
      <c r="DU3" s="24">
        <v>110</v>
      </c>
      <c r="DV3" s="24">
        <v>111</v>
      </c>
      <c r="DW3" s="24">
        <v>112</v>
      </c>
      <c r="DX3" s="24">
        <v>113</v>
      </c>
      <c r="DY3" s="24">
        <v>114</v>
      </c>
      <c r="DZ3" s="24">
        <v>115</v>
      </c>
      <c r="EA3" s="24">
        <v>116</v>
      </c>
      <c r="EB3" s="24">
        <v>117</v>
      </c>
      <c r="EC3" s="24">
        <v>118</v>
      </c>
      <c r="ED3" s="24">
        <v>119</v>
      </c>
      <c r="EE3" s="24">
        <v>120</v>
      </c>
      <c r="EF3" s="24">
        <v>121</v>
      </c>
      <c r="EG3" s="24">
        <v>122</v>
      </c>
      <c r="EH3" s="24">
        <v>123</v>
      </c>
      <c r="EI3" s="24">
        <v>124</v>
      </c>
      <c r="EJ3" s="24">
        <v>125</v>
      </c>
      <c r="EK3" s="24">
        <v>126</v>
      </c>
      <c r="EL3" s="24">
        <v>127</v>
      </c>
      <c r="EM3" s="24">
        <v>128</v>
      </c>
      <c r="EN3" s="24">
        <v>129</v>
      </c>
      <c r="EO3" s="24">
        <v>130</v>
      </c>
      <c r="EP3" s="24">
        <v>131</v>
      </c>
      <c r="EQ3" s="24">
        <v>132</v>
      </c>
      <c r="ER3" s="24">
        <v>133</v>
      </c>
      <c r="ES3" s="24">
        <v>134</v>
      </c>
      <c r="ET3" s="24">
        <v>135</v>
      </c>
      <c r="EU3" s="24">
        <v>136</v>
      </c>
      <c r="EV3" s="24">
        <v>137</v>
      </c>
      <c r="EW3" s="24">
        <v>138</v>
      </c>
      <c r="EX3" s="24">
        <v>139</v>
      </c>
      <c r="EY3" s="24">
        <v>140</v>
      </c>
      <c r="EZ3" s="24">
        <v>141</v>
      </c>
      <c r="FA3" s="24">
        <v>142</v>
      </c>
      <c r="FB3" s="24">
        <v>143</v>
      </c>
      <c r="FC3" s="24">
        <v>144</v>
      </c>
      <c r="FD3" s="24">
        <v>145</v>
      </c>
      <c r="FE3" s="24">
        <v>146</v>
      </c>
      <c r="FF3" s="24">
        <v>147</v>
      </c>
      <c r="FG3" s="24">
        <v>148</v>
      </c>
      <c r="FH3" s="24">
        <v>149</v>
      </c>
      <c r="FI3" s="24">
        <v>150</v>
      </c>
      <c r="FJ3" s="24">
        <v>151</v>
      </c>
      <c r="FK3" s="24">
        <v>152</v>
      </c>
      <c r="FL3" s="24">
        <v>153</v>
      </c>
      <c r="FM3" s="24">
        <v>154</v>
      </c>
      <c r="FN3" s="24">
        <v>155</v>
      </c>
      <c r="FO3" s="24">
        <v>156</v>
      </c>
      <c r="FP3" s="24">
        <v>157</v>
      </c>
      <c r="FQ3" s="24">
        <v>158</v>
      </c>
      <c r="FR3" s="24">
        <v>159</v>
      </c>
      <c r="FS3" s="24">
        <v>160</v>
      </c>
      <c r="FT3" s="24">
        <v>161</v>
      </c>
      <c r="FU3" s="24">
        <v>162</v>
      </c>
      <c r="FV3" s="24">
        <v>163</v>
      </c>
      <c r="FW3" s="24">
        <v>164</v>
      </c>
      <c r="FX3" s="24">
        <v>165</v>
      </c>
      <c r="FY3" s="24">
        <v>166</v>
      </c>
      <c r="FZ3" s="24">
        <v>167</v>
      </c>
      <c r="GA3" s="24">
        <v>168</v>
      </c>
      <c r="GB3" s="24">
        <v>169</v>
      </c>
      <c r="GC3" s="24">
        <v>170</v>
      </c>
      <c r="GD3" s="24">
        <v>171</v>
      </c>
      <c r="GE3" s="24">
        <v>172</v>
      </c>
      <c r="GF3" s="24">
        <v>173</v>
      </c>
      <c r="GG3" s="24">
        <v>174</v>
      </c>
      <c r="GH3" s="24">
        <v>175</v>
      </c>
      <c r="GI3" s="24">
        <v>176</v>
      </c>
      <c r="GJ3" s="24">
        <v>177</v>
      </c>
      <c r="GK3" s="24">
        <v>178</v>
      </c>
      <c r="GL3" s="24">
        <v>179</v>
      </c>
      <c r="GM3" s="24">
        <v>180</v>
      </c>
      <c r="GN3" s="24">
        <v>181</v>
      </c>
      <c r="GO3" s="24">
        <v>182</v>
      </c>
      <c r="GP3" s="24">
        <v>183</v>
      </c>
      <c r="GQ3" s="24">
        <v>184</v>
      </c>
      <c r="GR3" s="24">
        <v>185</v>
      </c>
      <c r="GS3" s="24">
        <v>186</v>
      </c>
      <c r="GT3" s="24">
        <v>187</v>
      </c>
      <c r="GU3" s="24">
        <v>188</v>
      </c>
      <c r="GV3" s="24">
        <v>189</v>
      </c>
      <c r="GW3" s="24">
        <v>190</v>
      </c>
      <c r="GX3" s="24">
        <v>191</v>
      </c>
      <c r="GY3" s="24">
        <v>192</v>
      </c>
      <c r="GZ3" s="24">
        <v>193</v>
      </c>
      <c r="HA3" s="24">
        <v>194</v>
      </c>
      <c r="HB3" s="24">
        <v>195</v>
      </c>
      <c r="HC3" s="24">
        <v>196</v>
      </c>
      <c r="HD3" s="24">
        <v>197</v>
      </c>
      <c r="HE3" s="24">
        <v>198</v>
      </c>
      <c r="HF3" s="24">
        <v>199</v>
      </c>
      <c r="HG3" s="24">
        <v>200</v>
      </c>
      <c r="HH3" s="24">
        <v>201</v>
      </c>
      <c r="HI3" s="24">
        <v>202</v>
      </c>
      <c r="HJ3" s="24">
        <v>203</v>
      </c>
      <c r="HK3" s="24">
        <v>204</v>
      </c>
      <c r="HL3" s="24">
        <v>205</v>
      </c>
      <c r="HM3" s="24">
        <v>206</v>
      </c>
      <c r="HN3" s="24">
        <v>207</v>
      </c>
      <c r="HO3" s="24">
        <v>208</v>
      </c>
      <c r="HP3" s="24">
        <v>209</v>
      </c>
      <c r="HQ3" s="24">
        <v>210</v>
      </c>
      <c r="HR3" s="24">
        <v>211</v>
      </c>
      <c r="HS3" s="24">
        <v>212</v>
      </c>
      <c r="HT3" s="24">
        <v>213</v>
      </c>
      <c r="HU3" s="24">
        <v>214</v>
      </c>
      <c r="HV3" s="24">
        <v>215</v>
      </c>
      <c r="HW3" s="24">
        <v>216</v>
      </c>
      <c r="HX3" s="24">
        <v>217</v>
      </c>
      <c r="HY3" s="24">
        <v>218</v>
      </c>
      <c r="HZ3" s="24">
        <v>219</v>
      </c>
      <c r="IA3" s="24">
        <v>220</v>
      </c>
      <c r="IB3" s="24">
        <v>221</v>
      </c>
      <c r="IC3" s="24">
        <v>222</v>
      </c>
      <c r="ID3" s="24">
        <v>223</v>
      </c>
      <c r="IE3" s="24">
        <v>224</v>
      </c>
      <c r="IF3" s="24">
        <v>225</v>
      </c>
      <c r="IG3" s="24">
        <v>226</v>
      </c>
      <c r="IH3" s="24">
        <v>227</v>
      </c>
      <c r="II3" s="24">
        <v>228</v>
      </c>
      <c r="IJ3" s="24">
        <v>229</v>
      </c>
      <c r="IK3" s="24">
        <v>230</v>
      </c>
      <c r="IL3" s="24">
        <v>231</v>
      </c>
      <c r="IM3" s="24">
        <v>232</v>
      </c>
      <c r="IN3" s="24">
        <v>233</v>
      </c>
      <c r="IO3" s="24">
        <v>234</v>
      </c>
      <c r="IP3" s="24">
        <v>235</v>
      </c>
      <c r="IQ3" s="24">
        <v>236</v>
      </c>
      <c r="IR3" s="24">
        <v>237</v>
      </c>
      <c r="IS3" s="24">
        <v>238</v>
      </c>
      <c r="IT3" s="24">
        <v>239</v>
      </c>
      <c r="IU3" s="24">
        <v>240</v>
      </c>
      <c r="IV3" s="24">
        <v>241</v>
      </c>
      <c r="IW3" s="24">
        <v>242</v>
      </c>
      <c r="IX3" s="24">
        <v>243</v>
      </c>
      <c r="IY3" s="24">
        <v>244</v>
      </c>
      <c r="IZ3" s="24">
        <v>245</v>
      </c>
      <c r="JA3" s="24">
        <v>246</v>
      </c>
      <c r="JB3" s="24">
        <v>247</v>
      </c>
      <c r="JC3" s="24">
        <v>248</v>
      </c>
      <c r="JD3" s="24">
        <v>249</v>
      </c>
      <c r="JE3" s="24">
        <v>250</v>
      </c>
      <c r="JF3" s="24">
        <v>251</v>
      </c>
      <c r="JG3" s="24">
        <v>252</v>
      </c>
      <c r="JH3" s="24">
        <v>253</v>
      </c>
      <c r="JI3" s="24">
        <v>254</v>
      </c>
      <c r="JJ3" s="24">
        <v>255</v>
      </c>
      <c r="JK3" s="24">
        <v>256</v>
      </c>
      <c r="JL3" s="24">
        <v>257</v>
      </c>
      <c r="JM3" s="24">
        <v>258</v>
      </c>
      <c r="JN3" s="24">
        <v>259</v>
      </c>
      <c r="JO3" s="24">
        <v>260</v>
      </c>
      <c r="JP3" s="24">
        <v>261</v>
      </c>
      <c r="JQ3" s="24">
        <v>262</v>
      </c>
      <c r="JR3" s="24">
        <v>263</v>
      </c>
      <c r="JS3" s="24">
        <v>264</v>
      </c>
      <c r="JT3" s="24">
        <v>265</v>
      </c>
      <c r="JU3" s="24">
        <v>266</v>
      </c>
      <c r="JV3" s="24">
        <v>267</v>
      </c>
      <c r="JW3" s="24">
        <v>268</v>
      </c>
      <c r="JX3" s="24">
        <v>269</v>
      </c>
      <c r="JY3" s="24">
        <v>270</v>
      </c>
      <c r="JZ3" s="24">
        <v>271</v>
      </c>
      <c r="KA3" s="24">
        <v>272</v>
      </c>
      <c r="KB3" s="24">
        <v>273</v>
      </c>
      <c r="KC3" s="24">
        <v>274</v>
      </c>
      <c r="KD3" s="24">
        <v>275</v>
      </c>
      <c r="KE3" s="24">
        <v>276</v>
      </c>
      <c r="KF3" s="24">
        <v>277</v>
      </c>
      <c r="KG3" s="24">
        <v>278</v>
      </c>
      <c r="KH3" s="24">
        <v>279</v>
      </c>
      <c r="KI3" s="24">
        <v>280</v>
      </c>
      <c r="KJ3" s="24">
        <v>281</v>
      </c>
      <c r="KK3" s="24">
        <v>282</v>
      </c>
      <c r="KL3" s="24">
        <v>283</v>
      </c>
      <c r="KM3" s="24">
        <v>284</v>
      </c>
      <c r="KN3" s="24">
        <v>285</v>
      </c>
      <c r="KO3" s="24">
        <v>286</v>
      </c>
      <c r="KP3" s="24">
        <v>287</v>
      </c>
      <c r="KQ3" s="24">
        <v>288</v>
      </c>
      <c r="KR3" s="24">
        <v>289</v>
      </c>
      <c r="KS3" s="24">
        <v>290</v>
      </c>
      <c r="KT3" s="24">
        <v>291</v>
      </c>
      <c r="KU3" s="24">
        <v>292</v>
      </c>
      <c r="KV3" s="24">
        <v>293</v>
      </c>
      <c r="KW3" s="24">
        <v>294</v>
      </c>
      <c r="KX3" s="24">
        <v>295</v>
      </c>
      <c r="KY3" s="24">
        <v>296</v>
      </c>
      <c r="KZ3" s="24">
        <v>297</v>
      </c>
      <c r="LA3" s="24">
        <v>298</v>
      </c>
      <c r="LB3" s="24">
        <v>299</v>
      </c>
      <c r="LC3" s="24">
        <v>300</v>
      </c>
      <c r="LD3" s="24">
        <v>301</v>
      </c>
      <c r="LE3" s="24">
        <v>302</v>
      </c>
      <c r="LF3" s="24">
        <v>303</v>
      </c>
      <c r="LG3" s="24">
        <v>304</v>
      </c>
      <c r="LH3" s="24">
        <v>305</v>
      </c>
      <c r="LI3" s="24">
        <v>306</v>
      </c>
      <c r="LJ3" s="24">
        <v>307</v>
      </c>
      <c r="LK3" s="24">
        <v>308</v>
      </c>
      <c r="LL3" s="24">
        <v>309</v>
      </c>
      <c r="LM3" s="24">
        <v>310</v>
      </c>
      <c r="LN3" s="24">
        <v>311</v>
      </c>
      <c r="LO3" s="24">
        <v>312</v>
      </c>
      <c r="LP3" s="24">
        <v>313</v>
      </c>
      <c r="LQ3" s="24">
        <v>314</v>
      </c>
      <c r="LR3" s="24">
        <v>315</v>
      </c>
      <c r="LS3" s="24">
        <v>316</v>
      </c>
      <c r="LT3" s="24">
        <v>317</v>
      </c>
      <c r="LU3" s="24">
        <v>318</v>
      </c>
      <c r="LV3" s="24">
        <v>319</v>
      </c>
      <c r="LW3" s="24">
        <v>320</v>
      </c>
      <c r="LX3" s="24">
        <v>321</v>
      </c>
      <c r="LY3" s="24">
        <v>322</v>
      </c>
      <c r="LZ3" s="24">
        <v>323</v>
      </c>
      <c r="MA3" s="24">
        <v>324</v>
      </c>
      <c r="MB3" s="24">
        <v>325</v>
      </c>
      <c r="MC3" s="24">
        <v>326</v>
      </c>
      <c r="MD3" s="24">
        <v>327</v>
      </c>
      <c r="ME3" s="24">
        <v>328</v>
      </c>
      <c r="MF3" s="24">
        <v>329</v>
      </c>
      <c r="MG3" s="24">
        <v>330</v>
      </c>
      <c r="MH3" s="24">
        <v>331</v>
      </c>
      <c r="MI3" s="24">
        <v>332</v>
      </c>
      <c r="MJ3" s="24">
        <v>333</v>
      </c>
      <c r="MK3" s="24">
        <v>334</v>
      </c>
      <c r="ML3" s="24">
        <v>335</v>
      </c>
      <c r="MM3" s="24">
        <v>336</v>
      </c>
      <c r="MN3" s="24">
        <v>337</v>
      </c>
      <c r="MO3" s="24">
        <v>338</v>
      </c>
      <c r="MP3" s="24">
        <v>339</v>
      </c>
      <c r="MQ3" s="24">
        <v>340</v>
      </c>
      <c r="MR3" s="24">
        <v>341</v>
      </c>
      <c r="MS3" s="24">
        <v>342</v>
      </c>
      <c r="MT3" s="24">
        <v>343</v>
      </c>
      <c r="MU3" s="24">
        <v>344</v>
      </c>
      <c r="MV3" s="24">
        <v>345</v>
      </c>
      <c r="MW3" s="24">
        <v>346</v>
      </c>
      <c r="MX3" s="24">
        <v>347</v>
      </c>
      <c r="MY3" s="24">
        <v>348</v>
      </c>
      <c r="MZ3" s="24">
        <v>349</v>
      </c>
      <c r="NA3" s="24">
        <v>350</v>
      </c>
      <c r="NB3" s="24">
        <v>351</v>
      </c>
      <c r="NC3" s="24">
        <v>352</v>
      </c>
      <c r="ND3" s="24">
        <v>353</v>
      </c>
      <c r="NE3" s="24">
        <v>354</v>
      </c>
      <c r="NF3" s="24">
        <v>355</v>
      </c>
      <c r="NG3" s="24">
        <v>356</v>
      </c>
      <c r="NH3" s="24">
        <v>357</v>
      </c>
      <c r="NI3" s="24">
        <v>358</v>
      </c>
      <c r="NJ3" s="24">
        <v>359</v>
      </c>
      <c r="NK3" s="24">
        <v>360</v>
      </c>
      <c r="NL3" s="24">
        <v>361</v>
      </c>
      <c r="NM3" s="24">
        <v>362</v>
      </c>
      <c r="NN3" s="24">
        <v>363</v>
      </c>
      <c r="NO3" s="24">
        <v>364</v>
      </c>
      <c r="NP3" s="24">
        <v>365</v>
      </c>
      <c r="NQ3" s="24">
        <v>366</v>
      </c>
      <c r="NR3" s="24">
        <v>367</v>
      </c>
      <c r="NS3" s="24">
        <v>368</v>
      </c>
      <c r="NT3" s="24">
        <v>369</v>
      </c>
      <c r="NU3" s="24">
        <v>370</v>
      </c>
      <c r="NV3" s="24">
        <v>371</v>
      </c>
      <c r="NW3" s="24">
        <v>372</v>
      </c>
      <c r="NX3" s="24">
        <v>373</v>
      </c>
      <c r="NY3" s="24">
        <v>374</v>
      </c>
      <c r="NZ3" s="24">
        <v>375</v>
      </c>
      <c r="OA3" s="24">
        <v>376</v>
      </c>
      <c r="OB3" s="24">
        <v>377</v>
      </c>
      <c r="OC3" s="24">
        <v>378</v>
      </c>
      <c r="OD3" s="24">
        <v>379</v>
      </c>
      <c r="OE3">
        <v>380</v>
      </c>
      <c r="OF3">
        <v>381</v>
      </c>
      <c r="OG3">
        <v>382</v>
      </c>
      <c r="OH3">
        <v>383</v>
      </c>
      <c r="OI3">
        <v>384</v>
      </c>
      <c r="OJ3">
        <v>385</v>
      </c>
      <c r="OK3">
        <v>386</v>
      </c>
    </row>
    <row r="4" spans="1:401" x14ac:dyDescent="0.3">
      <c r="J4" s="76"/>
      <c r="K4" s="66"/>
      <c r="L4" s="77"/>
      <c r="M4" s="6" t="s">
        <v>10</v>
      </c>
      <c r="N4" s="6"/>
      <c r="O4" s="17"/>
      <c r="P4" s="3" cm="1">
        <f t="array" ref="P4:OK4">ROUNDUP(_xlfn.ANCHORARRAY(P3)/12,0)</f>
        <v>1</v>
      </c>
      <c r="Q4" s="3">
        <v>1</v>
      </c>
      <c r="R4" s="3">
        <v>1</v>
      </c>
      <c r="S4" s="3">
        <v>1</v>
      </c>
      <c r="T4" s="3">
        <v>1</v>
      </c>
      <c r="U4" s="3">
        <v>1</v>
      </c>
      <c r="V4" s="3">
        <v>1</v>
      </c>
      <c r="W4" s="3">
        <v>1</v>
      </c>
      <c r="X4" s="3">
        <v>1</v>
      </c>
      <c r="Y4" s="3">
        <v>1</v>
      </c>
      <c r="Z4" s="3">
        <v>1</v>
      </c>
      <c r="AA4" s="3">
        <v>1</v>
      </c>
      <c r="AB4" s="3">
        <v>2</v>
      </c>
      <c r="AC4" s="3">
        <v>2</v>
      </c>
      <c r="AD4" s="3">
        <v>2</v>
      </c>
      <c r="AE4" s="3">
        <v>2</v>
      </c>
      <c r="AF4" s="3">
        <v>2</v>
      </c>
      <c r="AG4" s="3">
        <v>2</v>
      </c>
      <c r="AH4" s="3">
        <v>2</v>
      </c>
      <c r="AI4" s="3">
        <v>2</v>
      </c>
      <c r="AJ4" s="3">
        <v>2</v>
      </c>
      <c r="AK4" s="3">
        <v>2</v>
      </c>
      <c r="AL4" s="3">
        <v>2</v>
      </c>
      <c r="AM4" s="3">
        <v>2</v>
      </c>
      <c r="AN4" s="3">
        <v>3</v>
      </c>
      <c r="AO4" s="3">
        <v>3</v>
      </c>
      <c r="AP4" s="3">
        <v>3</v>
      </c>
      <c r="AQ4" s="3">
        <v>3</v>
      </c>
      <c r="AR4" s="3">
        <v>3</v>
      </c>
      <c r="AS4" s="3">
        <v>3</v>
      </c>
      <c r="AT4" s="3">
        <v>3</v>
      </c>
      <c r="AU4" s="3">
        <v>3</v>
      </c>
      <c r="AV4" s="3">
        <v>3</v>
      </c>
      <c r="AW4" s="3">
        <v>3</v>
      </c>
      <c r="AX4" s="3">
        <v>3</v>
      </c>
      <c r="AY4" s="3">
        <v>3</v>
      </c>
      <c r="AZ4" s="3">
        <v>4</v>
      </c>
      <c r="BA4" s="3">
        <v>4</v>
      </c>
      <c r="BB4" s="3">
        <v>4</v>
      </c>
      <c r="BC4" s="3">
        <v>4</v>
      </c>
      <c r="BD4" s="3">
        <v>4</v>
      </c>
      <c r="BE4" s="3">
        <v>4</v>
      </c>
      <c r="BF4" s="3">
        <v>4</v>
      </c>
      <c r="BG4" s="3">
        <v>4</v>
      </c>
      <c r="BH4" s="3">
        <v>4</v>
      </c>
      <c r="BI4" s="3">
        <v>4</v>
      </c>
      <c r="BJ4" s="3">
        <v>4</v>
      </c>
      <c r="BK4" s="3">
        <v>4</v>
      </c>
      <c r="BL4" s="3">
        <v>5</v>
      </c>
      <c r="BM4" s="3">
        <v>5</v>
      </c>
      <c r="BN4" s="3">
        <v>5</v>
      </c>
      <c r="BO4" s="3">
        <v>5</v>
      </c>
      <c r="BP4" s="3">
        <v>5</v>
      </c>
      <c r="BQ4" s="3">
        <v>5</v>
      </c>
      <c r="BR4" s="3">
        <v>5</v>
      </c>
      <c r="BS4" s="3">
        <v>5</v>
      </c>
      <c r="BT4" s="3">
        <v>5</v>
      </c>
      <c r="BU4" s="3">
        <v>5</v>
      </c>
      <c r="BV4" s="3">
        <v>5</v>
      </c>
      <c r="BW4" s="3">
        <v>5</v>
      </c>
      <c r="BX4" s="3">
        <v>6</v>
      </c>
      <c r="BY4" s="3">
        <v>6</v>
      </c>
      <c r="BZ4" s="3">
        <v>6</v>
      </c>
      <c r="CA4" s="3">
        <v>6</v>
      </c>
      <c r="CB4" s="3">
        <v>6</v>
      </c>
      <c r="CC4" s="3">
        <v>6</v>
      </c>
      <c r="CD4" s="3">
        <v>6</v>
      </c>
      <c r="CE4" s="3">
        <v>6</v>
      </c>
      <c r="CF4" s="3">
        <v>6</v>
      </c>
      <c r="CG4" s="3">
        <v>6</v>
      </c>
      <c r="CH4" s="3">
        <v>6</v>
      </c>
      <c r="CI4" s="3">
        <v>6</v>
      </c>
      <c r="CJ4" s="3">
        <v>7</v>
      </c>
      <c r="CK4" s="3">
        <v>7</v>
      </c>
      <c r="CL4" s="3">
        <v>7</v>
      </c>
      <c r="CM4" s="3">
        <v>7</v>
      </c>
      <c r="CN4" s="3">
        <v>7</v>
      </c>
      <c r="CO4" s="3">
        <v>7</v>
      </c>
      <c r="CP4" s="3">
        <v>7</v>
      </c>
      <c r="CQ4" s="3">
        <v>7</v>
      </c>
      <c r="CR4" s="3">
        <v>7</v>
      </c>
      <c r="CS4" s="3">
        <v>7</v>
      </c>
      <c r="CT4" s="3">
        <v>7</v>
      </c>
      <c r="CU4" s="3">
        <v>7</v>
      </c>
      <c r="CV4" s="3">
        <v>8</v>
      </c>
      <c r="CW4" s="3">
        <v>8</v>
      </c>
      <c r="CX4" s="3">
        <v>8</v>
      </c>
      <c r="CY4" s="3">
        <v>8</v>
      </c>
      <c r="CZ4" s="3">
        <v>8</v>
      </c>
      <c r="DA4" s="3">
        <v>8</v>
      </c>
      <c r="DB4" s="3">
        <v>8</v>
      </c>
      <c r="DC4" s="3">
        <v>8</v>
      </c>
      <c r="DD4" s="3">
        <v>8</v>
      </c>
      <c r="DE4" s="3">
        <v>8</v>
      </c>
      <c r="DF4" s="3">
        <v>8</v>
      </c>
      <c r="DG4" s="3">
        <v>8</v>
      </c>
      <c r="DH4" s="3">
        <v>9</v>
      </c>
      <c r="DI4" s="3">
        <v>9</v>
      </c>
      <c r="DJ4" s="3">
        <v>9</v>
      </c>
      <c r="DK4" s="3">
        <v>9</v>
      </c>
      <c r="DL4" s="3">
        <v>9</v>
      </c>
      <c r="DM4" s="3">
        <v>9</v>
      </c>
      <c r="DN4" s="3">
        <v>9</v>
      </c>
      <c r="DO4" s="3">
        <v>9</v>
      </c>
      <c r="DP4" s="3">
        <v>9</v>
      </c>
      <c r="DQ4" s="3">
        <v>9</v>
      </c>
      <c r="DR4" s="3">
        <v>9</v>
      </c>
      <c r="DS4" s="3">
        <v>9</v>
      </c>
      <c r="DT4" s="3">
        <v>10</v>
      </c>
      <c r="DU4" s="3">
        <v>10</v>
      </c>
      <c r="DV4" s="3">
        <v>10</v>
      </c>
      <c r="DW4" s="3">
        <v>10</v>
      </c>
      <c r="DX4" s="3">
        <v>10</v>
      </c>
      <c r="DY4" s="3">
        <v>10</v>
      </c>
      <c r="DZ4" s="3">
        <v>10</v>
      </c>
      <c r="EA4" s="3">
        <v>10</v>
      </c>
      <c r="EB4" s="3">
        <v>10</v>
      </c>
      <c r="EC4" s="3">
        <v>10</v>
      </c>
      <c r="ED4" s="3">
        <v>10</v>
      </c>
      <c r="EE4" s="3">
        <v>10</v>
      </c>
      <c r="EF4" s="3">
        <v>11</v>
      </c>
      <c r="EG4" s="3">
        <v>11</v>
      </c>
      <c r="EH4" s="3">
        <v>11</v>
      </c>
      <c r="EI4" s="3">
        <v>11</v>
      </c>
      <c r="EJ4" s="3">
        <v>11</v>
      </c>
      <c r="EK4" s="3">
        <v>11</v>
      </c>
      <c r="EL4" s="3">
        <v>11</v>
      </c>
      <c r="EM4" s="3">
        <v>11</v>
      </c>
      <c r="EN4" s="3">
        <v>11</v>
      </c>
      <c r="EO4" s="3">
        <v>11</v>
      </c>
      <c r="EP4" s="3">
        <v>11</v>
      </c>
      <c r="EQ4" s="3">
        <v>11</v>
      </c>
      <c r="ER4" s="3">
        <v>12</v>
      </c>
      <c r="ES4" s="3">
        <v>12</v>
      </c>
      <c r="ET4" s="3">
        <v>12</v>
      </c>
      <c r="EU4" s="3">
        <v>12</v>
      </c>
      <c r="EV4" s="3">
        <v>12</v>
      </c>
      <c r="EW4" s="3">
        <v>12</v>
      </c>
      <c r="EX4" s="3">
        <v>12</v>
      </c>
      <c r="EY4" s="3">
        <v>12</v>
      </c>
      <c r="EZ4" s="3">
        <v>12</v>
      </c>
      <c r="FA4" s="3">
        <v>12</v>
      </c>
      <c r="FB4" s="3">
        <v>12</v>
      </c>
      <c r="FC4" s="3">
        <v>12</v>
      </c>
      <c r="FD4" s="3">
        <v>13</v>
      </c>
      <c r="FE4" s="3">
        <v>13</v>
      </c>
      <c r="FF4" s="3">
        <v>13</v>
      </c>
      <c r="FG4" s="3">
        <v>13</v>
      </c>
      <c r="FH4" s="3">
        <v>13</v>
      </c>
      <c r="FI4" s="3">
        <v>13</v>
      </c>
      <c r="FJ4" s="3">
        <v>13</v>
      </c>
      <c r="FK4" s="3">
        <v>13</v>
      </c>
      <c r="FL4" s="3">
        <v>13</v>
      </c>
      <c r="FM4" s="3">
        <v>13</v>
      </c>
      <c r="FN4" s="3">
        <v>13</v>
      </c>
      <c r="FO4" s="3">
        <v>13</v>
      </c>
      <c r="FP4" s="3">
        <v>14</v>
      </c>
      <c r="FQ4" s="3">
        <v>14</v>
      </c>
      <c r="FR4" s="3">
        <v>14</v>
      </c>
      <c r="FS4" s="3">
        <v>14</v>
      </c>
      <c r="FT4" s="3">
        <v>14</v>
      </c>
      <c r="FU4" s="3">
        <v>14</v>
      </c>
      <c r="FV4" s="3">
        <v>14</v>
      </c>
      <c r="FW4" s="3">
        <v>14</v>
      </c>
      <c r="FX4" s="3">
        <v>14</v>
      </c>
      <c r="FY4" s="3">
        <v>14</v>
      </c>
      <c r="FZ4" s="3">
        <v>14</v>
      </c>
      <c r="GA4" s="3">
        <v>14</v>
      </c>
      <c r="GB4" s="3">
        <v>15</v>
      </c>
      <c r="GC4" s="3">
        <v>15</v>
      </c>
      <c r="GD4" s="3">
        <v>15</v>
      </c>
      <c r="GE4" s="3">
        <v>15</v>
      </c>
      <c r="GF4" s="3">
        <v>15</v>
      </c>
      <c r="GG4" s="3">
        <v>15</v>
      </c>
      <c r="GH4" s="3">
        <v>15</v>
      </c>
      <c r="GI4" s="3">
        <v>15</v>
      </c>
      <c r="GJ4" s="3">
        <v>15</v>
      </c>
      <c r="GK4" s="3">
        <v>15</v>
      </c>
      <c r="GL4" s="3">
        <v>15</v>
      </c>
      <c r="GM4" s="3">
        <v>15</v>
      </c>
      <c r="GN4" s="3">
        <v>16</v>
      </c>
      <c r="GO4" s="3">
        <v>16</v>
      </c>
      <c r="GP4" s="3">
        <v>16</v>
      </c>
      <c r="GQ4" s="3">
        <v>16</v>
      </c>
      <c r="GR4" s="3">
        <v>16</v>
      </c>
      <c r="GS4" s="3">
        <v>16</v>
      </c>
      <c r="GT4" s="3">
        <v>16</v>
      </c>
      <c r="GU4" s="3">
        <v>16</v>
      </c>
      <c r="GV4" s="3">
        <v>16</v>
      </c>
      <c r="GW4" s="3">
        <v>16</v>
      </c>
      <c r="GX4" s="3">
        <v>16</v>
      </c>
      <c r="GY4" s="3">
        <v>16</v>
      </c>
      <c r="GZ4" s="3">
        <v>17</v>
      </c>
      <c r="HA4" s="3">
        <v>17</v>
      </c>
      <c r="HB4" s="3">
        <v>17</v>
      </c>
      <c r="HC4" s="3">
        <v>17</v>
      </c>
      <c r="HD4" s="3">
        <v>17</v>
      </c>
      <c r="HE4" s="3">
        <v>17</v>
      </c>
      <c r="HF4" s="3">
        <v>17</v>
      </c>
      <c r="HG4" s="3">
        <v>17</v>
      </c>
      <c r="HH4" s="3">
        <v>17</v>
      </c>
      <c r="HI4" s="3">
        <v>17</v>
      </c>
      <c r="HJ4" s="3">
        <v>17</v>
      </c>
      <c r="HK4" s="3">
        <v>17</v>
      </c>
      <c r="HL4" s="3">
        <v>18</v>
      </c>
      <c r="HM4" s="3">
        <v>18</v>
      </c>
      <c r="HN4" s="3">
        <v>18</v>
      </c>
      <c r="HO4" s="3">
        <v>18</v>
      </c>
      <c r="HP4" s="3">
        <v>18</v>
      </c>
      <c r="HQ4" s="3">
        <v>18</v>
      </c>
      <c r="HR4" s="3">
        <v>18</v>
      </c>
      <c r="HS4" s="3">
        <v>18</v>
      </c>
      <c r="HT4" s="3">
        <v>18</v>
      </c>
      <c r="HU4" s="3">
        <v>18</v>
      </c>
      <c r="HV4" s="3">
        <v>18</v>
      </c>
      <c r="HW4" s="3">
        <v>18</v>
      </c>
      <c r="HX4" s="3">
        <v>19</v>
      </c>
      <c r="HY4" s="3">
        <v>19</v>
      </c>
      <c r="HZ4" s="3">
        <v>19</v>
      </c>
      <c r="IA4" s="3">
        <v>19</v>
      </c>
      <c r="IB4" s="3">
        <v>19</v>
      </c>
      <c r="IC4" s="3">
        <v>19</v>
      </c>
      <c r="ID4" s="3">
        <v>19</v>
      </c>
      <c r="IE4" s="3">
        <v>19</v>
      </c>
      <c r="IF4" s="3">
        <v>19</v>
      </c>
      <c r="IG4" s="3">
        <v>19</v>
      </c>
      <c r="IH4" s="3">
        <v>19</v>
      </c>
      <c r="II4" s="3">
        <v>19</v>
      </c>
      <c r="IJ4" s="3">
        <v>20</v>
      </c>
      <c r="IK4" s="3">
        <v>20</v>
      </c>
      <c r="IL4" s="3">
        <v>20</v>
      </c>
      <c r="IM4" s="3">
        <v>20</v>
      </c>
      <c r="IN4" s="3">
        <v>20</v>
      </c>
      <c r="IO4" s="3">
        <v>20</v>
      </c>
      <c r="IP4" s="3">
        <v>20</v>
      </c>
      <c r="IQ4" s="3">
        <v>20</v>
      </c>
      <c r="IR4" s="3">
        <v>20</v>
      </c>
      <c r="IS4" s="3">
        <v>20</v>
      </c>
      <c r="IT4" s="3">
        <v>20</v>
      </c>
      <c r="IU4" s="3">
        <v>20</v>
      </c>
      <c r="IV4" s="3">
        <v>21</v>
      </c>
      <c r="IW4" s="3">
        <v>21</v>
      </c>
      <c r="IX4" s="3">
        <v>21</v>
      </c>
      <c r="IY4" s="3">
        <v>21</v>
      </c>
      <c r="IZ4" s="3">
        <v>21</v>
      </c>
      <c r="JA4" s="3">
        <v>21</v>
      </c>
      <c r="JB4" s="3">
        <v>21</v>
      </c>
      <c r="JC4" s="3">
        <v>21</v>
      </c>
      <c r="JD4" s="3">
        <v>21</v>
      </c>
      <c r="JE4" s="3">
        <v>21</v>
      </c>
      <c r="JF4" s="3">
        <v>21</v>
      </c>
      <c r="JG4" s="3">
        <v>21</v>
      </c>
      <c r="JH4" s="3">
        <v>22</v>
      </c>
      <c r="JI4" s="3">
        <v>22</v>
      </c>
      <c r="JJ4" s="3">
        <v>22</v>
      </c>
      <c r="JK4" s="3">
        <v>22</v>
      </c>
      <c r="JL4" s="3">
        <v>22</v>
      </c>
      <c r="JM4" s="3">
        <v>22</v>
      </c>
      <c r="JN4" s="3">
        <v>22</v>
      </c>
      <c r="JO4" s="3">
        <v>22</v>
      </c>
      <c r="JP4" s="3">
        <v>22</v>
      </c>
      <c r="JQ4" s="3">
        <v>22</v>
      </c>
      <c r="JR4" s="3">
        <v>22</v>
      </c>
      <c r="JS4" s="3">
        <v>22</v>
      </c>
      <c r="JT4" s="3">
        <v>23</v>
      </c>
      <c r="JU4" s="3">
        <v>23</v>
      </c>
      <c r="JV4" s="3">
        <v>23</v>
      </c>
      <c r="JW4" s="3">
        <v>23</v>
      </c>
      <c r="JX4" s="3">
        <v>23</v>
      </c>
      <c r="JY4" s="3">
        <v>23</v>
      </c>
      <c r="JZ4" s="3">
        <v>23</v>
      </c>
      <c r="KA4" s="3">
        <v>23</v>
      </c>
      <c r="KB4" s="3">
        <v>23</v>
      </c>
      <c r="KC4" s="3">
        <v>23</v>
      </c>
      <c r="KD4" s="3">
        <v>23</v>
      </c>
      <c r="KE4" s="3">
        <v>23</v>
      </c>
      <c r="KF4" s="3">
        <v>24</v>
      </c>
      <c r="KG4" s="3">
        <v>24</v>
      </c>
      <c r="KH4" s="3">
        <v>24</v>
      </c>
      <c r="KI4" s="3">
        <v>24</v>
      </c>
      <c r="KJ4" s="3">
        <v>24</v>
      </c>
      <c r="KK4" s="3">
        <v>24</v>
      </c>
      <c r="KL4" s="3">
        <v>24</v>
      </c>
      <c r="KM4" s="3">
        <v>24</v>
      </c>
      <c r="KN4" s="3">
        <v>24</v>
      </c>
      <c r="KO4" s="3">
        <v>24</v>
      </c>
      <c r="KP4" s="3">
        <v>24</v>
      </c>
      <c r="KQ4" s="3">
        <v>24</v>
      </c>
      <c r="KR4" s="3">
        <v>25</v>
      </c>
      <c r="KS4" s="3">
        <v>25</v>
      </c>
      <c r="KT4" s="3">
        <v>25</v>
      </c>
      <c r="KU4" s="3">
        <v>25</v>
      </c>
      <c r="KV4" s="3">
        <v>25</v>
      </c>
      <c r="KW4" s="3">
        <v>25</v>
      </c>
      <c r="KX4" s="3">
        <v>25</v>
      </c>
      <c r="KY4" s="3">
        <v>25</v>
      </c>
      <c r="KZ4" s="3">
        <v>25</v>
      </c>
      <c r="LA4" s="3">
        <v>25</v>
      </c>
      <c r="LB4" s="3">
        <v>25</v>
      </c>
      <c r="LC4" s="3">
        <v>25</v>
      </c>
      <c r="LD4" s="3">
        <v>26</v>
      </c>
      <c r="LE4" s="3">
        <v>26</v>
      </c>
      <c r="LF4" s="3">
        <v>26</v>
      </c>
      <c r="LG4" s="3">
        <v>26</v>
      </c>
      <c r="LH4" s="3">
        <v>26</v>
      </c>
      <c r="LI4" s="3">
        <v>26</v>
      </c>
      <c r="LJ4" s="3">
        <v>26</v>
      </c>
      <c r="LK4" s="3">
        <v>26</v>
      </c>
      <c r="LL4" s="3">
        <v>26</v>
      </c>
      <c r="LM4" s="3">
        <v>26</v>
      </c>
      <c r="LN4" s="3">
        <v>26</v>
      </c>
      <c r="LO4" s="3">
        <v>26</v>
      </c>
      <c r="LP4" s="3">
        <v>27</v>
      </c>
      <c r="LQ4" s="3">
        <v>27</v>
      </c>
      <c r="LR4" s="3">
        <v>27</v>
      </c>
      <c r="LS4" s="3">
        <v>27</v>
      </c>
      <c r="LT4" s="3">
        <v>27</v>
      </c>
      <c r="LU4" s="3">
        <v>27</v>
      </c>
      <c r="LV4" s="3">
        <v>27</v>
      </c>
      <c r="LW4" s="3">
        <v>27</v>
      </c>
      <c r="LX4" s="3">
        <v>27</v>
      </c>
      <c r="LY4" s="3">
        <v>27</v>
      </c>
      <c r="LZ4" s="3">
        <v>27</v>
      </c>
      <c r="MA4" s="3">
        <v>27</v>
      </c>
      <c r="MB4" s="3">
        <v>28</v>
      </c>
      <c r="MC4" s="3">
        <v>28</v>
      </c>
      <c r="MD4" s="3">
        <v>28</v>
      </c>
      <c r="ME4" s="3">
        <v>28</v>
      </c>
      <c r="MF4" s="3">
        <v>28</v>
      </c>
      <c r="MG4" s="3">
        <v>28</v>
      </c>
      <c r="MH4" s="3">
        <v>28</v>
      </c>
      <c r="MI4" s="3">
        <v>28</v>
      </c>
      <c r="MJ4" s="3">
        <v>28</v>
      </c>
      <c r="MK4" s="3">
        <v>28</v>
      </c>
      <c r="ML4" s="3">
        <v>28</v>
      </c>
      <c r="MM4" s="3">
        <v>28</v>
      </c>
      <c r="MN4" s="3">
        <v>29</v>
      </c>
      <c r="MO4" s="3">
        <v>29</v>
      </c>
      <c r="MP4" s="3">
        <v>29</v>
      </c>
      <c r="MQ4" s="3">
        <v>29</v>
      </c>
      <c r="MR4" s="3">
        <v>29</v>
      </c>
      <c r="MS4" s="3">
        <v>29</v>
      </c>
      <c r="MT4" s="3">
        <v>29</v>
      </c>
      <c r="MU4" s="3">
        <v>29</v>
      </c>
      <c r="MV4" s="3">
        <v>29</v>
      </c>
      <c r="MW4" s="3">
        <v>29</v>
      </c>
      <c r="MX4" s="3">
        <v>29</v>
      </c>
      <c r="MY4" s="3">
        <v>29</v>
      </c>
      <c r="MZ4" s="3">
        <v>30</v>
      </c>
      <c r="NA4" s="3">
        <v>30</v>
      </c>
      <c r="NB4" s="3">
        <v>30</v>
      </c>
      <c r="NC4" s="3">
        <v>30</v>
      </c>
      <c r="ND4" s="3">
        <v>30</v>
      </c>
      <c r="NE4" s="3">
        <v>30</v>
      </c>
      <c r="NF4" s="3">
        <v>30</v>
      </c>
      <c r="NG4" s="3">
        <v>30</v>
      </c>
      <c r="NH4" s="3">
        <v>30</v>
      </c>
      <c r="NI4" s="3">
        <v>30</v>
      </c>
      <c r="NJ4" s="3">
        <v>30</v>
      </c>
      <c r="NK4" s="3">
        <v>30</v>
      </c>
      <c r="NL4" s="3">
        <v>31</v>
      </c>
      <c r="NM4" s="3">
        <v>31</v>
      </c>
      <c r="NN4" s="3">
        <v>31</v>
      </c>
      <c r="NO4" s="3">
        <v>31</v>
      </c>
      <c r="NP4" s="3">
        <v>31</v>
      </c>
      <c r="NQ4" s="3">
        <v>31</v>
      </c>
      <c r="NR4" s="3">
        <v>31</v>
      </c>
      <c r="NS4" s="3">
        <v>31</v>
      </c>
      <c r="NT4" s="3">
        <v>31</v>
      </c>
      <c r="NU4" s="3">
        <v>31</v>
      </c>
      <c r="NV4" s="3">
        <v>31</v>
      </c>
      <c r="NW4" s="3">
        <v>31</v>
      </c>
      <c r="NX4" s="3">
        <v>32</v>
      </c>
      <c r="NY4" s="3">
        <v>32</v>
      </c>
      <c r="NZ4" s="3">
        <v>32</v>
      </c>
      <c r="OA4" s="3">
        <v>32</v>
      </c>
      <c r="OB4" s="3">
        <v>32</v>
      </c>
      <c r="OC4" s="3">
        <v>32</v>
      </c>
      <c r="OD4" s="3">
        <v>32</v>
      </c>
      <c r="OE4">
        <v>32</v>
      </c>
      <c r="OF4">
        <v>32</v>
      </c>
      <c r="OG4">
        <v>32</v>
      </c>
      <c r="OH4">
        <v>32</v>
      </c>
      <c r="OI4">
        <v>32</v>
      </c>
      <c r="OJ4">
        <v>33</v>
      </c>
      <c r="OK4">
        <v>33</v>
      </c>
    </row>
    <row r="5" spans="1:401" x14ac:dyDescent="0.3">
      <c r="D5" s="21" t="s">
        <v>7</v>
      </c>
      <c r="E5" s="19">
        <v>45962</v>
      </c>
      <c r="J5" s="76"/>
      <c r="K5" s="66"/>
      <c r="L5" s="77"/>
      <c r="M5" t="s">
        <v>13</v>
      </c>
      <c r="O5" s="18"/>
      <c r="P5" s="24" cm="1">
        <f t="array" ref="P5:OK5">YEAR(_xlfn.ANCHORARRAY(P2))-YEAR(GES!E5)+1</f>
        <v>1</v>
      </c>
      <c r="Q5" s="24">
        <v>1</v>
      </c>
      <c r="R5" s="24">
        <v>2</v>
      </c>
      <c r="S5" s="24">
        <v>2</v>
      </c>
      <c r="T5" s="24">
        <v>2</v>
      </c>
      <c r="U5" s="24">
        <v>2</v>
      </c>
      <c r="V5" s="24">
        <v>2</v>
      </c>
      <c r="W5" s="24">
        <v>2</v>
      </c>
      <c r="X5" s="24">
        <v>2</v>
      </c>
      <c r="Y5" s="24">
        <v>2</v>
      </c>
      <c r="Z5" s="24">
        <v>2</v>
      </c>
      <c r="AA5" s="24">
        <v>2</v>
      </c>
      <c r="AB5" s="24">
        <v>2</v>
      </c>
      <c r="AC5" s="24">
        <v>2</v>
      </c>
      <c r="AD5" s="24">
        <v>3</v>
      </c>
      <c r="AE5" s="24">
        <v>3</v>
      </c>
      <c r="AF5" s="24">
        <v>3</v>
      </c>
      <c r="AG5" s="24">
        <v>3</v>
      </c>
      <c r="AH5" s="24">
        <v>3</v>
      </c>
      <c r="AI5" s="24">
        <v>3</v>
      </c>
      <c r="AJ5" s="24">
        <v>3</v>
      </c>
      <c r="AK5" s="24">
        <v>3</v>
      </c>
      <c r="AL5" s="24">
        <v>3</v>
      </c>
      <c r="AM5" s="24">
        <v>3</v>
      </c>
      <c r="AN5" s="24">
        <v>3</v>
      </c>
      <c r="AO5" s="24">
        <v>3</v>
      </c>
      <c r="AP5" s="24">
        <v>4</v>
      </c>
      <c r="AQ5" s="24">
        <v>4</v>
      </c>
      <c r="AR5" s="24">
        <v>4</v>
      </c>
      <c r="AS5" s="24">
        <v>4</v>
      </c>
      <c r="AT5" s="24">
        <v>4</v>
      </c>
      <c r="AU5" s="24">
        <v>4</v>
      </c>
      <c r="AV5" s="24">
        <v>4</v>
      </c>
      <c r="AW5" s="24">
        <v>4</v>
      </c>
      <c r="AX5" s="24">
        <v>4</v>
      </c>
      <c r="AY5" s="24">
        <v>4</v>
      </c>
      <c r="AZ5" s="24">
        <v>4</v>
      </c>
      <c r="BA5" s="24">
        <v>4</v>
      </c>
      <c r="BB5" s="24">
        <v>5</v>
      </c>
      <c r="BC5" s="24">
        <v>5</v>
      </c>
      <c r="BD5" s="24">
        <v>5</v>
      </c>
      <c r="BE5" s="24">
        <v>5</v>
      </c>
      <c r="BF5" s="24">
        <v>5</v>
      </c>
      <c r="BG5" s="24">
        <v>5</v>
      </c>
      <c r="BH5" s="24">
        <v>5</v>
      </c>
      <c r="BI5" s="24">
        <v>5</v>
      </c>
      <c r="BJ5" s="24">
        <v>5</v>
      </c>
      <c r="BK5" s="24">
        <v>5</v>
      </c>
      <c r="BL5" s="24">
        <v>5</v>
      </c>
      <c r="BM5" s="24">
        <v>5</v>
      </c>
      <c r="BN5" s="24">
        <v>6</v>
      </c>
      <c r="BO5" s="24">
        <v>6</v>
      </c>
      <c r="BP5" s="24">
        <v>6</v>
      </c>
      <c r="BQ5" s="24">
        <v>6</v>
      </c>
      <c r="BR5" s="24">
        <v>6</v>
      </c>
      <c r="BS5" s="24">
        <v>6</v>
      </c>
      <c r="BT5" s="24">
        <v>6</v>
      </c>
      <c r="BU5" s="24">
        <v>6</v>
      </c>
      <c r="BV5" s="24">
        <v>6</v>
      </c>
      <c r="BW5" s="24">
        <v>6</v>
      </c>
      <c r="BX5" s="24">
        <v>6</v>
      </c>
      <c r="BY5" s="24">
        <v>6</v>
      </c>
      <c r="BZ5" s="24">
        <v>7</v>
      </c>
      <c r="CA5" s="24">
        <v>7</v>
      </c>
      <c r="CB5" s="24">
        <v>7</v>
      </c>
      <c r="CC5" s="24">
        <v>7</v>
      </c>
      <c r="CD5" s="24">
        <v>7</v>
      </c>
      <c r="CE5" s="24">
        <v>7</v>
      </c>
      <c r="CF5" s="24">
        <v>7</v>
      </c>
      <c r="CG5" s="24">
        <v>7</v>
      </c>
      <c r="CH5" s="24">
        <v>7</v>
      </c>
      <c r="CI5" s="24">
        <v>7</v>
      </c>
      <c r="CJ5" s="24">
        <v>7</v>
      </c>
      <c r="CK5" s="24">
        <v>7</v>
      </c>
      <c r="CL5" s="24">
        <v>8</v>
      </c>
      <c r="CM5" s="24">
        <v>8</v>
      </c>
      <c r="CN5" s="24">
        <v>8</v>
      </c>
      <c r="CO5" s="24">
        <v>8</v>
      </c>
      <c r="CP5" s="24">
        <v>8</v>
      </c>
      <c r="CQ5" s="24">
        <v>8</v>
      </c>
      <c r="CR5" s="24">
        <v>8</v>
      </c>
      <c r="CS5" s="24">
        <v>8</v>
      </c>
      <c r="CT5" s="24">
        <v>8</v>
      </c>
      <c r="CU5" s="24">
        <v>8</v>
      </c>
      <c r="CV5" s="24">
        <v>8</v>
      </c>
      <c r="CW5" s="24">
        <v>8</v>
      </c>
      <c r="CX5" s="24">
        <v>9</v>
      </c>
      <c r="CY5" s="24">
        <v>9</v>
      </c>
      <c r="CZ5" s="24">
        <v>9</v>
      </c>
      <c r="DA5" s="24">
        <v>9</v>
      </c>
      <c r="DB5" s="24">
        <v>9</v>
      </c>
      <c r="DC5" s="24">
        <v>9</v>
      </c>
      <c r="DD5" s="24">
        <v>9</v>
      </c>
      <c r="DE5" s="24">
        <v>9</v>
      </c>
      <c r="DF5" s="24">
        <v>9</v>
      </c>
      <c r="DG5" s="24">
        <v>9</v>
      </c>
      <c r="DH5" s="24">
        <v>9</v>
      </c>
      <c r="DI5" s="24">
        <v>9</v>
      </c>
      <c r="DJ5" s="24">
        <v>10</v>
      </c>
      <c r="DK5" s="24">
        <v>10</v>
      </c>
      <c r="DL5" s="24">
        <v>10</v>
      </c>
      <c r="DM5" s="24">
        <v>10</v>
      </c>
      <c r="DN5" s="24">
        <v>10</v>
      </c>
      <c r="DO5" s="24">
        <v>10</v>
      </c>
      <c r="DP5" s="24">
        <v>10</v>
      </c>
      <c r="DQ5" s="24">
        <v>10</v>
      </c>
      <c r="DR5" s="24">
        <v>10</v>
      </c>
      <c r="DS5" s="24">
        <v>10</v>
      </c>
      <c r="DT5" s="24">
        <v>10</v>
      </c>
      <c r="DU5" s="24">
        <v>10</v>
      </c>
      <c r="DV5" s="24">
        <v>11</v>
      </c>
      <c r="DW5" s="24">
        <v>11</v>
      </c>
      <c r="DX5" s="24">
        <v>11</v>
      </c>
      <c r="DY5" s="24">
        <v>11</v>
      </c>
      <c r="DZ5" s="24">
        <v>11</v>
      </c>
      <c r="EA5" s="24">
        <v>11</v>
      </c>
      <c r="EB5" s="24">
        <v>11</v>
      </c>
      <c r="EC5" s="24">
        <v>11</v>
      </c>
      <c r="ED5" s="24">
        <v>11</v>
      </c>
      <c r="EE5" s="24">
        <v>11</v>
      </c>
      <c r="EF5" s="24">
        <v>11</v>
      </c>
      <c r="EG5" s="24">
        <v>11</v>
      </c>
      <c r="EH5" s="24">
        <v>12</v>
      </c>
      <c r="EI5" s="24">
        <v>12</v>
      </c>
      <c r="EJ5" s="24">
        <v>12</v>
      </c>
      <c r="EK5" s="24">
        <v>12</v>
      </c>
      <c r="EL5" s="24">
        <v>12</v>
      </c>
      <c r="EM5" s="24">
        <v>12</v>
      </c>
      <c r="EN5" s="24">
        <v>12</v>
      </c>
      <c r="EO5" s="24">
        <v>12</v>
      </c>
      <c r="EP5" s="24">
        <v>12</v>
      </c>
      <c r="EQ5" s="24">
        <v>12</v>
      </c>
      <c r="ER5" s="24">
        <v>12</v>
      </c>
      <c r="ES5" s="24">
        <v>12</v>
      </c>
      <c r="ET5" s="24">
        <v>13</v>
      </c>
      <c r="EU5" s="24">
        <v>13</v>
      </c>
      <c r="EV5" s="24">
        <v>13</v>
      </c>
      <c r="EW5" s="24">
        <v>13</v>
      </c>
      <c r="EX5" s="24">
        <v>13</v>
      </c>
      <c r="EY5" s="24">
        <v>13</v>
      </c>
      <c r="EZ5" s="24">
        <v>13</v>
      </c>
      <c r="FA5" s="24">
        <v>13</v>
      </c>
      <c r="FB5" s="24">
        <v>13</v>
      </c>
      <c r="FC5" s="24">
        <v>13</v>
      </c>
      <c r="FD5" s="24">
        <v>13</v>
      </c>
      <c r="FE5" s="24">
        <v>13</v>
      </c>
      <c r="FF5" s="24">
        <v>14</v>
      </c>
      <c r="FG5" s="24">
        <v>14</v>
      </c>
      <c r="FH5" s="24">
        <v>14</v>
      </c>
      <c r="FI5" s="24">
        <v>14</v>
      </c>
      <c r="FJ5" s="24">
        <v>14</v>
      </c>
      <c r="FK5" s="24">
        <v>14</v>
      </c>
      <c r="FL5" s="24">
        <v>14</v>
      </c>
      <c r="FM5" s="24">
        <v>14</v>
      </c>
      <c r="FN5" s="24">
        <v>14</v>
      </c>
      <c r="FO5" s="24">
        <v>14</v>
      </c>
      <c r="FP5" s="24">
        <v>14</v>
      </c>
      <c r="FQ5" s="24">
        <v>14</v>
      </c>
      <c r="FR5" s="24">
        <v>15</v>
      </c>
      <c r="FS5" s="24">
        <v>15</v>
      </c>
      <c r="FT5" s="24">
        <v>15</v>
      </c>
      <c r="FU5" s="24">
        <v>15</v>
      </c>
      <c r="FV5" s="24">
        <v>15</v>
      </c>
      <c r="FW5" s="24">
        <v>15</v>
      </c>
      <c r="FX5" s="24">
        <v>15</v>
      </c>
      <c r="FY5" s="24">
        <v>15</v>
      </c>
      <c r="FZ5" s="24">
        <v>15</v>
      </c>
      <c r="GA5" s="24">
        <v>15</v>
      </c>
      <c r="GB5" s="24">
        <v>15</v>
      </c>
      <c r="GC5" s="24">
        <v>15</v>
      </c>
      <c r="GD5" s="24">
        <v>16</v>
      </c>
      <c r="GE5" s="24">
        <v>16</v>
      </c>
      <c r="GF5" s="24">
        <v>16</v>
      </c>
      <c r="GG5" s="24">
        <v>16</v>
      </c>
      <c r="GH5" s="24">
        <v>16</v>
      </c>
      <c r="GI5" s="24">
        <v>16</v>
      </c>
      <c r="GJ5" s="24">
        <v>16</v>
      </c>
      <c r="GK5" s="24">
        <v>16</v>
      </c>
      <c r="GL5" s="24">
        <v>16</v>
      </c>
      <c r="GM5" s="24">
        <v>16</v>
      </c>
      <c r="GN5" s="24">
        <v>16</v>
      </c>
      <c r="GO5" s="24">
        <v>16</v>
      </c>
      <c r="GP5" s="24">
        <v>17</v>
      </c>
      <c r="GQ5" s="24">
        <v>17</v>
      </c>
      <c r="GR5" s="24">
        <v>17</v>
      </c>
      <c r="GS5" s="24">
        <v>17</v>
      </c>
      <c r="GT5" s="24">
        <v>17</v>
      </c>
      <c r="GU5" s="24">
        <v>17</v>
      </c>
      <c r="GV5" s="24">
        <v>17</v>
      </c>
      <c r="GW5" s="24">
        <v>17</v>
      </c>
      <c r="GX5" s="24">
        <v>17</v>
      </c>
      <c r="GY5" s="24">
        <v>17</v>
      </c>
      <c r="GZ5" s="24">
        <v>17</v>
      </c>
      <c r="HA5" s="24">
        <v>17</v>
      </c>
      <c r="HB5" s="24">
        <v>18</v>
      </c>
      <c r="HC5" s="24">
        <v>18</v>
      </c>
      <c r="HD5" s="24">
        <v>18</v>
      </c>
      <c r="HE5" s="24">
        <v>18</v>
      </c>
      <c r="HF5" s="24">
        <v>18</v>
      </c>
      <c r="HG5" s="24">
        <v>18</v>
      </c>
      <c r="HH5" s="24">
        <v>18</v>
      </c>
      <c r="HI5" s="24">
        <v>18</v>
      </c>
      <c r="HJ5" s="24">
        <v>18</v>
      </c>
      <c r="HK5" s="24">
        <v>18</v>
      </c>
      <c r="HL5" s="24">
        <v>18</v>
      </c>
      <c r="HM5" s="24">
        <v>18</v>
      </c>
      <c r="HN5" s="24">
        <v>19</v>
      </c>
      <c r="HO5" s="24">
        <v>19</v>
      </c>
      <c r="HP5" s="24">
        <v>19</v>
      </c>
      <c r="HQ5" s="24">
        <v>19</v>
      </c>
      <c r="HR5" s="24">
        <v>19</v>
      </c>
      <c r="HS5" s="24">
        <v>19</v>
      </c>
      <c r="HT5" s="24">
        <v>19</v>
      </c>
      <c r="HU5" s="24">
        <v>19</v>
      </c>
      <c r="HV5" s="24">
        <v>19</v>
      </c>
      <c r="HW5" s="24">
        <v>19</v>
      </c>
      <c r="HX5" s="24">
        <v>19</v>
      </c>
      <c r="HY5" s="24">
        <v>19</v>
      </c>
      <c r="HZ5" s="24">
        <v>20</v>
      </c>
      <c r="IA5" s="24">
        <v>20</v>
      </c>
      <c r="IB5" s="24">
        <v>20</v>
      </c>
      <c r="IC5" s="24">
        <v>20</v>
      </c>
      <c r="ID5" s="24">
        <v>20</v>
      </c>
      <c r="IE5" s="24">
        <v>20</v>
      </c>
      <c r="IF5" s="24">
        <v>20</v>
      </c>
      <c r="IG5" s="24">
        <v>20</v>
      </c>
      <c r="IH5" s="24">
        <v>20</v>
      </c>
      <c r="II5" s="24">
        <v>20</v>
      </c>
      <c r="IJ5" s="24">
        <v>20</v>
      </c>
      <c r="IK5" s="24">
        <v>20</v>
      </c>
      <c r="IL5" s="24">
        <v>21</v>
      </c>
      <c r="IM5" s="24">
        <v>21</v>
      </c>
      <c r="IN5" s="24">
        <v>21</v>
      </c>
      <c r="IO5" s="24">
        <v>21</v>
      </c>
      <c r="IP5" s="24">
        <v>21</v>
      </c>
      <c r="IQ5" s="24">
        <v>21</v>
      </c>
      <c r="IR5" s="24">
        <v>21</v>
      </c>
      <c r="IS5" s="24">
        <v>21</v>
      </c>
      <c r="IT5" s="24">
        <v>21</v>
      </c>
      <c r="IU5" s="24">
        <v>21</v>
      </c>
      <c r="IV5" s="24">
        <v>21</v>
      </c>
      <c r="IW5" s="24">
        <v>21</v>
      </c>
      <c r="IX5" s="24">
        <v>22</v>
      </c>
      <c r="IY5" s="24">
        <v>22</v>
      </c>
      <c r="IZ5" s="24">
        <v>22</v>
      </c>
      <c r="JA5" s="24">
        <v>22</v>
      </c>
      <c r="JB5" s="24">
        <v>22</v>
      </c>
      <c r="JC5" s="24">
        <v>22</v>
      </c>
      <c r="JD5" s="24">
        <v>22</v>
      </c>
      <c r="JE5" s="24">
        <v>22</v>
      </c>
      <c r="JF5" s="24">
        <v>22</v>
      </c>
      <c r="JG5" s="24">
        <v>22</v>
      </c>
      <c r="JH5" s="24">
        <v>22</v>
      </c>
      <c r="JI5" s="24">
        <v>22</v>
      </c>
      <c r="JJ5" s="24">
        <v>23</v>
      </c>
      <c r="JK5" s="24">
        <v>23</v>
      </c>
      <c r="JL5" s="24">
        <v>23</v>
      </c>
      <c r="JM5" s="24">
        <v>23</v>
      </c>
      <c r="JN5" s="24">
        <v>23</v>
      </c>
      <c r="JO5" s="24">
        <v>23</v>
      </c>
      <c r="JP5" s="24">
        <v>23</v>
      </c>
      <c r="JQ5" s="24">
        <v>23</v>
      </c>
      <c r="JR5" s="24">
        <v>23</v>
      </c>
      <c r="JS5" s="24">
        <v>23</v>
      </c>
      <c r="JT5" s="24">
        <v>23</v>
      </c>
      <c r="JU5" s="24">
        <v>23</v>
      </c>
      <c r="JV5" s="24">
        <v>24</v>
      </c>
      <c r="JW5" s="24">
        <v>24</v>
      </c>
      <c r="JX5" s="24">
        <v>24</v>
      </c>
      <c r="JY5" s="24">
        <v>24</v>
      </c>
      <c r="JZ5" s="24">
        <v>24</v>
      </c>
      <c r="KA5" s="24">
        <v>24</v>
      </c>
      <c r="KB5" s="24">
        <v>24</v>
      </c>
      <c r="KC5" s="24">
        <v>24</v>
      </c>
      <c r="KD5" s="24">
        <v>24</v>
      </c>
      <c r="KE5" s="24">
        <v>24</v>
      </c>
      <c r="KF5" s="24">
        <v>24</v>
      </c>
      <c r="KG5" s="24">
        <v>24</v>
      </c>
      <c r="KH5" s="24">
        <v>25</v>
      </c>
      <c r="KI5" s="24">
        <v>25</v>
      </c>
      <c r="KJ5" s="24">
        <v>25</v>
      </c>
      <c r="KK5" s="24">
        <v>25</v>
      </c>
      <c r="KL5" s="24">
        <v>25</v>
      </c>
      <c r="KM5" s="24">
        <v>25</v>
      </c>
      <c r="KN5" s="24">
        <v>25</v>
      </c>
      <c r="KO5" s="24">
        <v>25</v>
      </c>
      <c r="KP5" s="24">
        <v>25</v>
      </c>
      <c r="KQ5" s="24">
        <v>25</v>
      </c>
      <c r="KR5" s="24">
        <v>25</v>
      </c>
      <c r="KS5" s="24">
        <v>25</v>
      </c>
      <c r="KT5" s="24">
        <v>26</v>
      </c>
      <c r="KU5" s="24">
        <v>26</v>
      </c>
      <c r="KV5" s="24">
        <v>26</v>
      </c>
      <c r="KW5" s="24">
        <v>26</v>
      </c>
      <c r="KX5" s="24">
        <v>26</v>
      </c>
      <c r="KY5" s="24">
        <v>26</v>
      </c>
      <c r="KZ5" s="24">
        <v>26</v>
      </c>
      <c r="LA5" s="24">
        <v>26</v>
      </c>
      <c r="LB5" s="24">
        <v>26</v>
      </c>
      <c r="LC5" s="24">
        <v>26</v>
      </c>
      <c r="LD5" s="24">
        <v>26</v>
      </c>
      <c r="LE5" s="24">
        <v>26</v>
      </c>
      <c r="LF5" s="24">
        <v>27</v>
      </c>
      <c r="LG5" s="24">
        <v>27</v>
      </c>
      <c r="LH5" s="24">
        <v>27</v>
      </c>
      <c r="LI5" s="24">
        <v>27</v>
      </c>
      <c r="LJ5" s="24">
        <v>27</v>
      </c>
      <c r="LK5" s="24">
        <v>27</v>
      </c>
      <c r="LL5" s="24">
        <v>27</v>
      </c>
      <c r="LM5" s="24">
        <v>27</v>
      </c>
      <c r="LN5" s="24">
        <v>27</v>
      </c>
      <c r="LO5" s="24">
        <v>27</v>
      </c>
      <c r="LP5" s="24">
        <v>27</v>
      </c>
      <c r="LQ5" s="24">
        <v>27</v>
      </c>
      <c r="LR5" s="24">
        <v>28</v>
      </c>
      <c r="LS5" s="24">
        <v>28</v>
      </c>
      <c r="LT5" s="24">
        <v>28</v>
      </c>
      <c r="LU5" s="24">
        <v>28</v>
      </c>
      <c r="LV5" s="24">
        <v>28</v>
      </c>
      <c r="LW5" s="24">
        <v>28</v>
      </c>
      <c r="LX5" s="24">
        <v>28</v>
      </c>
      <c r="LY5" s="24">
        <v>28</v>
      </c>
      <c r="LZ5" s="24">
        <v>28</v>
      </c>
      <c r="MA5" s="24">
        <v>28</v>
      </c>
      <c r="MB5" s="24">
        <v>28</v>
      </c>
      <c r="MC5" s="24">
        <v>28</v>
      </c>
      <c r="MD5" s="24">
        <v>29</v>
      </c>
      <c r="ME5" s="24">
        <v>29</v>
      </c>
      <c r="MF5" s="24">
        <v>29</v>
      </c>
      <c r="MG5" s="24">
        <v>29</v>
      </c>
      <c r="MH5" s="24">
        <v>29</v>
      </c>
      <c r="MI5" s="24">
        <v>29</v>
      </c>
      <c r="MJ5" s="24">
        <v>29</v>
      </c>
      <c r="MK5" s="24">
        <v>29</v>
      </c>
      <c r="ML5" s="24">
        <v>29</v>
      </c>
      <c r="MM5" s="24">
        <v>29</v>
      </c>
      <c r="MN5" s="24">
        <v>29</v>
      </c>
      <c r="MO5" s="24">
        <v>29</v>
      </c>
      <c r="MP5" s="24">
        <v>30</v>
      </c>
      <c r="MQ5" s="24">
        <v>30</v>
      </c>
      <c r="MR5" s="24">
        <v>30</v>
      </c>
      <c r="MS5" s="24">
        <v>30</v>
      </c>
      <c r="MT5" s="24">
        <v>30</v>
      </c>
      <c r="MU5" s="24">
        <v>30</v>
      </c>
      <c r="MV5" s="24">
        <v>30</v>
      </c>
      <c r="MW5" s="24">
        <v>30</v>
      </c>
      <c r="MX5" s="24">
        <v>30</v>
      </c>
      <c r="MY5" s="24">
        <v>30</v>
      </c>
      <c r="MZ5" s="24">
        <v>30</v>
      </c>
      <c r="NA5" s="24">
        <v>30</v>
      </c>
      <c r="NB5" s="24">
        <v>31</v>
      </c>
      <c r="NC5" s="24">
        <v>31</v>
      </c>
      <c r="ND5" s="24">
        <v>31</v>
      </c>
      <c r="NE5" s="24">
        <v>31</v>
      </c>
      <c r="NF5" s="24">
        <v>31</v>
      </c>
      <c r="NG5" s="24">
        <v>31</v>
      </c>
      <c r="NH5" s="24">
        <v>31</v>
      </c>
      <c r="NI5" s="24">
        <v>31</v>
      </c>
      <c r="NJ5" s="24">
        <v>31</v>
      </c>
      <c r="NK5" s="24">
        <v>31</v>
      </c>
      <c r="NL5" s="24">
        <v>31</v>
      </c>
      <c r="NM5" s="24">
        <v>31</v>
      </c>
      <c r="NN5" s="24">
        <v>32</v>
      </c>
      <c r="NO5" s="24">
        <v>32</v>
      </c>
      <c r="NP5" s="24">
        <v>32</v>
      </c>
      <c r="NQ5" s="24">
        <v>32</v>
      </c>
      <c r="NR5" s="24">
        <v>32</v>
      </c>
      <c r="NS5" s="24">
        <v>32</v>
      </c>
      <c r="NT5" s="24">
        <v>32</v>
      </c>
      <c r="NU5" s="24">
        <v>32</v>
      </c>
      <c r="NV5" s="24">
        <v>32</v>
      </c>
      <c r="NW5" s="24">
        <v>32</v>
      </c>
      <c r="NX5" s="24">
        <v>32</v>
      </c>
      <c r="NY5" s="24">
        <v>32</v>
      </c>
      <c r="NZ5" s="24">
        <v>33</v>
      </c>
      <c r="OA5" s="24">
        <v>33</v>
      </c>
      <c r="OB5" s="24">
        <v>33</v>
      </c>
      <c r="OC5" s="24">
        <v>33</v>
      </c>
      <c r="OD5" s="24">
        <v>33</v>
      </c>
      <c r="OE5">
        <v>33</v>
      </c>
      <c r="OF5">
        <v>33</v>
      </c>
      <c r="OG5">
        <v>33</v>
      </c>
      <c r="OH5">
        <v>33</v>
      </c>
      <c r="OI5">
        <v>33</v>
      </c>
      <c r="OJ5">
        <v>33</v>
      </c>
      <c r="OK5">
        <v>33</v>
      </c>
    </row>
    <row r="6" spans="1:401" x14ac:dyDescent="0.3">
      <c r="A6" s="129"/>
      <c r="B6" s="129"/>
      <c r="C6" s="129"/>
      <c r="D6" s="132" t="s">
        <v>8</v>
      </c>
      <c r="E6" s="20">
        <v>57710</v>
      </c>
      <c r="F6" s="6"/>
      <c r="G6" s="6"/>
      <c r="H6" s="6"/>
      <c r="I6" s="6"/>
      <c r="J6" s="78"/>
      <c r="K6" s="69"/>
      <c r="L6" s="79"/>
      <c r="M6" s="6" t="s">
        <v>12</v>
      </c>
      <c r="N6" s="6"/>
      <c r="O6" s="17"/>
      <c r="P6" s="3" cm="1">
        <f t="array" ref="P6:OK6">ROUNDUP(MONTH(_xlfn.ANCHORARRAY(P2))/3,0)</f>
        <v>4</v>
      </c>
      <c r="Q6" s="3">
        <v>4</v>
      </c>
      <c r="R6" s="3">
        <v>1</v>
      </c>
      <c r="S6" s="3">
        <v>1</v>
      </c>
      <c r="T6" s="3">
        <v>1</v>
      </c>
      <c r="U6" s="3">
        <v>2</v>
      </c>
      <c r="V6" s="3">
        <v>2</v>
      </c>
      <c r="W6" s="3">
        <v>2</v>
      </c>
      <c r="X6" s="3">
        <v>3</v>
      </c>
      <c r="Y6" s="3">
        <v>3</v>
      </c>
      <c r="Z6" s="3">
        <v>3</v>
      </c>
      <c r="AA6" s="3">
        <v>4</v>
      </c>
      <c r="AB6" s="3">
        <v>4</v>
      </c>
      <c r="AC6" s="3">
        <v>4</v>
      </c>
      <c r="AD6" s="3">
        <v>1</v>
      </c>
      <c r="AE6" s="3">
        <v>1</v>
      </c>
      <c r="AF6" s="3">
        <v>1</v>
      </c>
      <c r="AG6" s="3">
        <v>2</v>
      </c>
      <c r="AH6" s="3">
        <v>2</v>
      </c>
      <c r="AI6" s="3">
        <v>2</v>
      </c>
      <c r="AJ6" s="3">
        <v>3</v>
      </c>
      <c r="AK6" s="3">
        <v>3</v>
      </c>
      <c r="AL6" s="3">
        <v>3</v>
      </c>
      <c r="AM6" s="3">
        <v>4</v>
      </c>
      <c r="AN6" s="3">
        <v>4</v>
      </c>
      <c r="AO6" s="3">
        <v>4</v>
      </c>
      <c r="AP6" s="3">
        <v>1</v>
      </c>
      <c r="AQ6" s="3">
        <v>1</v>
      </c>
      <c r="AR6" s="3">
        <v>1</v>
      </c>
      <c r="AS6" s="3">
        <v>2</v>
      </c>
      <c r="AT6" s="3">
        <v>2</v>
      </c>
      <c r="AU6" s="3">
        <v>2</v>
      </c>
      <c r="AV6" s="3">
        <v>3</v>
      </c>
      <c r="AW6" s="3">
        <v>3</v>
      </c>
      <c r="AX6" s="3">
        <v>3</v>
      </c>
      <c r="AY6" s="3">
        <v>4</v>
      </c>
      <c r="AZ6" s="3">
        <v>4</v>
      </c>
      <c r="BA6" s="3">
        <v>4</v>
      </c>
      <c r="BB6" s="3">
        <v>1</v>
      </c>
      <c r="BC6" s="3">
        <v>1</v>
      </c>
      <c r="BD6" s="3">
        <v>1</v>
      </c>
      <c r="BE6" s="3">
        <v>2</v>
      </c>
      <c r="BF6" s="3">
        <v>2</v>
      </c>
      <c r="BG6" s="3">
        <v>2</v>
      </c>
      <c r="BH6" s="3">
        <v>3</v>
      </c>
      <c r="BI6" s="3">
        <v>3</v>
      </c>
      <c r="BJ6" s="3">
        <v>3</v>
      </c>
      <c r="BK6" s="3">
        <v>4</v>
      </c>
      <c r="BL6" s="3">
        <v>4</v>
      </c>
      <c r="BM6" s="3">
        <v>4</v>
      </c>
      <c r="BN6" s="3">
        <v>1</v>
      </c>
      <c r="BO6" s="3">
        <v>1</v>
      </c>
      <c r="BP6" s="3">
        <v>1</v>
      </c>
      <c r="BQ6" s="3">
        <v>2</v>
      </c>
      <c r="BR6" s="3">
        <v>2</v>
      </c>
      <c r="BS6" s="3">
        <v>2</v>
      </c>
      <c r="BT6" s="3">
        <v>3</v>
      </c>
      <c r="BU6" s="3">
        <v>3</v>
      </c>
      <c r="BV6" s="3">
        <v>3</v>
      </c>
      <c r="BW6" s="3">
        <v>4</v>
      </c>
      <c r="BX6" s="3">
        <v>4</v>
      </c>
      <c r="BY6" s="3">
        <v>4</v>
      </c>
      <c r="BZ6" s="3">
        <v>1</v>
      </c>
      <c r="CA6" s="3">
        <v>1</v>
      </c>
      <c r="CB6" s="3">
        <v>1</v>
      </c>
      <c r="CC6" s="3">
        <v>2</v>
      </c>
      <c r="CD6" s="3">
        <v>2</v>
      </c>
      <c r="CE6" s="3">
        <v>2</v>
      </c>
      <c r="CF6" s="3">
        <v>3</v>
      </c>
      <c r="CG6" s="3">
        <v>3</v>
      </c>
      <c r="CH6" s="3">
        <v>3</v>
      </c>
      <c r="CI6" s="3">
        <v>4</v>
      </c>
      <c r="CJ6" s="3">
        <v>4</v>
      </c>
      <c r="CK6" s="3">
        <v>4</v>
      </c>
      <c r="CL6" s="3">
        <v>1</v>
      </c>
      <c r="CM6" s="3">
        <v>1</v>
      </c>
      <c r="CN6" s="3">
        <v>1</v>
      </c>
      <c r="CO6" s="3">
        <v>2</v>
      </c>
      <c r="CP6" s="3">
        <v>2</v>
      </c>
      <c r="CQ6" s="3">
        <v>2</v>
      </c>
      <c r="CR6" s="3">
        <v>3</v>
      </c>
      <c r="CS6" s="3">
        <v>3</v>
      </c>
      <c r="CT6" s="3">
        <v>3</v>
      </c>
      <c r="CU6" s="3">
        <v>4</v>
      </c>
      <c r="CV6" s="3">
        <v>4</v>
      </c>
      <c r="CW6" s="3">
        <v>4</v>
      </c>
      <c r="CX6" s="3">
        <v>1</v>
      </c>
      <c r="CY6" s="3">
        <v>1</v>
      </c>
      <c r="CZ6" s="3">
        <v>1</v>
      </c>
      <c r="DA6" s="3">
        <v>2</v>
      </c>
      <c r="DB6" s="3">
        <v>2</v>
      </c>
      <c r="DC6" s="3">
        <v>2</v>
      </c>
      <c r="DD6" s="3">
        <v>3</v>
      </c>
      <c r="DE6" s="3">
        <v>3</v>
      </c>
      <c r="DF6" s="3">
        <v>3</v>
      </c>
      <c r="DG6" s="3">
        <v>4</v>
      </c>
      <c r="DH6" s="3">
        <v>4</v>
      </c>
      <c r="DI6" s="3">
        <v>4</v>
      </c>
      <c r="DJ6" s="3">
        <v>1</v>
      </c>
      <c r="DK6" s="3">
        <v>1</v>
      </c>
      <c r="DL6" s="3">
        <v>1</v>
      </c>
      <c r="DM6" s="3">
        <v>2</v>
      </c>
      <c r="DN6" s="3">
        <v>2</v>
      </c>
      <c r="DO6" s="3">
        <v>2</v>
      </c>
      <c r="DP6" s="3">
        <v>3</v>
      </c>
      <c r="DQ6" s="3">
        <v>3</v>
      </c>
      <c r="DR6" s="3">
        <v>3</v>
      </c>
      <c r="DS6" s="3">
        <v>4</v>
      </c>
      <c r="DT6" s="3">
        <v>4</v>
      </c>
      <c r="DU6" s="3">
        <v>4</v>
      </c>
      <c r="DV6" s="3">
        <v>1</v>
      </c>
      <c r="DW6" s="3">
        <v>1</v>
      </c>
      <c r="DX6" s="3">
        <v>1</v>
      </c>
      <c r="DY6" s="3">
        <v>2</v>
      </c>
      <c r="DZ6" s="3">
        <v>2</v>
      </c>
      <c r="EA6" s="3">
        <v>2</v>
      </c>
      <c r="EB6" s="3">
        <v>3</v>
      </c>
      <c r="EC6" s="3">
        <v>3</v>
      </c>
      <c r="ED6" s="3">
        <v>3</v>
      </c>
      <c r="EE6" s="3">
        <v>4</v>
      </c>
      <c r="EF6" s="3">
        <v>4</v>
      </c>
      <c r="EG6" s="3">
        <v>4</v>
      </c>
      <c r="EH6" s="3">
        <v>1</v>
      </c>
      <c r="EI6" s="3">
        <v>1</v>
      </c>
      <c r="EJ6" s="3">
        <v>1</v>
      </c>
      <c r="EK6" s="3">
        <v>2</v>
      </c>
      <c r="EL6" s="3">
        <v>2</v>
      </c>
      <c r="EM6" s="3">
        <v>2</v>
      </c>
      <c r="EN6" s="3">
        <v>3</v>
      </c>
      <c r="EO6" s="3">
        <v>3</v>
      </c>
      <c r="EP6" s="3">
        <v>3</v>
      </c>
      <c r="EQ6" s="3">
        <v>4</v>
      </c>
      <c r="ER6" s="3">
        <v>4</v>
      </c>
      <c r="ES6" s="3">
        <v>4</v>
      </c>
      <c r="ET6" s="3">
        <v>1</v>
      </c>
      <c r="EU6" s="3">
        <v>1</v>
      </c>
      <c r="EV6" s="3">
        <v>1</v>
      </c>
      <c r="EW6" s="3">
        <v>2</v>
      </c>
      <c r="EX6" s="3">
        <v>2</v>
      </c>
      <c r="EY6" s="3">
        <v>2</v>
      </c>
      <c r="EZ6" s="3">
        <v>3</v>
      </c>
      <c r="FA6" s="3">
        <v>3</v>
      </c>
      <c r="FB6" s="3">
        <v>3</v>
      </c>
      <c r="FC6" s="3">
        <v>4</v>
      </c>
      <c r="FD6" s="3">
        <v>4</v>
      </c>
      <c r="FE6" s="3">
        <v>4</v>
      </c>
      <c r="FF6" s="3">
        <v>1</v>
      </c>
      <c r="FG6" s="3">
        <v>1</v>
      </c>
      <c r="FH6" s="3">
        <v>1</v>
      </c>
      <c r="FI6" s="3">
        <v>2</v>
      </c>
      <c r="FJ6" s="3">
        <v>2</v>
      </c>
      <c r="FK6" s="3">
        <v>2</v>
      </c>
      <c r="FL6" s="3">
        <v>3</v>
      </c>
      <c r="FM6" s="3">
        <v>3</v>
      </c>
      <c r="FN6" s="3">
        <v>3</v>
      </c>
      <c r="FO6" s="3">
        <v>4</v>
      </c>
      <c r="FP6" s="3">
        <v>4</v>
      </c>
      <c r="FQ6" s="3">
        <v>4</v>
      </c>
      <c r="FR6" s="3">
        <v>1</v>
      </c>
      <c r="FS6" s="3">
        <v>1</v>
      </c>
      <c r="FT6" s="3">
        <v>1</v>
      </c>
      <c r="FU6" s="3">
        <v>2</v>
      </c>
      <c r="FV6" s="3">
        <v>2</v>
      </c>
      <c r="FW6" s="3">
        <v>2</v>
      </c>
      <c r="FX6" s="3">
        <v>3</v>
      </c>
      <c r="FY6" s="3">
        <v>3</v>
      </c>
      <c r="FZ6" s="3">
        <v>3</v>
      </c>
      <c r="GA6" s="3">
        <v>4</v>
      </c>
      <c r="GB6" s="3">
        <v>4</v>
      </c>
      <c r="GC6" s="3">
        <v>4</v>
      </c>
      <c r="GD6" s="3">
        <v>1</v>
      </c>
      <c r="GE6" s="3">
        <v>1</v>
      </c>
      <c r="GF6" s="3">
        <v>1</v>
      </c>
      <c r="GG6" s="3">
        <v>2</v>
      </c>
      <c r="GH6" s="3">
        <v>2</v>
      </c>
      <c r="GI6" s="3">
        <v>2</v>
      </c>
      <c r="GJ6" s="3">
        <v>3</v>
      </c>
      <c r="GK6" s="3">
        <v>3</v>
      </c>
      <c r="GL6" s="3">
        <v>3</v>
      </c>
      <c r="GM6" s="3">
        <v>4</v>
      </c>
      <c r="GN6" s="3">
        <v>4</v>
      </c>
      <c r="GO6" s="3">
        <v>4</v>
      </c>
      <c r="GP6" s="3">
        <v>1</v>
      </c>
      <c r="GQ6" s="3">
        <v>1</v>
      </c>
      <c r="GR6" s="3">
        <v>1</v>
      </c>
      <c r="GS6" s="3">
        <v>2</v>
      </c>
      <c r="GT6" s="3">
        <v>2</v>
      </c>
      <c r="GU6" s="3">
        <v>2</v>
      </c>
      <c r="GV6" s="3">
        <v>3</v>
      </c>
      <c r="GW6" s="3">
        <v>3</v>
      </c>
      <c r="GX6" s="3">
        <v>3</v>
      </c>
      <c r="GY6" s="3">
        <v>4</v>
      </c>
      <c r="GZ6" s="3">
        <v>4</v>
      </c>
      <c r="HA6" s="3">
        <v>4</v>
      </c>
      <c r="HB6" s="3">
        <v>1</v>
      </c>
      <c r="HC6" s="3">
        <v>1</v>
      </c>
      <c r="HD6" s="3">
        <v>1</v>
      </c>
      <c r="HE6" s="3">
        <v>2</v>
      </c>
      <c r="HF6" s="3">
        <v>2</v>
      </c>
      <c r="HG6" s="3">
        <v>2</v>
      </c>
      <c r="HH6" s="3">
        <v>3</v>
      </c>
      <c r="HI6" s="3">
        <v>3</v>
      </c>
      <c r="HJ6" s="3">
        <v>3</v>
      </c>
      <c r="HK6" s="3">
        <v>4</v>
      </c>
      <c r="HL6" s="3">
        <v>4</v>
      </c>
      <c r="HM6" s="3">
        <v>4</v>
      </c>
      <c r="HN6" s="3">
        <v>1</v>
      </c>
      <c r="HO6" s="3">
        <v>1</v>
      </c>
      <c r="HP6" s="3">
        <v>1</v>
      </c>
      <c r="HQ6" s="3">
        <v>2</v>
      </c>
      <c r="HR6" s="3">
        <v>2</v>
      </c>
      <c r="HS6" s="3">
        <v>2</v>
      </c>
      <c r="HT6" s="3">
        <v>3</v>
      </c>
      <c r="HU6" s="3">
        <v>3</v>
      </c>
      <c r="HV6" s="3">
        <v>3</v>
      </c>
      <c r="HW6" s="3">
        <v>4</v>
      </c>
      <c r="HX6" s="3">
        <v>4</v>
      </c>
      <c r="HY6" s="3">
        <v>4</v>
      </c>
      <c r="HZ6" s="3">
        <v>1</v>
      </c>
      <c r="IA6" s="3">
        <v>1</v>
      </c>
      <c r="IB6" s="3">
        <v>1</v>
      </c>
      <c r="IC6" s="3">
        <v>2</v>
      </c>
      <c r="ID6" s="3">
        <v>2</v>
      </c>
      <c r="IE6" s="3">
        <v>2</v>
      </c>
      <c r="IF6" s="3">
        <v>3</v>
      </c>
      <c r="IG6" s="3">
        <v>3</v>
      </c>
      <c r="IH6" s="3">
        <v>3</v>
      </c>
      <c r="II6" s="3">
        <v>4</v>
      </c>
      <c r="IJ6" s="3">
        <v>4</v>
      </c>
      <c r="IK6" s="3">
        <v>4</v>
      </c>
      <c r="IL6" s="3">
        <v>1</v>
      </c>
      <c r="IM6" s="3">
        <v>1</v>
      </c>
      <c r="IN6" s="3">
        <v>1</v>
      </c>
      <c r="IO6" s="3">
        <v>2</v>
      </c>
      <c r="IP6" s="3">
        <v>2</v>
      </c>
      <c r="IQ6" s="3">
        <v>2</v>
      </c>
      <c r="IR6" s="3">
        <v>3</v>
      </c>
      <c r="IS6" s="3">
        <v>3</v>
      </c>
      <c r="IT6" s="3">
        <v>3</v>
      </c>
      <c r="IU6" s="3">
        <v>4</v>
      </c>
      <c r="IV6" s="3">
        <v>4</v>
      </c>
      <c r="IW6" s="3">
        <v>4</v>
      </c>
      <c r="IX6" s="3">
        <v>1</v>
      </c>
      <c r="IY6" s="3">
        <v>1</v>
      </c>
      <c r="IZ6" s="3">
        <v>1</v>
      </c>
      <c r="JA6" s="3">
        <v>2</v>
      </c>
      <c r="JB6" s="3">
        <v>2</v>
      </c>
      <c r="JC6" s="3">
        <v>2</v>
      </c>
      <c r="JD6" s="3">
        <v>3</v>
      </c>
      <c r="JE6" s="3">
        <v>3</v>
      </c>
      <c r="JF6" s="3">
        <v>3</v>
      </c>
      <c r="JG6" s="3">
        <v>4</v>
      </c>
      <c r="JH6" s="3">
        <v>4</v>
      </c>
      <c r="JI6" s="3">
        <v>4</v>
      </c>
      <c r="JJ6" s="3">
        <v>1</v>
      </c>
      <c r="JK6" s="3">
        <v>1</v>
      </c>
      <c r="JL6" s="3">
        <v>1</v>
      </c>
      <c r="JM6" s="3">
        <v>2</v>
      </c>
      <c r="JN6" s="3">
        <v>2</v>
      </c>
      <c r="JO6" s="3">
        <v>2</v>
      </c>
      <c r="JP6" s="3">
        <v>3</v>
      </c>
      <c r="JQ6" s="3">
        <v>3</v>
      </c>
      <c r="JR6" s="3">
        <v>3</v>
      </c>
      <c r="JS6" s="3">
        <v>4</v>
      </c>
      <c r="JT6" s="3">
        <v>4</v>
      </c>
      <c r="JU6" s="3">
        <v>4</v>
      </c>
      <c r="JV6" s="3">
        <v>1</v>
      </c>
      <c r="JW6" s="3">
        <v>1</v>
      </c>
      <c r="JX6" s="3">
        <v>1</v>
      </c>
      <c r="JY6" s="3">
        <v>2</v>
      </c>
      <c r="JZ6" s="3">
        <v>2</v>
      </c>
      <c r="KA6" s="3">
        <v>2</v>
      </c>
      <c r="KB6" s="3">
        <v>3</v>
      </c>
      <c r="KC6" s="3">
        <v>3</v>
      </c>
      <c r="KD6" s="3">
        <v>3</v>
      </c>
      <c r="KE6" s="3">
        <v>4</v>
      </c>
      <c r="KF6" s="3">
        <v>4</v>
      </c>
      <c r="KG6" s="3">
        <v>4</v>
      </c>
      <c r="KH6" s="3">
        <v>1</v>
      </c>
      <c r="KI6" s="3">
        <v>1</v>
      </c>
      <c r="KJ6" s="3">
        <v>1</v>
      </c>
      <c r="KK6" s="3">
        <v>2</v>
      </c>
      <c r="KL6" s="3">
        <v>2</v>
      </c>
      <c r="KM6" s="3">
        <v>2</v>
      </c>
      <c r="KN6" s="3">
        <v>3</v>
      </c>
      <c r="KO6" s="3">
        <v>3</v>
      </c>
      <c r="KP6" s="3">
        <v>3</v>
      </c>
      <c r="KQ6" s="3">
        <v>4</v>
      </c>
      <c r="KR6" s="3">
        <v>4</v>
      </c>
      <c r="KS6" s="3">
        <v>4</v>
      </c>
      <c r="KT6" s="3">
        <v>1</v>
      </c>
      <c r="KU6" s="3">
        <v>1</v>
      </c>
      <c r="KV6" s="3">
        <v>1</v>
      </c>
      <c r="KW6" s="3">
        <v>2</v>
      </c>
      <c r="KX6" s="3">
        <v>2</v>
      </c>
      <c r="KY6" s="3">
        <v>2</v>
      </c>
      <c r="KZ6" s="3">
        <v>3</v>
      </c>
      <c r="LA6" s="3">
        <v>3</v>
      </c>
      <c r="LB6" s="3">
        <v>3</v>
      </c>
      <c r="LC6" s="3">
        <v>4</v>
      </c>
      <c r="LD6" s="3">
        <v>4</v>
      </c>
      <c r="LE6" s="3">
        <v>4</v>
      </c>
      <c r="LF6" s="3">
        <v>1</v>
      </c>
      <c r="LG6" s="3">
        <v>1</v>
      </c>
      <c r="LH6" s="3">
        <v>1</v>
      </c>
      <c r="LI6" s="3">
        <v>2</v>
      </c>
      <c r="LJ6" s="3">
        <v>2</v>
      </c>
      <c r="LK6" s="3">
        <v>2</v>
      </c>
      <c r="LL6" s="3">
        <v>3</v>
      </c>
      <c r="LM6" s="3">
        <v>3</v>
      </c>
      <c r="LN6" s="3">
        <v>3</v>
      </c>
      <c r="LO6" s="3">
        <v>4</v>
      </c>
      <c r="LP6" s="3">
        <v>4</v>
      </c>
      <c r="LQ6" s="3">
        <v>4</v>
      </c>
      <c r="LR6" s="3">
        <v>1</v>
      </c>
      <c r="LS6" s="3">
        <v>1</v>
      </c>
      <c r="LT6" s="3">
        <v>1</v>
      </c>
      <c r="LU6" s="3">
        <v>2</v>
      </c>
      <c r="LV6" s="3">
        <v>2</v>
      </c>
      <c r="LW6" s="3">
        <v>2</v>
      </c>
      <c r="LX6" s="3">
        <v>3</v>
      </c>
      <c r="LY6" s="3">
        <v>3</v>
      </c>
      <c r="LZ6" s="3">
        <v>3</v>
      </c>
      <c r="MA6" s="3">
        <v>4</v>
      </c>
      <c r="MB6" s="3">
        <v>4</v>
      </c>
      <c r="MC6" s="3">
        <v>4</v>
      </c>
      <c r="MD6" s="3">
        <v>1</v>
      </c>
      <c r="ME6" s="3">
        <v>1</v>
      </c>
      <c r="MF6" s="3">
        <v>1</v>
      </c>
      <c r="MG6" s="3">
        <v>2</v>
      </c>
      <c r="MH6" s="3">
        <v>2</v>
      </c>
      <c r="MI6" s="3">
        <v>2</v>
      </c>
      <c r="MJ6" s="3">
        <v>3</v>
      </c>
      <c r="MK6" s="3">
        <v>3</v>
      </c>
      <c r="ML6" s="3">
        <v>3</v>
      </c>
      <c r="MM6" s="3">
        <v>4</v>
      </c>
      <c r="MN6" s="3">
        <v>4</v>
      </c>
      <c r="MO6" s="3">
        <v>4</v>
      </c>
      <c r="MP6" s="3">
        <v>1</v>
      </c>
      <c r="MQ6" s="3">
        <v>1</v>
      </c>
      <c r="MR6" s="3">
        <v>1</v>
      </c>
      <c r="MS6" s="3">
        <v>2</v>
      </c>
      <c r="MT6" s="3">
        <v>2</v>
      </c>
      <c r="MU6" s="3">
        <v>2</v>
      </c>
      <c r="MV6" s="3">
        <v>3</v>
      </c>
      <c r="MW6" s="3">
        <v>3</v>
      </c>
      <c r="MX6" s="3">
        <v>3</v>
      </c>
      <c r="MY6" s="3">
        <v>4</v>
      </c>
      <c r="MZ6" s="3">
        <v>4</v>
      </c>
      <c r="NA6" s="3">
        <v>4</v>
      </c>
      <c r="NB6" s="3">
        <v>1</v>
      </c>
      <c r="NC6" s="3">
        <v>1</v>
      </c>
      <c r="ND6" s="3">
        <v>1</v>
      </c>
      <c r="NE6" s="3">
        <v>2</v>
      </c>
      <c r="NF6" s="3">
        <v>2</v>
      </c>
      <c r="NG6" s="3">
        <v>2</v>
      </c>
      <c r="NH6" s="3">
        <v>3</v>
      </c>
      <c r="NI6" s="3">
        <v>3</v>
      </c>
      <c r="NJ6" s="3">
        <v>3</v>
      </c>
      <c r="NK6" s="3">
        <v>4</v>
      </c>
      <c r="NL6" s="3">
        <v>4</v>
      </c>
      <c r="NM6" s="3">
        <v>4</v>
      </c>
      <c r="NN6" s="3">
        <v>1</v>
      </c>
      <c r="NO6" s="3">
        <v>1</v>
      </c>
      <c r="NP6" s="3">
        <v>1</v>
      </c>
      <c r="NQ6" s="3">
        <v>2</v>
      </c>
      <c r="NR6" s="3">
        <v>2</v>
      </c>
      <c r="NS6" s="3">
        <v>2</v>
      </c>
      <c r="NT6" s="3">
        <v>3</v>
      </c>
      <c r="NU6" s="3">
        <v>3</v>
      </c>
      <c r="NV6" s="3">
        <v>3</v>
      </c>
      <c r="NW6" s="3">
        <v>4</v>
      </c>
      <c r="NX6" s="3">
        <v>4</v>
      </c>
      <c r="NY6" s="3">
        <v>4</v>
      </c>
      <c r="NZ6" s="3">
        <v>1</v>
      </c>
      <c r="OA6" s="3">
        <v>1</v>
      </c>
      <c r="OB6" s="3">
        <v>1</v>
      </c>
      <c r="OC6" s="3">
        <v>2</v>
      </c>
      <c r="OD6" s="3">
        <v>2</v>
      </c>
      <c r="OE6">
        <v>2</v>
      </c>
      <c r="OF6">
        <v>3</v>
      </c>
      <c r="OG6">
        <v>3</v>
      </c>
      <c r="OH6">
        <v>3</v>
      </c>
      <c r="OI6">
        <v>4</v>
      </c>
      <c r="OJ6">
        <v>4</v>
      </c>
      <c r="OK6">
        <v>4</v>
      </c>
    </row>
    <row r="7" spans="1:401" ht="14.4" customHeight="1" thickBot="1" x14ac:dyDescent="0.35">
      <c r="D7" s="128"/>
      <c r="F7" s="10" t="s">
        <v>54</v>
      </c>
      <c r="G7" s="120"/>
      <c r="I7" s="7"/>
      <c r="J7" s="76"/>
      <c r="K7" s="66"/>
      <c r="L7" s="66"/>
      <c r="M7" s="119"/>
      <c r="N7" s="66"/>
      <c r="O7" s="66"/>
      <c r="P7" s="66"/>
    </row>
    <row r="8" spans="1:401" ht="14.4" thickBot="1" x14ac:dyDescent="0.35">
      <c r="A8" s="291" t="s">
        <v>16</v>
      </c>
      <c r="B8" s="292"/>
      <c r="C8" s="292"/>
      <c r="D8" s="292"/>
      <c r="E8" s="121" t="s">
        <v>17</v>
      </c>
      <c r="F8" s="122" t="s">
        <v>19</v>
      </c>
      <c r="G8" s="88"/>
      <c r="H8" s="67" t="s">
        <v>30</v>
      </c>
      <c r="I8" s="70" t="s">
        <v>53</v>
      </c>
      <c r="J8" s="76"/>
      <c r="K8" s="66"/>
      <c r="L8" s="66"/>
      <c r="M8" s="66"/>
      <c r="N8" s="66"/>
      <c r="O8" s="66"/>
      <c r="P8" s="66"/>
    </row>
    <row r="9" spans="1:401" x14ac:dyDescent="0.3">
      <c r="A9" s="16"/>
      <c r="C9" s="16"/>
      <c r="D9" s="133"/>
      <c r="E9" s="123"/>
      <c r="F9" s="123"/>
      <c r="G9" s="88"/>
      <c r="H9" s="124"/>
      <c r="I9" s="125"/>
      <c r="J9" s="76"/>
      <c r="K9" s="66"/>
      <c r="L9" s="66"/>
      <c r="M9" s="66"/>
      <c r="N9" s="66"/>
      <c r="O9" s="66"/>
      <c r="P9" s="66"/>
    </row>
    <row r="10" spans="1:401" x14ac:dyDescent="0.3">
      <c r="A10" s="16"/>
      <c r="B10" s="128" t="s">
        <v>240</v>
      </c>
      <c r="C10" s="16"/>
      <c r="D10" s="133"/>
      <c r="E10" s="123"/>
      <c r="F10" s="123"/>
      <c r="G10" s="88"/>
      <c r="H10" s="124"/>
      <c r="I10" s="125"/>
      <c r="J10" s="76"/>
      <c r="K10" s="66"/>
      <c r="L10" s="66"/>
      <c r="M10" s="66"/>
      <c r="N10" s="66"/>
      <c r="O10" s="66"/>
      <c r="P10" s="66"/>
    </row>
    <row r="11" spans="1:401" outlineLevel="1" x14ac:dyDescent="0.3">
      <c r="A11" s="16"/>
      <c r="C11" s="16"/>
      <c r="D11" s="133" t="s">
        <v>350</v>
      </c>
      <c r="E11" s="217">
        <f>E5</f>
        <v>45962</v>
      </c>
      <c r="F11" s="216" t="s">
        <v>292</v>
      </c>
      <c r="G11" s="88"/>
      <c r="H11" s="124"/>
      <c r="I11" s="125"/>
      <c r="J11" s="76"/>
      <c r="K11" s="66"/>
      <c r="L11" s="66"/>
      <c r="M11" s="66"/>
      <c r="N11" s="230" t="s">
        <v>348</v>
      </c>
      <c r="O11" s="230" t="s">
        <v>349</v>
      </c>
      <c r="P11" s="231" cm="1">
        <f t="array" ref="P11:OK11">_xlfn.ANCHORARRAY(P2)</f>
        <v>45962</v>
      </c>
      <c r="Q11" s="229">
        <v>45992</v>
      </c>
      <c r="R11" s="229">
        <v>46023</v>
      </c>
      <c r="S11" s="229">
        <v>46054</v>
      </c>
      <c r="T11" s="229">
        <v>46082</v>
      </c>
      <c r="U11" s="229">
        <v>46113</v>
      </c>
      <c r="V11" s="229">
        <v>46143</v>
      </c>
      <c r="W11" s="229">
        <v>46174</v>
      </c>
      <c r="X11" s="229">
        <v>46204</v>
      </c>
      <c r="Y11" s="229">
        <v>46235</v>
      </c>
      <c r="Z11" s="229">
        <v>46266</v>
      </c>
      <c r="AA11" s="229">
        <v>46296</v>
      </c>
      <c r="AB11" s="229">
        <v>46327</v>
      </c>
      <c r="AC11" s="229">
        <v>46357</v>
      </c>
      <c r="AD11" s="229">
        <v>46388</v>
      </c>
      <c r="AE11" s="229">
        <v>46419</v>
      </c>
      <c r="AF11" s="229">
        <v>46447</v>
      </c>
      <c r="AG11" s="229">
        <v>46478</v>
      </c>
      <c r="AH11" s="229">
        <v>46508</v>
      </c>
      <c r="AI11" s="229">
        <v>46539</v>
      </c>
      <c r="AJ11" s="229">
        <v>46569</v>
      </c>
      <c r="AK11" s="229">
        <v>46600</v>
      </c>
      <c r="AL11" s="229">
        <v>46631</v>
      </c>
      <c r="AM11" s="229">
        <v>46661</v>
      </c>
      <c r="AN11" s="229">
        <v>46692</v>
      </c>
      <c r="AO11" s="229">
        <v>46722</v>
      </c>
      <c r="AP11" s="229">
        <v>46753</v>
      </c>
      <c r="AQ11" s="229">
        <v>46784</v>
      </c>
      <c r="AR11" s="229">
        <v>46813</v>
      </c>
      <c r="AS11" s="229">
        <v>46844</v>
      </c>
      <c r="AT11" s="229">
        <v>46874</v>
      </c>
      <c r="AU11" s="229">
        <v>46905</v>
      </c>
      <c r="AV11" s="229">
        <v>46935</v>
      </c>
      <c r="AW11" s="229">
        <v>46966</v>
      </c>
      <c r="AX11" s="229">
        <v>46997</v>
      </c>
      <c r="AY11" s="229">
        <v>47027</v>
      </c>
      <c r="AZ11" s="229">
        <v>47058</v>
      </c>
      <c r="BA11" s="229">
        <v>47088</v>
      </c>
      <c r="BB11" s="229">
        <v>47119</v>
      </c>
      <c r="BC11" s="229">
        <v>47150</v>
      </c>
      <c r="BD11" s="229">
        <v>47178</v>
      </c>
      <c r="BE11" s="229">
        <v>47209</v>
      </c>
      <c r="BF11" s="229">
        <v>47239</v>
      </c>
      <c r="BG11" s="229">
        <v>47270</v>
      </c>
      <c r="BH11" s="229">
        <v>47300</v>
      </c>
      <c r="BI11" s="229">
        <v>47331</v>
      </c>
      <c r="BJ11" s="229">
        <v>47362</v>
      </c>
      <c r="BK11" s="229">
        <v>47392</v>
      </c>
      <c r="BL11" s="229">
        <v>47423</v>
      </c>
      <c r="BM11" s="229">
        <v>47453</v>
      </c>
      <c r="BN11" s="229">
        <v>47484</v>
      </c>
      <c r="BO11" s="229">
        <v>47515</v>
      </c>
      <c r="BP11" s="229">
        <v>47543</v>
      </c>
      <c r="BQ11" s="229">
        <v>47574</v>
      </c>
      <c r="BR11" s="229">
        <v>47604</v>
      </c>
      <c r="BS11" s="229">
        <v>47635</v>
      </c>
      <c r="BT11" s="229">
        <v>47665</v>
      </c>
      <c r="BU11" s="229">
        <v>47696</v>
      </c>
      <c r="BV11" s="229">
        <v>47727</v>
      </c>
      <c r="BW11" s="229">
        <v>47757</v>
      </c>
      <c r="BX11" s="229">
        <v>47788</v>
      </c>
      <c r="BY11" s="229">
        <v>47818</v>
      </c>
      <c r="BZ11" s="229">
        <v>47849</v>
      </c>
      <c r="CA11" s="229">
        <v>47880</v>
      </c>
      <c r="CB11" s="229">
        <v>47908</v>
      </c>
      <c r="CC11" s="229">
        <v>47939</v>
      </c>
      <c r="CD11" s="229">
        <v>47969</v>
      </c>
      <c r="CE11" s="229">
        <v>48000</v>
      </c>
      <c r="CF11" s="229">
        <v>48030</v>
      </c>
      <c r="CG11" s="229">
        <v>48061</v>
      </c>
      <c r="CH11" s="229">
        <v>48092</v>
      </c>
      <c r="CI11" s="229">
        <v>48122</v>
      </c>
      <c r="CJ11" s="229">
        <v>48153</v>
      </c>
      <c r="CK11" s="229">
        <v>48183</v>
      </c>
      <c r="CL11" s="229">
        <v>48214</v>
      </c>
      <c r="CM11" s="229">
        <v>48245</v>
      </c>
      <c r="CN11" s="229">
        <v>48274</v>
      </c>
      <c r="CO11" s="229">
        <v>48305</v>
      </c>
      <c r="CP11" s="229">
        <v>48335</v>
      </c>
      <c r="CQ11" s="229">
        <v>48366</v>
      </c>
      <c r="CR11" s="229">
        <v>48396</v>
      </c>
      <c r="CS11" s="229">
        <v>48427</v>
      </c>
      <c r="CT11" s="229">
        <v>48458</v>
      </c>
      <c r="CU11" s="229">
        <v>48488</v>
      </c>
      <c r="CV11" s="229">
        <v>48519</v>
      </c>
      <c r="CW11" s="229">
        <v>48549</v>
      </c>
      <c r="CX11" s="229">
        <v>48580</v>
      </c>
      <c r="CY11" s="229">
        <v>48611</v>
      </c>
      <c r="CZ11" s="229">
        <v>48639</v>
      </c>
      <c r="DA11" s="229">
        <v>48670</v>
      </c>
      <c r="DB11" s="229">
        <v>48700</v>
      </c>
      <c r="DC11" s="229">
        <v>48731</v>
      </c>
      <c r="DD11" s="229">
        <v>48761</v>
      </c>
      <c r="DE11" s="229">
        <v>48792</v>
      </c>
      <c r="DF11" s="229">
        <v>48823</v>
      </c>
      <c r="DG11" s="229">
        <v>48853</v>
      </c>
      <c r="DH11" s="229">
        <v>48884</v>
      </c>
      <c r="DI11" s="229">
        <v>48914</v>
      </c>
      <c r="DJ11" s="229">
        <v>48945</v>
      </c>
      <c r="DK11" s="229">
        <v>48976</v>
      </c>
      <c r="DL11" s="229">
        <v>49004</v>
      </c>
      <c r="DM11" s="229">
        <v>49035</v>
      </c>
      <c r="DN11" s="229">
        <v>49065</v>
      </c>
      <c r="DO11" s="229">
        <v>49096</v>
      </c>
      <c r="DP11" s="229">
        <v>49126</v>
      </c>
      <c r="DQ11" s="229">
        <v>49157</v>
      </c>
      <c r="DR11" s="229">
        <v>49188</v>
      </c>
      <c r="DS11" s="229">
        <v>49218</v>
      </c>
      <c r="DT11" s="229">
        <v>49249</v>
      </c>
      <c r="DU11" s="229">
        <v>49279</v>
      </c>
      <c r="DV11" s="229">
        <v>49310</v>
      </c>
      <c r="DW11" s="229">
        <v>49341</v>
      </c>
      <c r="DX11" s="229">
        <v>49369</v>
      </c>
      <c r="DY11" s="229">
        <v>49400</v>
      </c>
      <c r="DZ11" s="229">
        <v>49430</v>
      </c>
      <c r="EA11" s="229">
        <v>49461</v>
      </c>
      <c r="EB11" s="229">
        <v>49491</v>
      </c>
      <c r="EC11" s="229">
        <v>49522</v>
      </c>
      <c r="ED11" s="229">
        <v>49553</v>
      </c>
      <c r="EE11" s="229">
        <v>49583</v>
      </c>
      <c r="EF11" s="229">
        <v>49614</v>
      </c>
      <c r="EG11" s="229">
        <v>49644</v>
      </c>
      <c r="EH11" s="229">
        <v>49675</v>
      </c>
      <c r="EI11" s="229">
        <v>49706</v>
      </c>
      <c r="EJ11" s="229">
        <v>49735</v>
      </c>
      <c r="EK11" s="229">
        <v>49766</v>
      </c>
      <c r="EL11" s="229">
        <v>49796</v>
      </c>
      <c r="EM11" s="229">
        <v>49827</v>
      </c>
      <c r="EN11" s="229">
        <v>49857</v>
      </c>
      <c r="EO11" s="229">
        <v>49888</v>
      </c>
      <c r="EP11" s="229">
        <v>49919</v>
      </c>
      <c r="EQ11" s="229">
        <v>49949</v>
      </c>
      <c r="ER11" s="229">
        <v>49980</v>
      </c>
      <c r="ES11" s="229">
        <v>50010</v>
      </c>
      <c r="ET11" s="229">
        <v>50041</v>
      </c>
      <c r="EU11" s="229">
        <v>50072</v>
      </c>
      <c r="EV11" s="229">
        <v>50100</v>
      </c>
      <c r="EW11" s="229">
        <v>50131</v>
      </c>
      <c r="EX11" s="229">
        <v>50161</v>
      </c>
      <c r="EY11" s="229">
        <v>50192</v>
      </c>
      <c r="EZ11" s="229">
        <v>50222</v>
      </c>
      <c r="FA11" s="229">
        <v>50253</v>
      </c>
      <c r="FB11" s="229">
        <v>50284</v>
      </c>
      <c r="FC11" s="229">
        <v>50314</v>
      </c>
      <c r="FD11" s="229">
        <v>50345</v>
      </c>
      <c r="FE11" s="229">
        <v>50375</v>
      </c>
      <c r="FF11" s="229">
        <v>50406</v>
      </c>
      <c r="FG11" s="229">
        <v>50437</v>
      </c>
      <c r="FH11" s="229">
        <v>50465</v>
      </c>
      <c r="FI11" s="229">
        <v>50496</v>
      </c>
      <c r="FJ11" s="229">
        <v>50526</v>
      </c>
      <c r="FK11" s="229">
        <v>50557</v>
      </c>
      <c r="FL11" s="229">
        <v>50587</v>
      </c>
      <c r="FM11" s="229">
        <v>50618</v>
      </c>
      <c r="FN11" s="229">
        <v>50649</v>
      </c>
      <c r="FO11" s="229">
        <v>50679</v>
      </c>
      <c r="FP11" s="229">
        <v>50710</v>
      </c>
      <c r="FQ11" s="229">
        <v>50740</v>
      </c>
      <c r="FR11" s="229">
        <v>50771</v>
      </c>
      <c r="FS11" s="229">
        <v>50802</v>
      </c>
      <c r="FT11" s="229">
        <v>50830</v>
      </c>
      <c r="FU11" s="229">
        <v>50861</v>
      </c>
      <c r="FV11" s="229">
        <v>50891</v>
      </c>
      <c r="FW11" s="229">
        <v>50922</v>
      </c>
      <c r="FX11" s="229">
        <v>50952</v>
      </c>
      <c r="FY11" s="229">
        <v>50983</v>
      </c>
      <c r="FZ11" s="229">
        <v>51014</v>
      </c>
      <c r="GA11" s="229">
        <v>51044</v>
      </c>
      <c r="GB11" s="229">
        <v>51075</v>
      </c>
      <c r="GC11" s="229">
        <v>51105</v>
      </c>
      <c r="GD11" s="229">
        <v>51136</v>
      </c>
      <c r="GE11" s="229">
        <v>51167</v>
      </c>
      <c r="GF11" s="229">
        <v>51196</v>
      </c>
      <c r="GG11" s="229">
        <v>51227</v>
      </c>
      <c r="GH11" s="229">
        <v>51257</v>
      </c>
      <c r="GI11" s="229">
        <v>51288</v>
      </c>
      <c r="GJ11" s="229">
        <v>51318</v>
      </c>
      <c r="GK11" s="229">
        <v>51349</v>
      </c>
      <c r="GL11" s="229">
        <v>51380</v>
      </c>
      <c r="GM11" s="229">
        <v>51410</v>
      </c>
      <c r="GN11" s="229">
        <v>51441</v>
      </c>
      <c r="GO11" s="229">
        <v>51471</v>
      </c>
      <c r="GP11" s="229">
        <v>51502</v>
      </c>
      <c r="GQ11" s="229">
        <v>51533</v>
      </c>
      <c r="GR11" s="229">
        <v>51561</v>
      </c>
      <c r="GS11" s="229">
        <v>51592</v>
      </c>
      <c r="GT11" s="229">
        <v>51622</v>
      </c>
      <c r="GU11" s="229">
        <v>51653</v>
      </c>
      <c r="GV11" s="229">
        <v>51683</v>
      </c>
      <c r="GW11" s="229">
        <v>51714</v>
      </c>
      <c r="GX11" s="229">
        <v>51745</v>
      </c>
      <c r="GY11" s="229">
        <v>51775</v>
      </c>
      <c r="GZ11" s="229">
        <v>51806</v>
      </c>
      <c r="HA11" s="229">
        <v>51836</v>
      </c>
      <c r="HB11" s="229">
        <v>51867</v>
      </c>
      <c r="HC11" s="229">
        <v>51898</v>
      </c>
      <c r="HD11" s="229">
        <v>51926</v>
      </c>
      <c r="HE11" s="229">
        <v>51957</v>
      </c>
      <c r="HF11" s="229">
        <v>51987</v>
      </c>
      <c r="HG11" s="229">
        <v>52018</v>
      </c>
      <c r="HH11" s="229">
        <v>52048</v>
      </c>
      <c r="HI11" s="229">
        <v>52079</v>
      </c>
      <c r="HJ11" s="229">
        <v>52110</v>
      </c>
      <c r="HK11" s="229">
        <v>52140</v>
      </c>
      <c r="HL11" s="229">
        <v>52171</v>
      </c>
      <c r="HM11" s="229">
        <v>52201</v>
      </c>
      <c r="HN11" s="229">
        <v>52232</v>
      </c>
      <c r="HO11" s="229">
        <v>52263</v>
      </c>
      <c r="HP11" s="229">
        <v>52291</v>
      </c>
      <c r="HQ11" s="229">
        <v>52322</v>
      </c>
      <c r="HR11" s="229">
        <v>52352</v>
      </c>
      <c r="HS11" s="229">
        <v>52383</v>
      </c>
      <c r="HT11" s="229">
        <v>52413</v>
      </c>
      <c r="HU11" s="229">
        <v>52444</v>
      </c>
      <c r="HV11" s="229">
        <v>52475</v>
      </c>
      <c r="HW11" s="229">
        <v>52505</v>
      </c>
      <c r="HX11" s="229">
        <v>52536</v>
      </c>
      <c r="HY11" s="229">
        <v>52566</v>
      </c>
      <c r="HZ11" s="229">
        <v>52597</v>
      </c>
      <c r="IA11" s="229">
        <v>52628</v>
      </c>
      <c r="IB11" s="229">
        <v>52657</v>
      </c>
      <c r="IC11" s="229">
        <v>52688</v>
      </c>
      <c r="ID11" s="229">
        <v>52718</v>
      </c>
      <c r="IE11" s="229">
        <v>52749</v>
      </c>
      <c r="IF11" s="229">
        <v>52779</v>
      </c>
      <c r="IG11" s="229">
        <v>52810</v>
      </c>
      <c r="IH11" s="229">
        <v>52841</v>
      </c>
      <c r="II11" s="229">
        <v>52871</v>
      </c>
      <c r="IJ11" s="229">
        <v>52902</v>
      </c>
      <c r="IK11" s="229">
        <v>52932</v>
      </c>
      <c r="IL11" s="229">
        <v>52963</v>
      </c>
      <c r="IM11" s="229">
        <v>52994</v>
      </c>
      <c r="IN11" s="229">
        <v>53022</v>
      </c>
      <c r="IO11" s="229">
        <v>53053</v>
      </c>
      <c r="IP11" s="229">
        <v>53083</v>
      </c>
      <c r="IQ11" s="229">
        <v>53114</v>
      </c>
      <c r="IR11" s="229">
        <v>53144</v>
      </c>
      <c r="IS11" s="229">
        <v>53175</v>
      </c>
      <c r="IT11" s="229">
        <v>53206</v>
      </c>
      <c r="IU11" s="229">
        <v>53236</v>
      </c>
      <c r="IV11" s="229">
        <v>53267</v>
      </c>
      <c r="IW11" s="229">
        <v>53297</v>
      </c>
      <c r="IX11" s="229">
        <v>53328</v>
      </c>
      <c r="IY11" s="229">
        <v>53359</v>
      </c>
      <c r="IZ11" s="229">
        <v>53387</v>
      </c>
      <c r="JA11" s="229">
        <v>53418</v>
      </c>
      <c r="JB11" s="229">
        <v>53448</v>
      </c>
      <c r="JC11" s="229">
        <v>53479</v>
      </c>
      <c r="JD11" s="229">
        <v>53509</v>
      </c>
      <c r="JE11" s="229">
        <v>53540</v>
      </c>
      <c r="JF11" s="229">
        <v>53571</v>
      </c>
      <c r="JG11" s="229">
        <v>53601</v>
      </c>
      <c r="JH11" s="229">
        <v>53632</v>
      </c>
      <c r="JI11" s="229">
        <v>53662</v>
      </c>
      <c r="JJ11" s="229">
        <v>53693</v>
      </c>
      <c r="JK11" s="229">
        <v>53724</v>
      </c>
      <c r="JL11" s="229">
        <v>53752</v>
      </c>
      <c r="JM11" s="229">
        <v>53783</v>
      </c>
      <c r="JN11" s="229">
        <v>53813</v>
      </c>
      <c r="JO11" s="229">
        <v>53844</v>
      </c>
      <c r="JP11" s="229">
        <v>53874</v>
      </c>
      <c r="JQ11" s="229">
        <v>53905</v>
      </c>
      <c r="JR11" s="229">
        <v>53936</v>
      </c>
      <c r="JS11" s="229">
        <v>53966</v>
      </c>
      <c r="JT11" s="229">
        <v>53997</v>
      </c>
      <c r="JU11" s="229">
        <v>54027</v>
      </c>
      <c r="JV11" s="229">
        <v>54058</v>
      </c>
      <c r="JW11" s="229">
        <v>54089</v>
      </c>
      <c r="JX11" s="229">
        <v>54118</v>
      </c>
      <c r="JY11" s="229">
        <v>54149</v>
      </c>
      <c r="JZ11" s="229">
        <v>54179</v>
      </c>
      <c r="KA11" s="229">
        <v>54210</v>
      </c>
      <c r="KB11" s="229">
        <v>54240</v>
      </c>
      <c r="KC11" s="229">
        <v>54271</v>
      </c>
      <c r="KD11" s="229">
        <v>54302</v>
      </c>
      <c r="KE11" s="229">
        <v>54332</v>
      </c>
      <c r="KF11" s="229">
        <v>54363</v>
      </c>
      <c r="KG11" s="229">
        <v>54393</v>
      </c>
      <c r="KH11" s="229">
        <v>54424</v>
      </c>
      <c r="KI11" s="229">
        <v>54455</v>
      </c>
      <c r="KJ11" s="229">
        <v>54483</v>
      </c>
      <c r="KK11" s="229">
        <v>54514</v>
      </c>
      <c r="KL11" s="229">
        <v>54544</v>
      </c>
      <c r="KM11" s="229">
        <v>54575</v>
      </c>
      <c r="KN11" s="229">
        <v>54605</v>
      </c>
      <c r="KO11" s="229">
        <v>54636</v>
      </c>
      <c r="KP11" s="229">
        <v>54667</v>
      </c>
      <c r="KQ11" s="229">
        <v>54697</v>
      </c>
      <c r="KR11" s="229">
        <v>54728</v>
      </c>
      <c r="KS11" s="229">
        <v>54758</v>
      </c>
      <c r="KT11" s="229">
        <v>54789</v>
      </c>
      <c r="KU11" s="229">
        <v>54820</v>
      </c>
      <c r="KV11" s="229">
        <v>54848</v>
      </c>
      <c r="KW11" s="229">
        <v>54879</v>
      </c>
      <c r="KX11" s="229">
        <v>54909</v>
      </c>
      <c r="KY11" s="229">
        <v>54940</v>
      </c>
      <c r="KZ11" s="229">
        <v>54970</v>
      </c>
      <c r="LA11" s="229">
        <v>55001</v>
      </c>
      <c r="LB11" s="229">
        <v>55032</v>
      </c>
      <c r="LC11" s="229">
        <v>55062</v>
      </c>
      <c r="LD11" s="229">
        <v>55093</v>
      </c>
      <c r="LE11" s="229">
        <v>55123</v>
      </c>
      <c r="LF11" s="229">
        <v>55154</v>
      </c>
      <c r="LG11" s="229">
        <v>55185</v>
      </c>
      <c r="LH11" s="229">
        <v>55213</v>
      </c>
      <c r="LI11" s="229">
        <v>55244</v>
      </c>
      <c r="LJ11" s="229">
        <v>55274</v>
      </c>
      <c r="LK11" s="229">
        <v>55305</v>
      </c>
      <c r="LL11" s="229">
        <v>55335</v>
      </c>
      <c r="LM11" s="229">
        <v>55366</v>
      </c>
      <c r="LN11" s="229">
        <v>55397</v>
      </c>
      <c r="LO11" s="229">
        <v>55427</v>
      </c>
      <c r="LP11" s="229">
        <v>55458</v>
      </c>
      <c r="LQ11" s="229">
        <v>55488</v>
      </c>
      <c r="LR11" s="229">
        <v>55519</v>
      </c>
      <c r="LS11" s="229">
        <v>55550</v>
      </c>
      <c r="LT11" s="229">
        <v>55579</v>
      </c>
      <c r="LU11" s="229">
        <v>55610</v>
      </c>
      <c r="LV11" s="229">
        <v>55640</v>
      </c>
      <c r="LW11" s="229">
        <v>55671</v>
      </c>
      <c r="LX11" s="229">
        <v>55701</v>
      </c>
      <c r="LY11" s="229">
        <v>55732</v>
      </c>
      <c r="LZ11" s="229">
        <v>55763</v>
      </c>
      <c r="MA11" s="229">
        <v>55793</v>
      </c>
      <c r="MB11" s="229">
        <v>55824</v>
      </c>
      <c r="MC11" s="229">
        <v>55854</v>
      </c>
      <c r="MD11" s="229">
        <v>55885</v>
      </c>
      <c r="ME11" s="229">
        <v>55916</v>
      </c>
      <c r="MF11" s="229">
        <v>55944</v>
      </c>
      <c r="MG11" s="229">
        <v>55975</v>
      </c>
      <c r="MH11" s="229">
        <v>56005</v>
      </c>
      <c r="MI11" s="229">
        <v>56036</v>
      </c>
      <c r="MJ11" s="229">
        <v>56066</v>
      </c>
      <c r="MK11" s="229">
        <v>56097</v>
      </c>
      <c r="ML11" s="229">
        <v>56128</v>
      </c>
      <c r="MM11" s="229">
        <v>56158</v>
      </c>
      <c r="MN11" s="229">
        <v>56189</v>
      </c>
      <c r="MO11" s="229">
        <v>56219</v>
      </c>
      <c r="MP11" s="229">
        <v>56250</v>
      </c>
      <c r="MQ11" s="229">
        <v>56281</v>
      </c>
      <c r="MR11" s="229">
        <v>56309</v>
      </c>
      <c r="MS11" s="229">
        <v>56340</v>
      </c>
      <c r="MT11" s="229">
        <v>56370</v>
      </c>
      <c r="MU11" s="229">
        <v>56401</v>
      </c>
      <c r="MV11" s="229">
        <v>56431</v>
      </c>
      <c r="MW11" s="229">
        <v>56462</v>
      </c>
      <c r="MX11" s="229">
        <v>56493</v>
      </c>
      <c r="MY11" s="229">
        <v>56523</v>
      </c>
      <c r="MZ11" s="229">
        <v>56554</v>
      </c>
      <c r="NA11" s="229">
        <v>56584</v>
      </c>
      <c r="NB11" s="229">
        <v>56615</v>
      </c>
      <c r="NC11" s="229">
        <v>56646</v>
      </c>
      <c r="ND11" s="229">
        <v>56674</v>
      </c>
      <c r="NE11" s="229">
        <v>56705</v>
      </c>
      <c r="NF11" s="229">
        <v>56735</v>
      </c>
      <c r="NG11" s="229">
        <v>56766</v>
      </c>
      <c r="NH11" s="229">
        <v>56796</v>
      </c>
      <c r="NI11" s="229">
        <v>56827</v>
      </c>
      <c r="NJ11" s="229">
        <v>56858</v>
      </c>
      <c r="NK11" s="229">
        <v>56888</v>
      </c>
      <c r="NL11" s="229">
        <v>56919</v>
      </c>
      <c r="NM11" s="229">
        <v>56949</v>
      </c>
      <c r="NN11" s="229">
        <v>56980</v>
      </c>
      <c r="NO11" s="229">
        <v>57011</v>
      </c>
      <c r="NP11" s="229">
        <v>57040</v>
      </c>
      <c r="NQ11" s="229">
        <v>57071</v>
      </c>
      <c r="NR11" s="229">
        <v>57101</v>
      </c>
      <c r="NS11" s="229">
        <v>57132</v>
      </c>
      <c r="NT11" s="229">
        <v>57162</v>
      </c>
      <c r="NU11" s="229">
        <v>57193</v>
      </c>
      <c r="NV11" s="229">
        <v>57224</v>
      </c>
      <c r="NW11" s="229">
        <v>57254</v>
      </c>
      <c r="NX11" s="229">
        <v>57285</v>
      </c>
      <c r="NY11" s="229">
        <v>57315</v>
      </c>
      <c r="NZ11" s="229">
        <v>57346</v>
      </c>
      <c r="OA11" s="229">
        <v>57377</v>
      </c>
      <c r="OB11" s="229">
        <v>57405</v>
      </c>
      <c r="OC11" s="229">
        <v>57436</v>
      </c>
      <c r="OD11" s="229">
        <v>57466</v>
      </c>
      <c r="OE11">
        <v>57497</v>
      </c>
      <c r="OF11">
        <v>57527</v>
      </c>
      <c r="OG11">
        <v>57558</v>
      </c>
      <c r="OH11">
        <v>57589</v>
      </c>
      <c r="OI11">
        <v>57619</v>
      </c>
      <c r="OJ11">
        <v>57650</v>
      </c>
      <c r="OK11">
        <v>57680</v>
      </c>
    </row>
    <row r="12" spans="1:401" outlineLevel="1" x14ac:dyDescent="0.3">
      <c r="A12" s="16"/>
      <c r="C12" s="16" t="s">
        <v>224</v>
      </c>
      <c r="D12" s="133"/>
      <c r="E12" s="123"/>
      <c r="F12" s="123"/>
      <c r="G12" s="88"/>
      <c r="H12" s="124"/>
      <c r="I12" s="125"/>
      <c r="J12" s="76"/>
      <c r="K12" s="66"/>
      <c r="L12" s="77"/>
      <c r="M12" s="89" t="s">
        <v>224</v>
      </c>
      <c r="N12" s="224">
        <f>E11</f>
        <v>45962</v>
      </c>
      <c r="O12" s="225">
        <f>MAX(O13:O20)</f>
        <v>46322</v>
      </c>
      <c r="P12" t="str" cm="1">
        <f t="array" ref="P12:OK12">IF((N12&lt;=_xlfn.ANCHORARRAY($P$2))*(_xlfn.ANCHORARRAY($P$2)&lt;O12)," ","")</f>
        <v xml:space="preserve"> </v>
      </c>
      <c r="Q12" t="str">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c>
      <c r="AC12" t="str">
        <v/>
      </c>
      <c r="AD12" t="str">
        <v/>
      </c>
      <c r="AE12" t="str">
        <v/>
      </c>
      <c r="AF12" t="str">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c r="OF12" t="str">
        <v/>
      </c>
      <c r="OG12" t="str">
        <v/>
      </c>
      <c r="OH12" t="str">
        <v/>
      </c>
      <c r="OI12" t="str">
        <v/>
      </c>
      <c r="OJ12" t="str">
        <v/>
      </c>
      <c r="OK12" t="str">
        <v/>
      </c>
    </row>
    <row r="13" spans="1:401" outlineLevel="1" x14ac:dyDescent="0.3">
      <c r="A13" s="16"/>
      <c r="D13" s="133" t="s">
        <v>336</v>
      </c>
      <c r="E13" s="215">
        <v>360</v>
      </c>
      <c r="F13" s="216" t="s">
        <v>337</v>
      </c>
      <c r="G13" s="88"/>
      <c r="H13" s="124"/>
      <c r="I13" s="125"/>
      <c r="J13" s="76"/>
      <c r="K13" s="66"/>
      <c r="L13" s="77"/>
      <c r="M13" t="s">
        <v>380</v>
      </c>
      <c r="N13" s="9">
        <f>E11</f>
        <v>45962</v>
      </c>
      <c r="O13" s="226">
        <f>N13+E13</f>
        <v>46322</v>
      </c>
      <c r="P13" t="str" cm="1">
        <f t="array" ref="P13:OK13">IF((N13&lt;=_xlfn.ANCHORARRAY($P$2))*(_xlfn.ANCHORARRAY($P$2)&lt;O13)," ","")</f>
        <v xml:space="preserve"> </v>
      </c>
      <c r="Q13" t="str">
        <v xml:space="preserve"> </v>
      </c>
      <c r="R13" t="str">
        <v xml:space="preserve"> </v>
      </c>
      <c r="S13" t="str">
        <v xml:space="preserve"> </v>
      </c>
      <c r="T13" t="str">
        <v xml:space="preserve"> </v>
      </c>
      <c r="U13" t="str">
        <v xml:space="preserve"> </v>
      </c>
      <c r="V13" t="str">
        <v xml:space="preserve"> </v>
      </c>
      <c r="W13" t="str">
        <v xml:space="preserve"> </v>
      </c>
      <c r="X13" t="str">
        <v xml:space="preserve"> </v>
      </c>
      <c r="Y13" t="str">
        <v xml:space="preserve"> </v>
      </c>
      <c r="Z13" t="str">
        <v xml:space="preserve"> </v>
      </c>
      <c r="AA13" t="str">
        <v xml:space="preserve">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c r="OF13" t="str">
        <v/>
      </c>
      <c r="OG13" t="str">
        <v/>
      </c>
      <c r="OH13" t="str">
        <v/>
      </c>
      <c r="OI13" t="str">
        <v/>
      </c>
      <c r="OJ13" t="str">
        <v/>
      </c>
      <c r="OK13" t="str">
        <v/>
      </c>
    </row>
    <row r="14" spans="1:401" outlineLevel="1" x14ac:dyDescent="0.3">
      <c r="A14" s="16"/>
      <c r="D14" s="133" t="s">
        <v>368</v>
      </c>
      <c r="E14" s="215"/>
      <c r="F14" s="216" t="s">
        <v>337</v>
      </c>
      <c r="G14" s="88"/>
      <c r="H14" s="124"/>
      <c r="I14" s="125"/>
      <c r="J14" s="76"/>
      <c r="K14" s="66"/>
      <c r="L14" s="77"/>
      <c r="M14" t="s">
        <v>369</v>
      </c>
      <c r="N14" s="9"/>
      <c r="O14" s="226"/>
      <c r="P14" t="str" cm="1">
        <f t="array" ref="P14:OK14">IF((N14&lt;=_xlfn.ANCHORARRAY($P$2))*(_xlfn.ANCHORARRAY($P$2)&lt;O14)," ","")</f>
        <v/>
      </c>
      <c r="Q14" t="str">
        <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c r="OF14" t="str">
        <v/>
      </c>
      <c r="OG14" t="str">
        <v/>
      </c>
      <c r="OH14" t="str">
        <v/>
      </c>
      <c r="OI14" t="str">
        <v/>
      </c>
      <c r="OJ14" t="str">
        <v/>
      </c>
      <c r="OK14" t="str">
        <v/>
      </c>
    </row>
    <row r="15" spans="1:401" outlineLevel="1" x14ac:dyDescent="0.3">
      <c r="A15" s="16"/>
      <c r="D15" s="133" t="s">
        <v>370</v>
      </c>
      <c r="E15" s="215"/>
      <c r="F15" s="216" t="s">
        <v>337</v>
      </c>
      <c r="G15" s="88"/>
      <c r="H15" s="124"/>
      <c r="I15" s="125"/>
      <c r="J15" s="76"/>
      <c r="K15" s="66"/>
      <c r="L15" s="77"/>
      <c r="M15" t="s">
        <v>371</v>
      </c>
      <c r="N15" s="9"/>
      <c r="O15" s="226"/>
      <c r="P15" t="str" cm="1">
        <f t="array" ref="P15:OK15">IF((N15&lt;=_xlfn.ANCHORARRAY($P$2))*(_xlfn.ANCHORARRAY($P$2)&lt;O15)," ","")</f>
        <v/>
      </c>
      <c r="Q15" t="str">
        <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c r="OF15" t="str">
        <v/>
      </c>
      <c r="OG15" t="str">
        <v/>
      </c>
      <c r="OH15" t="str">
        <v/>
      </c>
      <c r="OI15" t="str">
        <v/>
      </c>
      <c r="OJ15" t="str">
        <v/>
      </c>
      <c r="OK15" t="str">
        <v/>
      </c>
    </row>
    <row r="16" spans="1:401" outlineLevel="1" x14ac:dyDescent="0.3">
      <c r="A16" s="16"/>
      <c r="D16" s="21" t="s">
        <v>372</v>
      </c>
      <c r="E16" s="215"/>
      <c r="F16" s="216" t="s">
        <v>337</v>
      </c>
      <c r="G16" s="88"/>
      <c r="H16" s="124"/>
      <c r="I16" s="125"/>
      <c r="J16" s="76"/>
      <c r="K16" s="66"/>
      <c r="L16" s="77"/>
      <c r="M16" t="s">
        <v>377</v>
      </c>
      <c r="N16" s="9"/>
      <c r="O16" s="226"/>
      <c r="P16" t="str" cm="1">
        <f t="array" ref="P16:OK16">IF((N16&lt;=_xlfn.ANCHORARRAY($P$2))*(_xlfn.ANCHORARRAY($P$2)&lt;O16)," ","")</f>
        <v/>
      </c>
      <c r="Q16" t="str">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c r="OF16" t="str">
        <v/>
      </c>
      <c r="OG16" t="str">
        <v/>
      </c>
      <c r="OH16" t="str">
        <v/>
      </c>
      <c r="OI16" t="str">
        <v/>
      </c>
      <c r="OJ16" t="str">
        <v/>
      </c>
      <c r="OK16" t="str">
        <v/>
      </c>
    </row>
    <row r="17" spans="1:401" outlineLevel="1" x14ac:dyDescent="0.3">
      <c r="A17" s="16"/>
      <c r="D17" s="21" t="s">
        <v>373</v>
      </c>
      <c r="E17" s="215"/>
      <c r="F17" s="216" t="s">
        <v>337</v>
      </c>
      <c r="G17" s="88"/>
      <c r="H17" s="124"/>
      <c r="I17" s="125"/>
      <c r="J17" s="76"/>
      <c r="K17" s="66"/>
      <c r="L17" s="77"/>
      <c r="M17" t="s">
        <v>376</v>
      </c>
      <c r="N17" s="9"/>
      <c r="O17" s="226"/>
      <c r="P17" t="str" cm="1">
        <f t="array" ref="P17:OK17">IF((N17&lt;=_xlfn.ANCHORARRAY($P$2))*(_xlfn.ANCHORARRAY($P$2)&lt;O17)," ","")</f>
        <v/>
      </c>
      <c r="Q17" t="str">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c r="OF17" t="str">
        <v/>
      </c>
      <c r="OG17" t="str">
        <v/>
      </c>
      <c r="OH17" t="str">
        <v/>
      </c>
      <c r="OI17" t="str">
        <v/>
      </c>
      <c r="OJ17" t="str">
        <v/>
      </c>
      <c r="OK17" t="str">
        <v/>
      </c>
    </row>
    <row r="18" spans="1:401" outlineLevel="1" x14ac:dyDescent="0.3">
      <c r="A18" s="16"/>
      <c r="D18" s="21" t="s">
        <v>374</v>
      </c>
      <c r="E18" s="215"/>
      <c r="F18" s="216" t="s">
        <v>337</v>
      </c>
      <c r="G18" s="88"/>
      <c r="H18" s="124"/>
      <c r="I18" s="125"/>
      <c r="J18" s="76"/>
      <c r="K18" s="66"/>
      <c r="L18" s="77"/>
      <c r="M18" t="s">
        <v>375</v>
      </c>
      <c r="N18" s="9"/>
      <c r="O18" s="226"/>
      <c r="P18" t="str" cm="1">
        <f t="array" ref="P18:OK18">IF((N18&lt;=_xlfn.ANCHORARRAY($P$2))*(_xlfn.ANCHORARRAY($P$2)&lt;O18)," ","")</f>
        <v/>
      </c>
      <c r="Q18" t="str">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c r="OF18" t="str">
        <v/>
      </c>
      <c r="OG18" t="str">
        <v/>
      </c>
      <c r="OH18" t="str">
        <v/>
      </c>
      <c r="OI18" t="str">
        <v/>
      </c>
      <c r="OJ18" t="str">
        <v/>
      </c>
      <c r="OK18" t="str">
        <v/>
      </c>
    </row>
    <row r="19" spans="1:401" outlineLevel="1" x14ac:dyDescent="0.3">
      <c r="A19" s="16"/>
      <c r="D19" s="21" t="s">
        <v>378</v>
      </c>
      <c r="E19" s="215"/>
      <c r="F19" s="216" t="s">
        <v>337</v>
      </c>
      <c r="G19" s="88"/>
      <c r="H19" s="124"/>
      <c r="I19" s="125"/>
      <c r="J19" s="76"/>
      <c r="K19" s="66"/>
      <c r="L19" s="77"/>
      <c r="M19" t="s">
        <v>379</v>
      </c>
      <c r="N19" s="9"/>
      <c r="O19" s="226"/>
      <c r="P19" t="str" cm="1">
        <f t="array" ref="P19:OK19">IF((N19&lt;=_xlfn.ANCHORARRAY($P$2))*(_xlfn.ANCHORARRAY($P$2)&lt;O19)," ","")</f>
        <v/>
      </c>
      <c r="Q19" t="str">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c r="OF19" t="str">
        <v/>
      </c>
      <c r="OG19" t="str">
        <v/>
      </c>
      <c r="OH19" t="str">
        <v/>
      </c>
      <c r="OI19" t="str">
        <v/>
      </c>
      <c r="OJ19" t="str">
        <v/>
      </c>
      <c r="OK19" t="str">
        <v/>
      </c>
    </row>
    <row r="20" spans="1:401" outlineLevel="1" x14ac:dyDescent="0.3">
      <c r="A20" s="16"/>
      <c r="C20"/>
      <c r="D20" s="133" t="s">
        <v>335</v>
      </c>
      <c r="E20" s="215">
        <v>30</v>
      </c>
      <c r="F20" s="216" t="s">
        <v>337</v>
      </c>
      <c r="G20" s="88"/>
      <c r="H20" s="124"/>
      <c r="I20" s="125"/>
      <c r="J20" s="76"/>
      <c r="K20" s="66"/>
      <c r="L20" s="77"/>
      <c r="M20" s="6" t="s">
        <v>342</v>
      </c>
      <c r="N20" s="227"/>
      <c r="O20" s="228"/>
      <c r="P20" t="str" cm="1">
        <f t="array" ref="P20:OK20">IF((N20&lt;=_xlfn.ANCHORARRAY($P$2))*(_xlfn.ANCHORARRAY($P$2)&lt;O20)," ","")</f>
        <v/>
      </c>
      <c r="Q20" t="str">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c>
      <c r="AP20" t="str">
        <v/>
      </c>
      <c r="AQ20" t="str">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c r="OF20" t="str">
        <v/>
      </c>
      <c r="OG20" t="str">
        <v/>
      </c>
      <c r="OH20" t="str">
        <v/>
      </c>
      <c r="OI20" t="str">
        <v/>
      </c>
      <c r="OJ20" t="str">
        <v/>
      </c>
      <c r="OK20" t="str">
        <v/>
      </c>
    </row>
    <row r="21" spans="1:401" outlineLevel="1" x14ac:dyDescent="0.3">
      <c r="A21" s="16"/>
      <c r="C21" s="16" t="s">
        <v>233</v>
      </c>
      <c r="D21" s="133"/>
      <c r="E21" s="133"/>
      <c r="F21" s="133"/>
      <c r="G21" s="88"/>
      <c r="H21" s="124"/>
      <c r="I21" s="125"/>
      <c r="J21" s="76"/>
      <c r="K21" s="66"/>
      <c r="L21" s="77"/>
      <c r="M21" s="88" t="s">
        <v>233</v>
      </c>
      <c r="N21" s="9"/>
      <c r="O21" s="226"/>
      <c r="P21" t="str" cm="1">
        <f t="array" ref="P21:OK21">IF((N21&lt;=_xlfn.ANCHORARRAY($P$2))*(_xlfn.ANCHORARRAY($P$2)&lt;O21)," ","")</f>
        <v/>
      </c>
      <c r="Q21" t="str">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c r="OF21" t="str">
        <v/>
      </c>
      <c r="OG21" t="str">
        <v/>
      </c>
      <c r="OH21" t="str">
        <v/>
      </c>
      <c r="OI21" t="str">
        <v/>
      </c>
      <c r="OJ21" t="str">
        <v/>
      </c>
      <c r="OK21" t="str">
        <v/>
      </c>
    </row>
    <row r="22" spans="1:401" outlineLevel="1" x14ac:dyDescent="0.3">
      <c r="A22" s="16"/>
      <c r="D22" s="133" t="s">
        <v>346</v>
      </c>
      <c r="E22" s="215"/>
      <c r="F22" s="216" t="s">
        <v>337</v>
      </c>
      <c r="G22" s="88"/>
      <c r="H22" s="124"/>
      <c r="I22" s="125"/>
      <c r="J22" s="76"/>
      <c r="K22" s="66"/>
      <c r="L22" s="77"/>
      <c r="M22" t="s">
        <v>347</v>
      </c>
      <c r="N22" s="9"/>
      <c r="O22" s="226"/>
      <c r="P22" t="str" cm="1">
        <f t="array" ref="P22:OK22">IF((N22&lt;=_xlfn.ANCHORARRAY($P$2))*(_xlfn.ANCHORARRAY($P$2)&lt;O22)," ","")</f>
        <v/>
      </c>
      <c r="Q22" t="str">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K22" t="str">
        <v/>
      </c>
      <c r="AL22" t="str">
        <v/>
      </c>
      <c r="AM22" t="str">
        <v/>
      </c>
      <c r="AN22" t="str">
        <v/>
      </c>
      <c r="AO22" t="str">
        <v/>
      </c>
      <c r="AP22" t="str">
        <v/>
      </c>
      <c r="AQ22" t="str">
        <v/>
      </c>
      <c r="AR22" t="str">
        <v/>
      </c>
      <c r="AS22" t="str">
        <v/>
      </c>
      <c r="AT22" t="str">
        <v/>
      </c>
      <c r="AU22" t="str">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c r="OF22" t="str">
        <v/>
      </c>
      <c r="OG22" t="str">
        <v/>
      </c>
      <c r="OH22" t="str">
        <v/>
      </c>
      <c r="OI22" t="str">
        <v/>
      </c>
      <c r="OJ22" t="str">
        <v/>
      </c>
      <c r="OK22" t="str">
        <v/>
      </c>
    </row>
    <row r="23" spans="1:401" outlineLevel="1" x14ac:dyDescent="0.3">
      <c r="A23" s="16"/>
      <c r="D23" s="133" t="s">
        <v>339</v>
      </c>
      <c r="E23" s="215"/>
      <c r="F23" s="216" t="s">
        <v>337</v>
      </c>
      <c r="G23" s="88"/>
      <c r="H23" s="124"/>
      <c r="I23" s="125"/>
      <c r="J23" s="76"/>
      <c r="K23" s="66"/>
      <c r="L23" s="77"/>
      <c r="M23" t="s">
        <v>338</v>
      </c>
      <c r="N23" s="9"/>
      <c r="O23" s="226"/>
      <c r="P23" t="str" cm="1">
        <f t="array" ref="P23:OK23">IF((N23&lt;=_xlfn.ANCHORARRAY($P$2))*(_xlfn.ANCHORARRAY($P$2)&lt;O23)," ","")</f>
        <v/>
      </c>
      <c r="Q23" t="str">
        <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c r="OF23" t="str">
        <v/>
      </c>
      <c r="OG23" t="str">
        <v/>
      </c>
      <c r="OH23" t="str">
        <v/>
      </c>
      <c r="OI23" t="str">
        <v/>
      </c>
      <c r="OJ23" t="str">
        <v/>
      </c>
      <c r="OK23" t="str">
        <v/>
      </c>
    </row>
    <row r="24" spans="1:401" outlineLevel="1" x14ac:dyDescent="0.3">
      <c r="A24" s="16"/>
      <c r="D24" s="133" t="s">
        <v>340</v>
      </c>
      <c r="E24" s="215">
        <v>36</v>
      </c>
      <c r="F24" s="216" t="s">
        <v>337</v>
      </c>
      <c r="G24" s="88"/>
      <c r="H24" s="124"/>
      <c r="I24" s="125"/>
      <c r="J24" s="76"/>
      <c r="K24" s="66"/>
      <c r="L24" s="77"/>
      <c r="M24" t="s">
        <v>343</v>
      </c>
      <c r="N24" s="9"/>
      <c r="O24" s="226"/>
      <c r="P24" t="str" cm="1">
        <f t="array" ref="P24:OK24">IF((N24&lt;=_xlfn.ANCHORARRAY($P$2))*(_xlfn.ANCHORARRAY($P$2)&lt;O24)," ","")</f>
        <v/>
      </c>
      <c r="Q24" t="str">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c r="OF24" t="str">
        <v/>
      </c>
      <c r="OG24" t="str">
        <v/>
      </c>
      <c r="OH24" t="str">
        <v/>
      </c>
      <c r="OI24" t="str">
        <v/>
      </c>
      <c r="OJ24" t="str">
        <v/>
      </c>
      <c r="OK24" t="str">
        <v/>
      </c>
    </row>
    <row r="25" spans="1:401" outlineLevel="1" x14ac:dyDescent="0.3">
      <c r="A25" s="16"/>
      <c r="C25" s="16"/>
      <c r="D25" s="133" t="s">
        <v>341</v>
      </c>
      <c r="E25" s="215">
        <v>7</v>
      </c>
      <c r="F25" s="216" t="s">
        <v>337</v>
      </c>
      <c r="G25" s="88"/>
      <c r="H25" s="124"/>
      <c r="I25" s="125"/>
      <c r="J25" s="76"/>
      <c r="K25" s="66"/>
      <c r="L25" s="77"/>
      <c r="M25" s="87" t="s">
        <v>344</v>
      </c>
      <c r="N25" s="227"/>
      <c r="O25" s="228"/>
      <c r="P25" t="str" cm="1">
        <f t="array" ref="P25:OK25">IF((N25&lt;=_xlfn.ANCHORARRAY($P$2))*(_xlfn.ANCHORARRAY($P$2)&lt;O25)," ","")</f>
        <v/>
      </c>
      <c r="Q25" t="str">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c r="OF25" t="str">
        <v/>
      </c>
      <c r="OG25" t="str">
        <v/>
      </c>
      <c r="OH25" t="str">
        <v/>
      </c>
      <c r="OI25" t="str">
        <v/>
      </c>
      <c r="OJ25" t="str">
        <v/>
      </c>
      <c r="OK25" t="str">
        <v/>
      </c>
    </row>
    <row r="26" spans="1:401" outlineLevel="1" x14ac:dyDescent="0.3">
      <c r="A26" s="16"/>
      <c r="C26" s="16"/>
      <c r="D26"/>
      <c r="G26" s="88"/>
      <c r="H26" s="124"/>
      <c r="I26" s="125"/>
      <c r="J26" s="76"/>
      <c r="K26" s="66"/>
      <c r="L26" s="77"/>
      <c r="M26" s="223" t="s">
        <v>345</v>
      </c>
      <c r="N26" s="227"/>
      <c r="O26" s="228"/>
      <c r="P26" s="206" t="str" cm="1">
        <f t="array" ref="P26:OK26">IF((N26&lt;=_xlfn.ANCHORARRAY($P$2))*(_xlfn.ANCHORARRAY($P$2)&lt;O26)," ","")</f>
        <v/>
      </c>
      <c r="Q26" t="str">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c r="OF26" t="str">
        <v/>
      </c>
      <c r="OG26" t="str">
        <v/>
      </c>
      <c r="OH26" t="str">
        <v/>
      </c>
      <c r="OI26" t="str">
        <v/>
      </c>
      <c r="OJ26" t="str">
        <v/>
      </c>
      <c r="OK26" t="str">
        <v/>
      </c>
    </row>
    <row r="27" spans="1:401" ht="14.4" thickBot="1" x14ac:dyDescent="0.35">
      <c r="A27" s="16"/>
      <c r="B27" s="185" t="s">
        <v>241</v>
      </c>
      <c r="C27" s="218"/>
      <c r="D27" s="186"/>
      <c r="E27" s="219"/>
      <c r="F27" s="219"/>
      <c r="G27" s="220"/>
      <c r="H27" s="221"/>
      <c r="I27" s="222"/>
      <c r="J27" s="157"/>
      <c r="K27" s="156"/>
      <c r="L27" s="156"/>
      <c r="M27" s="156"/>
      <c r="N27" s="156"/>
      <c r="O27" s="156"/>
      <c r="P27" s="156"/>
      <c r="Q27" s="189"/>
      <c r="R27" s="189"/>
      <c r="S27" s="189"/>
      <c r="T27" s="189"/>
      <c r="U27" s="189"/>
      <c r="V27" s="189"/>
      <c r="W27" s="189"/>
      <c r="X27" s="189"/>
      <c r="Y27" s="189"/>
      <c r="Z27" s="189"/>
      <c r="AA27" s="189"/>
      <c r="AB27" s="189"/>
      <c r="AC27" s="189"/>
      <c r="AD27" s="189"/>
      <c r="AE27" s="189"/>
      <c r="AF27" s="189"/>
      <c r="AG27" s="189"/>
      <c r="AH27" s="189"/>
      <c r="AI27" s="189"/>
      <c r="AJ27" s="189"/>
      <c r="AK27" s="189"/>
      <c r="AL27" s="189"/>
      <c r="AM27" s="189"/>
      <c r="AN27" s="189"/>
      <c r="AO27" s="189"/>
      <c r="AP27" s="189"/>
      <c r="AQ27" s="189"/>
      <c r="AR27" s="189"/>
      <c r="AS27" s="189"/>
      <c r="AT27" s="189"/>
      <c r="AU27" s="189"/>
      <c r="AV27" s="189"/>
      <c r="AW27" s="189"/>
      <c r="AX27" s="189"/>
      <c r="AY27" s="189"/>
      <c r="AZ27" s="189"/>
      <c r="BA27" s="189"/>
      <c r="BB27" s="189"/>
      <c r="BC27" s="189"/>
      <c r="BD27" s="189"/>
      <c r="BE27" s="189"/>
      <c r="BF27" s="189"/>
      <c r="BG27" s="189"/>
      <c r="BH27" s="189"/>
      <c r="BI27" s="189"/>
      <c r="BJ27" s="189"/>
      <c r="BK27" s="189"/>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c r="DA27" s="189"/>
      <c r="DB27" s="189"/>
      <c r="DC27" s="189"/>
      <c r="DD27" s="189"/>
      <c r="DE27" s="189"/>
      <c r="DF27" s="189"/>
      <c r="DG27" s="189"/>
      <c r="DH27" s="189"/>
      <c r="DI27" s="189"/>
      <c r="DJ27" s="189"/>
      <c r="DK27" s="189"/>
      <c r="DL27" s="189"/>
      <c r="DM27" s="189"/>
      <c r="DN27" s="189"/>
      <c r="DO27" s="189"/>
      <c r="DP27" s="189"/>
      <c r="DQ27" s="189"/>
      <c r="DR27" s="189"/>
      <c r="DS27" s="189"/>
      <c r="DT27" s="189"/>
      <c r="DU27" s="189"/>
      <c r="DV27" s="189"/>
      <c r="DW27" s="189"/>
      <c r="DX27" s="189"/>
      <c r="DY27" s="189"/>
      <c r="DZ27" s="189"/>
      <c r="EA27" s="189"/>
      <c r="EB27" s="189"/>
      <c r="EC27" s="189"/>
      <c r="ED27" s="189"/>
      <c r="EE27" s="189"/>
      <c r="EF27" s="189"/>
      <c r="EG27" s="189"/>
      <c r="EH27" s="189"/>
      <c r="EI27" s="189"/>
      <c r="EJ27" s="189"/>
      <c r="EK27" s="189"/>
      <c r="EL27" s="189"/>
      <c r="EM27" s="189"/>
      <c r="EN27" s="189"/>
      <c r="EO27" s="189"/>
      <c r="EP27" s="189"/>
      <c r="EQ27" s="189"/>
      <c r="ER27" s="189"/>
      <c r="ES27" s="189"/>
      <c r="ET27" s="189"/>
      <c r="EU27" s="189"/>
      <c r="EV27" s="189"/>
      <c r="EW27" s="189"/>
      <c r="EX27" s="189"/>
      <c r="EY27" s="189"/>
      <c r="EZ27" s="189"/>
      <c r="FA27" s="189"/>
      <c r="FB27" s="189"/>
      <c r="FC27" s="189"/>
      <c r="FD27" s="189"/>
      <c r="FE27" s="189"/>
      <c r="FF27" s="189"/>
      <c r="FG27" s="189"/>
      <c r="FH27" s="189"/>
      <c r="FI27" s="189"/>
      <c r="FJ27" s="189"/>
      <c r="FK27" s="189"/>
      <c r="FL27" s="189"/>
      <c r="FM27" s="189"/>
      <c r="FN27" s="189"/>
      <c r="FO27" s="189"/>
      <c r="FP27" s="189"/>
      <c r="FQ27" s="189"/>
      <c r="FR27" s="189"/>
      <c r="FS27" s="189"/>
      <c r="FT27" s="189"/>
      <c r="FU27" s="189"/>
      <c r="FV27" s="189"/>
      <c r="FW27" s="189"/>
      <c r="FX27" s="189"/>
      <c r="FY27" s="189"/>
      <c r="FZ27" s="189"/>
      <c r="GA27" s="189"/>
      <c r="GB27" s="189"/>
      <c r="GC27" s="189"/>
      <c r="GD27" s="189"/>
      <c r="GE27" s="189"/>
      <c r="GF27" s="189"/>
      <c r="GG27" s="189"/>
      <c r="GH27" s="189"/>
      <c r="GI27" s="189"/>
      <c r="GJ27" s="189"/>
      <c r="GK27" s="189"/>
      <c r="GL27" s="189"/>
      <c r="GM27" s="189"/>
      <c r="GN27" s="189"/>
      <c r="GO27" s="189"/>
      <c r="GP27" s="189"/>
      <c r="GQ27" s="189"/>
      <c r="GR27" s="189"/>
      <c r="GS27" s="189"/>
      <c r="GT27" s="189"/>
      <c r="GU27" s="189"/>
      <c r="GV27" s="189"/>
      <c r="GW27" s="189"/>
      <c r="GX27" s="189"/>
      <c r="GY27" s="189"/>
      <c r="GZ27" s="189"/>
      <c r="HA27" s="189"/>
      <c r="HB27" s="189"/>
      <c r="HC27" s="189"/>
      <c r="HD27" s="189"/>
      <c r="HE27" s="189"/>
      <c r="HF27" s="189"/>
      <c r="HG27" s="189"/>
      <c r="HH27" s="189"/>
      <c r="HI27" s="189"/>
      <c r="HJ27" s="189"/>
      <c r="HK27" s="189"/>
      <c r="HL27" s="189"/>
      <c r="HM27" s="189"/>
      <c r="HN27" s="189"/>
      <c r="HO27" s="189"/>
      <c r="HP27" s="189"/>
      <c r="HQ27" s="189"/>
      <c r="HR27" s="189"/>
      <c r="HS27" s="189"/>
      <c r="HT27" s="189"/>
      <c r="HU27" s="189"/>
      <c r="HV27" s="189"/>
      <c r="HW27" s="189"/>
      <c r="HX27" s="189"/>
      <c r="HY27" s="189"/>
      <c r="HZ27" s="189"/>
      <c r="IA27" s="189"/>
      <c r="IB27" s="189"/>
      <c r="IC27" s="189"/>
      <c r="ID27" s="189"/>
      <c r="IE27" s="189"/>
      <c r="IF27" s="189"/>
      <c r="IG27" s="189"/>
      <c r="IH27" s="189"/>
      <c r="II27" s="189"/>
      <c r="IJ27" s="189"/>
      <c r="IK27" s="189"/>
      <c r="IL27" s="189"/>
      <c r="IM27" s="189"/>
      <c r="IN27" s="189"/>
      <c r="IO27" s="189"/>
      <c r="IP27" s="189"/>
      <c r="IQ27" s="189"/>
      <c r="IR27" s="189"/>
      <c r="IS27" s="189"/>
      <c r="IT27" s="189"/>
      <c r="IU27" s="189"/>
      <c r="IV27" s="189"/>
      <c r="IW27" s="189"/>
      <c r="IX27" s="189"/>
      <c r="IY27" s="189"/>
      <c r="IZ27" s="189"/>
      <c r="JA27" s="189"/>
      <c r="JB27" s="189"/>
      <c r="JC27" s="189"/>
      <c r="JD27" s="189"/>
      <c r="JE27" s="189"/>
      <c r="JF27" s="189"/>
      <c r="JG27" s="189"/>
      <c r="JH27" s="189"/>
      <c r="JI27" s="189"/>
      <c r="JJ27" s="189"/>
      <c r="JK27" s="189"/>
      <c r="JL27" s="189"/>
      <c r="JM27" s="189"/>
      <c r="JN27" s="189"/>
      <c r="JO27" s="189"/>
      <c r="JP27" s="189"/>
      <c r="JQ27" s="189"/>
      <c r="JR27" s="189"/>
      <c r="JS27" s="189"/>
      <c r="JT27" s="189"/>
      <c r="JU27" s="189"/>
      <c r="JV27" s="189"/>
      <c r="JW27" s="189"/>
      <c r="JX27" s="189"/>
      <c r="JY27" s="189"/>
      <c r="JZ27" s="189"/>
      <c r="KA27" s="189"/>
      <c r="KB27" s="189"/>
      <c r="KC27" s="189"/>
      <c r="KD27" s="189"/>
      <c r="KE27" s="189"/>
      <c r="KF27" s="189"/>
      <c r="KG27" s="189"/>
      <c r="KH27" s="189"/>
      <c r="KI27" s="189"/>
      <c r="KJ27" s="189"/>
      <c r="KK27" s="189"/>
      <c r="KL27" s="189"/>
      <c r="KM27" s="189"/>
      <c r="KN27" s="189"/>
      <c r="KO27" s="189"/>
      <c r="KP27" s="189"/>
      <c r="KQ27" s="189"/>
      <c r="KR27" s="189"/>
      <c r="KS27" s="189"/>
      <c r="KT27" s="189"/>
      <c r="KU27" s="189"/>
      <c r="KV27" s="189"/>
      <c r="KW27" s="189"/>
      <c r="KX27" s="189"/>
      <c r="KY27" s="189"/>
      <c r="KZ27" s="189"/>
      <c r="LA27" s="189"/>
      <c r="LB27" s="189"/>
      <c r="LC27" s="189"/>
      <c r="LD27" s="189"/>
      <c r="LE27" s="189"/>
      <c r="LF27" s="189"/>
      <c r="LG27" s="189"/>
      <c r="LH27" s="189"/>
      <c r="LI27" s="189"/>
      <c r="LJ27" s="189"/>
      <c r="LK27" s="189"/>
      <c r="LL27" s="189"/>
      <c r="LM27" s="189"/>
      <c r="LN27" s="189"/>
      <c r="LO27" s="189"/>
      <c r="LP27" s="189"/>
      <c r="LQ27" s="189"/>
      <c r="LR27" s="189"/>
      <c r="LS27" s="189"/>
      <c r="LT27" s="189"/>
      <c r="LU27" s="189"/>
      <c r="LV27" s="189"/>
      <c r="LW27" s="189"/>
      <c r="LX27" s="189"/>
      <c r="LY27" s="189"/>
      <c r="LZ27" s="189"/>
      <c r="MA27" s="189"/>
      <c r="MB27" s="189"/>
      <c r="MC27" s="189"/>
      <c r="MD27" s="189"/>
      <c r="ME27" s="189"/>
      <c r="MF27" s="189"/>
      <c r="MG27" s="189"/>
      <c r="MH27" s="189"/>
      <c r="MI27" s="189"/>
      <c r="MJ27" s="189"/>
      <c r="MK27" s="189"/>
      <c r="ML27" s="189"/>
      <c r="MM27" s="189"/>
      <c r="MN27" s="189"/>
      <c r="MO27" s="189"/>
      <c r="MP27" s="189"/>
      <c r="MQ27" s="189"/>
      <c r="MR27" s="189"/>
      <c r="MS27" s="189"/>
      <c r="MT27" s="189"/>
      <c r="MU27" s="189"/>
      <c r="MV27" s="189"/>
      <c r="MW27" s="189"/>
      <c r="MX27" s="189"/>
      <c r="MY27" s="189"/>
      <c r="MZ27" s="189"/>
      <c r="NA27" s="189"/>
      <c r="NB27" s="189"/>
      <c r="NC27" s="189"/>
      <c r="ND27" s="189"/>
      <c r="NE27" s="189"/>
      <c r="NF27" s="189"/>
      <c r="NG27" s="189"/>
      <c r="NH27" s="189"/>
      <c r="NI27" s="189"/>
      <c r="NJ27" s="189"/>
      <c r="NK27" s="189"/>
      <c r="NL27" s="189"/>
      <c r="NM27" s="189"/>
      <c r="NN27" s="189"/>
      <c r="NO27" s="189"/>
      <c r="NP27" s="189"/>
      <c r="NQ27" s="189"/>
      <c r="NR27" s="189"/>
      <c r="NS27" s="189"/>
      <c r="NT27" s="189"/>
      <c r="NU27" s="189"/>
      <c r="NV27" s="189"/>
      <c r="NW27" s="189"/>
      <c r="NX27" s="189"/>
      <c r="NY27" s="189"/>
      <c r="NZ27" s="189"/>
      <c r="OA27" s="189"/>
      <c r="OB27" s="189"/>
      <c r="OC27" s="189"/>
      <c r="OD27" s="189"/>
    </row>
    <row r="28" spans="1:401" x14ac:dyDescent="0.3">
      <c r="A28" s="16"/>
      <c r="C28" s="16"/>
      <c r="D28" s="133" t="s">
        <v>336</v>
      </c>
      <c r="E28" s="215"/>
      <c r="F28" s="216" t="s">
        <v>337</v>
      </c>
      <c r="G28" s="88"/>
      <c r="H28" s="124"/>
      <c r="I28" s="125"/>
      <c r="J28" s="76"/>
      <c r="K28" s="66"/>
      <c r="L28" s="66"/>
      <c r="M28" s="66"/>
      <c r="N28" s="66"/>
      <c r="O28" s="66"/>
      <c r="P28" s="66"/>
    </row>
    <row r="29" spans="1:401" x14ac:dyDescent="0.3">
      <c r="A29" s="16"/>
      <c r="B29" s="128" t="s">
        <v>21</v>
      </c>
      <c r="C29" s="16"/>
      <c r="D29" s="133"/>
      <c r="E29" s="123"/>
      <c r="F29" s="123"/>
      <c r="G29" s="88"/>
      <c r="H29" s="124"/>
      <c r="I29" s="125"/>
      <c r="J29" s="76"/>
      <c r="K29" s="66"/>
      <c r="L29" s="66"/>
      <c r="M29" s="66"/>
      <c r="N29" s="66"/>
      <c r="O29" s="66"/>
      <c r="P29" s="66"/>
    </row>
    <row r="30" spans="1:401" outlineLevel="1" x14ac:dyDescent="0.3">
      <c r="A30" s="16"/>
      <c r="C30" s="16" t="s">
        <v>224</v>
      </c>
      <c r="D30" s="133"/>
      <c r="E30" s="123"/>
      <c r="F30" s="123"/>
      <c r="G30" s="88"/>
      <c r="H30" s="124"/>
      <c r="I30" s="125"/>
      <c r="J30" s="76"/>
      <c r="K30" s="66"/>
      <c r="L30" s="66"/>
      <c r="M30" s="66"/>
      <c r="N30" s="66"/>
      <c r="O30" s="66"/>
      <c r="P30" s="66"/>
    </row>
    <row r="31" spans="1:401" outlineLevel="1" x14ac:dyDescent="0.3">
      <c r="A31" s="16"/>
      <c r="C31" s="16"/>
      <c r="D31" s="133" t="s">
        <v>226</v>
      </c>
      <c r="E31" s="123"/>
      <c r="F31" s="123"/>
      <c r="G31" s="88"/>
      <c r="H31" s="124"/>
      <c r="I31" s="125"/>
      <c r="J31" s="76"/>
      <c r="K31" s="66"/>
      <c r="L31" s="66"/>
      <c r="M31" s="66"/>
      <c r="N31" s="66"/>
      <c r="O31" s="66"/>
      <c r="P31" s="66"/>
    </row>
    <row r="32" spans="1:401" outlineLevel="1" x14ac:dyDescent="0.3">
      <c r="A32" s="16"/>
      <c r="C32" s="16"/>
      <c r="D32" s="133"/>
      <c r="E32" s="123"/>
      <c r="F32" s="123"/>
      <c r="G32" s="88"/>
      <c r="H32" s="124"/>
      <c r="I32" s="125"/>
      <c r="J32" s="76"/>
      <c r="K32" s="66"/>
      <c r="L32" s="66"/>
      <c r="M32" s="66"/>
      <c r="N32" s="66"/>
      <c r="O32" s="66"/>
      <c r="P32" s="66"/>
    </row>
    <row r="33" spans="1:16" outlineLevel="1" x14ac:dyDescent="0.3">
      <c r="A33" s="16"/>
      <c r="C33" s="16"/>
      <c r="D33" s="133"/>
      <c r="E33" s="123"/>
      <c r="F33" s="123"/>
      <c r="G33" s="88"/>
      <c r="H33" s="124"/>
      <c r="I33" s="125"/>
      <c r="J33" s="76"/>
      <c r="K33" s="66"/>
      <c r="L33" s="66"/>
      <c r="M33" s="66"/>
      <c r="N33" s="66"/>
      <c r="O33" s="66"/>
      <c r="P33" s="66"/>
    </row>
    <row r="34" spans="1:16" outlineLevel="1" x14ac:dyDescent="0.3">
      <c r="A34" s="16"/>
      <c r="C34" s="16"/>
      <c r="D34" s="133"/>
      <c r="E34" s="123"/>
      <c r="F34" s="123"/>
      <c r="G34" s="88"/>
      <c r="H34" s="124"/>
      <c r="I34" s="125"/>
      <c r="J34" s="76"/>
      <c r="K34" s="66"/>
      <c r="L34" s="66"/>
      <c r="M34" s="66"/>
      <c r="N34" s="66"/>
      <c r="O34" s="66"/>
      <c r="P34" s="66"/>
    </row>
    <row r="35" spans="1:16" outlineLevel="1" x14ac:dyDescent="0.3">
      <c r="A35" s="16"/>
      <c r="C35" s="16"/>
      <c r="D35" s="133"/>
      <c r="E35" s="123"/>
      <c r="F35" s="123"/>
      <c r="G35" s="88"/>
      <c r="H35" s="124"/>
      <c r="I35" s="125"/>
      <c r="J35" s="76"/>
      <c r="K35" s="66"/>
      <c r="L35" s="66"/>
      <c r="M35" s="66"/>
      <c r="N35" s="66"/>
      <c r="O35" s="66"/>
      <c r="P35" s="66"/>
    </row>
    <row r="36" spans="1:16" outlineLevel="1" x14ac:dyDescent="0.3">
      <c r="A36" s="16"/>
      <c r="C36" s="16" t="s">
        <v>227</v>
      </c>
      <c r="D36" s="133"/>
      <c r="E36" s="123"/>
      <c r="F36" s="123"/>
      <c r="G36" s="88"/>
      <c r="H36" s="124"/>
      <c r="I36" s="125"/>
      <c r="J36" s="76"/>
      <c r="K36" s="66"/>
      <c r="L36" s="66"/>
      <c r="M36" s="66"/>
      <c r="N36" s="66"/>
      <c r="O36" s="66"/>
      <c r="P36" s="66"/>
    </row>
    <row r="37" spans="1:16" outlineLevel="1" x14ac:dyDescent="0.3">
      <c r="A37" s="16"/>
      <c r="C37" s="16"/>
      <c r="D37" s="133" t="s">
        <v>228</v>
      </c>
      <c r="E37" s="123"/>
      <c r="F37" s="123" t="s">
        <v>81</v>
      </c>
      <c r="G37" s="88"/>
      <c r="H37" s="124"/>
      <c r="I37" s="125"/>
      <c r="J37" s="76"/>
      <c r="K37" s="66"/>
      <c r="L37" s="66"/>
      <c r="M37" s="66"/>
      <c r="N37" s="66"/>
      <c r="O37" s="66"/>
      <c r="P37" s="66"/>
    </row>
    <row r="38" spans="1:16" outlineLevel="1" x14ac:dyDescent="0.3">
      <c r="A38" s="16"/>
      <c r="C38" s="16"/>
      <c r="D38" s="133" t="s">
        <v>231</v>
      </c>
      <c r="E38" s="123"/>
      <c r="F38" s="123"/>
      <c r="G38" s="88"/>
      <c r="H38" s="124"/>
      <c r="I38" s="125"/>
      <c r="J38" s="76"/>
      <c r="K38" s="66"/>
      <c r="L38" s="66"/>
      <c r="M38" s="66"/>
      <c r="N38" s="66"/>
      <c r="O38" s="66"/>
      <c r="P38" s="66"/>
    </row>
    <row r="39" spans="1:16" outlineLevel="1" x14ac:dyDescent="0.3">
      <c r="A39" s="16"/>
      <c r="C39" s="16"/>
      <c r="D39" s="133" t="s">
        <v>237</v>
      </c>
      <c r="E39" s="123"/>
      <c r="F39" s="123"/>
      <c r="G39" s="88"/>
      <c r="H39" s="124"/>
      <c r="I39" s="125"/>
      <c r="J39" s="76"/>
      <c r="K39" s="66"/>
      <c r="L39" s="66"/>
      <c r="M39" s="66"/>
      <c r="N39" s="66"/>
      <c r="O39" s="66"/>
      <c r="P39" s="66"/>
    </row>
    <row r="40" spans="1:16" outlineLevel="1" x14ac:dyDescent="0.3">
      <c r="A40" s="16"/>
      <c r="C40" s="16"/>
      <c r="D40" s="133" t="s">
        <v>234</v>
      </c>
      <c r="E40" s="123"/>
      <c r="F40" s="123"/>
      <c r="G40" s="88"/>
      <c r="H40" s="124"/>
      <c r="I40" s="125"/>
      <c r="J40" s="76"/>
      <c r="K40" s="66"/>
      <c r="L40" s="66"/>
      <c r="M40" s="66"/>
      <c r="N40" s="66"/>
      <c r="O40" s="66"/>
      <c r="P40" s="66"/>
    </row>
    <row r="41" spans="1:16" outlineLevel="1" x14ac:dyDescent="0.3">
      <c r="A41" s="16"/>
      <c r="C41" s="16"/>
      <c r="D41" s="133" t="s">
        <v>232</v>
      </c>
      <c r="E41" s="123"/>
      <c r="F41" s="123"/>
      <c r="G41" s="88"/>
      <c r="H41" s="124"/>
      <c r="I41" s="125"/>
      <c r="J41" s="76"/>
      <c r="K41" s="66"/>
      <c r="L41" s="66"/>
      <c r="M41" s="66"/>
      <c r="N41" s="66"/>
      <c r="O41" s="66"/>
      <c r="P41" s="66"/>
    </row>
    <row r="42" spans="1:16" outlineLevel="1" x14ac:dyDescent="0.3">
      <c r="A42" s="16"/>
      <c r="C42" s="16"/>
      <c r="D42" s="133" t="s">
        <v>230</v>
      </c>
      <c r="E42" s="123"/>
      <c r="F42" s="123"/>
      <c r="G42" s="88"/>
      <c r="H42" s="124"/>
      <c r="I42" s="125"/>
      <c r="J42" s="76"/>
      <c r="K42" s="66"/>
      <c r="L42" s="66"/>
      <c r="M42" s="66"/>
      <c r="N42" s="66"/>
      <c r="O42" s="66"/>
      <c r="P42" s="66"/>
    </row>
    <row r="43" spans="1:16" outlineLevel="1" x14ac:dyDescent="0.3">
      <c r="A43" s="16"/>
      <c r="C43" s="16"/>
      <c r="D43" s="21" t="s">
        <v>235</v>
      </c>
      <c r="E43" s="123"/>
      <c r="F43" s="123"/>
      <c r="G43" s="88"/>
      <c r="H43" s="124"/>
      <c r="I43" s="125"/>
      <c r="J43" s="76"/>
      <c r="K43" s="66"/>
      <c r="L43" s="66"/>
      <c r="M43" s="66"/>
      <c r="N43" s="66"/>
      <c r="O43" s="66"/>
      <c r="P43" s="66"/>
    </row>
    <row r="44" spans="1:16" outlineLevel="1" x14ac:dyDescent="0.3">
      <c r="A44" s="16"/>
      <c r="C44" s="16"/>
      <c r="D44" s="133" t="s">
        <v>236</v>
      </c>
      <c r="E44" s="123"/>
      <c r="F44" s="123"/>
      <c r="G44" s="88"/>
      <c r="H44" s="124"/>
      <c r="I44" s="125"/>
      <c r="J44" s="76"/>
      <c r="K44" s="66"/>
      <c r="L44" s="66"/>
      <c r="M44" s="66"/>
      <c r="N44" s="66"/>
      <c r="O44" s="66"/>
      <c r="P44" s="66"/>
    </row>
    <row r="45" spans="1:16" outlineLevel="1" x14ac:dyDescent="0.3">
      <c r="A45" s="16"/>
      <c r="B45" s="16"/>
      <c r="C45" s="16"/>
      <c r="D45" s="133" t="s">
        <v>229</v>
      </c>
      <c r="E45" s="123"/>
      <c r="F45" s="123"/>
      <c r="G45" s="88"/>
      <c r="H45" s="124"/>
      <c r="I45" s="125"/>
      <c r="J45" s="76"/>
      <c r="K45" s="66"/>
      <c r="L45" s="66"/>
      <c r="M45" s="66"/>
      <c r="N45" s="66"/>
      <c r="O45" s="66"/>
      <c r="P45" s="66"/>
    </row>
    <row r="46" spans="1:16" outlineLevel="1" x14ac:dyDescent="0.3">
      <c r="A46" s="16"/>
      <c r="B46" s="16"/>
      <c r="C46" s="16"/>
      <c r="D46" s="133"/>
      <c r="E46" s="123"/>
      <c r="F46" s="123"/>
      <c r="G46" s="88"/>
      <c r="H46" s="124"/>
      <c r="I46" s="125"/>
      <c r="J46" s="76"/>
      <c r="K46" s="66"/>
      <c r="L46" s="66"/>
      <c r="M46" s="66"/>
      <c r="N46" s="66"/>
      <c r="O46" s="66"/>
      <c r="P46" s="66"/>
    </row>
    <row r="47" spans="1:16" outlineLevel="1" x14ac:dyDescent="0.3">
      <c r="A47" s="16"/>
      <c r="B47" s="16"/>
      <c r="C47" s="16" t="s">
        <v>238</v>
      </c>
      <c r="E47" s="123"/>
      <c r="F47" s="123"/>
      <c r="G47" s="88"/>
      <c r="H47" s="124"/>
      <c r="I47" s="125"/>
      <c r="J47" s="76"/>
      <c r="K47" s="66"/>
      <c r="L47" s="66"/>
      <c r="M47" s="66"/>
      <c r="N47" s="66"/>
      <c r="O47" s="66"/>
      <c r="P47" s="66"/>
    </row>
    <row r="48" spans="1:16" outlineLevel="1" x14ac:dyDescent="0.3">
      <c r="A48" s="16"/>
      <c r="B48" s="16"/>
      <c r="C48" s="16"/>
      <c r="D48" s="21" t="s">
        <v>238</v>
      </c>
      <c r="E48" s="123"/>
      <c r="F48" s="123"/>
      <c r="G48" s="88"/>
      <c r="H48" s="124"/>
      <c r="I48" s="125"/>
      <c r="J48" s="76"/>
      <c r="K48" s="66"/>
      <c r="L48" s="66"/>
      <c r="M48" s="66"/>
      <c r="N48" s="66"/>
      <c r="O48" s="66"/>
      <c r="P48" s="66"/>
    </row>
    <row r="49" spans="1:16" x14ac:dyDescent="0.3">
      <c r="A49" s="16"/>
      <c r="B49" s="16" t="s">
        <v>239</v>
      </c>
      <c r="C49" s="16"/>
      <c r="E49" s="123"/>
      <c r="F49" s="123"/>
      <c r="G49" s="88"/>
      <c r="H49" s="124"/>
      <c r="I49" s="125"/>
      <c r="J49" s="76"/>
      <c r="K49" s="66"/>
      <c r="L49" s="66"/>
      <c r="M49" s="66"/>
      <c r="N49" s="66"/>
      <c r="O49" s="66"/>
      <c r="P49" s="66"/>
    </row>
    <row r="50" spans="1:16" x14ac:dyDescent="0.3">
      <c r="A50" s="16"/>
      <c r="B50" s="16"/>
      <c r="C50" s="16"/>
      <c r="E50" s="123"/>
      <c r="F50" s="123"/>
      <c r="G50" s="88"/>
      <c r="H50" s="124"/>
      <c r="I50" s="125"/>
      <c r="J50" s="76"/>
      <c r="K50" s="66"/>
      <c r="L50" s="66"/>
      <c r="M50" s="66"/>
      <c r="N50" s="66"/>
      <c r="O50" s="66"/>
      <c r="P50" s="66"/>
    </row>
    <row r="51" spans="1:16" collapsed="1" x14ac:dyDescent="0.3">
      <c r="B51" s="128" t="s">
        <v>18</v>
      </c>
      <c r="D51" s="133"/>
      <c r="E51" s="7"/>
      <c r="F51" s="21"/>
      <c r="H51" s="22"/>
      <c r="I51" s="71"/>
      <c r="J51" s="76"/>
      <c r="K51" s="66"/>
      <c r="L51" s="66"/>
      <c r="M51" s="66"/>
      <c r="N51" s="66"/>
      <c r="O51" s="66"/>
      <c r="P51" s="66"/>
    </row>
    <row r="52" spans="1:16" hidden="1" outlineLevel="1" x14ac:dyDescent="0.3">
      <c r="C52" s="128" t="s">
        <v>146</v>
      </c>
      <c r="D52" s="133"/>
      <c r="E52" s="7"/>
      <c r="F52" s="21"/>
      <c r="H52" s="22"/>
      <c r="I52" s="71"/>
      <c r="J52" s="76"/>
      <c r="K52" s="66"/>
      <c r="L52" s="66"/>
      <c r="M52" s="66"/>
      <c r="N52" s="66"/>
      <c r="O52" s="66"/>
      <c r="P52" s="66"/>
    </row>
    <row r="53" spans="1:16" hidden="1" outlineLevel="1" x14ac:dyDescent="0.3">
      <c r="D53" s="133" t="s">
        <v>279</v>
      </c>
      <c r="E53" s="12">
        <v>20</v>
      </c>
      <c r="F53" s="13" t="s">
        <v>26</v>
      </c>
      <c r="H53" s="22"/>
      <c r="I53" s="71"/>
      <c r="J53" s="76"/>
      <c r="K53" s="66"/>
      <c r="L53" s="66"/>
      <c r="M53" s="66"/>
      <c r="N53" s="66"/>
      <c r="O53" s="66"/>
      <c r="P53" s="66"/>
    </row>
    <row r="54" spans="1:16" hidden="1" outlineLevel="1" x14ac:dyDescent="0.3">
      <c r="H54" s="22">
        <v>6.2</v>
      </c>
      <c r="I54" s="71"/>
      <c r="J54" s="76"/>
      <c r="K54" s="66"/>
      <c r="L54" s="66"/>
      <c r="M54" s="66"/>
      <c r="N54" s="66"/>
      <c r="O54" s="66"/>
      <c r="P54" s="66"/>
    </row>
    <row r="55" spans="1:16" hidden="1" outlineLevel="1" x14ac:dyDescent="0.3">
      <c r="D55" s="133" t="s">
        <v>354</v>
      </c>
      <c r="E55" s="217">
        <v>46447</v>
      </c>
      <c r="F55" s="216" t="s">
        <v>292</v>
      </c>
      <c r="H55" s="22"/>
      <c r="I55" s="71"/>
      <c r="J55" s="76"/>
      <c r="K55" s="66"/>
      <c r="L55" s="66"/>
      <c r="M55" s="66"/>
      <c r="N55" s="66"/>
      <c r="O55" s="66"/>
      <c r="P55" s="66"/>
    </row>
    <row r="56" spans="1:16" hidden="1" outlineLevel="1" x14ac:dyDescent="0.3">
      <c r="H56" s="22"/>
      <c r="I56" s="71"/>
      <c r="J56" s="76"/>
      <c r="K56" s="66"/>
      <c r="L56" s="66"/>
      <c r="M56" s="66"/>
      <c r="N56" s="66"/>
      <c r="O56" s="66"/>
      <c r="P56" s="66"/>
    </row>
    <row r="57" spans="1:16" hidden="1" outlineLevel="1" x14ac:dyDescent="0.3">
      <c r="D57" s="133" t="s">
        <v>353</v>
      </c>
      <c r="E57" s="14">
        <v>0.9996666666666667</v>
      </c>
      <c r="F57" s="13" t="s">
        <v>67</v>
      </c>
      <c r="H57" s="23">
        <v>3</v>
      </c>
      <c r="I57" s="72"/>
      <c r="J57" s="76"/>
      <c r="K57" s="66"/>
      <c r="L57" s="66"/>
      <c r="M57" s="66"/>
      <c r="N57" s="66"/>
      <c r="O57" s="66"/>
      <c r="P57" s="66"/>
    </row>
    <row r="58" spans="1:16" hidden="1" outlineLevel="1" x14ac:dyDescent="0.3">
      <c r="D58" s="133" t="s">
        <v>356</v>
      </c>
      <c r="E58" s="215">
        <v>12</v>
      </c>
      <c r="F58" s="216" t="s">
        <v>357</v>
      </c>
      <c r="H58" s="22"/>
      <c r="I58" s="71"/>
      <c r="J58" s="76"/>
      <c r="K58" s="66"/>
      <c r="L58" s="66"/>
      <c r="M58" s="66"/>
      <c r="N58" s="66"/>
      <c r="O58" s="66"/>
      <c r="P58" s="66"/>
    </row>
    <row r="59" spans="1:16" hidden="1" outlineLevel="1" x14ac:dyDescent="0.3">
      <c r="D59" s="133" t="s">
        <v>359</v>
      </c>
      <c r="E59" s="215">
        <f>MATCH(EDATE(E55,E58),_xlfn.ANCHORARRAY( P2), 1)</f>
        <v>29</v>
      </c>
      <c r="F59" s="216" t="s">
        <v>358</v>
      </c>
      <c r="H59" s="22"/>
      <c r="I59" s="71"/>
      <c r="J59" s="76"/>
      <c r="K59" s="66"/>
      <c r="L59" s="66"/>
      <c r="M59" s="66"/>
      <c r="N59" s="66"/>
      <c r="O59" s="66"/>
      <c r="P59" s="66"/>
    </row>
    <row r="60" spans="1:16" hidden="1" outlineLevel="1" x14ac:dyDescent="0.3">
      <c r="D60" s="133"/>
      <c r="H60" s="22"/>
      <c r="I60" s="71"/>
      <c r="J60" s="76"/>
      <c r="K60" s="66"/>
      <c r="L60" s="66"/>
      <c r="M60" s="66"/>
      <c r="N60" s="66"/>
      <c r="O60" s="66"/>
      <c r="P60" s="66"/>
    </row>
    <row r="61" spans="1:16" hidden="1" outlineLevel="1" x14ac:dyDescent="0.3">
      <c r="C61" s="128" t="s">
        <v>355</v>
      </c>
      <c r="D61" s="133"/>
      <c r="E61" s="15"/>
      <c r="F61" s="16"/>
      <c r="H61" s="22" t="e">
        <f>#REF!*E62</f>
        <v>#REF!</v>
      </c>
      <c r="I61" s="71"/>
      <c r="J61" s="76"/>
      <c r="K61" s="66"/>
      <c r="L61" s="66"/>
      <c r="M61" s="66"/>
      <c r="N61" s="66"/>
      <c r="O61" s="66"/>
      <c r="P61" s="66"/>
    </row>
    <row r="62" spans="1:16" hidden="1" outlineLevel="1" x14ac:dyDescent="0.3">
      <c r="D62" s="133" t="s">
        <v>36</v>
      </c>
      <c r="E62" s="31">
        <v>1624.001239574485</v>
      </c>
      <c r="F62" s="13" t="s">
        <v>14</v>
      </c>
      <c r="H62" s="22" t="e">
        <f>#REF!*E63</f>
        <v>#REF!</v>
      </c>
      <c r="I62" s="71"/>
      <c r="J62" s="76"/>
      <c r="K62" s="66"/>
      <c r="L62" s="66"/>
      <c r="M62" s="66"/>
      <c r="N62" s="66"/>
      <c r="O62" s="66"/>
      <c r="P62" s="66"/>
    </row>
    <row r="63" spans="1:16" hidden="1" outlineLevel="1" x14ac:dyDescent="0.3">
      <c r="D63" s="133" t="s">
        <v>37</v>
      </c>
      <c r="E63" s="31">
        <v>2141.3787479907678</v>
      </c>
      <c r="F63" s="13" t="s">
        <v>14</v>
      </c>
      <c r="H63" s="117" t="e">
        <f>#REF!*E64</f>
        <v>#REF!</v>
      </c>
      <c r="I63" s="118"/>
      <c r="J63" s="76"/>
      <c r="K63" s="66"/>
      <c r="L63" s="66"/>
      <c r="M63" s="66"/>
      <c r="N63" s="66"/>
      <c r="O63" s="66"/>
      <c r="P63" s="66"/>
    </row>
    <row r="64" spans="1:16" hidden="1" outlineLevel="1" x14ac:dyDescent="0.3">
      <c r="D64" s="133" t="s">
        <v>38</v>
      </c>
      <c r="E64" s="31">
        <v>3215.3023431752613</v>
      </c>
      <c r="F64" s="13" t="s">
        <v>14</v>
      </c>
      <c r="H64" s="117" t="e">
        <f>#REF!*E65</f>
        <v>#REF!</v>
      </c>
      <c r="I64" s="118"/>
      <c r="J64" s="76"/>
      <c r="K64" s="66"/>
      <c r="L64" s="66"/>
      <c r="M64" s="66"/>
      <c r="N64" s="66"/>
      <c r="O64" s="66"/>
      <c r="P64" s="66"/>
    </row>
    <row r="65" spans="2:16" hidden="1" outlineLevel="1" x14ac:dyDescent="0.3">
      <c r="D65" s="133" t="s">
        <v>39</v>
      </c>
      <c r="E65" s="31">
        <v>3794.5432331325883</v>
      </c>
      <c r="F65" s="13" t="s">
        <v>14</v>
      </c>
      <c r="H65" s="22" t="e">
        <f>#REF!*E66</f>
        <v>#REF!</v>
      </c>
      <c r="I65" s="71"/>
      <c r="J65" s="76"/>
      <c r="K65" s="66"/>
      <c r="L65" s="66"/>
      <c r="M65" s="66"/>
      <c r="N65" s="66"/>
      <c r="O65" s="66"/>
      <c r="P65" s="66"/>
    </row>
    <row r="66" spans="2:16" hidden="1" outlineLevel="1" x14ac:dyDescent="0.3">
      <c r="D66" s="133" t="s">
        <v>40</v>
      </c>
      <c r="E66" s="31">
        <v>4425.0849900099984</v>
      </c>
      <c r="F66" s="13" t="s">
        <v>14</v>
      </c>
      <c r="H66" s="22" t="e">
        <f>#REF!*E67</f>
        <v>#REF!</v>
      </c>
      <c r="I66" s="71"/>
      <c r="J66" s="76"/>
      <c r="K66" s="66"/>
      <c r="L66" s="66"/>
      <c r="M66" s="66"/>
      <c r="N66" s="66"/>
      <c r="O66" s="66"/>
      <c r="P66" s="66"/>
    </row>
    <row r="67" spans="2:16" hidden="1" outlineLevel="1" x14ac:dyDescent="0.3">
      <c r="D67" s="133" t="s">
        <v>41</v>
      </c>
      <c r="E67" s="31">
        <v>4884.4996897158208</v>
      </c>
      <c r="F67" s="13" t="s">
        <v>14</v>
      </c>
      <c r="H67" s="22" t="e">
        <f>#REF!*E68</f>
        <v>#REF!</v>
      </c>
      <c r="I67" s="71"/>
      <c r="J67" s="76"/>
      <c r="K67" s="66"/>
      <c r="L67" s="66"/>
      <c r="M67" s="66"/>
      <c r="N67" s="66"/>
      <c r="O67" s="66"/>
      <c r="P67" s="66"/>
    </row>
    <row r="68" spans="2:16" hidden="1" outlineLevel="1" x14ac:dyDescent="0.3">
      <c r="D68" s="133" t="s">
        <v>42</v>
      </c>
      <c r="E68" s="31">
        <v>5251.096415792902</v>
      </c>
      <c r="F68" s="13" t="s">
        <v>14</v>
      </c>
      <c r="H68" s="22" t="e">
        <f>#REF!*E69</f>
        <v>#REF!</v>
      </c>
      <c r="I68" s="71"/>
      <c r="J68" s="76"/>
      <c r="K68" s="66"/>
      <c r="L68" s="66"/>
      <c r="M68" s="66"/>
      <c r="N68" s="66"/>
      <c r="O68" s="66"/>
      <c r="P68" s="66"/>
    </row>
    <row r="69" spans="2:16" hidden="1" outlineLevel="1" x14ac:dyDescent="0.3">
      <c r="D69" s="133" t="s">
        <v>43</v>
      </c>
      <c r="E69" s="31">
        <v>4866.8402921505003</v>
      </c>
      <c r="F69" s="13" t="s">
        <v>14</v>
      </c>
      <c r="H69" s="22" t="e">
        <f>#REF!*E70</f>
        <v>#REF!</v>
      </c>
      <c r="I69" s="71"/>
      <c r="J69" s="76"/>
      <c r="K69" s="66"/>
      <c r="L69" s="66"/>
      <c r="M69" s="66"/>
      <c r="N69" s="66"/>
      <c r="O69" s="66"/>
      <c r="P69" s="66"/>
    </row>
    <row r="70" spans="2:16" hidden="1" outlineLevel="1" x14ac:dyDescent="0.3">
      <c r="D70" s="133" t="s">
        <v>44</v>
      </c>
      <c r="E70" s="31">
        <v>3769.7672369303364</v>
      </c>
      <c r="F70" s="13" t="s">
        <v>14</v>
      </c>
      <c r="H70" s="22" t="e">
        <f>#REF!*E71</f>
        <v>#REF!</v>
      </c>
      <c r="I70" s="71"/>
      <c r="J70" s="76"/>
      <c r="K70" s="66"/>
      <c r="L70" s="66"/>
      <c r="M70" s="66"/>
      <c r="N70" s="66"/>
      <c r="O70" s="66"/>
      <c r="P70" s="66"/>
    </row>
    <row r="71" spans="2:16" hidden="1" outlineLevel="1" x14ac:dyDescent="0.3">
      <c r="D71" s="133" t="s">
        <v>45</v>
      </c>
      <c r="E71" s="190">
        <v>3034.3121188795985</v>
      </c>
      <c r="F71" s="13" t="s">
        <v>14</v>
      </c>
      <c r="H71" s="22" t="e">
        <f>#REF!*E72</f>
        <v>#REF!</v>
      </c>
      <c r="I71" s="71"/>
      <c r="J71" s="76"/>
      <c r="K71" s="66"/>
      <c r="L71" s="66"/>
      <c r="M71" s="66"/>
      <c r="N71" s="66"/>
      <c r="O71" s="66"/>
      <c r="P71" s="66"/>
    </row>
    <row r="72" spans="2:16" hidden="1" outlineLevel="1" x14ac:dyDescent="0.3">
      <c r="D72" s="133" t="s">
        <v>46</v>
      </c>
      <c r="E72" s="190">
        <v>1972.2999253493106</v>
      </c>
      <c r="F72" s="13" t="s">
        <v>14</v>
      </c>
      <c r="H72" s="22" t="e">
        <f>#REF!*E73</f>
        <v>#REF!</v>
      </c>
      <c r="I72" s="71"/>
      <c r="J72" s="76"/>
      <c r="K72" s="66"/>
      <c r="L72" s="66"/>
      <c r="M72" s="66"/>
      <c r="N72" s="66"/>
      <c r="O72" s="66"/>
      <c r="P72" s="66"/>
    </row>
    <row r="73" spans="2:16" hidden="1" outlineLevel="1" x14ac:dyDescent="0.3">
      <c r="D73" s="133" t="s">
        <v>47</v>
      </c>
      <c r="E73" s="190">
        <v>1418.3477282984506</v>
      </c>
      <c r="F73" s="13" t="s">
        <v>14</v>
      </c>
      <c r="H73" s="22"/>
      <c r="I73" s="71"/>
      <c r="J73" s="76"/>
      <c r="K73" s="66"/>
      <c r="L73" s="66"/>
      <c r="M73" s="66"/>
      <c r="N73" s="66"/>
      <c r="O73" s="66"/>
      <c r="P73" s="66"/>
    </row>
    <row r="74" spans="2:16" hidden="1" outlineLevel="1" x14ac:dyDescent="0.3">
      <c r="D74" s="133"/>
      <c r="E74" s="235"/>
      <c r="F74" s="16"/>
      <c r="H74" s="22"/>
      <c r="I74" s="71"/>
      <c r="J74" s="76"/>
      <c r="K74" s="66"/>
      <c r="L74" s="66"/>
      <c r="M74" s="66"/>
      <c r="N74" s="66"/>
      <c r="O74" s="66"/>
      <c r="P74" s="66"/>
    </row>
    <row r="75" spans="2:16" hidden="1" outlineLevel="1" x14ac:dyDescent="0.3">
      <c r="D75" s="21" t="s">
        <v>49</v>
      </c>
      <c r="E75" s="190">
        <f>SUM(E62:E73)</f>
        <v>40397.473961000025</v>
      </c>
      <c r="F75" s="13" t="s">
        <v>14</v>
      </c>
      <c r="H75" s="22"/>
      <c r="I75" s="71"/>
      <c r="J75" s="76"/>
      <c r="K75" s="66"/>
      <c r="L75" s="66"/>
      <c r="M75" s="66"/>
      <c r="N75" s="66"/>
      <c r="O75" s="66"/>
      <c r="P75" s="66"/>
    </row>
    <row r="76" spans="2:16" hidden="1" outlineLevel="1" x14ac:dyDescent="0.3">
      <c r="D76" s="133" t="s">
        <v>77</v>
      </c>
      <c r="E76" s="14">
        <f>E75/(8760*E53)</f>
        <v>0.23057918927511431</v>
      </c>
      <c r="F76" s="13" t="s">
        <v>31</v>
      </c>
      <c r="H76" s="22"/>
      <c r="I76" s="71"/>
      <c r="J76" s="76"/>
      <c r="K76" s="66"/>
      <c r="L76" s="66"/>
      <c r="M76" s="66"/>
      <c r="N76" s="66"/>
      <c r="O76" s="66"/>
      <c r="P76" s="66"/>
    </row>
    <row r="77" spans="2:16" hidden="1" outlineLevel="1" x14ac:dyDescent="0.3">
      <c r="D77" s="133"/>
      <c r="E77" s="235"/>
      <c r="F77" s="16"/>
      <c r="H77" s="22"/>
      <c r="I77" s="71"/>
      <c r="J77" s="76"/>
      <c r="K77" s="66"/>
      <c r="L77" s="66"/>
      <c r="M77" s="66"/>
      <c r="N77" s="66"/>
      <c r="O77" s="66"/>
      <c r="P77" s="66"/>
    </row>
    <row r="78" spans="2:16" x14ac:dyDescent="0.3">
      <c r="B78" s="128" t="s">
        <v>243</v>
      </c>
      <c r="D78" s="133"/>
      <c r="E78" s="145"/>
      <c r="F78" s="128"/>
      <c r="H78" s="22"/>
      <c r="I78" s="71"/>
      <c r="J78" s="76"/>
      <c r="K78" s="66"/>
      <c r="L78" s="66"/>
      <c r="M78" s="66"/>
      <c r="N78" s="66"/>
      <c r="O78" s="66"/>
      <c r="P78" s="66"/>
    </row>
    <row r="79" spans="2:16" x14ac:dyDescent="0.3">
      <c r="D79" s="133"/>
      <c r="H79" s="22"/>
      <c r="I79" s="71"/>
      <c r="J79" s="76"/>
      <c r="K79" s="66"/>
      <c r="L79" s="66"/>
      <c r="M79" s="66"/>
      <c r="N79" s="66"/>
      <c r="O79" s="66"/>
      <c r="P79" s="66"/>
    </row>
    <row r="80" spans="2:16" collapsed="1" x14ac:dyDescent="0.3">
      <c r="B80" s="128" t="s">
        <v>20</v>
      </c>
      <c r="C80" s="21"/>
      <c r="D80" s="133"/>
      <c r="H80" s="22"/>
      <c r="I80" s="71"/>
      <c r="J80" s="76"/>
      <c r="K80" s="66"/>
      <c r="L80" s="66"/>
      <c r="M80" s="66"/>
      <c r="N80" s="66"/>
      <c r="O80" s="66"/>
      <c r="P80" s="66"/>
    </row>
    <row r="81" spans="2:16" hidden="1" outlineLevel="1" x14ac:dyDescent="0.3">
      <c r="D81" s="133" t="s">
        <v>3</v>
      </c>
      <c r="E81" s="83">
        <v>65</v>
      </c>
      <c r="F81" s="13" t="s">
        <v>15</v>
      </c>
      <c r="H81" s="22"/>
      <c r="I81" s="71"/>
      <c r="J81" s="76"/>
      <c r="K81" s="66"/>
      <c r="L81" s="66"/>
      <c r="M81" s="66"/>
      <c r="N81" s="66"/>
      <c r="O81" s="66"/>
      <c r="P81" s="66"/>
    </row>
    <row r="82" spans="2:16" hidden="1" outlineLevel="1" x14ac:dyDescent="0.3">
      <c r="D82" s="133" t="s">
        <v>126</v>
      </c>
      <c r="E82" s="28">
        <v>0.97</v>
      </c>
      <c r="F82" s="13" t="s">
        <v>31</v>
      </c>
      <c r="H82" s="22"/>
      <c r="I82" s="71"/>
      <c r="J82" s="76"/>
      <c r="K82" s="66"/>
      <c r="L82" s="66"/>
      <c r="M82" s="66"/>
      <c r="N82" s="66"/>
      <c r="O82" s="66"/>
      <c r="P82" s="66"/>
    </row>
    <row r="83" spans="2:16" x14ac:dyDescent="0.3">
      <c r="B83" s="128" t="s">
        <v>242</v>
      </c>
      <c r="D83" s="133"/>
      <c r="E83" s="7"/>
      <c r="F83" s="21"/>
      <c r="H83" s="22"/>
      <c r="I83" s="71"/>
      <c r="J83" s="76"/>
      <c r="K83" s="66"/>
      <c r="L83" s="66"/>
      <c r="M83" s="66"/>
      <c r="N83" s="66"/>
      <c r="O83" s="66"/>
      <c r="P83" s="66"/>
    </row>
    <row r="84" spans="2:16" x14ac:dyDescent="0.3">
      <c r="D84" s="133"/>
      <c r="E84" s="7"/>
      <c r="F84" s="21"/>
      <c r="H84" s="22"/>
      <c r="I84" s="71"/>
      <c r="J84" s="76"/>
      <c r="K84" s="66"/>
      <c r="L84" s="66"/>
      <c r="M84" s="66"/>
      <c r="N84" s="66"/>
      <c r="O84" s="66"/>
      <c r="P84" s="66"/>
    </row>
    <row r="85" spans="2:16" x14ac:dyDescent="0.3">
      <c r="B85" s="128" t="s">
        <v>22</v>
      </c>
      <c r="D85" s="133"/>
      <c r="E85" s="7"/>
      <c r="F85" s="21"/>
      <c r="H85" s="22"/>
      <c r="I85" s="71"/>
      <c r="J85" s="76"/>
      <c r="K85" s="66"/>
      <c r="L85" s="66"/>
      <c r="M85" s="66"/>
      <c r="N85" s="66"/>
      <c r="O85" s="66"/>
      <c r="P85" s="66"/>
    </row>
    <row r="86" spans="2:16" outlineLevel="1" x14ac:dyDescent="0.3">
      <c r="D86" s="133"/>
      <c r="E86" s="7"/>
      <c r="F86" s="21"/>
      <c r="H86" s="22"/>
      <c r="I86" s="71"/>
      <c r="J86" s="76"/>
      <c r="K86" s="66"/>
      <c r="L86" s="66"/>
      <c r="M86" s="66"/>
      <c r="N86" s="66"/>
      <c r="O86" s="66"/>
      <c r="P86" s="66"/>
    </row>
    <row r="87" spans="2:16" outlineLevel="1" x14ac:dyDescent="0.3">
      <c r="D87" s="133"/>
      <c r="E87" s="7"/>
      <c r="F87" s="21"/>
      <c r="H87" s="22"/>
      <c r="I87" s="71"/>
      <c r="J87" s="76"/>
      <c r="K87" s="66"/>
      <c r="L87" s="66"/>
      <c r="M87" s="66"/>
      <c r="N87" s="66"/>
      <c r="O87" s="66"/>
      <c r="P87" s="66"/>
    </row>
    <row r="88" spans="2:16" x14ac:dyDescent="0.3">
      <c r="B88" s="128" t="s">
        <v>249</v>
      </c>
      <c r="D88" s="133"/>
      <c r="E88" s="7"/>
      <c r="F88" s="21"/>
      <c r="H88" s="22"/>
      <c r="I88" s="71"/>
      <c r="J88" s="76"/>
      <c r="K88" s="66"/>
      <c r="L88" s="66"/>
      <c r="M88" s="66"/>
      <c r="N88" s="66"/>
      <c r="O88" s="66"/>
      <c r="P88" s="66"/>
    </row>
    <row r="89" spans="2:16" x14ac:dyDescent="0.3">
      <c r="D89" s="133"/>
      <c r="E89" s="7"/>
      <c r="F89" s="21"/>
      <c r="H89" s="22"/>
      <c r="I89" s="71"/>
      <c r="J89" s="76"/>
      <c r="K89" s="66"/>
      <c r="L89" s="66"/>
      <c r="M89" s="66"/>
      <c r="N89" s="66"/>
      <c r="O89" s="66"/>
      <c r="P89" s="66"/>
    </row>
    <row r="90" spans="2:16" collapsed="1" x14ac:dyDescent="0.3">
      <c r="B90" s="128" t="s">
        <v>23</v>
      </c>
      <c r="D90" s="133"/>
      <c r="E90" s="7"/>
      <c r="F90" s="21"/>
      <c r="H90" s="22"/>
      <c r="I90" s="71"/>
      <c r="J90" s="76"/>
      <c r="K90" s="66"/>
      <c r="L90" s="66"/>
      <c r="M90" s="66"/>
      <c r="N90" s="66"/>
      <c r="O90" s="66"/>
      <c r="P90" s="66"/>
    </row>
    <row r="91" spans="2:16" hidden="1" outlineLevel="1" x14ac:dyDescent="0.3">
      <c r="D91" s="133"/>
      <c r="E91" s="7"/>
      <c r="F91" s="21"/>
      <c r="H91" s="22"/>
      <c r="I91" s="71"/>
      <c r="J91" s="76"/>
      <c r="K91" s="66"/>
      <c r="L91" s="66"/>
      <c r="M91" s="66"/>
      <c r="N91" s="66"/>
      <c r="O91" s="66"/>
      <c r="P91" s="66"/>
    </row>
    <row r="92" spans="2:16" hidden="1" outlineLevel="1" x14ac:dyDescent="0.3">
      <c r="D92" s="133"/>
      <c r="E92" s="7"/>
      <c r="F92" s="21"/>
      <c r="H92" s="22"/>
      <c r="I92" s="71"/>
      <c r="J92" s="76"/>
      <c r="K92" s="66"/>
      <c r="L92" s="66"/>
      <c r="M92" s="66"/>
      <c r="N92" s="66"/>
      <c r="O92" s="66"/>
      <c r="P92" s="66"/>
    </row>
    <row r="93" spans="2:16" hidden="1" outlineLevel="1" x14ac:dyDescent="0.3">
      <c r="D93" s="133"/>
      <c r="E93" s="7"/>
      <c r="F93" s="21"/>
      <c r="H93" s="22"/>
      <c r="I93" s="71"/>
      <c r="J93" s="76"/>
      <c r="K93" s="66"/>
      <c r="L93" s="66"/>
      <c r="M93" s="66"/>
      <c r="N93" s="66"/>
      <c r="O93" s="66"/>
      <c r="P93" s="66"/>
    </row>
    <row r="94" spans="2:16" hidden="1" outlineLevel="1" x14ac:dyDescent="0.3">
      <c r="D94" s="133"/>
      <c r="E94" s="7"/>
      <c r="F94" s="21"/>
      <c r="H94" s="22"/>
      <c r="I94" s="71"/>
      <c r="J94" s="76"/>
      <c r="K94" s="66"/>
      <c r="L94" s="66"/>
      <c r="M94" s="66"/>
      <c r="N94" s="66"/>
      <c r="O94" s="66"/>
      <c r="P94" s="66"/>
    </row>
    <row r="95" spans="2:16" hidden="1" outlineLevel="1" x14ac:dyDescent="0.3">
      <c r="D95" s="133"/>
      <c r="E95" s="7"/>
      <c r="F95" s="21"/>
      <c r="H95" s="22"/>
      <c r="I95" s="71"/>
      <c r="J95" s="76"/>
      <c r="K95" s="66"/>
      <c r="L95" s="66"/>
      <c r="M95" s="66"/>
      <c r="N95" s="66"/>
      <c r="O95" s="66"/>
      <c r="P95" s="66"/>
    </row>
    <row r="96" spans="2:16" hidden="1" outlineLevel="1" x14ac:dyDescent="0.3">
      <c r="D96" s="133"/>
      <c r="E96" s="7"/>
      <c r="F96" s="21"/>
      <c r="H96" s="22"/>
      <c r="I96" s="71"/>
      <c r="J96" s="76"/>
      <c r="K96" s="66"/>
      <c r="L96" s="66"/>
      <c r="M96" s="66"/>
      <c r="N96" s="66"/>
      <c r="O96" s="66"/>
      <c r="P96" s="66"/>
    </row>
    <row r="97" spans="2:16" hidden="1" outlineLevel="1" x14ac:dyDescent="0.3">
      <c r="D97" s="133"/>
      <c r="E97" s="7"/>
      <c r="F97" s="21"/>
      <c r="H97" s="22"/>
      <c r="I97" s="71"/>
      <c r="J97" s="76"/>
      <c r="K97" s="66"/>
      <c r="L97" s="66"/>
      <c r="M97" s="66"/>
      <c r="N97" s="66"/>
      <c r="O97" s="66"/>
      <c r="P97" s="66"/>
    </row>
    <row r="98" spans="2:16" x14ac:dyDescent="0.3">
      <c r="B98" s="128" t="s">
        <v>248</v>
      </c>
      <c r="D98" s="133"/>
      <c r="E98" s="7"/>
      <c r="F98" s="21"/>
      <c r="H98" s="22"/>
      <c r="I98" s="71"/>
      <c r="J98" s="76"/>
      <c r="K98" s="66"/>
      <c r="L98" s="66"/>
      <c r="M98" s="66"/>
      <c r="N98" s="66"/>
      <c r="O98" s="66"/>
      <c r="P98" s="66"/>
    </row>
    <row r="99" spans="2:16" x14ac:dyDescent="0.3">
      <c r="D99" s="133"/>
      <c r="E99" s="7"/>
      <c r="F99" s="21"/>
      <c r="H99" s="22"/>
      <c r="I99" s="71"/>
      <c r="J99" s="76"/>
      <c r="K99" s="66"/>
      <c r="L99" s="66"/>
      <c r="M99" s="66"/>
      <c r="N99" s="66"/>
      <c r="O99" s="66"/>
      <c r="P99" s="66"/>
    </row>
    <row r="100" spans="2:16" collapsed="1" x14ac:dyDescent="0.3">
      <c r="B100" s="128" t="s">
        <v>24</v>
      </c>
      <c r="D100" s="133"/>
      <c r="E100" s="7"/>
      <c r="F100" s="21"/>
      <c r="H100" s="22"/>
      <c r="I100" s="71"/>
      <c r="J100" s="76"/>
      <c r="K100" s="66"/>
      <c r="L100" s="66"/>
      <c r="M100" s="66"/>
      <c r="N100" s="66"/>
      <c r="O100" s="66"/>
      <c r="P100" s="66"/>
    </row>
    <row r="101" spans="2:16" hidden="1" outlineLevel="1" x14ac:dyDescent="0.3">
      <c r="D101" s="133"/>
      <c r="E101" s="7"/>
      <c r="F101" s="21"/>
      <c r="H101" s="22"/>
      <c r="I101" s="71"/>
      <c r="J101" s="76"/>
      <c r="K101" s="66"/>
      <c r="L101" s="66"/>
      <c r="M101" s="66"/>
      <c r="N101" s="66"/>
      <c r="O101" s="66"/>
      <c r="P101" s="66"/>
    </row>
    <row r="102" spans="2:16" hidden="1" outlineLevel="1" x14ac:dyDescent="0.3">
      <c r="D102" s="133"/>
      <c r="E102" s="7"/>
      <c r="F102" s="21"/>
      <c r="H102" s="22"/>
      <c r="I102" s="71"/>
      <c r="J102" s="76"/>
      <c r="K102" s="66"/>
      <c r="L102" s="66"/>
      <c r="M102" s="66"/>
      <c r="N102" s="66"/>
      <c r="O102" s="66"/>
      <c r="P102" s="66"/>
    </row>
    <row r="103" spans="2:16" x14ac:dyDescent="0.3">
      <c r="B103" s="128" t="s">
        <v>247</v>
      </c>
      <c r="D103" s="133"/>
      <c r="E103" s="7"/>
      <c r="F103" s="21"/>
      <c r="H103" s="22"/>
      <c r="I103" s="71"/>
      <c r="J103" s="76"/>
      <c r="K103" s="66"/>
      <c r="L103" s="66"/>
      <c r="M103" s="66"/>
      <c r="N103" s="66"/>
      <c r="O103" s="66"/>
      <c r="P103" s="66"/>
    </row>
    <row r="104" spans="2:16" x14ac:dyDescent="0.3">
      <c r="D104" s="133"/>
      <c r="E104" s="7"/>
      <c r="F104" s="21"/>
      <c r="H104" s="22"/>
      <c r="I104" s="71"/>
      <c r="J104" s="76"/>
      <c r="K104" s="66"/>
      <c r="L104" s="66"/>
      <c r="M104" s="66"/>
      <c r="N104" s="66"/>
      <c r="O104" s="66"/>
      <c r="P104" s="66"/>
    </row>
    <row r="105" spans="2:16" collapsed="1" x14ac:dyDescent="0.3">
      <c r="B105" s="128" t="s">
        <v>25</v>
      </c>
      <c r="D105" s="133"/>
      <c r="E105" s="7"/>
      <c r="F105" s="21"/>
      <c r="H105" s="22"/>
      <c r="I105" s="71"/>
      <c r="J105" s="76"/>
      <c r="K105" s="66"/>
      <c r="L105" s="66"/>
      <c r="M105" s="66"/>
      <c r="N105" s="66"/>
      <c r="O105" s="66"/>
      <c r="P105" s="66"/>
    </row>
    <row r="106" spans="2:16" hidden="1" outlineLevel="1" x14ac:dyDescent="0.3">
      <c r="D106" s="133"/>
      <c r="E106" s="7"/>
      <c r="F106" s="21"/>
      <c r="H106" s="22"/>
      <c r="I106" s="71"/>
      <c r="J106" s="76"/>
      <c r="K106" s="66"/>
      <c r="L106" s="66"/>
      <c r="M106" s="66"/>
      <c r="N106" s="66"/>
      <c r="O106" s="66"/>
      <c r="P106" s="66"/>
    </row>
    <row r="107" spans="2:16" hidden="1" outlineLevel="1" x14ac:dyDescent="0.3">
      <c r="D107" s="133"/>
      <c r="E107" s="7"/>
      <c r="F107" s="21"/>
      <c r="H107" s="22"/>
      <c r="I107" s="71"/>
      <c r="J107" s="76"/>
      <c r="K107" s="66"/>
      <c r="L107" s="66"/>
      <c r="M107" s="66"/>
      <c r="N107" s="66"/>
      <c r="O107" s="66"/>
      <c r="P107" s="66"/>
    </row>
    <row r="108" spans="2:16" x14ac:dyDescent="0.3">
      <c r="B108" s="128" t="s">
        <v>246</v>
      </c>
      <c r="D108" s="133"/>
      <c r="E108" s="7"/>
      <c r="F108" s="21"/>
      <c r="H108" s="22"/>
      <c r="I108" s="71"/>
      <c r="J108" s="76"/>
      <c r="K108" s="66"/>
      <c r="L108" s="66"/>
      <c r="M108" s="66"/>
      <c r="N108" s="66"/>
      <c r="O108" s="66"/>
      <c r="P108" s="66"/>
    </row>
    <row r="109" spans="2:16" x14ac:dyDescent="0.3">
      <c r="D109" s="133"/>
      <c r="E109" s="7"/>
      <c r="F109" s="21"/>
      <c r="H109" s="22"/>
      <c r="I109" s="71"/>
      <c r="J109" s="76"/>
      <c r="K109" s="66"/>
      <c r="L109" s="66"/>
      <c r="M109" s="66"/>
      <c r="N109" s="66"/>
      <c r="O109" s="66"/>
      <c r="P109" s="66"/>
    </row>
    <row r="110" spans="2:16" x14ac:dyDescent="0.3">
      <c r="B110" s="128" t="s">
        <v>244</v>
      </c>
      <c r="D110" s="133"/>
      <c r="E110" s="7"/>
      <c r="F110" s="21"/>
      <c r="H110" s="22"/>
      <c r="I110" s="71"/>
      <c r="J110" s="76"/>
      <c r="K110" s="66"/>
      <c r="L110" s="66"/>
      <c r="M110" s="66"/>
      <c r="N110" s="66"/>
      <c r="O110" s="66"/>
      <c r="P110" s="66"/>
    </row>
    <row r="111" spans="2:16" outlineLevel="1" x14ac:dyDescent="0.3">
      <c r="D111" s="133"/>
      <c r="E111" s="7"/>
      <c r="F111" s="21"/>
      <c r="H111" s="22"/>
      <c r="I111" s="71"/>
      <c r="J111" s="76"/>
      <c r="K111" s="66"/>
      <c r="L111" s="66"/>
      <c r="M111" s="66"/>
      <c r="N111" s="66"/>
      <c r="O111" s="66"/>
      <c r="P111" s="66"/>
    </row>
    <row r="112" spans="2:16" outlineLevel="1" x14ac:dyDescent="0.3">
      <c r="D112" s="133" t="s">
        <v>364</v>
      </c>
      <c r="E112" s="236">
        <v>5</v>
      </c>
      <c r="F112" s="172" t="s">
        <v>352</v>
      </c>
      <c r="H112" s="22"/>
      <c r="I112" s="71"/>
      <c r="J112" s="76"/>
      <c r="K112" s="66"/>
      <c r="L112" s="66"/>
      <c r="M112" s="66"/>
      <c r="N112" s="66"/>
      <c r="O112" s="66"/>
      <c r="P112" s="66"/>
    </row>
    <row r="113" spans="1:401" outlineLevel="1" x14ac:dyDescent="0.3">
      <c r="D113" s="133" t="s">
        <v>315</v>
      </c>
      <c r="E113" s="192">
        <v>158</v>
      </c>
      <c r="F113" s="191" t="s">
        <v>15</v>
      </c>
      <c r="H113" s="22"/>
      <c r="I113" s="71"/>
      <c r="J113" s="76"/>
      <c r="K113" s="66"/>
      <c r="L113" s="66"/>
      <c r="M113" s="66"/>
      <c r="N113" s="66"/>
      <c r="O113" s="66"/>
      <c r="P113" s="66"/>
    </row>
    <row r="114" spans="1:401" outlineLevel="1" x14ac:dyDescent="0.3">
      <c r="D114" s="133" t="s">
        <v>367</v>
      </c>
      <c r="E114" s="28">
        <v>0.2</v>
      </c>
      <c r="F114" s="13" t="s">
        <v>31</v>
      </c>
      <c r="H114" s="22"/>
      <c r="I114" s="71"/>
      <c r="J114" s="76"/>
      <c r="K114" s="66"/>
      <c r="L114" s="66"/>
      <c r="M114" s="66"/>
      <c r="N114" s="66"/>
      <c r="O114" s="66"/>
      <c r="P114" s="66"/>
    </row>
    <row r="115" spans="1:401" outlineLevel="1" x14ac:dyDescent="0.3">
      <c r="D115" s="133"/>
      <c r="E115" s="7"/>
      <c r="F115" s="21"/>
      <c r="H115" s="22"/>
      <c r="I115" s="71"/>
      <c r="J115" s="76"/>
      <c r="K115" s="66"/>
      <c r="L115" s="66"/>
      <c r="M115" s="66"/>
      <c r="N115" s="66"/>
      <c r="O115" s="66"/>
      <c r="P115" s="66"/>
    </row>
    <row r="116" spans="1:401" outlineLevel="1" x14ac:dyDescent="0.3">
      <c r="D116" s="133" t="s">
        <v>275</v>
      </c>
      <c r="E116" s="14">
        <v>1</v>
      </c>
      <c r="F116" s="13" t="s">
        <v>31</v>
      </c>
      <c r="H116" s="22"/>
      <c r="I116" s="71"/>
      <c r="J116" s="76"/>
      <c r="K116" s="66"/>
      <c r="L116" s="66"/>
      <c r="M116" s="66"/>
      <c r="N116" s="66"/>
      <c r="O116" s="66"/>
      <c r="P116" s="66"/>
    </row>
    <row r="117" spans="1:401" outlineLevel="1" x14ac:dyDescent="0.3">
      <c r="D117" s="133" t="s">
        <v>285</v>
      </c>
      <c r="E117" s="14">
        <f>100%-E116</f>
        <v>0</v>
      </c>
      <c r="F117" s="13" t="s">
        <v>31</v>
      </c>
      <c r="H117" s="22"/>
      <c r="I117" s="71"/>
      <c r="J117" s="76"/>
      <c r="K117" s="66"/>
      <c r="L117" s="66"/>
      <c r="M117" s="66"/>
      <c r="N117" s="66"/>
      <c r="O117" s="66"/>
      <c r="P117" s="66"/>
    </row>
    <row r="118" spans="1:401" outlineLevel="1" x14ac:dyDescent="0.3">
      <c r="D118" s="133"/>
      <c r="E118" s="7"/>
      <c r="F118" s="21"/>
      <c r="H118" s="22"/>
      <c r="I118" s="71"/>
      <c r="J118" s="76"/>
      <c r="K118" s="66"/>
      <c r="L118" s="66"/>
      <c r="M118" s="66"/>
      <c r="N118" s="66"/>
      <c r="O118" s="66"/>
      <c r="P118" s="66"/>
    </row>
    <row r="119" spans="1:401" outlineLevel="1" x14ac:dyDescent="0.3">
      <c r="D119" s="133"/>
      <c r="E119" s="7"/>
      <c r="F119" s="21"/>
      <c r="H119" s="22"/>
      <c r="I119" s="71"/>
      <c r="J119" s="76"/>
      <c r="K119" s="66"/>
      <c r="L119" s="66"/>
      <c r="M119" s="66"/>
      <c r="N119" s="66"/>
      <c r="O119" s="66"/>
      <c r="P119" s="66" cm="1">
        <f t="array" ref="P119:OK119">(((_xlfn.ANCHORARRAY(P3)-E59+1)+ABS(_xlfn.ANCHORARRAY(P3)-E59+1))/2)</f>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1</v>
      </c>
      <c r="AS119">
        <v>2</v>
      </c>
      <c r="AT119">
        <v>3</v>
      </c>
      <c r="AU119">
        <v>4</v>
      </c>
      <c r="AV119">
        <v>5</v>
      </c>
      <c r="AW119">
        <v>6</v>
      </c>
      <c r="AX119">
        <v>7</v>
      </c>
      <c r="AY119">
        <v>8</v>
      </c>
      <c r="AZ119">
        <v>9</v>
      </c>
      <c r="BA119">
        <v>10</v>
      </c>
      <c r="BB119">
        <v>11</v>
      </c>
      <c r="BC119">
        <v>12</v>
      </c>
      <c r="BD119">
        <v>13</v>
      </c>
      <c r="BE119">
        <v>14</v>
      </c>
      <c r="BF119">
        <v>15</v>
      </c>
      <c r="BG119">
        <v>16</v>
      </c>
      <c r="BH119">
        <v>17</v>
      </c>
      <c r="BI119">
        <v>18</v>
      </c>
      <c r="BJ119">
        <v>19</v>
      </c>
      <c r="BK119">
        <v>20</v>
      </c>
      <c r="BL119">
        <v>21</v>
      </c>
      <c r="BM119">
        <v>22</v>
      </c>
      <c r="BN119">
        <v>23</v>
      </c>
      <c r="BO119">
        <v>24</v>
      </c>
      <c r="BP119">
        <v>25</v>
      </c>
      <c r="BQ119">
        <v>26</v>
      </c>
      <c r="BR119">
        <v>27</v>
      </c>
      <c r="BS119">
        <v>28</v>
      </c>
      <c r="BT119">
        <v>29</v>
      </c>
      <c r="BU119">
        <v>30</v>
      </c>
      <c r="BV119">
        <v>31</v>
      </c>
      <c r="BW119">
        <v>32</v>
      </c>
      <c r="BX119">
        <v>33</v>
      </c>
      <c r="BY119">
        <v>34</v>
      </c>
      <c r="BZ119">
        <v>35</v>
      </c>
      <c r="CA119">
        <v>36</v>
      </c>
      <c r="CB119">
        <v>37</v>
      </c>
      <c r="CC119">
        <v>38</v>
      </c>
      <c r="CD119">
        <v>39</v>
      </c>
      <c r="CE119">
        <v>40</v>
      </c>
      <c r="CF119">
        <v>41</v>
      </c>
      <c r="CG119">
        <v>42</v>
      </c>
      <c r="CH119">
        <v>43</v>
      </c>
      <c r="CI119">
        <v>44</v>
      </c>
      <c r="CJ119">
        <v>45</v>
      </c>
      <c r="CK119">
        <v>46</v>
      </c>
      <c r="CL119">
        <v>47</v>
      </c>
      <c r="CM119">
        <v>48</v>
      </c>
      <c r="CN119">
        <v>49</v>
      </c>
      <c r="CO119">
        <v>50</v>
      </c>
      <c r="CP119">
        <v>51</v>
      </c>
      <c r="CQ119">
        <v>52</v>
      </c>
      <c r="CR119">
        <v>53</v>
      </c>
      <c r="CS119">
        <v>54</v>
      </c>
      <c r="CT119">
        <v>55</v>
      </c>
      <c r="CU119">
        <v>56</v>
      </c>
      <c r="CV119">
        <v>57</v>
      </c>
      <c r="CW119">
        <v>58</v>
      </c>
      <c r="CX119">
        <v>59</v>
      </c>
      <c r="CY119">
        <v>60</v>
      </c>
      <c r="CZ119">
        <v>61</v>
      </c>
      <c r="DA119">
        <v>62</v>
      </c>
      <c r="DB119">
        <v>63</v>
      </c>
      <c r="DC119">
        <v>64</v>
      </c>
      <c r="DD119">
        <v>65</v>
      </c>
      <c r="DE119">
        <v>66</v>
      </c>
      <c r="DF119">
        <v>67</v>
      </c>
      <c r="DG119">
        <v>68</v>
      </c>
      <c r="DH119">
        <v>69</v>
      </c>
      <c r="DI119">
        <v>70</v>
      </c>
      <c r="DJ119">
        <v>71</v>
      </c>
      <c r="DK119">
        <v>72</v>
      </c>
      <c r="DL119">
        <v>73</v>
      </c>
      <c r="DM119">
        <v>74</v>
      </c>
      <c r="DN119">
        <v>75</v>
      </c>
      <c r="DO119">
        <v>76</v>
      </c>
      <c r="DP119">
        <v>77</v>
      </c>
      <c r="DQ119">
        <v>78</v>
      </c>
      <c r="DR119">
        <v>79</v>
      </c>
      <c r="DS119">
        <v>80</v>
      </c>
      <c r="DT119">
        <v>81</v>
      </c>
      <c r="DU119">
        <v>82</v>
      </c>
      <c r="DV119">
        <v>83</v>
      </c>
      <c r="DW119">
        <v>84</v>
      </c>
      <c r="DX119">
        <v>85</v>
      </c>
      <c r="DY119">
        <v>86</v>
      </c>
      <c r="DZ119">
        <v>87</v>
      </c>
      <c r="EA119">
        <v>88</v>
      </c>
      <c r="EB119">
        <v>89</v>
      </c>
      <c r="EC119">
        <v>90</v>
      </c>
      <c r="ED119">
        <v>91</v>
      </c>
      <c r="EE119">
        <v>92</v>
      </c>
      <c r="EF119">
        <v>93</v>
      </c>
      <c r="EG119">
        <v>94</v>
      </c>
      <c r="EH119">
        <v>95</v>
      </c>
      <c r="EI119">
        <v>96</v>
      </c>
      <c r="EJ119">
        <v>97</v>
      </c>
      <c r="EK119">
        <v>98</v>
      </c>
      <c r="EL119">
        <v>99</v>
      </c>
      <c r="EM119">
        <v>100</v>
      </c>
      <c r="EN119">
        <v>101</v>
      </c>
      <c r="EO119">
        <v>102</v>
      </c>
      <c r="EP119">
        <v>103</v>
      </c>
      <c r="EQ119">
        <v>104</v>
      </c>
      <c r="ER119">
        <v>105</v>
      </c>
      <c r="ES119">
        <v>106</v>
      </c>
      <c r="ET119">
        <v>107</v>
      </c>
      <c r="EU119">
        <v>108</v>
      </c>
      <c r="EV119">
        <v>109</v>
      </c>
      <c r="EW119">
        <v>110</v>
      </c>
      <c r="EX119">
        <v>111</v>
      </c>
      <c r="EY119">
        <v>112</v>
      </c>
      <c r="EZ119">
        <v>113</v>
      </c>
      <c r="FA119">
        <v>114</v>
      </c>
      <c r="FB119">
        <v>115</v>
      </c>
      <c r="FC119">
        <v>116</v>
      </c>
      <c r="FD119">
        <v>117</v>
      </c>
      <c r="FE119">
        <v>118</v>
      </c>
      <c r="FF119">
        <v>119</v>
      </c>
      <c r="FG119">
        <v>120</v>
      </c>
      <c r="FH119">
        <v>121</v>
      </c>
      <c r="FI119">
        <v>122</v>
      </c>
      <c r="FJ119">
        <v>123</v>
      </c>
      <c r="FK119">
        <v>124</v>
      </c>
      <c r="FL119">
        <v>125</v>
      </c>
      <c r="FM119">
        <v>126</v>
      </c>
      <c r="FN119">
        <v>127</v>
      </c>
      <c r="FO119">
        <v>128</v>
      </c>
      <c r="FP119">
        <v>129</v>
      </c>
      <c r="FQ119">
        <v>130</v>
      </c>
      <c r="FR119">
        <v>131</v>
      </c>
      <c r="FS119">
        <v>132</v>
      </c>
      <c r="FT119">
        <v>133</v>
      </c>
      <c r="FU119">
        <v>134</v>
      </c>
      <c r="FV119">
        <v>135</v>
      </c>
      <c r="FW119">
        <v>136</v>
      </c>
      <c r="FX119">
        <v>137</v>
      </c>
      <c r="FY119">
        <v>138</v>
      </c>
      <c r="FZ119">
        <v>139</v>
      </c>
      <c r="GA119">
        <v>140</v>
      </c>
      <c r="GB119">
        <v>141</v>
      </c>
      <c r="GC119">
        <v>142</v>
      </c>
      <c r="GD119">
        <v>143</v>
      </c>
      <c r="GE119">
        <v>144</v>
      </c>
      <c r="GF119">
        <v>145</v>
      </c>
      <c r="GG119">
        <v>146</v>
      </c>
      <c r="GH119">
        <v>147</v>
      </c>
      <c r="GI119">
        <v>148</v>
      </c>
      <c r="GJ119">
        <v>149</v>
      </c>
      <c r="GK119">
        <v>150</v>
      </c>
      <c r="GL119">
        <v>151</v>
      </c>
      <c r="GM119">
        <v>152</v>
      </c>
      <c r="GN119">
        <v>153</v>
      </c>
      <c r="GO119">
        <v>154</v>
      </c>
      <c r="GP119">
        <v>155</v>
      </c>
      <c r="GQ119">
        <v>156</v>
      </c>
      <c r="GR119">
        <v>157</v>
      </c>
      <c r="GS119">
        <v>158</v>
      </c>
      <c r="GT119">
        <v>159</v>
      </c>
      <c r="GU119">
        <v>160</v>
      </c>
      <c r="GV119">
        <v>161</v>
      </c>
      <c r="GW119">
        <v>162</v>
      </c>
      <c r="GX119">
        <v>163</v>
      </c>
      <c r="GY119">
        <v>164</v>
      </c>
      <c r="GZ119">
        <v>165</v>
      </c>
      <c r="HA119">
        <v>166</v>
      </c>
      <c r="HB119">
        <v>167</v>
      </c>
      <c r="HC119">
        <v>168</v>
      </c>
      <c r="HD119">
        <v>169</v>
      </c>
      <c r="HE119">
        <v>170</v>
      </c>
      <c r="HF119">
        <v>171</v>
      </c>
      <c r="HG119">
        <v>172</v>
      </c>
      <c r="HH119">
        <v>173</v>
      </c>
      <c r="HI119">
        <v>174</v>
      </c>
      <c r="HJ119">
        <v>175</v>
      </c>
      <c r="HK119">
        <v>176</v>
      </c>
      <c r="HL119">
        <v>177</v>
      </c>
      <c r="HM119">
        <v>178</v>
      </c>
      <c r="HN119">
        <v>179</v>
      </c>
      <c r="HO119">
        <v>180</v>
      </c>
      <c r="HP119">
        <v>181</v>
      </c>
      <c r="HQ119">
        <v>182</v>
      </c>
      <c r="HR119">
        <v>183</v>
      </c>
      <c r="HS119">
        <v>184</v>
      </c>
      <c r="HT119">
        <v>185</v>
      </c>
      <c r="HU119">
        <v>186</v>
      </c>
      <c r="HV119">
        <v>187</v>
      </c>
      <c r="HW119">
        <v>188</v>
      </c>
      <c r="HX119">
        <v>189</v>
      </c>
      <c r="HY119">
        <v>190</v>
      </c>
      <c r="HZ119">
        <v>191</v>
      </c>
      <c r="IA119">
        <v>192</v>
      </c>
      <c r="IB119">
        <v>193</v>
      </c>
      <c r="IC119">
        <v>194</v>
      </c>
      <c r="ID119">
        <v>195</v>
      </c>
      <c r="IE119">
        <v>196</v>
      </c>
      <c r="IF119">
        <v>197</v>
      </c>
      <c r="IG119">
        <v>198</v>
      </c>
      <c r="IH119">
        <v>199</v>
      </c>
      <c r="II119">
        <v>200</v>
      </c>
      <c r="IJ119">
        <v>201</v>
      </c>
      <c r="IK119">
        <v>202</v>
      </c>
      <c r="IL119">
        <v>203</v>
      </c>
      <c r="IM119">
        <v>204</v>
      </c>
      <c r="IN119">
        <v>205</v>
      </c>
      <c r="IO119">
        <v>206</v>
      </c>
      <c r="IP119">
        <v>207</v>
      </c>
      <c r="IQ119">
        <v>208</v>
      </c>
      <c r="IR119">
        <v>209</v>
      </c>
      <c r="IS119">
        <v>210</v>
      </c>
      <c r="IT119">
        <v>211</v>
      </c>
      <c r="IU119">
        <v>212</v>
      </c>
      <c r="IV119">
        <v>213</v>
      </c>
      <c r="IW119">
        <v>214</v>
      </c>
      <c r="IX119">
        <v>215</v>
      </c>
      <c r="IY119">
        <v>216</v>
      </c>
      <c r="IZ119">
        <v>217</v>
      </c>
      <c r="JA119">
        <v>218</v>
      </c>
      <c r="JB119">
        <v>219</v>
      </c>
      <c r="JC119">
        <v>220</v>
      </c>
      <c r="JD119">
        <v>221</v>
      </c>
      <c r="JE119">
        <v>222</v>
      </c>
      <c r="JF119">
        <v>223</v>
      </c>
      <c r="JG119">
        <v>224</v>
      </c>
      <c r="JH119">
        <v>225</v>
      </c>
      <c r="JI119">
        <v>226</v>
      </c>
      <c r="JJ119">
        <v>227</v>
      </c>
      <c r="JK119">
        <v>228</v>
      </c>
      <c r="JL119">
        <v>229</v>
      </c>
      <c r="JM119">
        <v>230</v>
      </c>
      <c r="JN119">
        <v>231</v>
      </c>
      <c r="JO119">
        <v>232</v>
      </c>
      <c r="JP119">
        <v>233</v>
      </c>
      <c r="JQ119">
        <v>234</v>
      </c>
      <c r="JR119">
        <v>235</v>
      </c>
      <c r="JS119">
        <v>236</v>
      </c>
      <c r="JT119">
        <v>237</v>
      </c>
      <c r="JU119">
        <v>238</v>
      </c>
      <c r="JV119">
        <v>239</v>
      </c>
      <c r="JW119">
        <v>240</v>
      </c>
      <c r="JX119">
        <v>241</v>
      </c>
      <c r="JY119">
        <v>242</v>
      </c>
      <c r="JZ119">
        <v>243</v>
      </c>
      <c r="KA119">
        <v>244</v>
      </c>
      <c r="KB119">
        <v>245</v>
      </c>
      <c r="KC119">
        <v>246</v>
      </c>
      <c r="KD119">
        <v>247</v>
      </c>
      <c r="KE119">
        <v>248</v>
      </c>
      <c r="KF119">
        <v>249</v>
      </c>
      <c r="KG119">
        <v>250</v>
      </c>
      <c r="KH119">
        <v>251</v>
      </c>
      <c r="KI119">
        <v>252</v>
      </c>
      <c r="KJ119">
        <v>253</v>
      </c>
      <c r="KK119">
        <v>254</v>
      </c>
      <c r="KL119">
        <v>255</v>
      </c>
      <c r="KM119">
        <v>256</v>
      </c>
      <c r="KN119">
        <v>257</v>
      </c>
      <c r="KO119">
        <v>258</v>
      </c>
      <c r="KP119">
        <v>259</v>
      </c>
      <c r="KQ119">
        <v>260</v>
      </c>
      <c r="KR119">
        <v>261</v>
      </c>
      <c r="KS119">
        <v>262</v>
      </c>
      <c r="KT119">
        <v>263</v>
      </c>
      <c r="KU119">
        <v>264</v>
      </c>
      <c r="KV119">
        <v>265</v>
      </c>
      <c r="KW119">
        <v>266</v>
      </c>
      <c r="KX119">
        <v>267</v>
      </c>
      <c r="KY119">
        <v>268</v>
      </c>
      <c r="KZ119">
        <v>269</v>
      </c>
      <c r="LA119">
        <v>270</v>
      </c>
      <c r="LB119">
        <v>271</v>
      </c>
      <c r="LC119">
        <v>272</v>
      </c>
      <c r="LD119">
        <v>273</v>
      </c>
      <c r="LE119">
        <v>274</v>
      </c>
      <c r="LF119">
        <v>275</v>
      </c>
      <c r="LG119">
        <v>276</v>
      </c>
      <c r="LH119">
        <v>277</v>
      </c>
      <c r="LI119">
        <v>278</v>
      </c>
      <c r="LJ119">
        <v>279</v>
      </c>
      <c r="LK119">
        <v>280</v>
      </c>
      <c r="LL119">
        <v>281</v>
      </c>
      <c r="LM119">
        <v>282</v>
      </c>
      <c r="LN119">
        <v>283</v>
      </c>
      <c r="LO119">
        <v>284</v>
      </c>
      <c r="LP119">
        <v>285</v>
      </c>
      <c r="LQ119">
        <v>286</v>
      </c>
      <c r="LR119">
        <v>287</v>
      </c>
      <c r="LS119">
        <v>288</v>
      </c>
      <c r="LT119">
        <v>289</v>
      </c>
      <c r="LU119">
        <v>290</v>
      </c>
      <c r="LV119">
        <v>291</v>
      </c>
      <c r="LW119">
        <v>292</v>
      </c>
      <c r="LX119">
        <v>293</v>
      </c>
      <c r="LY119">
        <v>294</v>
      </c>
      <c r="LZ119">
        <v>295</v>
      </c>
      <c r="MA119">
        <v>296</v>
      </c>
      <c r="MB119">
        <v>297</v>
      </c>
      <c r="MC119">
        <v>298</v>
      </c>
      <c r="MD119">
        <v>299</v>
      </c>
      <c r="ME119">
        <v>300</v>
      </c>
      <c r="MF119">
        <v>301</v>
      </c>
      <c r="MG119">
        <v>302</v>
      </c>
      <c r="MH119">
        <v>303</v>
      </c>
      <c r="MI119">
        <v>304</v>
      </c>
      <c r="MJ119">
        <v>305</v>
      </c>
      <c r="MK119">
        <v>306</v>
      </c>
      <c r="ML119">
        <v>307</v>
      </c>
      <c r="MM119">
        <v>308</v>
      </c>
      <c r="MN119">
        <v>309</v>
      </c>
      <c r="MO119">
        <v>310</v>
      </c>
      <c r="MP119">
        <v>311</v>
      </c>
      <c r="MQ119">
        <v>312</v>
      </c>
      <c r="MR119">
        <v>313</v>
      </c>
      <c r="MS119">
        <v>314</v>
      </c>
      <c r="MT119">
        <v>315</v>
      </c>
      <c r="MU119">
        <v>316</v>
      </c>
      <c r="MV119">
        <v>317</v>
      </c>
      <c r="MW119">
        <v>318</v>
      </c>
      <c r="MX119">
        <v>319</v>
      </c>
      <c r="MY119">
        <v>320</v>
      </c>
      <c r="MZ119">
        <v>321</v>
      </c>
      <c r="NA119">
        <v>322</v>
      </c>
      <c r="NB119">
        <v>323</v>
      </c>
      <c r="NC119">
        <v>324</v>
      </c>
      <c r="ND119">
        <v>325</v>
      </c>
      <c r="NE119">
        <v>326</v>
      </c>
      <c r="NF119">
        <v>327</v>
      </c>
      <c r="NG119">
        <v>328</v>
      </c>
      <c r="NH119">
        <v>329</v>
      </c>
      <c r="NI119">
        <v>330</v>
      </c>
      <c r="NJ119">
        <v>331</v>
      </c>
      <c r="NK119">
        <v>332</v>
      </c>
      <c r="NL119">
        <v>333</v>
      </c>
      <c r="NM119">
        <v>334</v>
      </c>
      <c r="NN119">
        <v>335</v>
      </c>
      <c r="NO119">
        <v>336</v>
      </c>
      <c r="NP119">
        <v>337</v>
      </c>
      <c r="NQ119">
        <v>338</v>
      </c>
      <c r="NR119">
        <v>339</v>
      </c>
      <c r="NS119">
        <v>340</v>
      </c>
      <c r="NT119">
        <v>341</v>
      </c>
      <c r="NU119">
        <v>342</v>
      </c>
      <c r="NV119">
        <v>343</v>
      </c>
      <c r="NW119">
        <v>344</v>
      </c>
      <c r="NX119">
        <v>345</v>
      </c>
      <c r="NY119">
        <v>346</v>
      </c>
      <c r="NZ119">
        <v>347</v>
      </c>
      <c r="OA119">
        <v>348</v>
      </c>
      <c r="OB119">
        <v>349</v>
      </c>
      <c r="OC119">
        <v>350</v>
      </c>
      <c r="OD119">
        <v>351</v>
      </c>
      <c r="OE119">
        <v>352</v>
      </c>
      <c r="OF119">
        <v>353</v>
      </c>
      <c r="OG119">
        <v>354</v>
      </c>
      <c r="OH119">
        <v>355</v>
      </c>
      <c r="OI119">
        <v>356</v>
      </c>
      <c r="OJ119">
        <v>357</v>
      </c>
      <c r="OK119">
        <v>358</v>
      </c>
    </row>
    <row r="120" spans="1:401" ht="14.4" thickBot="1" x14ac:dyDescent="0.35">
      <c r="A120" s="185"/>
      <c r="B120" s="185" t="s">
        <v>245</v>
      </c>
      <c r="C120" s="185"/>
      <c r="D120" s="186"/>
      <c r="E120" s="187"/>
      <c r="F120" s="188"/>
      <c r="G120" s="189"/>
      <c r="H120" s="146"/>
      <c r="I120" s="146"/>
      <c r="J120" s="157"/>
      <c r="K120" s="156"/>
      <c r="L120" s="156"/>
      <c r="M120" s="156"/>
      <c r="N120" s="156"/>
      <c r="O120" s="156"/>
      <c r="P120" s="156"/>
      <c r="Q120" s="189"/>
      <c r="R120" s="189"/>
      <c r="S120" s="189"/>
      <c r="T120" s="189"/>
      <c r="U120" s="189"/>
      <c r="V120" s="189"/>
      <c r="W120" s="189"/>
      <c r="X120" s="189"/>
      <c r="Y120" s="189"/>
      <c r="Z120" s="189"/>
      <c r="AA120" s="189"/>
      <c r="AB120" s="189"/>
      <c r="AC120" s="189"/>
      <c r="AD120" s="189"/>
      <c r="AE120" s="189"/>
      <c r="AF120" s="189"/>
      <c r="AG120" s="189"/>
      <c r="AH120" s="189"/>
      <c r="AI120" s="189"/>
      <c r="AJ120" s="189"/>
      <c r="AK120" s="189"/>
      <c r="AL120" s="189"/>
      <c r="AM120" s="189"/>
      <c r="AN120" s="189"/>
      <c r="AO120" s="189"/>
      <c r="AP120" s="189"/>
      <c r="AQ120" s="189"/>
      <c r="AR120" s="189"/>
      <c r="AS120" s="189"/>
      <c r="AT120" s="189"/>
      <c r="AU120" s="189"/>
      <c r="AV120" s="189"/>
      <c r="AW120" s="189"/>
      <c r="AX120" s="189"/>
      <c r="AY120" s="189"/>
      <c r="AZ120" s="189"/>
      <c r="BA120" s="189"/>
      <c r="BB120" s="189"/>
      <c r="BC120" s="189"/>
      <c r="BD120" s="189"/>
      <c r="BE120" s="189"/>
      <c r="BF120" s="189"/>
      <c r="BG120" s="189"/>
      <c r="BH120" s="189"/>
      <c r="BI120" s="189"/>
      <c r="BJ120" s="189"/>
      <c r="BK120" s="189"/>
      <c r="BL120" s="189"/>
      <c r="BM120" s="189"/>
      <c r="BN120" s="189"/>
      <c r="BO120" s="189"/>
      <c r="BP120" s="189"/>
      <c r="BQ120" s="189"/>
      <c r="BR120" s="189"/>
      <c r="BS120" s="189"/>
      <c r="BT120" s="189"/>
      <c r="BU120" s="189"/>
      <c r="BV120" s="189"/>
      <c r="BW120" s="189"/>
      <c r="BX120" s="189"/>
      <c r="BY120" s="189"/>
      <c r="BZ120" s="189"/>
      <c r="CA120" s="189"/>
      <c r="CB120" s="189"/>
      <c r="CC120" s="189"/>
      <c r="CD120" s="189"/>
      <c r="CE120" s="189"/>
      <c r="CF120" s="189"/>
      <c r="CG120" s="189"/>
      <c r="CH120" s="189"/>
      <c r="CI120" s="189"/>
      <c r="CJ120" s="189"/>
      <c r="CK120" s="189"/>
      <c r="CL120" s="189"/>
      <c r="CM120" s="189"/>
      <c r="CN120" s="189"/>
      <c r="CO120" s="189"/>
      <c r="CP120" s="189"/>
      <c r="CQ120" s="189"/>
      <c r="CR120" s="189"/>
      <c r="CS120" s="189"/>
      <c r="CT120" s="189"/>
      <c r="CU120" s="189"/>
      <c r="CV120" s="189"/>
      <c r="CW120" s="189"/>
      <c r="CX120" s="189"/>
      <c r="CY120" s="189"/>
      <c r="CZ120" s="189"/>
      <c r="DA120" s="189"/>
      <c r="DB120" s="189"/>
      <c r="DC120" s="189"/>
      <c r="DD120" s="189"/>
      <c r="DE120" s="189"/>
      <c r="DF120" s="189"/>
      <c r="DG120" s="189"/>
      <c r="DH120" s="189"/>
      <c r="DI120" s="189"/>
      <c r="DJ120" s="189"/>
      <c r="DK120" s="189"/>
      <c r="DL120" s="189"/>
      <c r="DM120" s="189"/>
      <c r="DN120" s="189"/>
      <c r="DO120" s="189"/>
      <c r="DP120" s="189"/>
      <c r="DQ120" s="189"/>
      <c r="DR120" s="189"/>
      <c r="DS120" s="189"/>
      <c r="DT120" s="189"/>
      <c r="DU120" s="189"/>
      <c r="DV120" s="189"/>
      <c r="DW120" s="189"/>
      <c r="DX120" s="189"/>
      <c r="DY120" s="189"/>
      <c r="DZ120" s="189"/>
      <c r="EA120" s="189"/>
      <c r="EB120" s="189"/>
      <c r="EC120" s="189"/>
      <c r="ED120" s="189"/>
      <c r="EE120" s="189"/>
      <c r="EF120" s="189"/>
      <c r="EG120" s="189"/>
      <c r="EH120" s="189"/>
      <c r="EI120" s="189"/>
      <c r="EJ120" s="189"/>
      <c r="EK120" s="189"/>
      <c r="EL120" s="189"/>
      <c r="EM120" s="189"/>
      <c r="EN120" s="189"/>
      <c r="EO120" s="189"/>
      <c r="EP120" s="189"/>
      <c r="EQ120" s="189"/>
      <c r="ER120" s="189"/>
      <c r="ES120" s="189"/>
      <c r="ET120" s="189"/>
      <c r="EU120" s="189"/>
      <c r="EV120" s="189"/>
      <c r="EW120" s="189"/>
      <c r="EX120" s="189"/>
      <c r="EY120" s="189"/>
      <c r="EZ120" s="189"/>
      <c r="FA120" s="189"/>
      <c r="FB120" s="189"/>
      <c r="FC120" s="189"/>
      <c r="FD120" s="189"/>
      <c r="FE120" s="189"/>
      <c r="FF120" s="189"/>
      <c r="FG120" s="189"/>
      <c r="FH120" s="189"/>
      <c r="FI120" s="189"/>
      <c r="FJ120" s="189"/>
      <c r="FK120" s="189"/>
      <c r="FL120" s="189"/>
      <c r="FM120" s="189"/>
      <c r="FN120" s="189"/>
      <c r="FO120" s="189"/>
      <c r="FP120" s="189"/>
      <c r="FQ120" s="189"/>
      <c r="FR120" s="189"/>
      <c r="FS120" s="189"/>
      <c r="FT120" s="189"/>
      <c r="FU120" s="189"/>
      <c r="FV120" s="189"/>
      <c r="FW120" s="189"/>
      <c r="FX120" s="189"/>
      <c r="FY120" s="189"/>
      <c r="FZ120" s="189"/>
      <c r="GA120" s="189"/>
      <c r="GB120" s="189"/>
      <c r="GC120" s="189"/>
      <c r="GD120" s="189"/>
      <c r="GE120" s="189"/>
      <c r="GF120" s="189"/>
      <c r="GG120" s="189"/>
      <c r="GH120" s="189"/>
      <c r="GI120" s="189"/>
      <c r="GJ120" s="189"/>
      <c r="GK120" s="189"/>
      <c r="GL120" s="189"/>
      <c r="GM120" s="189"/>
      <c r="GN120" s="189"/>
      <c r="GO120" s="189"/>
      <c r="GP120" s="189"/>
      <c r="GQ120" s="189"/>
      <c r="GR120" s="189"/>
      <c r="GS120" s="189"/>
      <c r="GT120" s="189"/>
      <c r="GU120" s="189"/>
      <c r="GV120" s="189"/>
      <c r="GW120" s="189"/>
      <c r="GX120" s="189"/>
      <c r="GY120" s="189"/>
      <c r="GZ120" s="189"/>
      <c r="HA120" s="189"/>
      <c r="HB120" s="189"/>
      <c r="HC120" s="189"/>
      <c r="HD120" s="189"/>
      <c r="HE120" s="189"/>
      <c r="HF120" s="189"/>
      <c r="HG120" s="189"/>
      <c r="HH120" s="189"/>
      <c r="HI120" s="189"/>
      <c r="HJ120" s="189"/>
      <c r="HK120" s="189"/>
      <c r="HL120" s="189"/>
      <c r="HM120" s="189"/>
      <c r="HN120" s="189"/>
      <c r="HO120" s="189"/>
      <c r="HP120" s="189"/>
      <c r="HQ120" s="189"/>
      <c r="HR120" s="189"/>
      <c r="HS120" s="189"/>
      <c r="HT120" s="189"/>
      <c r="HU120" s="189"/>
      <c r="HV120" s="189"/>
      <c r="HW120" s="189"/>
      <c r="HX120" s="189"/>
      <c r="HY120" s="189"/>
      <c r="HZ120" s="189"/>
      <c r="IA120" s="189"/>
      <c r="IB120" s="189"/>
      <c r="IC120" s="189"/>
      <c r="ID120" s="189"/>
      <c r="IE120" s="189"/>
      <c r="IF120" s="189"/>
      <c r="IG120" s="189"/>
      <c r="IH120" s="189"/>
      <c r="II120" s="189"/>
      <c r="IJ120" s="189"/>
      <c r="IK120" s="189"/>
      <c r="IL120" s="189"/>
      <c r="IM120" s="189"/>
      <c r="IN120" s="189"/>
      <c r="IO120" s="189"/>
      <c r="IP120" s="189"/>
      <c r="IQ120" s="189"/>
      <c r="IR120" s="189"/>
      <c r="IS120" s="189"/>
      <c r="IT120" s="189"/>
      <c r="IU120" s="189"/>
      <c r="IV120" s="189"/>
      <c r="IW120" s="189"/>
      <c r="IX120" s="189"/>
      <c r="IY120" s="189"/>
      <c r="IZ120" s="189"/>
      <c r="JA120" s="189"/>
      <c r="JB120" s="189"/>
      <c r="JC120" s="189"/>
      <c r="JD120" s="189"/>
      <c r="JE120" s="189"/>
      <c r="JF120" s="189"/>
      <c r="JG120" s="189"/>
      <c r="JH120" s="189"/>
      <c r="JI120" s="189"/>
      <c r="JJ120" s="189"/>
      <c r="JK120" s="189"/>
      <c r="JL120" s="189"/>
      <c r="JM120" s="189"/>
      <c r="JN120" s="189"/>
      <c r="JO120" s="189"/>
      <c r="JP120" s="189"/>
      <c r="JQ120" s="189"/>
      <c r="JR120" s="189"/>
      <c r="JS120" s="189"/>
      <c r="JT120" s="189"/>
      <c r="JU120" s="189"/>
      <c r="JV120" s="189"/>
      <c r="JW120" s="189"/>
      <c r="JX120" s="189"/>
      <c r="JY120" s="189"/>
      <c r="JZ120" s="189"/>
      <c r="KA120" s="189"/>
      <c r="KB120" s="189"/>
      <c r="KC120" s="189"/>
      <c r="KD120" s="189"/>
      <c r="KE120" s="189"/>
      <c r="KF120" s="189"/>
      <c r="KG120" s="189"/>
      <c r="KH120" s="189"/>
      <c r="KI120" s="189"/>
      <c r="KJ120" s="189"/>
      <c r="KK120" s="189"/>
      <c r="KL120" s="189"/>
      <c r="KM120" s="189"/>
      <c r="KN120" s="189"/>
      <c r="KO120" s="189"/>
      <c r="KP120" s="189"/>
      <c r="KQ120" s="189"/>
      <c r="KR120" s="189"/>
      <c r="KS120" s="189"/>
      <c r="KT120" s="189"/>
      <c r="KU120" s="189"/>
      <c r="KV120" s="189"/>
      <c r="KW120" s="189"/>
      <c r="KX120" s="189"/>
      <c r="KY120" s="189"/>
      <c r="KZ120" s="189"/>
      <c r="LA120" s="189"/>
      <c r="LB120" s="189"/>
      <c r="LC120" s="189"/>
      <c r="LD120" s="189"/>
      <c r="LE120" s="189"/>
      <c r="LF120" s="189"/>
      <c r="LG120" s="189"/>
      <c r="LH120" s="189"/>
      <c r="LI120" s="189"/>
      <c r="LJ120" s="189"/>
      <c r="LK120" s="189"/>
      <c r="LL120" s="189"/>
      <c r="LM120" s="189"/>
      <c r="LN120" s="189"/>
      <c r="LO120" s="189"/>
      <c r="LP120" s="189"/>
      <c r="LQ120" s="189"/>
      <c r="LR120" s="189"/>
      <c r="LS120" s="189"/>
      <c r="LT120" s="189"/>
      <c r="LU120" s="189"/>
      <c r="LV120" s="189"/>
      <c r="LW120" s="189"/>
      <c r="LX120" s="189"/>
      <c r="LY120" s="189"/>
      <c r="LZ120" s="189"/>
      <c r="MA120" s="189"/>
      <c r="MB120" s="189"/>
      <c r="MC120" s="189"/>
      <c r="MD120" s="189"/>
      <c r="ME120" s="189"/>
      <c r="MF120" s="189"/>
      <c r="MG120" s="189"/>
      <c r="MH120" s="189"/>
      <c r="MI120" s="189"/>
      <c r="MJ120" s="189"/>
      <c r="MK120" s="189"/>
      <c r="ML120" s="189"/>
      <c r="MM120" s="189"/>
      <c r="MN120" s="189"/>
      <c r="MO120" s="189"/>
      <c r="MP120" s="189"/>
      <c r="MQ120" s="189"/>
      <c r="MR120" s="189"/>
      <c r="MS120" s="189"/>
      <c r="MT120" s="189"/>
      <c r="MU120" s="189"/>
      <c r="MV120" s="189"/>
      <c r="MW120" s="189"/>
      <c r="MX120" s="189"/>
      <c r="MY120" s="189"/>
      <c r="MZ120" s="189"/>
      <c r="NA120" s="189"/>
      <c r="NB120" s="189"/>
      <c r="NC120" s="189"/>
      <c r="ND120" s="189"/>
      <c r="NE120" s="189"/>
      <c r="NF120" s="189"/>
      <c r="NG120" s="189"/>
      <c r="NH120" s="189"/>
      <c r="NI120" s="189"/>
      <c r="NJ120" s="189"/>
      <c r="NK120" s="189"/>
      <c r="NL120" s="189"/>
      <c r="NM120" s="189"/>
      <c r="NN120" s="189"/>
      <c r="NO120" s="189"/>
      <c r="NP120" s="189"/>
      <c r="NQ120" s="189"/>
      <c r="NR120" s="189"/>
      <c r="NS120" s="189"/>
      <c r="NT120" s="189"/>
      <c r="NU120" s="189"/>
      <c r="NV120" s="189"/>
      <c r="NW120" s="189"/>
      <c r="NX120" s="189"/>
      <c r="NY120" s="189"/>
      <c r="NZ120" s="189"/>
      <c r="OA120" s="189"/>
      <c r="OB120" s="189"/>
      <c r="OC120" s="189"/>
      <c r="OD120" s="189"/>
    </row>
    <row r="121" spans="1:401" x14ac:dyDescent="0.3">
      <c r="D121" s="133"/>
      <c r="E121" s="7"/>
      <c r="F121" s="21"/>
      <c r="J121" s="76"/>
      <c r="K121" s="66"/>
      <c r="L121" s="126" t="s">
        <v>257</v>
      </c>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B121" s="66"/>
      <c r="JC121" s="66"/>
      <c r="JD121" s="66"/>
      <c r="JE121" s="66"/>
      <c r="JF121" s="66"/>
      <c r="JG121" s="66"/>
      <c r="JH121" s="66"/>
      <c r="JI121" s="66"/>
      <c r="JJ121" s="66"/>
      <c r="JK121" s="66"/>
      <c r="JL121" s="66"/>
      <c r="JM121" s="66"/>
      <c r="JN121" s="66"/>
      <c r="JO121" s="66"/>
      <c r="JP121" s="66"/>
      <c r="JQ121" s="66"/>
      <c r="JR121" s="66"/>
      <c r="JS121" s="66"/>
      <c r="JT121" s="66"/>
      <c r="JU121" s="66"/>
      <c r="JV121" s="66"/>
      <c r="JW121" s="66"/>
      <c r="JX121" s="66"/>
      <c r="JY121" s="66"/>
      <c r="JZ121" s="66"/>
      <c r="KA121" s="66"/>
      <c r="KB121" s="66"/>
      <c r="KC121" s="66"/>
      <c r="KD121" s="66"/>
      <c r="KE121" s="66"/>
      <c r="KF121" s="66"/>
      <c r="KG121" s="66"/>
      <c r="KH121" s="66"/>
      <c r="KI121" s="66"/>
      <c r="KJ121" s="66"/>
      <c r="KK121" s="66"/>
      <c r="KL121" s="66"/>
      <c r="KM121" s="66"/>
      <c r="KN121" s="66"/>
      <c r="KO121" s="66"/>
      <c r="KP121" s="66"/>
      <c r="KQ121" s="66"/>
      <c r="KR121" s="66"/>
      <c r="KS121" s="66"/>
      <c r="KT121" s="66"/>
      <c r="KU121" s="66"/>
      <c r="KV121" s="66"/>
      <c r="KW121" s="66"/>
      <c r="KX121" s="66"/>
      <c r="KY121" s="66"/>
      <c r="KZ121" s="66"/>
      <c r="LA121" s="66"/>
      <c r="LB121" s="66"/>
      <c r="LC121" s="66"/>
      <c r="LD121" s="66"/>
      <c r="LE121" s="66"/>
      <c r="LF121" s="66"/>
      <c r="LG121" s="66"/>
      <c r="LH121" s="66"/>
      <c r="LI121" s="66"/>
      <c r="LJ121" s="66"/>
      <c r="LK121" s="66"/>
      <c r="LL121" s="66"/>
      <c r="LM121" s="66"/>
      <c r="LN121" s="66"/>
      <c r="LO121" s="66"/>
      <c r="LP121" s="66"/>
      <c r="LQ121" s="66"/>
      <c r="LR121" s="66"/>
      <c r="LS121" s="66"/>
      <c r="LT121" s="66"/>
      <c r="LU121" s="66"/>
      <c r="LV121" s="66"/>
      <c r="LW121" s="66"/>
      <c r="LX121" s="66"/>
      <c r="LY121" s="66"/>
      <c r="LZ121" s="66"/>
      <c r="MA121" s="66"/>
      <c r="MB121" s="66"/>
      <c r="MC121" s="66"/>
      <c r="MD121" s="66"/>
      <c r="ME121" s="66"/>
      <c r="MF121" s="66"/>
      <c r="MG121" s="66"/>
      <c r="MH121" s="66"/>
      <c r="MI121" s="66"/>
      <c r="MJ121" s="66"/>
      <c r="MK121" s="66"/>
      <c r="ML121" s="66"/>
      <c r="MM121" s="66"/>
      <c r="MN121" s="66"/>
      <c r="MO121" s="66"/>
      <c r="MP121" s="66"/>
      <c r="MQ121" s="66"/>
      <c r="MR121" s="66"/>
      <c r="MS121" s="66"/>
      <c r="MT121" s="66"/>
      <c r="MU121" s="66"/>
      <c r="MV121" s="66"/>
      <c r="MW121" s="66"/>
      <c r="MX121" s="66"/>
      <c r="MY121" s="66"/>
      <c r="MZ121" s="66"/>
      <c r="NA121" s="66"/>
      <c r="NB121" s="66"/>
      <c r="NC121" s="66"/>
      <c r="ND121" s="66"/>
      <c r="NE121" s="66"/>
      <c r="NF121" s="66"/>
      <c r="NG121" s="66"/>
      <c r="NH121" s="66"/>
      <c r="NI121" s="66"/>
      <c r="NJ121" s="66"/>
      <c r="NK121" s="66"/>
      <c r="NL121" s="66"/>
      <c r="NM121" s="66"/>
      <c r="NN121" s="66"/>
      <c r="NO121" s="66"/>
      <c r="NP121" s="66"/>
      <c r="NQ121" s="66"/>
      <c r="NR121" s="66"/>
      <c r="NS121" s="66"/>
      <c r="NT121" s="66"/>
      <c r="NU121" s="66"/>
      <c r="NV121" s="66"/>
      <c r="NW121" s="66"/>
      <c r="NX121" s="66"/>
      <c r="NY121" s="66"/>
      <c r="NZ121" s="66"/>
      <c r="OA121" s="66"/>
      <c r="OB121" s="66"/>
      <c r="OC121" s="66"/>
      <c r="OD121" s="66"/>
    </row>
    <row r="122" spans="1:401" x14ac:dyDescent="0.3">
      <c r="D122" s="133"/>
      <c r="E122" s="7"/>
      <c r="F122" s="21"/>
      <c r="J122" s="76"/>
      <c r="K122" s="66"/>
      <c r="L122" s="12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c r="EX122" s="66"/>
      <c r="EY122" s="66"/>
      <c r="EZ122" s="66"/>
      <c r="FA122" s="66"/>
      <c r="FB122" s="66"/>
      <c r="FC122" s="66"/>
      <c r="FD122" s="66"/>
      <c r="FE122" s="66"/>
      <c r="FF122" s="66"/>
      <c r="FG122" s="66"/>
      <c r="FH122" s="66"/>
      <c r="FI122" s="66"/>
      <c r="FJ122" s="66"/>
      <c r="FK122" s="66"/>
      <c r="FL122" s="66"/>
      <c r="FM122" s="66"/>
      <c r="FN122" s="66"/>
      <c r="FO122" s="66"/>
      <c r="FP122" s="66"/>
      <c r="FQ122" s="66"/>
      <c r="FR122" s="66"/>
      <c r="FS122" s="66"/>
      <c r="FT122" s="66"/>
      <c r="FU122" s="66"/>
      <c r="FV122" s="66"/>
      <c r="FW122" s="66"/>
      <c r="FX122" s="66"/>
      <c r="FY122" s="66"/>
      <c r="FZ122" s="66"/>
      <c r="GA122" s="66"/>
      <c r="GB122" s="66"/>
      <c r="GC122" s="66"/>
      <c r="GD122" s="66"/>
      <c r="GE122" s="66"/>
      <c r="GF122" s="66"/>
      <c r="GG122" s="66"/>
      <c r="GH122" s="66"/>
      <c r="GI122" s="66"/>
      <c r="GJ122" s="66"/>
      <c r="GK122" s="66"/>
      <c r="GL122" s="66"/>
      <c r="GM122" s="66"/>
      <c r="GN122" s="66"/>
      <c r="GO122" s="66"/>
      <c r="GP122" s="66"/>
      <c r="GQ122" s="66"/>
      <c r="GR122" s="66"/>
      <c r="GS122" s="66"/>
      <c r="GT122" s="66"/>
      <c r="GU122" s="66"/>
      <c r="GV122" s="66"/>
      <c r="GW122" s="66"/>
      <c r="GX122" s="66"/>
      <c r="GY122" s="66"/>
      <c r="GZ122" s="66"/>
      <c r="HA122" s="66"/>
      <c r="HB122" s="66"/>
      <c r="HC122" s="66"/>
      <c r="HD122" s="66"/>
      <c r="HE122" s="66"/>
      <c r="HF122" s="66"/>
      <c r="HG122" s="66"/>
      <c r="HH122" s="66"/>
      <c r="HI122" s="66"/>
      <c r="HJ122" s="66"/>
      <c r="HK122" s="66"/>
      <c r="HL122" s="66"/>
      <c r="HM122" s="66"/>
      <c r="HN122" s="66"/>
      <c r="HO122" s="66"/>
      <c r="HP122" s="66"/>
      <c r="HQ122" s="66"/>
      <c r="HR122" s="66"/>
      <c r="HS122" s="66"/>
      <c r="HT122" s="66"/>
      <c r="HU122" s="66"/>
      <c r="HV122" s="66"/>
      <c r="HW122" s="66"/>
      <c r="HX122" s="66"/>
      <c r="HY122" s="66"/>
      <c r="HZ122" s="66"/>
      <c r="IA122" s="66"/>
      <c r="IB122" s="66"/>
      <c r="IC122" s="66"/>
      <c r="ID122" s="66"/>
      <c r="IE122" s="66"/>
      <c r="IF122" s="66"/>
      <c r="IG122" s="66"/>
      <c r="IH122" s="66"/>
      <c r="II122" s="66"/>
      <c r="IJ122" s="66"/>
      <c r="IK122" s="66"/>
      <c r="IL122" s="66"/>
      <c r="IM122" s="66"/>
      <c r="IN122" s="66"/>
      <c r="IO122" s="66"/>
      <c r="IP122" s="66"/>
      <c r="IQ122" s="66"/>
      <c r="IR122" s="66"/>
      <c r="IS122" s="66"/>
      <c r="IT122" s="66"/>
      <c r="IU122" s="66"/>
      <c r="IV122" s="66"/>
      <c r="IW122" s="66"/>
      <c r="IX122" s="66"/>
      <c r="IY122" s="66"/>
      <c r="IZ122" s="66"/>
      <c r="JA122" s="66"/>
      <c r="JB122" s="66"/>
      <c r="JC122" s="66"/>
      <c r="JD122" s="66"/>
      <c r="JE122" s="66"/>
      <c r="JF122" s="66"/>
      <c r="JG122" s="66"/>
      <c r="JH122" s="66"/>
      <c r="JI122" s="66"/>
      <c r="JJ122" s="66"/>
      <c r="JK122" s="66"/>
      <c r="JL122" s="66"/>
      <c r="JM122" s="66"/>
      <c r="JN122" s="66"/>
      <c r="JO122" s="66"/>
      <c r="JP122" s="66"/>
      <c r="JQ122" s="66"/>
      <c r="JR122" s="66"/>
      <c r="JS122" s="66"/>
      <c r="JT122" s="66"/>
      <c r="JU122" s="66"/>
      <c r="JV122" s="66"/>
      <c r="JW122" s="66"/>
      <c r="JX122" s="66"/>
      <c r="JY122" s="66"/>
      <c r="JZ122" s="66"/>
      <c r="KA122" s="66"/>
      <c r="KB122" s="66"/>
      <c r="KC122" s="66"/>
      <c r="KD122" s="66"/>
      <c r="KE122" s="66"/>
      <c r="KF122" s="66"/>
      <c r="KG122" s="66"/>
      <c r="KH122" s="66"/>
      <c r="KI122" s="66"/>
      <c r="KJ122" s="66"/>
      <c r="KK122" s="66"/>
      <c r="KL122" s="66"/>
      <c r="KM122" s="66"/>
      <c r="KN122" s="66"/>
      <c r="KO122" s="66"/>
      <c r="KP122" s="66"/>
      <c r="KQ122" s="66"/>
      <c r="KR122" s="66"/>
      <c r="KS122" s="66"/>
      <c r="KT122" s="66"/>
      <c r="KU122" s="66"/>
      <c r="KV122" s="66"/>
      <c r="KW122" s="66"/>
      <c r="KX122" s="66"/>
      <c r="KY122" s="66"/>
      <c r="KZ122" s="66"/>
      <c r="LA122" s="66"/>
      <c r="LB122" s="66"/>
      <c r="LC122" s="66"/>
      <c r="LD122" s="66"/>
      <c r="LE122" s="66"/>
      <c r="LF122" s="66"/>
      <c r="LG122" s="66"/>
      <c r="LH122" s="66"/>
      <c r="LI122" s="66"/>
      <c r="LJ122" s="66"/>
      <c r="LK122" s="66"/>
      <c r="LL122" s="66"/>
      <c r="LM122" s="66"/>
      <c r="LN122" s="66"/>
      <c r="LO122" s="66"/>
      <c r="LP122" s="66"/>
      <c r="LQ122" s="66"/>
      <c r="LR122" s="66"/>
      <c r="LS122" s="66"/>
      <c r="LT122" s="66"/>
      <c r="LU122" s="66"/>
      <c r="LV122" s="66"/>
      <c r="LW122" s="66"/>
      <c r="LX122" s="66"/>
      <c r="LY122" s="66"/>
      <c r="LZ122" s="66"/>
      <c r="MA122" s="66"/>
      <c r="MB122" s="66"/>
      <c r="MC122" s="66"/>
      <c r="MD122" s="66"/>
      <c r="ME122" s="66"/>
      <c r="MF122" s="66"/>
      <c r="MG122" s="66"/>
      <c r="MH122" s="66"/>
      <c r="MI122" s="66"/>
      <c r="MJ122" s="66"/>
      <c r="MK122" s="66"/>
      <c r="ML122" s="66"/>
      <c r="MM122" s="66"/>
      <c r="MN122" s="66"/>
      <c r="MO122" s="66"/>
      <c r="MP122" s="66"/>
      <c r="MQ122" s="66"/>
      <c r="MR122" s="66"/>
      <c r="MS122" s="66"/>
      <c r="MT122" s="66"/>
      <c r="MU122" s="66"/>
      <c r="MV122" s="66"/>
      <c r="MW122" s="66"/>
      <c r="MX122" s="66"/>
      <c r="MY122" s="66"/>
      <c r="MZ122" s="66"/>
      <c r="NA122" s="66"/>
      <c r="NB122" s="66"/>
      <c r="NC122" s="66"/>
      <c r="ND122" s="66"/>
      <c r="NE122" s="66"/>
      <c r="NF122" s="66"/>
      <c r="NG122" s="66"/>
      <c r="NH122" s="66"/>
      <c r="NI122" s="66"/>
      <c r="NJ122" s="66"/>
      <c r="NK122" s="66"/>
      <c r="NL122" s="66"/>
      <c r="NM122" s="66"/>
      <c r="NN122" s="66"/>
      <c r="NO122" s="66"/>
      <c r="NP122" s="66"/>
      <c r="NQ122" s="66"/>
      <c r="NR122" s="66"/>
      <c r="NS122" s="66"/>
      <c r="NT122" s="66"/>
      <c r="NU122" s="66"/>
      <c r="NV122" s="66"/>
      <c r="NW122" s="66"/>
      <c r="NX122" s="66"/>
      <c r="NY122" s="66"/>
      <c r="NZ122" s="66"/>
      <c r="OA122" s="66"/>
      <c r="OB122" s="66"/>
      <c r="OC122" s="66"/>
      <c r="OD122" s="66"/>
    </row>
    <row r="123" spans="1:401" x14ac:dyDescent="0.3">
      <c r="D123" s="133"/>
      <c r="E123" s="7"/>
      <c r="F123" s="21"/>
      <c r="J123" s="76"/>
      <c r="K123" s="66"/>
      <c r="L123" s="77"/>
      <c r="M123" s="104" t="s">
        <v>0</v>
      </c>
      <c r="N123" s="105"/>
      <c r="O123" s="106"/>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5"/>
      <c r="BO123" s="105"/>
      <c r="BP123" s="105"/>
      <c r="BQ123" s="105"/>
      <c r="BR123" s="105"/>
      <c r="BS123" s="105"/>
      <c r="BT123" s="105"/>
      <c r="BU123" s="105"/>
      <c r="BV123" s="105"/>
      <c r="BW123" s="105"/>
      <c r="BX123" s="105"/>
      <c r="BY123" s="105"/>
      <c r="BZ123" s="105"/>
      <c r="CA123" s="105"/>
      <c r="CB123" s="105"/>
      <c r="CC123" s="105"/>
      <c r="CD123" s="105"/>
      <c r="CE123" s="105"/>
      <c r="CF123" s="105"/>
      <c r="CG123" s="105"/>
      <c r="CH123" s="105"/>
      <c r="CI123" s="105"/>
      <c r="CJ123" s="105"/>
      <c r="CK123" s="105"/>
      <c r="CL123" s="105"/>
      <c r="CM123" s="105"/>
      <c r="CN123" s="105"/>
      <c r="CO123" s="105"/>
      <c r="CP123" s="105"/>
      <c r="CQ123" s="105"/>
      <c r="CR123" s="105"/>
      <c r="CS123" s="105"/>
      <c r="CT123" s="105"/>
      <c r="CU123" s="105"/>
      <c r="CV123" s="105"/>
      <c r="CW123" s="105"/>
      <c r="CX123" s="105"/>
      <c r="CY123" s="105"/>
      <c r="CZ123" s="105"/>
      <c r="DA123" s="105"/>
      <c r="DB123" s="105"/>
      <c r="DC123" s="105"/>
      <c r="DD123" s="105"/>
      <c r="DE123" s="105"/>
      <c r="DF123" s="105"/>
      <c r="DG123" s="105"/>
      <c r="DH123" s="105"/>
      <c r="DI123" s="105"/>
      <c r="DJ123" s="105"/>
      <c r="DK123" s="105"/>
      <c r="DL123" s="105"/>
      <c r="DM123" s="105"/>
      <c r="DN123" s="105"/>
      <c r="DO123" s="105"/>
      <c r="DP123" s="105"/>
      <c r="DQ123" s="105"/>
      <c r="DR123" s="105"/>
      <c r="DS123" s="105"/>
      <c r="DT123" s="105"/>
      <c r="DU123" s="105"/>
      <c r="DV123" s="105"/>
      <c r="DW123" s="105"/>
      <c r="DX123" s="105"/>
      <c r="DY123" s="105"/>
      <c r="DZ123" s="105"/>
      <c r="EA123" s="105"/>
      <c r="EB123" s="105"/>
      <c r="EC123" s="105"/>
      <c r="ED123" s="105"/>
      <c r="EE123" s="105"/>
      <c r="EF123" s="105"/>
      <c r="EG123" s="105"/>
      <c r="EH123" s="105"/>
      <c r="EI123" s="105"/>
      <c r="EJ123" s="105"/>
      <c r="EK123" s="105"/>
      <c r="EL123" s="105"/>
      <c r="EM123" s="105"/>
      <c r="EN123" s="105"/>
      <c r="EO123" s="105"/>
      <c r="EP123" s="105"/>
      <c r="EQ123" s="105"/>
      <c r="ER123" s="105"/>
      <c r="ES123" s="105"/>
      <c r="ET123" s="105"/>
      <c r="EU123" s="105"/>
      <c r="EV123" s="105"/>
      <c r="EW123" s="105"/>
      <c r="EX123" s="105"/>
      <c r="EY123" s="105"/>
      <c r="EZ123" s="105"/>
      <c r="FA123" s="105"/>
      <c r="FB123" s="105"/>
      <c r="FC123" s="105"/>
      <c r="FD123" s="105"/>
      <c r="FE123" s="105"/>
      <c r="FF123" s="105"/>
      <c r="FG123" s="105"/>
      <c r="FH123" s="105"/>
      <c r="FI123" s="105"/>
      <c r="FJ123" s="105"/>
      <c r="FK123" s="105"/>
      <c r="FL123" s="105"/>
      <c r="FM123" s="105"/>
      <c r="FN123" s="105"/>
      <c r="FO123" s="105"/>
      <c r="FP123" s="105"/>
      <c r="FQ123" s="105"/>
      <c r="FR123" s="105"/>
      <c r="FS123" s="105"/>
      <c r="FT123" s="105"/>
      <c r="FU123" s="105"/>
      <c r="FV123" s="105"/>
      <c r="FW123" s="105"/>
      <c r="FX123" s="105"/>
      <c r="FY123" s="105"/>
      <c r="FZ123" s="105"/>
      <c r="GA123" s="105"/>
      <c r="GB123" s="105"/>
      <c r="GC123" s="105"/>
      <c r="GD123" s="105"/>
      <c r="GE123" s="105"/>
      <c r="GF123" s="105"/>
      <c r="GG123" s="105"/>
      <c r="GH123" s="105"/>
      <c r="GI123" s="105"/>
      <c r="GJ123" s="105"/>
      <c r="GK123" s="105"/>
      <c r="GL123" s="105"/>
      <c r="GM123" s="105"/>
      <c r="GN123" s="105"/>
      <c r="GO123" s="105"/>
      <c r="GP123" s="105"/>
      <c r="GQ123" s="105"/>
      <c r="GR123" s="105"/>
      <c r="GS123" s="105"/>
      <c r="GT123" s="105"/>
      <c r="GU123" s="105"/>
      <c r="GV123" s="105"/>
      <c r="GW123" s="105"/>
      <c r="GX123" s="105"/>
      <c r="GY123" s="105"/>
      <c r="GZ123" s="105"/>
      <c r="HA123" s="105"/>
      <c r="HB123" s="105"/>
      <c r="HC123" s="105"/>
      <c r="HD123" s="105"/>
      <c r="HE123" s="105"/>
      <c r="HF123" s="105"/>
      <c r="HG123" s="105"/>
      <c r="HH123" s="105"/>
      <c r="HI123" s="105"/>
      <c r="HJ123" s="105"/>
      <c r="HK123" s="105"/>
      <c r="HL123" s="105"/>
      <c r="HM123" s="105"/>
      <c r="HN123" s="105"/>
      <c r="HO123" s="105"/>
      <c r="HP123" s="105"/>
      <c r="HQ123" s="105"/>
      <c r="HR123" s="105"/>
      <c r="HS123" s="105"/>
      <c r="HT123" s="105"/>
      <c r="HU123" s="105"/>
      <c r="HV123" s="105"/>
      <c r="HW123" s="105"/>
      <c r="HX123" s="105"/>
      <c r="HY123" s="105"/>
      <c r="HZ123" s="105"/>
      <c r="IA123" s="105"/>
      <c r="IB123" s="105"/>
      <c r="IC123" s="105"/>
      <c r="ID123" s="105"/>
      <c r="IE123" s="105"/>
      <c r="IF123" s="105"/>
      <c r="IG123" s="105"/>
      <c r="IH123" s="105"/>
      <c r="II123" s="105"/>
      <c r="IJ123" s="105"/>
      <c r="IK123" s="105"/>
      <c r="IL123" s="105"/>
      <c r="IM123" s="105"/>
      <c r="IN123" s="105"/>
      <c r="IO123" s="105"/>
      <c r="IP123" s="105"/>
      <c r="IQ123" s="105"/>
      <c r="IR123" s="105"/>
      <c r="IS123" s="105"/>
      <c r="IT123" s="105"/>
      <c r="IU123" s="105"/>
      <c r="IV123" s="105"/>
      <c r="IW123" s="105"/>
      <c r="IX123" s="105"/>
      <c r="IY123" s="105"/>
      <c r="IZ123" s="105"/>
      <c r="JA123" s="105"/>
      <c r="JB123" s="105"/>
      <c r="JC123" s="105"/>
      <c r="JD123" s="105"/>
      <c r="JE123" s="105"/>
      <c r="JF123" s="105"/>
      <c r="JG123" s="105"/>
      <c r="JH123" s="105"/>
      <c r="JI123" s="105"/>
      <c r="JJ123" s="105"/>
      <c r="JK123" s="105"/>
      <c r="JL123" s="105"/>
      <c r="JM123" s="105"/>
      <c r="JN123" s="105"/>
      <c r="JO123" s="105"/>
      <c r="JP123" s="105"/>
      <c r="JQ123" s="105"/>
      <c r="JR123" s="105"/>
      <c r="JS123" s="105"/>
      <c r="JT123" s="105"/>
      <c r="JU123" s="105"/>
      <c r="JV123" s="105"/>
      <c r="JW123" s="105"/>
      <c r="JX123" s="105"/>
      <c r="JY123" s="105"/>
      <c r="JZ123" s="105"/>
      <c r="KA123" s="105"/>
      <c r="KB123" s="105"/>
      <c r="KC123" s="105"/>
      <c r="KD123" s="105"/>
      <c r="KE123" s="105"/>
      <c r="KF123" s="105"/>
      <c r="KG123" s="105"/>
      <c r="KH123" s="105"/>
      <c r="KI123" s="105"/>
      <c r="KJ123" s="105"/>
      <c r="KK123" s="105"/>
      <c r="KL123" s="105"/>
      <c r="KM123" s="105"/>
      <c r="KN123" s="105"/>
      <c r="KO123" s="105"/>
      <c r="KP123" s="105"/>
      <c r="KQ123" s="105"/>
      <c r="KR123" s="105"/>
      <c r="KS123" s="105"/>
      <c r="KT123" s="105"/>
      <c r="KU123" s="105"/>
      <c r="KV123" s="105"/>
      <c r="KW123" s="105"/>
      <c r="KX123" s="105"/>
      <c r="KY123" s="105"/>
      <c r="KZ123" s="105"/>
      <c r="LA123" s="105"/>
      <c r="LB123" s="105"/>
      <c r="LC123" s="105"/>
      <c r="LD123" s="105"/>
      <c r="LE123" s="105"/>
      <c r="LF123" s="105"/>
      <c r="LG123" s="105"/>
      <c r="LH123" s="105"/>
      <c r="LI123" s="105"/>
      <c r="LJ123" s="105"/>
      <c r="LK123" s="105"/>
      <c r="LL123" s="105"/>
      <c r="LM123" s="105"/>
      <c r="LN123" s="105"/>
      <c r="LO123" s="105"/>
      <c r="LP123" s="105"/>
      <c r="LQ123" s="105"/>
      <c r="LR123" s="105"/>
      <c r="LS123" s="105"/>
      <c r="LT123" s="105"/>
      <c r="LU123" s="105"/>
      <c r="LV123" s="105"/>
      <c r="LW123" s="105"/>
      <c r="LX123" s="105"/>
      <c r="LY123" s="105"/>
      <c r="LZ123" s="105"/>
      <c r="MA123" s="105"/>
      <c r="MB123" s="105"/>
      <c r="MC123" s="105"/>
      <c r="MD123" s="105"/>
      <c r="ME123" s="105"/>
      <c r="MF123" s="105"/>
      <c r="MG123" s="105"/>
      <c r="MH123" s="105"/>
      <c r="MI123" s="105"/>
      <c r="MJ123" s="105"/>
      <c r="MK123" s="105"/>
      <c r="ML123" s="105"/>
      <c r="MM123" s="105"/>
      <c r="MN123" s="105"/>
      <c r="MO123" s="105"/>
      <c r="MP123" s="105"/>
      <c r="MQ123" s="105"/>
      <c r="MR123" s="105"/>
      <c r="MS123" s="105"/>
      <c r="MT123" s="105"/>
      <c r="MU123" s="105"/>
      <c r="MV123" s="105"/>
      <c r="MW123" s="105"/>
      <c r="MX123" s="105"/>
      <c r="MY123" s="105"/>
      <c r="MZ123" s="105"/>
      <c r="NA123" s="105"/>
      <c r="NB123" s="105"/>
      <c r="NC123" s="105"/>
      <c r="ND123" s="105"/>
      <c r="NE123" s="105"/>
      <c r="NF123" s="105"/>
      <c r="NG123" s="105"/>
      <c r="NH123" s="105"/>
      <c r="NI123" s="105"/>
      <c r="NJ123" s="105"/>
      <c r="NK123" s="105"/>
      <c r="NL123" s="105"/>
      <c r="NM123" s="105"/>
      <c r="NN123" s="105"/>
      <c r="NO123" s="105"/>
      <c r="NP123" s="105"/>
      <c r="NQ123" s="105"/>
      <c r="NR123" s="105"/>
      <c r="NS123" s="105"/>
      <c r="NT123" s="105"/>
      <c r="NU123" s="105"/>
      <c r="NV123" s="105"/>
      <c r="NW123" s="105"/>
      <c r="NX123" s="105"/>
      <c r="NY123" s="105"/>
      <c r="NZ123" s="105"/>
      <c r="OA123" s="105"/>
      <c r="OB123" s="105"/>
      <c r="OC123" s="105"/>
      <c r="OD123" s="105"/>
    </row>
    <row r="124" spans="1:401" outlineLevel="1" x14ac:dyDescent="0.3">
      <c r="E124" s="7"/>
      <c r="F124" s="21"/>
      <c r="J124" s="76"/>
      <c r="K124" s="66"/>
      <c r="L124" s="77"/>
      <c r="M124" s="30" t="s">
        <v>355</v>
      </c>
      <c r="N124" s="30"/>
      <c r="O124" s="32" t="s">
        <v>14</v>
      </c>
      <c r="P124" s="30" cm="1">
        <f t="array" ref="P124:OK124">INDEX(E62:E73,MONTH(_xlfn.ANCHORARRAY(P2)))</f>
        <v>1972.2999253493106</v>
      </c>
      <c r="Q124" s="30">
        <v>1418.3477282984506</v>
      </c>
      <c r="R124" s="30">
        <v>1624.001239574485</v>
      </c>
      <c r="S124" s="30">
        <v>2141.3787479907678</v>
      </c>
      <c r="T124" s="30">
        <v>3215.3023431752613</v>
      </c>
      <c r="U124" s="30">
        <v>3794.5432331325883</v>
      </c>
      <c r="V124" s="30">
        <v>4425.0849900099984</v>
      </c>
      <c r="W124" s="30">
        <v>4884.4996897158208</v>
      </c>
      <c r="X124" s="30">
        <v>5251.096415792902</v>
      </c>
      <c r="Y124" s="30">
        <v>4866.8402921505003</v>
      </c>
      <c r="Z124" s="30">
        <v>3769.7672369303364</v>
      </c>
      <c r="AA124" s="30">
        <v>3034.3121188795985</v>
      </c>
      <c r="AB124" s="30">
        <v>1972.2999253493106</v>
      </c>
      <c r="AC124" s="30">
        <v>1418.3477282984506</v>
      </c>
      <c r="AD124" s="30">
        <v>1624.001239574485</v>
      </c>
      <c r="AE124" s="30">
        <v>2141.3787479907678</v>
      </c>
      <c r="AF124" s="30">
        <v>3215.3023431752613</v>
      </c>
      <c r="AG124" s="30">
        <v>3794.5432331325883</v>
      </c>
      <c r="AH124" s="30">
        <v>4425.0849900099984</v>
      </c>
      <c r="AI124" s="30">
        <v>4884.4996897158208</v>
      </c>
      <c r="AJ124" s="30">
        <v>5251.096415792902</v>
      </c>
      <c r="AK124" s="30">
        <v>4866.8402921505003</v>
      </c>
      <c r="AL124" s="30">
        <v>3769.7672369303364</v>
      </c>
      <c r="AM124" s="30">
        <v>3034.3121188795985</v>
      </c>
      <c r="AN124" s="30">
        <v>1972.2999253493106</v>
      </c>
      <c r="AO124" s="30">
        <v>1418.3477282984506</v>
      </c>
      <c r="AP124" s="30">
        <v>1624.001239574485</v>
      </c>
      <c r="AQ124" s="30">
        <v>2141.3787479907678</v>
      </c>
      <c r="AR124" s="30">
        <v>3215.3023431752613</v>
      </c>
      <c r="AS124" s="30">
        <v>3794.5432331325883</v>
      </c>
      <c r="AT124" s="30">
        <v>4425.0849900099984</v>
      </c>
      <c r="AU124" s="30">
        <v>4884.4996897158208</v>
      </c>
      <c r="AV124" s="30">
        <v>5251.096415792902</v>
      </c>
      <c r="AW124" s="30">
        <v>4866.8402921505003</v>
      </c>
      <c r="AX124" s="30">
        <v>3769.7672369303364</v>
      </c>
      <c r="AY124" s="30">
        <v>3034.3121188795985</v>
      </c>
      <c r="AZ124" s="30">
        <v>1972.2999253493106</v>
      </c>
      <c r="BA124" s="30">
        <v>1418.3477282984506</v>
      </c>
      <c r="BB124" s="30">
        <v>1624.001239574485</v>
      </c>
      <c r="BC124" s="30">
        <v>2141.3787479907678</v>
      </c>
      <c r="BD124" s="30">
        <v>3215.3023431752613</v>
      </c>
      <c r="BE124" s="30">
        <v>3794.5432331325883</v>
      </c>
      <c r="BF124" s="30">
        <v>4425.0849900099984</v>
      </c>
      <c r="BG124" s="30">
        <v>4884.4996897158208</v>
      </c>
      <c r="BH124" s="30">
        <v>5251.096415792902</v>
      </c>
      <c r="BI124" s="30">
        <v>4866.8402921505003</v>
      </c>
      <c r="BJ124" s="30">
        <v>3769.7672369303364</v>
      </c>
      <c r="BK124" s="30">
        <v>3034.3121188795985</v>
      </c>
      <c r="BL124" s="30">
        <v>1972.2999253493106</v>
      </c>
      <c r="BM124" s="30">
        <v>1418.3477282984506</v>
      </c>
      <c r="BN124" s="30">
        <v>1624.001239574485</v>
      </c>
      <c r="BO124" s="30">
        <v>2141.3787479907678</v>
      </c>
      <c r="BP124" s="30">
        <v>3215.3023431752613</v>
      </c>
      <c r="BQ124" s="30">
        <v>3794.5432331325883</v>
      </c>
      <c r="BR124" s="30">
        <v>4425.0849900099984</v>
      </c>
      <c r="BS124" s="30">
        <v>4884.4996897158208</v>
      </c>
      <c r="BT124" s="30">
        <v>5251.096415792902</v>
      </c>
      <c r="BU124" s="30">
        <v>4866.8402921505003</v>
      </c>
      <c r="BV124" s="30">
        <v>3769.7672369303364</v>
      </c>
      <c r="BW124" s="30">
        <v>3034.3121188795985</v>
      </c>
      <c r="BX124" s="30">
        <v>1972.2999253493106</v>
      </c>
      <c r="BY124" s="30">
        <v>1418.3477282984506</v>
      </c>
      <c r="BZ124" s="30">
        <v>1624.001239574485</v>
      </c>
      <c r="CA124" s="30">
        <v>2141.3787479907678</v>
      </c>
      <c r="CB124" s="30">
        <v>3215.3023431752613</v>
      </c>
      <c r="CC124" s="30">
        <v>3794.5432331325883</v>
      </c>
      <c r="CD124" s="30">
        <v>4425.0849900099984</v>
      </c>
      <c r="CE124" s="30">
        <v>4884.4996897158208</v>
      </c>
      <c r="CF124" s="30">
        <v>5251.096415792902</v>
      </c>
      <c r="CG124" s="30">
        <v>4866.8402921505003</v>
      </c>
      <c r="CH124" s="30">
        <v>3769.7672369303364</v>
      </c>
      <c r="CI124" s="30">
        <v>3034.3121188795985</v>
      </c>
      <c r="CJ124" s="30">
        <v>1972.2999253493106</v>
      </c>
      <c r="CK124" s="30">
        <v>1418.3477282984506</v>
      </c>
      <c r="CL124" s="30">
        <v>1624.001239574485</v>
      </c>
      <c r="CM124" s="30">
        <v>2141.3787479907678</v>
      </c>
      <c r="CN124" s="30">
        <v>3215.3023431752613</v>
      </c>
      <c r="CO124" s="30">
        <v>3794.5432331325883</v>
      </c>
      <c r="CP124" s="30">
        <v>4425.0849900099984</v>
      </c>
      <c r="CQ124" s="30">
        <v>4884.4996897158208</v>
      </c>
      <c r="CR124" s="30">
        <v>5251.096415792902</v>
      </c>
      <c r="CS124" s="30">
        <v>4866.8402921505003</v>
      </c>
      <c r="CT124" s="30">
        <v>3769.7672369303364</v>
      </c>
      <c r="CU124" s="30">
        <v>3034.3121188795985</v>
      </c>
      <c r="CV124" s="30">
        <v>1972.2999253493106</v>
      </c>
      <c r="CW124" s="30">
        <v>1418.3477282984506</v>
      </c>
      <c r="CX124" s="30">
        <v>1624.001239574485</v>
      </c>
      <c r="CY124" s="30">
        <v>2141.3787479907678</v>
      </c>
      <c r="CZ124" s="30">
        <v>3215.3023431752613</v>
      </c>
      <c r="DA124" s="30">
        <v>3794.5432331325883</v>
      </c>
      <c r="DB124" s="30">
        <v>4425.0849900099984</v>
      </c>
      <c r="DC124" s="30">
        <v>4884.4996897158208</v>
      </c>
      <c r="DD124" s="30">
        <v>5251.096415792902</v>
      </c>
      <c r="DE124" s="30">
        <v>4866.8402921505003</v>
      </c>
      <c r="DF124" s="30">
        <v>3769.7672369303364</v>
      </c>
      <c r="DG124" s="30">
        <v>3034.3121188795985</v>
      </c>
      <c r="DH124" s="30">
        <v>1972.2999253493106</v>
      </c>
      <c r="DI124" s="30">
        <v>1418.3477282984506</v>
      </c>
      <c r="DJ124" s="30">
        <v>1624.001239574485</v>
      </c>
      <c r="DK124" s="30">
        <v>2141.3787479907678</v>
      </c>
      <c r="DL124" s="30">
        <v>3215.3023431752613</v>
      </c>
      <c r="DM124" s="30">
        <v>3794.5432331325883</v>
      </c>
      <c r="DN124" s="30">
        <v>4425.0849900099984</v>
      </c>
      <c r="DO124" s="30">
        <v>4884.4996897158208</v>
      </c>
      <c r="DP124" s="30">
        <v>5251.096415792902</v>
      </c>
      <c r="DQ124" s="30">
        <v>4866.8402921505003</v>
      </c>
      <c r="DR124" s="30">
        <v>3769.7672369303364</v>
      </c>
      <c r="DS124" s="30">
        <v>3034.3121188795985</v>
      </c>
      <c r="DT124" s="30">
        <v>1972.2999253493106</v>
      </c>
      <c r="DU124" s="30">
        <v>1418.3477282984506</v>
      </c>
      <c r="DV124" s="30">
        <v>1624.001239574485</v>
      </c>
      <c r="DW124" s="30">
        <v>2141.3787479907678</v>
      </c>
      <c r="DX124" s="30">
        <v>3215.3023431752613</v>
      </c>
      <c r="DY124" s="30">
        <v>3794.5432331325883</v>
      </c>
      <c r="DZ124" s="30">
        <v>4425.0849900099984</v>
      </c>
      <c r="EA124" s="30">
        <v>4884.4996897158208</v>
      </c>
      <c r="EB124" s="30">
        <v>5251.096415792902</v>
      </c>
      <c r="EC124" s="30">
        <v>4866.8402921505003</v>
      </c>
      <c r="ED124" s="30">
        <v>3769.7672369303364</v>
      </c>
      <c r="EE124" s="30">
        <v>3034.3121188795985</v>
      </c>
      <c r="EF124" s="30">
        <v>1972.2999253493106</v>
      </c>
      <c r="EG124" s="30">
        <v>1418.3477282984506</v>
      </c>
      <c r="EH124" s="30">
        <v>1624.001239574485</v>
      </c>
      <c r="EI124" s="30">
        <v>2141.3787479907678</v>
      </c>
      <c r="EJ124" s="30">
        <v>3215.3023431752613</v>
      </c>
      <c r="EK124" s="30">
        <v>3794.5432331325883</v>
      </c>
      <c r="EL124" s="30">
        <v>4425.0849900099984</v>
      </c>
      <c r="EM124" s="30">
        <v>4884.4996897158208</v>
      </c>
      <c r="EN124" s="30">
        <v>5251.096415792902</v>
      </c>
      <c r="EO124" s="30">
        <v>4866.8402921505003</v>
      </c>
      <c r="EP124" s="30">
        <v>3769.7672369303364</v>
      </c>
      <c r="EQ124" s="30">
        <v>3034.3121188795985</v>
      </c>
      <c r="ER124" s="30">
        <v>1972.2999253493106</v>
      </c>
      <c r="ES124" s="30">
        <v>1418.3477282984506</v>
      </c>
      <c r="ET124" s="30">
        <v>1624.001239574485</v>
      </c>
      <c r="EU124" s="30">
        <v>2141.3787479907678</v>
      </c>
      <c r="EV124" s="30">
        <v>3215.3023431752613</v>
      </c>
      <c r="EW124" s="30">
        <v>3794.5432331325883</v>
      </c>
      <c r="EX124" s="30">
        <v>4425.0849900099984</v>
      </c>
      <c r="EY124" s="30">
        <v>4884.4996897158208</v>
      </c>
      <c r="EZ124" s="30">
        <v>5251.096415792902</v>
      </c>
      <c r="FA124" s="30">
        <v>4866.8402921505003</v>
      </c>
      <c r="FB124" s="30">
        <v>3769.7672369303364</v>
      </c>
      <c r="FC124" s="30">
        <v>3034.3121188795985</v>
      </c>
      <c r="FD124" s="30">
        <v>1972.2999253493106</v>
      </c>
      <c r="FE124" s="30">
        <v>1418.3477282984506</v>
      </c>
      <c r="FF124" s="30">
        <v>1624.001239574485</v>
      </c>
      <c r="FG124" s="30">
        <v>2141.3787479907678</v>
      </c>
      <c r="FH124" s="30">
        <v>3215.3023431752613</v>
      </c>
      <c r="FI124" s="30">
        <v>3794.5432331325883</v>
      </c>
      <c r="FJ124" s="30">
        <v>4425.0849900099984</v>
      </c>
      <c r="FK124" s="30">
        <v>4884.4996897158208</v>
      </c>
      <c r="FL124" s="30">
        <v>5251.096415792902</v>
      </c>
      <c r="FM124" s="30">
        <v>4866.8402921505003</v>
      </c>
      <c r="FN124" s="30">
        <v>3769.7672369303364</v>
      </c>
      <c r="FO124" s="30">
        <v>3034.3121188795985</v>
      </c>
      <c r="FP124" s="30">
        <v>1972.2999253493106</v>
      </c>
      <c r="FQ124" s="30">
        <v>1418.3477282984506</v>
      </c>
      <c r="FR124" s="30">
        <v>1624.001239574485</v>
      </c>
      <c r="FS124" s="30">
        <v>2141.3787479907678</v>
      </c>
      <c r="FT124" s="30">
        <v>3215.3023431752613</v>
      </c>
      <c r="FU124" s="30">
        <v>3794.5432331325883</v>
      </c>
      <c r="FV124" s="30">
        <v>4425.0849900099984</v>
      </c>
      <c r="FW124" s="30">
        <v>4884.4996897158208</v>
      </c>
      <c r="FX124" s="30">
        <v>5251.096415792902</v>
      </c>
      <c r="FY124" s="30">
        <v>4866.8402921505003</v>
      </c>
      <c r="FZ124" s="30">
        <v>3769.7672369303364</v>
      </c>
      <c r="GA124" s="30">
        <v>3034.3121188795985</v>
      </c>
      <c r="GB124" s="30">
        <v>1972.2999253493106</v>
      </c>
      <c r="GC124" s="30">
        <v>1418.3477282984506</v>
      </c>
      <c r="GD124" s="30">
        <v>1624.001239574485</v>
      </c>
      <c r="GE124" s="30">
        <v>2141.3787479907678</v>
      </c>
      <c r="GF124" s="30">
        <v>3215.3023431752613</v>
      </c>
      <c r="GG124" s="30">
        <v>3794.5432331325883</v>
      </c>
      <c r="GH124" s="30">
        <v>4425.0849900099984</v>
      </c>
      <c r="GI124" s="30">
        <v>4884.4996897158208</v>
      </c>
      <c r="GJ124" s="30">
        <v>5251.096415792902</v>
      </c>
      <c r="GK124" s="30">
        <v>4866.8402921505003</v>
      </c>
      <c r="GL124" s="30">
        <v>3769.7672369303364</v>
      </c>
      <c r="GM124" s="30">
        <v>3034.3121188795985</v>
      </c>
      <c r="GN124" s="30">
        <v>1972.2999253493106</v>
      </c>
      <c r="GO124" s="30">
        <v>1418.3477282984506</v>
      </c>
      <c r="GP124" s="30">
        <v>1624.001239574485</v>
      </c>
      <c r="GQ124" s="30">
        <v>2141.3787479907678</v>
      </c>
      <c r="GR124" s="30">
        <v>3215.3023431752613</v>
      </c>
      <c r="GS124" s="30">
        <v>3794.5432331325883</v>
      </c>
      <c r="GT124" s="30">
        <v>4425.0849900099984</v>
      </c>
      <c r="GU124" s="30">
        <v>4884.4996897158208</v>
      </c>
      <c r="GV124" s="30">
        <v>5251.096415792902</v>
      </c>
      <c r="GW124" s="30">
        <v>4866.8402921505003</v>
      </c>
      <c r="GX124" s="30">
        <v>3769.7672369303364</v>
      </c>
      <c r="GY124" s="30">
        <v>3034.3121188795985</v>
      </c>
      <c r="GZ124" s="30">
        <v>1972.2999253493106</v>
      </c>
      <c r="HA124" s="30">
        <v>1418.3477282984506</v>
      </c>
      <c r="HB124" s="30">
        <v>1624.001239574485</v>
      </c>
      <c r="HC124" s="30">
        <v>2141.3787479907678</v>
      </c>
      <c r="HD124" s="30">
        <v>3215.3023431752613</v>
      </c>
      <c r="HE124" s="30">
        <v>3794.5432331325883</v>
      </c>
      <c r="HF124" s="30">
        <v>4425.0849900099984</v>
      </c>
      <c r="HG124" s="30">
        <v>4884.4996897158208</v>
      </c>
      <c r="HH124" s="30">
        <v>5251.096415792902</v>
      </c>
      <c r="HI124" s="30">
        <v>4866.8402921505003</v>
      </c>
      <c r="HJ124" s="30">
        <v>3769.7672369303364</v>
      </c>
      <c r="HK124" s="30">
        <v>3034.3121188795985</v>
      </c>
      <c r="HL124" s="30">
        <v>1972.2999253493106</v>
      </c>
      <c r="HM124" s="30">
        <v>1418.3477282984506</v>
      </c>
      <c r="HN124" s="30">
        <v>1624.001239574485</v>
      </c>
      <c r="HO124" s="30">
        <v>2141.3787479907678</v>
      </c>
      <c r="HP124" s="30">
        <v>3215.3023431752613</v>
      </c>
      <c r="HQ124" s="30">
        <v>3794.5432331325883</v>
      </c>
      <c r="HR124" s="30">
        <v>4425.0849900099984</v>
      </c>
      <c r="HS124" s="30">
        <v>4884.4996897158208</v>
      </c>
      <c r="HT124" s="30">
        <v>5251.096415792902</v>
      </c>
      <c r="HU124" s="30">
        <v>4866.8402921505003</v>
      </c>
      <c r="HV124" s="30">
        <v>3769.7672369303364</v>
      </c>
      <c r="HW124" s="30">
        <v>3034.3121188795985</v>
      </c>
      <c r="HX124" s="30">
        <v>1972.2999253493106</v>
      </c>
      <c r="HY124" s="30">
        <v>1418.3477282984506</v>
      </c>
      <c r="HZ124" s="30">
        <v>1624.001239574485</v>
      </c>
      <c r="IA124" s="30">
        <v>2141.3787479907678</v>
      </c>
      <c r="IB124" s="30">
        <v>3215.3023431752613</v>
      </c>
      <c r="IC124" s="30">
        <v>3794.5432331325883</v>
      </c>
      <c r="ID124" s="30">
        <v>4425.0849900099984</v>
      </c>
      <c r="IE124" s="30">
        <v>4884.4996897158208</v>
      </c>
      <c r="IF124" s="30">
        <v>5251.096415792902</v>
      </c>
      <c r="IG124" s="30">
        <v>4866.8402921505003</v>
      </c>
      <c r="IH124" s="30">
        <v>3769.7672369303364</v>
      </c>
      <c r="II124" s="30">
        <v>3034.3121188795985</v>
      </c>
      <c r="IJ124" s="30">
        <v>1972.2999253493106</v>
      </c>
      <c r="IK124" s="30">
        <v>1418.3477282984506</v>
      </c>
      <c r="IL124" s="30">
        <v>1624.001239574485</v>
      </c>
      <c r="IM124" s="30">
        <v>2141.3787479907678</v>
      </c>
      <c r="IN124" s="30">
        <v>3215.3023431752613</v>
      </c>
      <c r="IO124" s="30">
        <v>3794.5432331325883</v>
      </c>
      <c r="IP124" s="30">
        <v>4425.0849900099984</v>
      </c>
      <c r="IQ124" s="30">
        <v>4884.4996897158208</v>
      </c>
      <c r="IR124" s="30">
        <v>5251.096415792902</v>
      </c>
      <c r="IS124" s="30">
        <v>4866.8402921505003</v>
      </c>
      <c r="IT124" s="30">
        <v>3769.7672369303364</v>
      </c>
      <c r="IU124" s="30">
        <v>3034.3121188795985</v>
      </c>
      <c r="IV124" s="30">
        <v>1972.2999253493106</v>
      </c>
      <c r="IW124" s="30">
        <v>1418.3477282984506</v>
      </c>
      <c r="IX124" s="30">
        <v>1624.001239574485</v>
      </c>
      <c r="IY124" s="30">
        <v>2141.3787479907678</v>
      </c>
      <c r="IZ124" s="30">
        <v>3215.3023431752613</v>
      </c>
      <c r="JA124" s="30">
        <v>3794.5432331325883</v>
      </c>
      <c r="JB124" s="30">
        <v>4425.0849900099984</v>
      </c>
      <c r="JC124" s="30">
        <v>4884.4996897158208</v>
      </c>
      <c r="JD124" s="30">
        <v>5251.096415792902</v>
      </c>
      <c r="JE124" s="30">
        <v>4866.8402921505003</v>
      </c>
      <c r="JF124" s="30">
        <v>3769.7672369303364</v>
      </c>
      <c r="JG124" s="30">
        <v>3034.3121188795985</v>
      </c>
      <c r="JH124" s="30">
        <v>1972.2999253493106</v>
      </c>
      <c r="JI124" s="30">
        <v>1418.3477282984506</v>
      </c>
      <c r="JJ124" s="30">
        <v>1624.001239574485</v>
      </c>
      <c r="JK124" s="30">
        <v>2141.3787479907678</v>
      </c>
      <c r="JL124" s="30">
        <v>3215.3023431752613</v>
      </c>
      <c r="JM124" s="30">
        <v>3794.5432331325883</v>
      </c>
      <c r="JN124" s="30">
        <v>4425.0849900099984</v>
      </c>
      <c r="JO124" s="30">
        <v>4884.4996897158208</v>
      </c>
      <c r="JP124" s="30">
        <v>5251.096415792902</v>
      </c>
      <c r="JQ124" s="30">
        <v>4866.8402921505003</v>
      </c>
      <c r="JR124" s="30">
        <v>3769.7672369303364</v>
      </c>
      <c r="JS124" s="30">
        <v>3034.3121188795985</v>
      </c>
      <c r="JT124" s="30">
        <v>1972.2999253493106</v>
      </c>
      <c r="JU124" s="30">
        <v>1418.3477282984506</v>
      </c>
      <c r="JV124" s="30">
        <v>1624.001239574485</v>
      </c>
      <c r="JW124" s="30">
        <v>2141.3787479907678</v>
      </c>
      <c r="JX124" s="30">
        <v>3215.3023431752613</v>
      </c>
      <c r="JY124" s="30">
        <v>3794.5432331325883</v>
      </c>
      <c r="JZ124" s="30">
        <v>4425.0849900099984</v>
      </c>
      <c r="KA124" s="30">
        <v>4884.4996897158208</v>
      </c>
      <c r="KB124" s="30">
        <v>5251.096415792902</v>
      </c>
      <c r="KC124" s="30">
        <v>4866.8402921505003</v>
      </c>
      <c r="KD124" s="30">
        <v>3769.7672369303364</v>
      </c>
      <c r="KE124" s="30">
        <v>3034.3121188795985</v>
      </c>
      <c r="KF124" s="30">
        <v>1972.2999253493106</v>
      </c>
      <c r="KG124" s="30">
        <v>1418.3477282984506</v>
      </c>
      <c r="KH124" s="30">
        <v>1624.001239574485</v>
      </c>
      <c r="KI124" s="30">
        <v>2141.3787479907678</v>
      </c>
      <c r="KJ124" s="30">
        <v>3215.3023431752613</v>
      </c>
      <c r="KK124" s="30">
        <v>3794.5432331325883</v>
      </c>
      <c r="KL124" s="30">
        <v>4425.0849900099984</v>
      </c>
      <c r="KM124" s="30">
        <v>4884.4996897158208</v>
      </c>
      <c r="KN124" s="30">
        <v>5251.096415792902</v>
      </c>
      <c r="KO124" s="30">
        <v>4866.8402921505003</v>
      </c>
      <c r="KP124" s="30">
        <v>3769.7672369303364</v>
      </c>
      <c r="KQ124" s="30">
        <v>3034.3121188795985</v>
      </c>
      <c r="KR124" s="30">
        <v>1972.2999253493106</v>
      </c>
      <c r="KS124" s="30">
        <v>1418.3477282984506</v>
      </c>
      <c r="KT124" s="30">
        <v>1624.001239574485</v>
      </c>
      <c r="KU124" s="30">
        <v>2141.3787479907678</v>
      </c>
      <c r="KV124" s="30">
        <v>3215.3023431752613</v>
      </c>
      <c r="KW124" s="30">
        <v>3794.5432331325883</v>
      </c>
      <c r="KX124" s="30">
        <v>4425.0849900099984</v>
      </c>
      <c r="KY124" s="30">
        <v>4884.4996897158208</v>
      </c>
      <c r="KZ124" s="30">
        <v>5251.096415792902</v>
      </c>
      <c r="LA124" s="30">
        <v>4866.8402921505003</v>
      </c>
      <c r="LB124" s="30">
        <v>3769.7672369303364</v>
      </c>
      <c r="LC124" s="30">
        <v>3034.3121188795985</v>
      </c>
      <c r="LD124" s="30">
        <v>1972.2999253493106</v>
      </c>
      <c r="LE124" s="30">
        <v>1418.3477282984506</v>
      </c>
      <c r="LF124" s="30">
        <v>1624.001239574485</v>
      </c>
      <c r="LG124" s="30">
        <v>2141.3787479907678</v>
      </c>
      <c r="LH124" s="30">
        <v>3215.3023431752613</v>
      </c>
      <c r="LI124" s="30">
        <v>3794.5432331325883</v>
      </c>
      <c r="LJ124" s="30">
        <v>4425.0849900099984</v>
      </c>
      <c r="LK124" s="30">
        <v>4884.4996897158208</v>
      </c>
      <c r="LL124" s="30">
        <v>5251.096415792902</v>
      </c>
      <c r="LM124" s="30">
        <v>4866.8402921505003</v>
      </c>
      <c r="LN124" s="30">
        <v>3769.7672369303364</v>
      </c>
      <c r="LO124" s="30">
        <v>3034.3121188795985</v>
      </c>
      <c r="LP124" s="30">
        <v>1972.2999253493106</v>
      </c>
      <c r="LQ124" s="30">
        <v>1418.3477282984506</v>
      </c>
      <c r="LR124" s="30">
        <v>1624.001239574485</v>
      </c>
      <c r="LS124" s="30">
        <v>2141.3787479907678</v>
      </c>
      <c r="LT124" s="30">
        <v>3215.3023431752613</v>
      </c>
      <c r="LU124" s="30">
        <v>3794.5432331325883</v>
      </c>
      <c r="LV124" s="30">
        <v>4425.0849900099984</v>
      </c>
      <c r="LW124" s="30">
        <v>4884.4996897158208</v>
      </c>
      <c r="LX124" s="30">
        <v>5251.096415792902</v>
      </c>
      <c r="LY124" s="30">
        <v>4866.8402921505003</v>
      </c>
      <c r="LZ124" s="30">
        <v>3769.7672369303364</v>
      </c>
      <c r="MA124" s="30">
        <v>3034.3121188795985</v>
      </c>
      <c r="MB124" s="30">
        <v>1972.2999253493106</v>
      </c>
      <c r="MC124" s="30">
        <v>1418.3477282984506</v>
      </c>
      <c r="MD124" s="30">
        <v>1624.001239574485</v>
      </c>
      <c r="ME124" s="30">
        <v>2141.3787479907678</v>
      </c>
      <c r="MF124" s="30">
        <v>3215.3023431752613</v>
      </c>
      <c r="MG124" s="30">
        <v>3794.5432331325883</v>
      </c>
      <c r="MH124" s="30">
        <v>4425.0849900099984</v>
      </c>
      <c r="MI124" s="30">
        <v>4884.4996897158208</v>
      </c>
      <c r="MJ124" s="30">
        <v>5251.096415792902</v>
      </c>
      <c r="MK124" s="30">
        <v>4866.8402921505003</v>
      </c>
      <c r="ML124" s="30">
        <v>3769.7672369303364</v>
      </c>
      <c r="MM124" s="30">
        <v>3034.3121188795985</v>
      </c>
      <c r="MN124" s="30">
        <v>1972.2999253493106</v>
      </c>
      <c r="MO124" s="30">
        <v>1418.3477282984506</v>
      </c>
      <c r="MP124" s="30">
        <v>1624.001239574485</v>
      </c>
      <c r="MQ124" s="30">
        <v>2141.3787479907678</v>
      </c>
      <c r="MR124" s="30">
        <v>3215.3023431752613</v>
      </c>
      <c r="MS124" s="30">
        <v>3794.5432331325883</v>
      </c>
      <c r="MT124" s="30">
        <v>4425.0849900099984</v>
      </c>
      <c r="MU124" s="30">
        <v>4884.4996897158208</v>
      </c>
      <c r="MV124" s="30">
        <v>5251.096415792902</v>
      </c>
      <c r="MW124" s="30">
        <v>4866.8402921505003</v>
      </c>
      <c r="MX124" s="30">
        <v>3769.7672369303364</v>
      </c>
      <c r="MY124" s="30">
        <v>3034.3121188795985</v>
      </c>
      <c r="MZ124" s="30">
        <v>1972.2999253493106</v>
      </c>
      <c r="NA124" s="30">
        <v>1418.3477282984506</v>
      </c>
      <c r="NB124" s="30">
        <v>1624.001239574485</v>
      </c>
      <c r="NC124" s="30">
        <v>2141.3787479907678</v>
      </c>
      <c r="ND124" s="30">
        <v>3215.3023431752613</v>
      </c>
      <c r="NE124" s="30">
        <v>3794.5432331325883</v>
      </c>
      <c r="NF124" s="30">
        <v>4425.0849900099984</v>
      </c>
      <c r="NG124" s="30">
        <v>4884.4996897158208</v>
      </c>
      <c r="NH124" s="30">
        <v>5251.096415792902</v>
      </c>
      <c r="NI124" s="30">
        <v>4866.8402921505003</v>
      </c>
      <c r="NJ124" s="30">
        <v>3769.7672369303364</v>
      </c>
      <c r="NK124" s="30">
        <v>3034.3121188795985</v>
      </c>
      <c r="NL124" s="30">
        <v>1972.2999253493106</v>
      </c>
      <c r="NM124" s="30">
        <v>1418.3477282984506</v>
      </c>
      <c r="NN124" s="30">
        <v>1624.001239574485</v>
      </c>
      <c r="NO124" s="30">
        <v>2141.3787479907678</v>
      </c>
      <c r="NP124" s="30">
        <v>3215.3023431752613</v>
      </c>
      <c r="NQ124" s="30">
        <v>3794.5432331325883</v>
      </c>
      <c r="NR124" s="30">
        <v>4425.0849900099984</v>
      </c>
      <c r="NS124" s="30">
        <v>4884.4996897158208</v>
      </c>
      <c r="NT124" s="30">
        <v>5251.096415792902</v>
      </c>
      <c r="NU124" s="30">
        <v>4866.8402921505003</v>
      </c>
      <c r="NV124" s="30">
        <v>3769.7672369303364</v>
      </c>
      <c r="NW124" s="30">
        <v>3034.3121188795985</v>
      </c>
      <c r="NX124" s="30">
        <v>1972.2999253493106</v>
      </c>
      <c r="NY124" s="30">
        <v>1418.3477282984506</v>
      </c>
      <c r="NZ124" s="30">
        <v>1624.001239574485</v>
      </c>
      <c r="OA124" s="30">
        <v>2141.3787479907678</v>
      </c>
      <c r="OB124" s="30">
        <v>3215.3023431752613</v>
      </c>
      <c r="OC124" s="30">
        <v>3794.5432331325883</v>
      </c>
      <c r="OD124" s="30">
        <v>4425.0849900099984</v>
      </c>
      <c r="OE124">
        <v>4884.4996897158208</v>
      </c>
      <c r="OF124">
        <v>5251.096415792902</v>
      </c>
      <c r="OG124">
        <v>4866.8402921505003</v>
      </c>
      <c r="OH124">
        <v>3769.7672369303364</v>
      </c>
      <c r="OI124">
        <v>3034.3121188795985</v>
      </c>
      <c r="OJ124">
        <v>1972.2999253493106</v>
      </c>
      <c r="OK124">
        <v>1418.3477282984506</v>
      </c>
    </row>
    <row r="125" spans="1:401" outlineLevel="1" x14ac:dyDescent="0.3">
      <c r="E125" s="7"/>
      <c r="F125" s="21"/>
      <c r="J125" s="76"/>
      <c r="K125" s="66"/>
      <c r="L125" s="77"/>
      <c r="M125" s="30" t="s">
        <v>360</v>
      </c>
      <c r="N125" s="30"/>
      <c r="O125" s="32" t="s">
        <v>31</v>
      </c>
      <c r="P125" s="60" cm="1">
        <f t="array" ref="P125:OK125">(E57)^(((_xlfn.ANCHORARRAY(P3)-E59+1)+ABS(_xlfn.ANCHORARRAY(P3)-E59+1))/2)</f>
        <v>1</v>
      </c>
      <c r="Q125" s="60">
        <v>1</v>
      </c>
      <c r="R125" s="60">
        <v>1</v>
      </c>
      <c r="S125" s="60">
        <v>1</v>
      </c>
      <c r="T125" s="60">
        <v>1</v>
      </c>
      <c r="U125" s="60">
        <v>1</v>
      </c>
      <c r="V125" s="60">
        <v>1</v>
      </c>
      <c r="W125" s="60">
        <v>1</v>
      </c>
      <c r="X125" s="60">
        <v>1</v>
      </c>
      <c r="Y125" s="60">
        <v>1</v>
      </c>
      <c r="Z125" s="60">
        <v>1</v>
      </c>
      <c r="AA125" s="60">
        <v>1</v>
      </c>
      <c r="AB125" s="60">
        <v>1</v>
      </c>
      <c r="AC125" s="60">
        <v>1</v>
      </c>
      <c r="AD125" s="60">
        <v>1</v>
      </c>
      <c r="AE125" s="60">
        <v>1</v>
      </c>
      <c r="AF125" s="60">
        <v>1</v>
      </c>
      <c r="AG125" s="60">
        <v>1</v>
      </c>
      <c r="AH125" s="60">
        <v>1</v>
      </c>
      <c r="AI125" s="60">
        <v>1</v>
      </c>
      <c r="AJ125" s="60">
        <v>1</v>
      </c>
      <c r="AK125" s="60">
        <v>1</v>
      </c>
      <c r="AL125" s="60">
        <v>1</v>
      </c>
      <c r="AM125" s="60">
        <v>1</v>
      </c>
      <c r="AN125" s="60">
        <v>1</v>
      </c>
      <c r="AO125" s="60">
        <v>1</v>
      </c>
      <c r="AP125" s="60">
        <v>1</v>
      </c>
      <c r="AQ125" s="60">
        <v>1</v>
      </c>
      <c r="AR125" s="60">
        <v>0.9996666666666667</v>
      </c>
      <c r="AS125" s="60">
        <v>0.9993334444444445</v>
      </c>
      <c r="AT125" s="60">
        <v>0.99900033329629634</v>
      </c>
      <c r="AU125" s="60">
        <v>0.99866733318519763</v>
      </c>
      <c r="AV125" s="60">
        <v>0.99833444407413596</v>
      </c>
      <c r="AW125" s="60">
        <v>0.99800166592611128</v>
      </c>
      <c r="AX125" s="60">
        <v>0.99766899870413583</v>
      </c>
      <c r="AY125" s="60">
        <v>0.99733644237123453</v>
      </c>
      <c r="AZ125" s="60">
        <v>0.99700399689044417</v>
      </c>
      <c r="BA125" s="60">
        <v>0.99667166222481407</v>
      </c>
      <c r="BB125" s="60">
        <v>0.99633943833740579</v>
      </c>
      <c r="BC125" s="60">
        <v>0.99600732519129331</v>
      </c>
      <c r="BD125" s="60">
        <v>0.99567532274956294</v>
      </c>
      <c r="BE125" s="60">
        <v>0.99534343097531319</v>
      </c>
      <c r="BF125" s="60">
        <v>0.99501164983165458</v>
      </c>
      <c r="BG125" s="60">
        <v>0.99467997928171081</v>
      </c>
      <c r="BH125" s="60">
        <v>0.99434841928861695</v>
      </c>
      <c r="BI125" s="60">
        <v>0.99401696981552079</v>
      </c>
      <c r="BJ125" s="60">
        <v>0.99368563082558226</v>
      </c>
      <c r="BK125" s="60">
        <v>0.9933544022819738</v>
      </c>
      <c r="BL125" s="60">
        <v>0.99302328414787988</v>
      </c>
      <c r="BM125" s="60">
        <v>0.99269227638649726</v>
      </c>
      <c r="BN125" s="60">
        <v>0.99236137896103505</v>
      </c>
      <c r="BO125" s="60">
        <v>0.99203059183471476</v>
      </c>
      <c r="BP125" s="60">
        <v>0.99169991497076992</v>
      </c>
      <c r="BQ125" s="60">
        <v>0.99136934833244639</v>
      </c>
      <c r="BR125" s="60">
        <v>0.9910388918830022</v>
      </c>
      <c r="BS125" s="60">
        <v>0.99070854558570787</v>
      </c>
      <c r="BT125" s="60">
        <v>0.99037830940384597</v>
      </c>
      <c r="BU125" s="60">
        <v>0.99004818330071154</v>
      </c>
      <c r="BV125" s="60">
        <v>0.98971816723961104</v>
      </c>
      <c r="BW125" s="60">
        <v>0.98938826118386469</v>
      </c>
      <c r="BX125" s="60">
        <v>0.9890584650968034</v>
      </c>
      <c r="BY125" s="60">
        <v>0.98872877894177114</v>
      </c>
      <c r="BZ125" s="60">
        <v>0.98839920268212389</v>
      </c>
      <c r="CA125" s="60">
        <v>0.98806973628122996</v>
      </c>
      <c r="CB125" s="60">
        <v>0.98774037970246964</v>
      </c>
      <c r="CC125" s="60">
        <v>0.98741113290923543</v>
      </c>
      <c r="CD125" s="60">
        <v>0.98708199586493228</v>
      </c>
      <c r="CE125" s="60">
        <v>0.98675296853297745</v>
      </c>
      <c r="CF125" s="60">
        <v>0.98642405087679974</v>
      </c>
      <c r="CG125" s="60">
        <v>0.98609524285984096</v>
      </c>
      <c r="CH125" s="60">
        <v>0.98576654444555434</v>
      </c>
      <c r="CI125" s="60">
        <v>0.98543795559740577</v>
      </c>
      <c r="CJ125" s="60">
        <v>0.98510947627887335</v>
      </c>
      <c r="CK125" s="60">
        <v>0.98478110645344719</v>
      </c>
      <c r="CL125" s="60">
        <v>0.98445284608462913</v>
      </c>
      <c r="CM125" s="60">
        <v>0.98412469513593437</v>
      </c>
      <c r="CN125" s="60">
        <v>0.98379665357088919</v>
      </c>
      <c r="CO125" s="60">
        <v>0.9834687213530322</v>
      </c>
      <c r="CP125" s="60">
        <v>0.98314089844591457</v>
      </c>
      <c r="CQ125" s="60">
        <v>0.98281318481309932</v>
      </c>
      <c r="CR125" s="60">
        <v>0.9824855804181617</v>
      </c>
      <c r="CS125" s="60">
        <v>0.98215808522468895</v>
      </c>
      <c r="CT125" s="60">
        <v>0.98183069919628063</v>
      </c>
      <c r="CU125" s="60">
        <v>0.98150342229654863</v>
      </c>
      <c r="CV125" s="60">
        <v>0.98117625448911649</v>
      </c>
      <c r="CW125" s="60">
        <v>0.98084919573762019</v>
      </c>
      <c r="CX125" s="60">
        <v>0.98052224600570759</v>
      </c>
      <c r="CY125" s="60">
        <v>0.98019540525703908</v>
      </c>
      <c r="CZ125" s="60">
        <v>0.97986867345528672</v>
      </c>
      <c r="DA125" s="60">
        <v>0.97954205056413512</v>
      </c>
      <c r="DB125" s="60">
        <v>0.97921553654728011</v>
      </c>
      <c r="DC125" s="60">
        <v>0.97888913136843125</v>
      </c>
      <c r="DD125" s="60">
        <v>0.97856283499130847</v>
      </c>
      <c r="DE125" s="60">
        <v>0.97823664737964477</v>
      </c>
      <c r="DF125" s="60">
        <v>0.97791056849718483</v>
      </c>
      <c r="DG125" s="60">
        <v>0.97758459830768585</v>
      </c>
      <c r="DH125" s="60">
        <v>0.9772587367749167</v>
      </c>
      <c r="DI125" s="60">
        <v>0.97693298386265837</v>
      </c>
      <c r="DJ125" s="60">
        <v>0.97660733953470413</v>
      </c>
      <c r="DK125" s="60">
        <v>0.97628180375485929</v>
      </c>
      <c r="DL125" s="60">
        <v>0.975956376486941</v>
      </c>
      <c r="DM125" s="60">
        <v>0.97563105769477876</v>
      </c>
      <c r="DN125" s="60">
        <v>0.97530584734221382</v>
      </c>
      <c r="DO125" s="60">
        <v>0.97498074539309976</v>
      </c>
      <c r="DP125" s="60">
        <v>0.97465575181130215</v>
      </c>
      <c r="DQ125" s="60">
        <v>0.97433086656069845</v>
      </c>
      <c r="DR125" s="60">
        <v>0.97400608960517798</v>
      </c>
      <c r="DS125" s="60">
        <v>0.97368142090864307</v>
      </c>
      <c r="DT125" s="60">
        <v>0.97335686043500691</v>
      </c>
      <c r="DU125" s="60">
        <v>0.97303240814819525</v>
      </c>
      <c r="DV125" s="60">
        <v>0.97270806401214582</v>
      </c>
      <c r="DW125" s="60">
        <v>0.97238382799080858</v>
      </c>
      <c r="DX125" s="60">
        <v>0.97205970004814501</v>
      </c>
      <c r="DY125" s="60">
        <v>0.97173568014812894</v>
      </c>
      <c r="DZ125" s="60">
        <v>0.97141176825474618</v>
      </c>
      <c r="EA125" s="60">
        <v>0.97108796433199474</v>
      </c>
      <c r="EB125" s="60">
        <v>0.97076426834388407</v>
      </c>
      <c r="EC125" s="60">
        <v>0.97044068025443619</v>
      </c>
      <c r="ED125" s="60">
        <v>0.97011720002768465</v>
      </c>
      <c r="EE125" s="60">
        <v>0.96979382762767541</v>
      </c>
      <c r="EF125" s="60">
        <v>0.96947056301846624</v>
      </c>
      <c r="EG125" s="60">
        <v>0.96914740616412687</v>
      </c>
      <c r="EH125" s="60">
        <v>0.96882435702873859</v>
      </c>
      <c r="EI125" s="60">
        <v>0.96850141557639591</v>
      </c>
      <c r="EJ125" s="60">
        <v>0.96817858177120375</v>
      </c>
      <c r="EK125" s="60">
        <v>0.96785585557728004</v>
      </c>
      <c r="EL125" s="60">
        <v>0.96753323695875426</v>
      </c>
      <c r="EM125" s="60">
        <v>0.96721072587976809</v>
      </c>
      <c r="EN125" s="60">
        <v>0.96688832230447497</v>
      </c>
      <c r="EO125" s="60">
        <v>0.96656602619704013</v>
      </c>
      <c r="EP125" s="60">
        <v>0.966243837521641</v>
      </c>
      <c r="EQ125" s="60">
        <v>0.96592175624246723</v>
      </c>
      <c r="ER125" s="60">
        <v>0.96559978232371979</v>
      </c>
      <c r="ES125" s="60">
        <v>0.96527791572961197</v>
      </c>
      <c r="ET125" s="60">
        <v>0.96495615642436872</v>
      </c>
      <c r="EU125" s="60">
        <v>0.96463450437222731</v>
      </c>
      <c r="EV125" s="60">
        <v>0.96431295953743656</v>
      </c>
      <c r="EW125" s="60">
        <v>0.96399152188425752</v>
      </c>
      <c r="EX125" s="60">
        <v>0.96367019137696253</v>
      </c>
      <c r="EY125" s="60">
        <v>0.96334896797983705</v>
      </c>
      <c r="EZ125" s="60">
        <v>0.96302785165717719</v>
      </c>
      <c r="FA125" s="60">
        <v>0.9627068423732914</v>
      </c>
      <c r="FB125" s="60">
        <v>0.96238594009250045</v>
      </c>
      <c r="FC125" s="60">
        <v>0.96206514477913629</v>
      </c>
      <c r="FD125" s="60">
        <v>0.96174445639754336</v>
      </c>
      <c r="FE125" s="60">
        <v>0.96142387491207748</v>
      </c>
      <c r="FF125" s="60">
        <v>0.96110340028710661</v>
      </c>
      <c r="FG125" s="60">
        <v>0.96078303248701102</v>
      </c>
      <c r="FH125" s="60">
        <v>0.96046277147618209</v>
      </c>
      <c r="FI125" s="60">
        <v>0.96014261721902339</v>
      </c>
      <c r="FJ125" s="60">
        <v>0.95982256967995039</v>
      </c>
      <c r="FK125" s="60">
        <v>0.95950262882339044</v>
      </c>
      <c r="FL125" s="60">
        <v>0.95918279461378264</v>
      </c>
      <c r="FM125" s="60">
        <v>0.95886306701557822</v>
      </c>
      <c r="FN125" s="60">
        <v>0.95854344599323937</v>
      </c>
      <c r="FO125" s="60">
        <v>0.95822393151124186</v>
      </c>
      <c r="FP125" s="60">
        <v>0.95790452353407152</v>
      </c>
      <c r="FQ125" s="60">
        <v>0.95758522202622676</v>
      </c>
      <c r="FR125" s="60">
        <v>0.95726602695221807</v>
      </c>
      <c r="FS125" s="60">
        <v>0.9569469382765674</v>
      </c>
      <c r="FT125" s="60">
        <v>0.95662795596380856</v>
      </c>
      <c r="FU125" s="60">
        <v>0.95630907997848735</v>
      </c>
      <c r="FV125" s="60">
        <v>0.95599031028516113</v>
      </c>
      <c r="FW125" s="60">
        <v>0.95567164684839945</v>
      </c>
      <c r="FX125" s="60">
        <v>0.95535308963278331</v>
      </c>
      <c r="FY125" s="60">
        <v>0.95503463860290583</v>
      </c>
      <c r="FZ125" s="60">
        <v>0.95471629372337152</v>
      </c>
      <c r="GA125" s="60">
        <v>0.95439805495879704</v>
      </c>
      <c r="GB125" s="60">
        <v>0.95407992227381078</v>
      </c>
      <c r="GC125" s="60">
        <v>0.95376189563305303</v>
      </c>
      <c r="GD125" s="60">
        <v>0.95344397500117517</v>
      </c>
      <c r="GE125" s="60">
        <v>0.95312616034284148</v>
      </c>
      <c r="GF125" s="60">
        <v>0.95280845162272731</v>
      </c>
      <c r="GG125" s="60">
        <v>0.95249084880551971</v>
      </c>
      <c r="GH125" s="60">
        <v>0.95217335185591789</v>
      </c>
      <c r="GI125" s="60">
        <v>0.95185596073863266</v>
      </c>
      <c r="GJ125" s="60">
        <v>0.95153867541838655</v>
      </c>
      <c r="GK125" s="60">
        <v>0.95122149585991378</v>
      </c>
      <c r="GL125" s="60">
        <v>0.95090442202796033</v>
      </c>
      <c r="GM125" s="60">
        <v>0.95058745388728438</v>
      </c>
      <c r="GN125" s="60">
        <v>0.95027059140265546</v>
      </c>
      <c r="GO125" s="60">
        <v>0.94995383453885462</v>
      </c>
      <c r="GP125" s="60">
        <v>0.94963718326067492</v>
      </c>
      <c r="GQ125" s="60">
        <v>0.9493206375329214</v>
      </c>
      <c r="GR125" s="60">
        <v>0.94900419732041041</v>
      </c>
      <c r="GS125" s="60">
        <v>0.94868786258797044</v>
      </c>
      <c r="GT125" s="60">
        <v>0.94837163330044083</v>
      </c>
      <c r="GU125" s="60">
        <v>0.94805550942267425</v>
      </c>
      <c r="GV125" s="60">
        <v>0.94773949091953336</v>
      </c>
      <c r="GW125" s="60">
        <v>0.94742357775589348</v>
      </c>
      <c r="GX125" s="60">
        <v>0.94710776989664158</v>
      </c>
      <c r="GY125" s="60">
        <v>0.94679206730667609</v>
      </c>
      <c r="GZ125" s="60">
        <v>0.94647646995090728</v>
      </c>
      <c r="HA125" s="60">
        <v>0.9461609777942569</v>
      </c>
      <c r="HB125" s="60">
        <v>0.94584559080165875</v>
      </c>
      <c r="HC125" s="60">
        <v>0.94553030893805834</v>
      </c>
      <c r="HD125" s="60">
        <v>0.94521513216841235</v>
      </c>
      <c r="HE125" s="60">
        <v>0.94490006045768959</v>
      </c>
      <c r="HF125" s="60">
        <v>0.94458509377087041</v>
      </c>
      <c r="HG125" s="60">
        <v>0.94427023207294669</v>
      </c>
      <c r="HH125" s="60">
        <v>0.94395547532892243</v>
      </c>
      <c r="HI125" s="60">
        <v>0.94364082350381295</v>
      </c>
      <c r="HJ125" s="60">
        <v>0.94332627656264478</v>
      </c>
      <c r="HK125" s="60">
        <v>0.94301183447045733</v>
      </c>
      <c r="HL125" s="60">
        <v>0.94269749719230067</v>
      </c>
      <c r="HM125" s="60">
        <v>0.94238326469323652</v>
      </c>
      <c r="HN125" s="60">
        <v>0.94206913693833882</v>
      </c>
      <c r="HO125" s="60">
        <v>0.94175511389269273</v>
      </c>
      <c r="HP125" s="60">
        <v>0.94144119552139527</v>
      </c>
      <c r="HQ125" s="60">
        <v>0.9411273817895548</v>
      </c>
      <c r="HR125" s="60">
        <v>0.94081367266229154</v>
      </c>
      <c r="HS125" s="60">
        <v>0.94050006810473752</v>
      </c>
      <c r="HT125" s="60">
        <v>0.94018656808203593</v>
      </c>
      <c r="HU125" s="60">
        <v>0.939873172559342</v>
      </c>
      <c r="HV125" s="60">
        <v>0.93955988150182224</v>
      </c>
      <c r="HW125" s="60">
        <v>0.93924669487465495</v>
      </c>
      <c r="HX125" s="60">
        <v>0.9389336126430301</v>
      </c>
      <c r="HY125" s="60">
        <v>0.93862063477214919</v>
      </c>
      <c r="HZ125" s="60">
        <v>0.93830776122722492</v>
      </c>
      <c r="IA125" s="60">
        <v>0.93799499197348268</v>
      </c>
      <c r="IB125" s="60">
        <v>0.93768232697615828</v>
      </c>
      <c r="IC125" s="60">
        <v>0.93736976620049961</v>
      </c>
      <c r="ID125" s="60">
        <v>0.93705730961176603</v>
      </c>
      <c r="IE125" s="60">
        <v>0.93674495717522888</v>
      </c>
      <c r="IF125" s="60">
        <v>0.93643270885617047</v>
      </c>
      <c r="IG125" s="60">
        <v>0.93612056461988513</v>
      </c>
      <c r="IH125" s="60">
        <v>0.9358085244316785</v>
      </c>
      <c r="II125" s="60">
        <v>0.93549658825686799</v>
      </c>
      <c r="IJ125" s="60">
        <v>0.93518475606078233</v>
      </c>
      <c r="IK125" s="60">
        <v>0.93487302780876214</v>
      </c>
      <c r="IL125" s="60">
        <v>0.93456140346615924</v>
      </c>
      <c r="IM125" s="60">
        <v>0.93424988299833711</v>
      </c>
      <c r="IN125" s="60">
        <v>0.93393846637067113</v>
      </c>
      <c r="IO125" s="60">
        <v>0.93362715354854764</v>
      </c>
      <c r="IP125" s="60">
        <v>0.93331594449736455</v>
      </c>
      <c r="IQ125" s="60">
        <v>0.9330048391825323</v>
      </c>
      <c r="IR125" s="60">
        <v>0.93269383756947144</v>
      </c>
      <c r="IS125" s="60">
        <v>0.93238293962361496</v>
      </c>
      <c r="IT125" s="60">
        <v>0.93207214531040705</v>
      </c>
      <c r="IU125" s="60">
        <v>0.9317614545953038</v>
      </c>
      <c r="IV125" s="60">
        <v>0.93145086744377203</v>
      </c>
      <c r="IW125" s="60">
        <v>0.93114038382129072</v>
      </c>
      <c r="IX125" s="60">
        <v>0.93083000369335023</v>
      </c>
      <c r="IY125" s="60">
        <v>0.9305197270254526</v>
      </c>
      <c r="IZ125" s="60">
        <v>0.93020955378311077</v>
      </c>
      <c r="JA125" s="60">
        <v>0.92989948393184985</v>
      </c>
      <c r="JB125" s="60">
        <v>0.92958951743720586</v>
      </c>
      <c r="JC125" s="60">
        <v>0.9292796542647267</v>
      </c>
      <c r="JD125" s="60">
        <v>0.92896989437997191</v>
      </c>
      <c r="JE125" s="60">
        <v>0.92866023774851203</v>
      </c>
      <c r="JF125" s="60">
        <v>0.92835068433592893</v>
      </c>
      <c r="JG125" s="60">
        <v>0.92804123410781714</v>
      </c>
      <c r="JH125" s="60">
        <v>0.92773188702978127</v>
      </c>
      <c r="JI125" s="60">
        <v>0.92742264306743794</v>
      </c>
      <c r="JJ125" s="60">
        <v>0.92711350218641553</v>
      </c>
      <c r="JK125" s="60">
        <v>0.92680446435235342</v>
      </c>
      <c r="JL125" s="60">
        <v>0.92649552953090275</v>
      </c>
      <c r="JM125" s="60">
        <v>0.92618669768772577</v>
      </c>
      <c r="JN125" s="60">
        <v>0.92587796878849649</v>
      </c>
      <c r="JO125" s="60">
        <v>0.92556934279890035</v>
      </c>
      <c r="JP125" s="60">
        <v>0.92526081968463414</v>
      </c>
      <c r="JQ125" s="60">
        <v>0.92495239941140595</v>
      </c>
      <c r="JR125" s="60">
        <v>0.92464408194493553</v>
      </c>
      <c r="JS125" s="60">
        <v>0.92433586725095385</v>
      </c>
      <c r="JT125" s="60">
        <v>0.92402775529520353</v>
      </c>
      <c r="JU125" s="60">
        <v>0.92371974604343854</v>
      </c>
      <c r="JV125" s="60">
        <v>0.92341183946142391</v>
      </c>
      <c r="JW125" s="60">
        <v>0.92310403551493692</v>
      </c>
      <c r="JX125" s="60">
        <v>0.92279633416976536</v>
      </c>
      <c r="JY125" s="60">
        <v>0.92248873539170873</v>
      </c>
      <c r="JZ125" s="60">
        <v>0.92218123914657824</v>
      </c>
      <c r="KA125" s="60">
        <v>0.92187384540019612</v>
      </c>
      <c r="KB125" s="60">
        <v>0.92156655411839616</v>
      </c>
      <c r="KC125" s="60">
        <v>0.92125936526702323</v>
      </c>
      <c r="KD125" s="60">
        <v>0.92095227881193409</v>
      </c>
      <c r="KE125" s="60">
        <v>0.92064529471899692</v>
      </c>
      <c r="KF125" s="60">
        <v>0.92033841295409069</v>
      </c>
      <c r="KG125" s="60">
        <v>0.92003163348310601</v>
      </c>
      <c r="KH125" s="60">
        <v>0.91972495627194495</v>
      </c>
      <c r="KI125" s="60">
        <v>0.91941838128652098</v>
      </c>
      <c r="KJ125" s="60">
        <v>0.91911190849275881</v>
      </c>
      <c r="KK125" s="60">
        <v>0.91880553785659469</v>
      </c>
      <c r="KL125" s="60">
        <v>0.91849926934397552</v>
      </c>
      <c r="KM125" s="60">
        <v>0.91819310292086109</v>
      </c>
      <c r="KN125" s="60">
        <v>0.91788703855322085</v>
      </c>
      <c r="KO125" s="60">
        <v>0.91758107620703644</v>
      </c>
      <c r="KP125" s="60">
        <v>0.91727521584830074</v>
      </c>
      <c r="KQ125" s="60">
        <v>0.91696945744301805</v>
      </c>
      <c r="KR125" s="60">
        <v>0.91666380095720379</v>
      </c>
      <c r="KS125" s="60">
        <v>0.91635824635688468</v>
      </c>
      <c r="KT125" s="60">
        <v>0.91605279360809899</v>
      </c>
      <c r="KU125" s="60">
        <v>0.91574744267689645</v>
      </c>
      <c r="KV125" s="60">
        <v>0.91544219352933742</v>
      </c>
      <c r="KW125" s="60">
        <v>0.91513704613149438</v>
      </c>
      <c r="KX125" s="60">
        <v>0.91483200044945057</v>
      </c>
      <c r="KY125" s="60">
        <v>0.91452705644930077</v>
      </c>
      <c r="KZ125" s="60">
        <v>0.91422221409715099</v>
      </c>
      <c r="LA125" s="60">
        <v>0.91391747335911877</v>
      </c>
      <c r="LB125" s="60">
        <v>0.91361283420133221</v>
      </c>
      <c r="LC125" s="60">
        <v>0.91330829658993185</v>
      </c>
      <c r="LD125" s="60">
        <v>0.91300386049106863</v>
      </c>
      <c r="LE125" s="60">
        <v>0.91269952587090497</v>
      </c>
      <c r="LF125" s="60">
        <v>0.91239529269561459</v>
      </c>
      <c r="LG125" s="60">
        <v>0.91209116093138287</v>
      </c>
      <c r="LH125" s="60">
        <v>0.91178713054440574</v>
      </c>
      <c r="LI125" s="60">
        <v>0.91148320150089102</v>
      </c>
      <c r="LJ125" s="60">
        <v>0.91117937376705727</v>
      </c>
      <c r="LK125" s="60">
        <v>0.91087564730913495</v>
      </c>
      <c r="LL125" s="60">
        <v>0.9105720220933653</v>
      </c>
      <c r="LM125" s="60">
        <v>0.91026849808600097</v>
      </c>
      <c r="LN125" s="60">
        <v>0.90996507525330561</v>
      </c>
      <c r="LO125" s="60">
        <v>0.90966175356155443</v>
      </c>
      <c r="LP125" s="60">
        <v>0.90935853297703395</v>
      </c>
      <c r="LQ125" s="60">
        <v>0.9090554134660418</v>
      </c>
      <c r="LR125" s="60">
        <v>0.90875239499488614</v>
      </c>
      <c r="LS125" s="60">
        <v>0.90844947752988803</v>
      </c>
      <c r="LT125" s="60">
        <v>0.90814666103737807</v>
      </c>
      <c r="LU125" s="60">
        <v>0.90784394548369896</v>
      </c>
      <c r="LV125" s="60">
        <v>0.90754133083520439</v>
      </c>
      <c r="LW125" s="60">
        <v>0.90723881705825948</v>
      </c>
      <c r="LX125" s="60">
        <v>0.90693640411924015</v>
      </c>
      <c r="LY125" s="60">
        <v>0.90663409198453371</v>
      </c>
      <c r="LZ125" s="60">
        <v>0.90633188062053871</v>
      </c>
      <c r="MA125" s="60">
        <v>0.90602976999366536</v>
      </c>
      <c r="MB125" s="60">
        <v>0.90572776007033406</v>
      </c>
      <c r="MC125" s="60">
        <v>0.90542585081697746</v>
      </c>
      <c r="MD125" s="60">
        <v>0.9051240422000385</v>
      </c>
      <c r="ME125" s="60">
        <v>0.90482233418597169</v>
      </c>
      <c r="MF125" s="60">
        <v>0.90452072674124318</v>
      </c>
      <c r="MG125" s="60">
        <v>0.90421921983232945</v>
      </c>
      <c r="MH125" s="60">
        <v>0.90391781342571853</v>
      </c>
      <c r="MI125" s="60">
        <v>0.90361650748791</v>
      </c>
      <c r="MJ125" s="60">
        <v>0.90331530198541421</v>
      </c>
      <c r="MK125" s="60">
        <v>0.90301419688475237</v>
      </c>
      <c r="ML125" s="60">
        <v>0.90271319215245749</v>
      </c>
      <c r="MM125" s="60">
        <v>0.90241228775507343</v>
      </c>
      <c r="MN125" s="60">
        <v>0.90211148365915506</v>
      </c>
      <c r="MO125" s="60">
        <v>0.90181077983126867</v>
      </c>
      <c r="MP125" s="60">
        <v>0.90151017623799146</v>
      </c>
      <c r="MQ125" s="60">
        <v>0.90120967284591225</v>
      </c>
      <c r="MR125" s="60">
        <v>0.90090926962163032</v>
      </c>
      <c r="MS125" s="60">
        <v>0.90060896653175648</v>
      </c>
      <c r="MT125" s="60">
        <v>0.90030876354291256</v>
      </c>
      <c r="MU125" s="60">
        <v>0.90000866062173168</v>
      </c>
      <c r="MV125" s="60">
        <v>0.89970865773485775</v>
      </c>
      <c r="MW125" s="60">
        <v>0.89940875484894622</v>
      </c>
      <c r="MX125" s="60">
        <v>0.89910895193066298</v>
      </c>
      <c r="MY125" s="60">
        <v>0.89880924894668635</v>
      </c>
      <c r="MZ125" s="60">
        <v>0.89850964586370408</v>
      </c>
      <c r="NA125" s="60">
        <v>0.89821014264841625</v>
      </c>
      <c r="NB125" s="60">
        <v>0.8979107392675334</v>
      </c>
      <c r="NC125" s="60">
        <v>0.89761143568777768</v>
      </c>
      <c r="ND125" s="60">
        <v>0.89731223187588183</v>
      </c>
      <c r="NE125" s="60">
        <v>0.89701312779858977</v>
      </c>
      <c r="NF125" s="60">
        <v>0.89671412342265688</v>
      </c>
      <c r="NG125" s="60">
        <v>0.89641521871484942</v>
      </c>
      <c r="NH125" s="60">
        <v>0.8961164136419445</v>
      </c>
      <c r="NI125" s="60">
        <v>0.89581770817073059</v>
      </c>
      <c r="NJ125" s="60">
        <v>0.89551910226800702</v>
      </c>
      <c r="NK125" s="60">
        <v>0.89522059590058434</v>
      </c>
      <c r="NL125" s="60">
        <v>0.8949221890352842</v>
      </c>
      <c r="NM125" s="60">
        <v>0.89462388163893913</v>
      </c>
      <c r="NN125" s="60">
        <v>0.89432567367839266</v>
      </c>
      <c r="NO125" s="60">
        <v>0.89402756512049997</v>
      </c>
      <c r="NP125" s="60">
        <v>0.89372955593212655</v>
      </c>
      <c r="NQ125" s="60">
        <v>0.89343164608014913</v>
      </c>
      <c r="NR125" s="60">
        <v>0.89313383553145576</v>
      </c>
      <c r="NS125" s="60">
        <v>0.89283612425294534</v>
      </c>
      <c r="NT125" s="60">
        <v>0.8925385122115278</v>
      </c>
      <c r="NU125" s="60">
        <v>0.89224099937412393</v>
      </c>
      <c r="NV125" s="60">
        <v>0.89194358570766585</v>
      </c>
      <c r="NW125" s="60">
        <v>0.89164627117909678</v>
      </c>
      <c r="NX125" s="60">
        <v>0.89134905575537038</v>
      </c>
      <c r="NY125" s="60">
        <v>0.89105193940345195</v>
      </c>
      <c r="NZ125" s="60">
        <v>0.89075492209031748</v>
      </c>
      <c r="OA125" s="60">
        <v>0.89045800378295403</v>
      </c>
      <c r="OB125" s="60">
        <v>0.89016118444835968</v>
      </c>
      <c r="OC125" s="60">
        <v>0.88986446405354369</v>
      </c>
      <c r="OD125" s="60">
        <v>0.88956784256552568</v>
      </c>
      <c r="OE125">
        <v>0.88927131995133735</v>
      </c>
      <c r="OF125">
        <v>0.88897489617802017</v>
      </c>
      <c r="OG125">
        <v>0.88867857121262761</v>
      </c>
      <c r="OH125">
        <v>0.88838234502222335</v>
      </c>
      <c r="OI125">
        <v>0.88808621757388262</v>
      </c>
      <c r="OJ125">
        <v>0.88779018883469152</v>
      </c>
      <c r="OK125">
        <v>0.88749425877174659</v>
      </c>
    </row>
    <row r="126" spans="1:401" x14ac:dyDescent="0.3">
      <c r="E126" s="7"/>
      <c r="F126" s="21"/>
      <c r="J126" s="80"/>
      <c r="K126" s="81"/>
      <c r="L126" s="82"/>
      <c r="M126" s="87" t="s">
        <v>76</v>
      </c>
      <c r="N126" s="6"/>
      <c r="O126" s="95" t="s">
        <v>14</v>
      </c>
      <c r="P126" s="97" cm="1">
        <f t="array" ref="P126:OK126">_xlfn.ANCHORARRAY(P124)*_xlfn.ANCHORARRAY(P125)</f>
        <v>1972.2999253493106</v>
      </c>
      <c r="Q126" s="97">
        <v>1418.3477282984506</v>
      </c>
      <c r="R126" s="97">
        <v>1624.001239574485</v>
      </c>
      <c r="S126" s="97">
        <v>2141.3787479907678</v>
      </c>
      <c r="T126" s="97">
        <v>3215.3023431752613</v>
      </c>
      <c r="U126" s="97">
        <v>3794.5432331325883</v>
      </c>
      <c r="V126" s="97">
        <v>4425.0849900099984</v>
      </c>
      <c r="W126" s="97">
        <v>4884.4996897158208</v>
      </c>
      <c r="X126" s="97">
        <v>5251.096415792902</v>
      </c>
      <c r="Y126" s="97">
        <v>4866.8402921505003</v>
      </c>
      <c r="Z126" s="97">
        <v>3769.7672369303364</v>
      </c>
      <c r="AA126" s="97">
        <v>3034.3121188795985</v>
      </c>
      <c r="AB126" s="97">
        <v>1972.2999253493106</v>
      </c>
      <c r="AC126" s="97">
        <v>1418.3477282984506</v>
      </c>
      <c r="AD126" s="97">
        <v>1624.001239574485</v>
      </c>
      <c r="AE126" s="97">
        <v>2141.3787479907678</v>
      </c>
      <c r="AF126" s="97">
        <v>3215.3023431752613</v>
      </c>
      <c r="AG126" s="97">
        <v>3794.5432331325883</v>
      </c>
      <c r="AH126" s="97">
        <v>4425.0849900099984</v>
      </c>
      <c r="AI126" s="97">
        <v>4884.4996897158208</v>
      </c>
      <c r="AJ126" s="97">
        <v>5251.096415792902</v>
      </c>
      <c r="AK126" s="97">
        <v>4866.8402921505003</v>
      </c>
      <c r="AL126" s="97">
        <v>3769.7672369303364</v>
      </c>
      <c r="AM126" s="97">
        <v>3034.3121188795985</v>
      </c>
      <c r="AN126" s="97">
        <v>1972.2999253493106</v>
      </c>
      <c r="AO126" s="97">
        <v>1418.3477282984506</v>
      </c>
      <c r="AP126" s="97">
        <v>1624.001239574485</v>
      </c>
      <c r="AQ126" s="97">
        <v>2141.3787479907678</v>
      </c>
      <c r="AR126" s="97">
        <v>3214.2305757275362</v>
      </c>
      <c r="AS126" s="97">
        <v>3792.0139592597484</v>
      </c>
      <c r="AT126" s="97">
        <v>4420.6613798844264</v>
      </c>
      <c r="AU126" s="97">
        <v>4877.9902790724236</v>
      </c>
      <c r="AV126" s="97">
        <v>5242.3504210402943</v>
      </c>
      <c r="AW126" s="97">
        <v>4857.1147193625211</v>
      </c>
      <c r="AX126" s="97">
        <v>3760.9799046159455</v>
      </c>
      <c r="AY126" s="97">
        <v>3026.2300536873013</v>
      </c>
      <c r="AZ126" s="97">
        <v>1966.3909086399874</v>
      </c>
      <c r="BA126" s="97">
        <v>1413.6269879760057</v>
      </c>
      <c r="BB126" s="97">
        <v>1618.0564828968932</v>
      </c>
      <c r="BC126" s="97">
        <v>2132.8289190077653</v>
      </c>
      <c r="BD126" s="97">
        <v>3201.3971982784542</v>
      </c>
      <c r="BE126" s="97">
        <v>3776.873680650348</v>
      </c>
      <c r="BF126" s="97">
        <v>4403.0111165551389</v>
      </c>
      <c r="BG126" s="97">
        <v>4858.5140501680553</v>
      </c>
      <c r="BH126" s="97">
        <v>5221.419420575794</v>
      </c>
      <c r="BI126" s="97">
        <v>4837.7218397795241</v>
      </c>
      <c r="BJ126" s="97">
        <v>3745.9635348947336</v>
      </c>
      <c r="BK126" s="97">
        <v>3014.1473011865928</v>
      </c>
      <c r="BL126" s="97">
        <v>1958.5397491949907</v>
      </c>
      <c r="BM126" s="97">
        <v>1407.9828351122062</v>
      </c>
      <c r="BN126" s="97">
        <v>1611.5961095385662</v>
      </c>
      <c r="BO126" s="97">
        <v>2124.313226711562</v>
      </c>
      <c r="BP126" s="97">
        <v>3188.6150603322239</v>
      </c>
      <c r="BQ126" s="97">
        <v>3761.793852249948</v>
      </c>
      <c r="BR126" s="97">
        <v>4385.431324987615</v>
      </c>
      <c r="BS126" s="97">
        <v>4839.1155835122017</v>
      </c>
      <c r="BT126" s="97">
        <v>5200.5719907895691</v>
      </c>
      <c r="BU126" s="97">
        <v>4818.4063896583066</v>
      </c>
      <c r="BV126" s="97">
        <v>3731.0071206546249</v>
      </c>
      <c r="BW126" s="97">
        <v>3002.1127911874141</v>
      </c>
      <c r="BX126" s="97">
        <v>1950.7199368765291</v>
      </c>
      <c r="BY126" s="97">
        <v>1402.3612175153621</v>
      </c>
      <c r="BZ126" s="97">
        <v>1605.1615303502019</v>
      </c>
      <c r="CA126" s="97">
        <v>2115.8315348054684</v>
      </c>
      <c r="CB126" s="97">
        <v>3175.8839573061728</v>
      </c>
      <c r="CC126" s="97">
        <v>3746.7742327005221</v>
      </c>
      <c r="CD126" s="97">
        <v>4367.9217238110232</v>
      </c>
      <c r="CE126" s="97">
        <v>4819.7945686254934</v>
      </c>
      <c r="CF126" s="97">
        <v>5179.8077980110784</v>
      </c>
      <c r="CG126" s="97">
        <v>4799.1680598482071</v>
      </c>
      <c r="CH126" s="97">
        <v>3716.1104225128829</v>
      </c>
      <c r="CI126" s="97">
        <v>2990.1263310731442</v>
      </c>
      <c r="CJ126" s="97">
        <v>1942.9313465257203</v>
      </c>
      <c r="CK126" s="97">
        <v>1396.7620452094816</v>
      </c>
      <c r="CL126" s="97">
        <v>1598.7526423440675</v>
      </c>
      <c r="CM126" s="97">
        <v>2107.3837075369834</v>
      </c>
      <c r="CN126" s="97">
        <v>3163.203685434461</v>
      </c>
      <c r="CO126" s="97">
        <v>3731.8145816077072</v>
      </c>
      <c r="CP126" s="97">
        <v>4350.4820327779607</v>
      </c>
      <c r="CQ126" s="97">
        <v>4800.5506962682011</v>
      </c>
      <c r="CR126" s="97">
        <v>5159.1265099020175</v>
      </c>
      <c r="CS126" s="97">
        <v>4780.0065424329014</v>
      </c>
      <c r="CT126" s="97">
        <v>3701.2732020425433</v>
      </c>
      <c r="CU126" s="97">
        <v>2978.1877289962181</v>
      </c>
      <c r="CV126" s="97">
        <v>1935.1738534834005</v>
      </c>
      <c r="CW126" s="97">
        <v>1391.1852285778159</v>
      </c>
      <c r="CX126" s="97">
        <v>1592.3693429436273</v>
      </c>
      <c r="CY126" s="97">
        <v>2098.9696096956218</v>
      </c>
      <c r="CZ126" s="97">
        <v>3150.5740417648185</v>
      </c>
      <c r="DA126" s="97">
        <v>3716.9146595369584</v>
      </c>
      <c r="DB126" s="97">
        <v>4333.1119727599562</v>
      </c>
      <c r="DC126" s="97">
        <v>4781.3836584352921</v>
      </c>
      <c r="DD126" s="97">
        <v>5138.5277954510011</v>
      </c>
      <c r="DE126" s="97">
        <v>4760.9215307254763</v>
      </c>
      <c r="DF126" s="97">
        <v>3686.4952217686068</v>
      </c>
      <c r="DG126" s="97">
        <v>2966.2967938750553</v>
      </c>
      <c r="DH126" s="97">
        <v>1927.4473335881298</v>
      </c>
      <c r="DI126" s="97">
        <v>1385.6306783614284</v>
      </c>
      <c r="DJ126" s="97">
        <v>1586.0115299818995</v>
      </c>
      <c r="DK126" s="97">
        <v>2090.5891066107492</v>
      </c>
      <c r="DL126" s="97">
        <v>3137.9948241552988</v>
      </c>
      <c r="DM126" s="97">
        <v>3702.0742280097124</v>
      </c>
      <c r="DN126" s="97">
        <v>4315.8112657430129</v>
      </c>
      <c r="DO126" s="97">
        <v>4762.2931483514958</v>
      </c>
      <c r="DP126" s="97">
        <v>5118.0113249682654</v>
      </c>
      <c r="DQ126" s="97">
        <v>4741.9127192635196</v>
      </c>
      <c r="DR126" s="97">
        <v>3671.7762451642334</v>
      </c>
      <c r="DS126" s="97">
        <v>2954.4533353910028</v>
      </c>
      <c r="DT126" s="97">
        <v>1919.7516631742035</v>
      </c>
      <c r="DU126" s="97">
        <v>1380.0983056577636</v>
      </c>
      <c r="DV126" s="97">
        <v>1579.6791016998222</v>
      </c>
      <c r="DW126" s="97">
        <v>2082.2420641494277</v>
      </c>
      <c r="DX126" s="97">
        <v>3125.4658312710421</v>
      </c>
      <c r="DY126" s="97">
        <v>3687.2930494995758</v>
      </c>
      <c r="DZ126" s="97">
        <v>4298.5796348231479</v>
      </c>
      <c r="EA126" s="97">
        <v>4743.2788604663965</v>
      </c>
      <c r="EB126" s="97">
        <v>5097.576770080389</v>
      </c>
      <c r="EC126" s="97">
        <v>4722.9798038042309</v>
      </c>
      <c r="ED126" s="97">
        <v>3657.1160366469594</v>
      </c>
      <c r="EE126" s="97">
        <v>2942.6571639852878</v>
      </c>
      <c r="EF126" s="97">
        <v>1912.0867190696752</v>
      </c>
      <c r="EG126" s="97">
        <v>1374.5880219192252</v>
      </c>
      <c r="EH126" s="97">
        <v>1573.3719567446249</v>
      </c>
      <c r="EI126" s="97">
        <v>2073.9283487142689</v>
      </c>
      <c r="EJ126" s="97">
        <v>3112.9868625810527</v>
      </c>
      <c r="EK126" s="97">
        <v>3672.5708874285197</v>
      </c>
      <c r="EL126" s="97">
        <v>4281.4168042019701</v>
      </c>
      <c r="EM126" s="97">
        <v>4724.340490449541</v>
      </c>
      <c r="EN126" s="97">
        <v>5077.2238037250409</v>
      </c>
      <c r="EO126" s="97">
        <v>4704.1224813195513</v>
      </c>
      <c r="EP126" s="97">
        <v>3642.5143615749216</v>
      </c>
      <c r="EQ126" s="97">
        <v>2930.908090855984</v>
      </c>
      <c r="ER126" s="97">
        <v>1904.4523785943832</v>
      </c>
      <c r="ES126" s="97">
        <v>1369.0997389517584</v>
      </c>
      <c r="ET126" s="97">
        <v>1567.0899941682055</v>
      </c>
      <c r="EU126" s="97">
        <v>2065.6478272412951</v>
      </c>
      <c r="EV126" s="97">
        <v>3100.5577183549908</v>
      </c>
      <c r="EW126" s="97">
        <v>3657.9075061630947</v>
      </c>
      <c r="EX126" s="97">
        <v>4264.322499182259</v>
      </c>
      <c r="EY126" s="97">
        <v>4705.4777351855701</v>
      </c>
      <c r="EZ126" s="97">
        <v>5056.9521001457415</v>
      </c>
      <c r="FA126" s="97">
        <v>4685.3404499913149</v>
      </c>
      <c r="FB126" s="97">
        <v>3627.9709862431096</v>
      </c>
      <c r="FC126" s="97">
        <v>2919.205927954989</v>
      </c>
      <c r="FD126" s="97">
        <v>1896.8485195579881</v>
      </c>
      <c r="FE126" s="97">
        <v>1363.633368913439</v>
      </c>
      <c r="FF126" s="97">
        <v>1560.8331134255136</v>
      </c>
      <c r="FG126" s="97">
        <v>2057.4003671978089</v>
      </c>
      <c r="FH126" s="97">
        <v>3088.1781996599739</v>
      </c>
      <c r="FI126" s="97">
        <v>3643.3026710106583</v>
      </c>
      <c r="FJ126" s="97">
        <v>4247.2964461635738</v>
      </c>
      <c r="FK126" s="97">
        <v>4686.6902927693645</v>
      </c>
      <c r="FL126" s="97">
        <v>5036.7613348866535</v>
      </c>
      <c r="FM126" s="97">
        <v>4666.6334092064217</v>
      </c>
      <c r="FN126" s="97">
        <v>3613.485677879617</v>
      </c>
      <c r="FO126" s="97">
        <v>2907.5504879850155</v>
      </c>
      <c r="FP126" s="97">
        <v>1889.2750202580162</v>
      </c>
      <c r="FQ126" s="97">
        <v>1358.1888243130661</v>
      </c>
      <c r="FR126" s="97">
        <v>1554.6012143729445</v>
      </c>
      <c r="FS126" s="97">
        <v>2049.1858365802746</v>
      </c>
      <c r="FT126" s="97">
        <v>3075.8481083573943</v>
      </c>
      <c r="FU126" s="97">
        <v>3628.7561482156202</v>
      </c>
      <c r="FV126" s="97">
        <v>4230.3383726378679</v>
      </c>
      <c r="FW126" s="97">
        <v>4667.9778625012141</v>
      </c>
      <c r="FX126" s="97">
        <v>5016.6511847873835</v>
      </c>
      <c r="FY126" s="97">
        <v>4648.0010595520134</v>
      </c>
      <c r="FZ126" s="97">
        <v>3599.0582046419258</v>
      </c>
      <c r="GA126" s="97">
        <v>2895.9415843965949</v>
      </c>
      <c r="GB126" s="97">
        <v>1881.7317594779131</v>
      </c>
      <c r="GC126" s="97">
        <v>1352.7660180087648</v>
      </c>
      <c r="GD126" s="97">
        <v>1548.3941972667328</v>
      </c>
      <c r="GE126" s="97">
        <v>2041.0041039122018</v>
      </c>
      <c r="GF126" s="97">
        <v>3063.5672470997479</v>
      </c>
      <c r="GG126" s="97">
        <v>3614.2677049557001</v>
      </c>
      <c r="GH126" s="97">
        <v>4213.4480071851312</v>
      </c>
      <c r="GI126" s="97">
        <v>4649.3401448820059</v>
      </c>
      <c r="GJ126" s="97">
        <v>4996.6213279778149</v>
      </c>
      <c r="GK126" s="97">
        <v>4629.4431028106983</v>
      </c>
      <c r="GL126" s="97">
        <v>3584.6883356131825</v>
      </c>
      <c r="GM126" s="97">
        <v>2884.3790313850886</v>
      </c>
      <c r="GN126" s="97">
        <v>1874.2186164851025</v>
      </c>
      <c r="GO126" s="97">
        <v>1347.3648632065867</v>
      </c>
      <c r="GP126" s="97">
        <v>1542.2119627613583</v>
      </c>
      <c r="GQ126" s="97">
        <v>2032.8550382420447</v>
      </c>
      <c r="GR126" s="97">
        <v>3051.3354193274736</v>
      </c>
      <c r="GS126" s="97">
        <v>3599.837109338202</v>
      </c>
      <c r="GT126" s="97">
        <v>4196.6250794690468</v>
      </c>
      <c r="GU126" s="97">
        <v>4630.7768416084264</v>
      </c>
      <c r="GV126" s="97">
        <v>4976.6714438729514</v>
      </c>
      <c r="GW126" s="97">
        <v>4610.9592419557648</v>
      </c>
      <c r="GX126" s="97">
        <v>3570.3758407985151</v>
      </c>
      <c r="GY126" s="97">
        <v>2872.8626438877159</v>
      </c>
      <c r="GZ126" s="97">
        <v>1866.7354710290533</v>
      </c>
      <c r="HA126" s="97">
        <v>1341.985273459125</v>
      </c>
      <c r="HB126" s="97">
        <v>1536.054411907955</v>
      </c>
      <c r="HC126" s="97">
        <v>2024.7385091411033</v>
      </c>
      <c r="HD126" s="97">
        <v>3039.1524292658105</v>
      </c>
      <c r="HE126" s="97">
        <v>3585.4641303962994</v>
      </c>
      <c r="HF126" s="97">
        <v>4179.8693202326658</v>
      </c>
      <c r="HG126" s="97">
        <v>4612.2876555681942</v>
      </c>
      <c r="HH126" s="97">
        <v>4956.8012131677897</v>
      </c>
      <c r="HI126" s="97">
        <v>4592.5491811464353</v>
      </c>
      <c r="HJ126" s="97">
        <v>3556.1204911213435</v>
      </c>
      <c r="HK126" s="97">
        <v>2861.3922375805905</v>
      </c>
      <c r="HL126" s="97">
        <v>1859.2822033393566</v>
      </c>
      <c r="HM126" s="97">
        <v>1336.6271626641296</v>
      </c>
      <c r="HN126" s="97">
        <v>1529.9214461527274</v>
      </c>
      <c r="HO126" s="97">
        <v>2016.6543867014373</v>
      </c>
      <c r="HP126" s="97">
        <v>3027.0180819216616</v>
      </c>
      <c r="HQ126" s="97">
        <v>3571.1485380853451</v>
      </c>
      <c r="HR126" s="97">
        <v>4163.1804612940859</v>
      </c>
      <c r="HS126" s="97">
        <v>4593.8722908352984</v>
      </c>
      <c r="HT126" s="97">
        <v>4937.0103178322079</v>
      </c>
      <c r="HU126" s="97">
        <v>4574.2126257231257</v>
      </c>
      <c r="HV126" s="97">
        <v>3541.9220584197187</v>
      </c>
      <c r="HW126" s="97">
        <v>2849.9676288757742</v>
      </c>
      <c r="HX126" s="97">
        <v>1851.8586941238068</v>
      </c>
      <c r="HY126" s="97">
        <v>1331.2904450631274</v>
      </c>
      <c r="HZ126" s="97">
        <v>1523.8129673353731</v>
      </c>
      <c r="IA126" s="97">
        <v>2008.6025415337867</v>
      </c>
      <c r="IB126" s="97">
        <v>3014.9321830804734</v>
      </c>
      <c r="IC126" s="97">
        <v>3556.8901032791823</v>
      </c>
      <c r="ID126" s="97">
        <v>4146.5582355421775</v>
      </c>
      <c r="IE126" s="97">
        <v>4575.5304526652653</v>
      </c>
      <c r="IF126" s="97">
        <v>4917.2984411058751</v>
      </c>
      <c r="IG126" s="97">
        <v>4555.9492822027332</v>
      </c>
      <c r="IH126" s="97">
        <v>3527.7803154426638</v>
      </c>
      <c r="II126" s="97">
        <v>2838.5886349183324</v>
      </c>
      <c r="IJ126" s="97">
        <v>1844.4648245664941</v>
      </c>
      <c r="IK126" s="97">
        <v>1325.975035240052</v>
      </c>
      <c r="IL126" s="97">
        <v>1517.728877687513</v>
      </c>
      <c r="IM126" s="97">
        <v>2000.5828447655003</v>
      </c>
      <c r="IN126" s="97">
        <v>3002.894539303129</v>
      </c>
      <c r="IO126" s="97">
        <v>3542.6885977664815</v>
      </c>
      <c r="IP126" s="97">
        <v>4130.0023769322925</v>
      </c>
      <c r="IQ126" s="97">
        <v>4557.2618474904384</v>
      </c>
      <c r="IR126" s="97">
        <v>4897.6652674931784</v>
      </c>
      <c r="IS126" s="97">
        <v>4537.7588582739363</v>
      </c>
      <c r="IT126" s="97">
        <v>3513.6950358465442</v>
      </c>
      <c r="IU126" s="97">
        <v>2827.2550735834129</v>
      </c>
      <c r="IV126" s="97">
        <v>1837.1004763259023</v>
      </c>
      <c r="IW126" s="97">
        <v>1320.680848119875</v>
      </c>
      <c r="IX126" s="97">
        <v>1511.6690798311233</v>
      </c>
      <c r="IY126" s="97">
        <v>1992.5951680384746</v>
      </c>
      <c r="IZ126" s="97">
        <v>2990.9049579228504</v>
      </c>
      <c r="JA126" s="97">
        <v>3528.5437942470867</v>
      </c>
      <c r="JB126" s="97">
        <v>4113.5126204820172</v>
      </c>
      <c r="JC126" s="97">
        <v>4539.0661829152823</v>
      </c>
      <c r="JD126" s="97">
        <v>4878.1104827581812</v>
      </c>
      <c r="JE126" s="97">
        <v>4519.6410627925216</v>
      </c>
      <c r="JF126" s="97">
        <v>3499.6659941914418</v>
      </c>
      <c r="JG126" s="97">
        <v>2815.9667634733282</v>
      </c>
      <c r="JH126" s="97">
        <v>1829.7655315330126</v>
      </c>
      <c r="JI126" s="97">
        <v>1315.4077989672455</v>
      </c>
      <c r="JJ126" s="97">
        <v>1505.6334767769808</v>
      </c>
      <c r="JK126" s="97">
        <v>1984.6393835070967</v>
      </c>
      <c r="JL126" s="97">
        <v>2978.9632470421161</v>
      </c>
      <c r="JM126" s="97">
        <v>3514.455466328378</v>
      </c>
      <c r="JN126" s="97">
        <v>4097.0887022669212</v>
      </c>
      <c r="JO126" s="97">
        <v>4520.9431677117045</v>
      </c>
      <c r="JP126" s="97">
        <v>4858.6337739195851</v>
      </c>
      <c r="JQ126" s="97">
        <v>4501.5956057767135</v>
      </c>
      <c r="JR126" s="97">
        <v>3485.6929659375473</v>
      </c>
      <c r="JS126" s="97">
        <v>2804.723523914653</v>
      </c>
      <c r="JT126" s="97">
        <v>1822.4598727894208</v>
      </c>
      <c r="JU126" s="97">
        <v>1310.1558033851327</v>
      </c>
      <c r="JV126" s="97">
        <v>1499.6219719231078</v>
      </c>
      <c r="JW126" s="97">
        <v>1976.7153638362008</v>
      </c>
      <c r="JX126" s="97">
        <v>2967.0692155295878</v>
      </c>
      <c r="JY126" s="97">
        <v>3500.4233885216472</v>
      </c>
      <c r="JZ126" s="97">
        <v>4080.7303594163441</v>
      </c>
      <c r="KA126" s="97">
        <v>4502.8925118143889</v>
      </c>
      <c r="KB126" s="97">
        <v>4839.2348292457255</v>
      </c>
      <c r="KC126" s="97">
        <v>4483.6221984025442</v>
      </c>
      <c r="KD126" s="97">
        <v>3471.7757274415617</v>
      </c>
      <c r="KE126" s="97">
        <v>2793.5251749553322</v>
      </c>
      <c r="KF126" s="97">
        <v>1815.183383165456</v>
      </c>
      <c r="KG126" s="97">
        <v>1304.9247773134762</v>
      </c>
      <c r="KH126" s="97">
        <v>1493.6344690532276</v>
      </c>
      <c r="KI126" s="97">
        <v>1968.8229821990287</v>
      </c>
      <c r="KJ126" s="97">
        <v>2955.2226730170537</v>
      </c>
      <c r="KK126" s="97">
        <v>3486.4473362384897</v>
      </c>
      <c r="KL126" s="97">
        <v>4064.4373301091769</v>
      </c>
      <c r="KM126" s="97">
        <v>4484.9139263161524</v>
      </c>
      <c r="KN126" s="97">
        <v>4819.9133382495793</v>
      </c>
      <c r="KO126" s="97">
        <v>4465.7205529992234</v>
      </c>
      <c r="KP126" s="97">
        <v>3457.9140559531265</v>
      </c>
      <c r="KQ126" s="97">
        <v>2782.3715373618002</v>
      </c>
      <c r="KR126" s="97">
        <v>1807.9359461983083</v>
      </c>
      <c r="KS126" s="97">
        <v>1299.7146370278394</v>
      </c>
      <c r="KT126" s="97">
        <v>1487.6708723352226</v>
      </c>
      <c r="KU126" s="97">
        <v>1960.9621122751998</v>
      </c>
      <c r="KV126" s="97">
        <v>2943.4234298963797</v>
      </c>
      <c r="KW126" s="97">
        <v>3472.5270857872074</v>
      </c>
      <c r="KX126" s="97">
        <v>4048.2093535696836</v>
      </c>
      <c r="KY126" s="97">
        <v>4467.0071234633324</v>
      </c>
      <c r="KZ126" s="97">
        <v>4800.6689916838004</v>
      </c>
      <c r="LA126" s="97">
        <v>4447.8903830445406</v>
      </c>
      <c r="LB126" s="97">
        <v>3444.1077296112499</v>
      </c>
      <c r="LC126" s="97">
        <v>2771.2624326161131</v>
      </c>
      <c r="LD126" s="97">
        <v>1800.717445890167</v>
      </c>
      <c r="LE126" s="97">
        <v>1294.525299138071</v>
      </c>
      <c r="LF126" s="97">
        <v>1481.7310863196033</v>
      </c>
      <c r="LG126" s="97">
        <v>1953.1326282486905</v>
      </c>
      <c r="LH126" s="97">
        <v>2931.6712973164758</v>
      </c>
      <c r="LI126" s="97">
        <v>3458.6624143692334</v>
      </c>
      <c r="LJ126" s="97">
        <v>4032.046170063315</v>
      </c>
      <c r="LK126" s="97">
        <v>4449.1718166511673</v>
      </c>
      <c r="LL126" s="97">
        <v>4781.5014815357654</v>
      </c>
      <c r="LM126" s="97">
        <v>4430.1314031602697</v>
      </c>
      <c r="LN126" s="97">
        <v>3430.3565274407597</v>
      </c>
      <c r="LO126" s="97">
        <v>2760.1976829130913</v>
      </c>
      <c r="LP126" s="97">
        <v>1793.5277667063626</v>
      </c>
      <c r="LQ126" s="97">
        <v>1289.3566805869691</v>
      </c>
      <c r="LR126" s="97">
        <v>1475.815015937977</v>
      </c>
      <c r="LS126" s="97">
        <v>1945.3344048058188</v>
      </c>
      <c r="LT126" s="97">
        <v>2919.9660871802716</v>
      </c>
      <c r="LU126" s="97">
        <v>3444.8531000755602</v>
      </c>
      <c r="LV126" s="97">
        <v>4015.947520892561</v>
      </c>
      <c r="LW126" s="97">
        <v>4431.4077204192163</v>
      </c>
      <c r="LX126" s="97">
        <v>4762.4105010226449</v>
      </c>
      <c r="LY126" s="97">
        <v>4412.443329107612</v>
      </c>
      <c r="LZ126" s="97">
        <v>3416.6602293487636</v>
      </c>
      <c r="MA126" s="97">
        <v>2749.177111157474</v>
      </c>
      <c r="MB126" s="97">
        <v>1786.3667935735182</v>
      </c>
      <c r="MC126" s="97">
        <v>1284.2086986489519</v>
      </c>
      <c r="MD126" s="97">
        <v>1469.922566501531</v>
      </c>
      <c r="ME126" s="97">
        <v>1937.5673171332401</v>
      </c>
      <c r="MF126" s="97">
        <v>2908.3076121417093</v>
      </c>
      <c r="MG126" s="97">
        <v>3431.0989218831942</v>
      </c>
      <c r="MH126" s="97">
        <v>3999.9131483928054</v>
      </c>
      <c r="MI126" s="97">
        <v>4413.7145504467899</v>
      </c>
      <c r="MJ126" s="97">
        <v>4743.3957445864917</v>
      </c>
      <c r="MK126" s="97">
        <v>4394.8258777826377</v>
      </c>
      <c r="ML126" s="97">
        <v>3403.0186161211336</v>
      </c>
      <c r="MM126" s="97">
        <v>2738.2005409610829</v>
      </c>
      <c r="MN126" s="97">
        <v>1779.2344118777073</v>
      </c>
      <c r="MO126" s="97">
        <v>1279.0812709287341</v>
      </c>
      <c r="MP126" s="97">
        <v>1464.0536436995105</v>
      </c>
      <c r="MQ126" s="97">
        <v>1929.8312409159489</v>
      </c>
      <c r="MR126" s="97">
        <v>2896.6956856027414</v>
      </c>
      <c r="MS126" s="97">
        <v>3417.3996596516104</v>
      </c>
      <c r="MT126" s="97">
        <v>3983.9427959282034</v>
      </c>
      <c r="MU126" s="97">
        <v>4396.0920235484</v>
      </c>
      <c r="MV126" s="97">
        <v>4724.4569078893546</v>
      </c>
      <c r="MW126" s="97">
        <v>4377.2787672117629</v>
      </c>
      <c r="MX126" s="97">
        <v>3389.4314694189861</v>
      </c>
      <c r="MY126" s="97">
        <v>2727.2677966400006</v>
      </c>
      <c r="MZ126" s="97">
        <v>1772.1305074626191</v>
      </c>
      <c r="NA126" s="97">
        <v>1273.9743153600084</v>
      </c>
      <c r="NB126" s="97">
        <v>1458.2081535977165</v>
      </c>
      <c r="NC126" s="97">
        <v>1922.1260523352889</v>
      </c>
      <c r="ND126" s="97">
        <v>2885.1301217103464</v>
      </c>
      <c r="NE126" s="97">
        <v>3403.7550941192362</v>
      </c>
      <c r="NF126" s="97">
        <v>3968.0362078875719</v>
      </c>
      <c r="NG126" s="97">
        <v>4378.5398576692214</v>
      </c>
      <c r="NH126" s="97">
        <v>4705.593687808404</v>
      </c>
      <c r="NI126" s="97">
        <v>4359.8017165472302</v>
      </c>
      <c r="NJ126" s="97">
        <v>3375.8985717752003</v>
      </c>
      <c r="NK126" s="97">
        <v>2716.3787032117589</v>
      </c>
      <c r="NL126" s="97">
        <v>1765.0549666277327</v>
      </c>
      <c r="NM126" s="97">
        <v>1268.8877502041314</v>
      </c>
      <c r="NN126" s="97">
        <v>1452.386002636996</v>
      </c>
      <c r="NO126" s="97">
        <v>1914.4516280669709</v>
      </c>
      <c r="NP126" s="97">
        <v>2873.6107353535522</v>
      </c>
      <c r="NQ126" s="97">
        <v>3390.1650068999393</v>
      </c>
      <c r="NR126" s="97">
        <v>3952.1931296803036</v>
      </c>
      <c r="NS126" s="97">
        <v>4361.0577718805871</v>
      </c>
      <c r="NT126" s="97">
        <v>4686.8057824310827</v>
      </c>
      <c r="NU126" s="97">
        <v>4342.3944460626153</v>
      </c>
      <c r="NV126" s="97">
        <v>3362.4197065909243</v>
      </c>
      <c r="NW126" s="97">
        <v>2705.5330863925383</v>
      </c>
      <c r="NX126" s="97">
        <v>1758.0076761264954</v>
      </c>
      <c r="NY126" s="97">
        <v>1263.8214940488149</v>
      </c>
      <c r="NZ126" s="97">
        <v>1446.5870976317494</v>
      </c>
      <c r="OA126" s="97">
        <v>1906.8078452791005</v>
      </c>
      <c r="OB126" s="97">
        <v>2862.1373421604767</v>
      </c>
      <c r="OC126" s="97">
        <v>3376.6291804795314</v>
      </c>
      <c r="OD126" s="97">
        <v>3936.4133077322849</v>
      </c>
      <c r="OE126">
        <v>4343.6454863754852</v>
      </c>
      <c r="OF126">
        <v>4668.0928910502689</v>
      </c>
      <c r="OG126">
        <v>4325.0566771483536</v>
      </c>
      <c r="OH126">
        <v>3348.9946581321196</v>
      </c>
      <c r="OI126">
        <v>2694.730772594376</v>
      </c>
      <c r="OJ126">
        <v>1750.9885231645123</v>
      </c>
      <c r="OK126">
        <v>1258.7754658068241</v>
      </c>
    </row>
    <row r="127" spans="1:401" outlineLevel="1" x14ac:dyDescent="0.3">
      <c r="E127" s="7"/>
      <c r="F127" s="21"/>
      <c r="J127" s="76"/>
      <c r="K127" s="66"/>
      <c r="L127" s="77"/>
      <c r="M127" s="30" t="s">
        <v>3</v>
      </c>
      <c r="N127" s="30"/>
      <c r="O127" s="32" t="s">
        <v>15</v>
      </c>
      <c r="P127" s="30" cm="1">
        <f t="array" ref="P127:OK127">_xlfn.ANCHORARRAY(P1)*E81</f>
        <v>65</v>
      </c>
      <c r="Q127" s="30">
        <v>65</v>
      </c>
      <c r="R127" s="30">
        <v>65</v>
      </c>
      <c r="S127" s="30">
        <v>65</v>
      </c>
      <c r="T127" s="30">
        <v>65</v>
      </c>
      <c r="U127" s="30">
        <v>65</v>
      </c>
      <c r="V127" s="30">
        <v>65</v>
      </c>
      <c r="W127" s="30">
        <v>65</v>
      </c>
      <c r="X127" s="30">
        <v>65</v>
      </c>
      <c r="Y127" s="30">
        <v>65</v>
      </c>
      <c r="Z127" s="30">
        <v>65</v>
      </c>
      <c r="AA127" s="30">
        <v>65</v>
      </c>
      <c r="AB127" s="30">
        <v>65</v>
      </c>
      <c r="AC127" s="30">
        <v>65</v>
      </c>
      <c r="AD127" s="30">
        <v>65</v>
      </c>
      <c r="AE127" s="30">
        <v>65</v>
      </c>
      <c r="AF127" s="30">
        <v>65</v>
      </c>
      <c r="AG127" s="30">
        <v>65</v>
      </c>
      <c r="AH127" s="30">
        <v>65</v>
      </c>
      <c r="AI127" s="30">
        <v>65</v>
      </c>
      <c r="AJ127" s="30">
        <v>65</v>
      </c>
      <c r="AK127" s="30">
        <v>65</v>
      </c>
      <c r="AL127" s="30">
        <v>65</v>
      </c>
      <c r="AM127" s="30">
        <v>65</v>
      </c>
      <c r="AN127" s="30">
        <v>65</v>
      </c>
      <c r="AO127" s="30">
        <v>65</v>
      </c>
      <c r="AP127" s="30">
        <v>65</v>
      </c>
      <c r="AQ127" s="30">
        <v>65</v>
      </c>
      <c r="AR127" s="30">
        <v>65</v>
      </c>
      <c r="AS127" s="30">
        <v>65</v>
      </c>
      <c r="AT127" s="30">
        <v>65</v>
      </c>
      <c r="AU127" s="30">
        <v>65</v>
      </c>
      <c r="AV127" s="30">
        <v>65</v>
      </c>
      <c r="AW127" s="30">
        <v>65</v>
      </c>
      <c r="AX127" s="30">
        <v>65</v>
      </c>
      <c r="AY127" s="30">
        <v>65</v>
      </c>
      <c r="AZ127" s="30">
        <v>65</v>
      </c>
      <c r="BA127" s="30">
        <v>65</v>
      </c>
      <c r="BB127" s="30">
        <v>65</v>
      </c>
      <c r="BC127" s="30">
        <v>65</v>
      </c>
      <c r="BD127" s="30">
        <v>65</v>
      </c>
      <c r="BE127" s="30">
        <v>65</v>
      </c>
      <c r="BF127" s="30">
        <v>65</v>
      </c>
      <c r="BG127" s="30">
        <v>65</v>
      </c>
      <c r="BH127" s="30">
        <v>65</v>
      </c>
      <c r="BI127" s="30">
        <v>65</v>
      </c>
      <c r="BJ127" s="30">
        <v>65</v>
      </c>
      <c r="BK127" s="30">
        <v>65</v>
      </c>
      <c r="BL127" s="30">
        <v>65</v>
      </c>
      <c r="BM127" s="30">
        <v>65</v>
      </c>
      <c r="BN127" s="30">
        <v>65</v>
      </c>
      <c r="BO127" s="30">
        <v>65</v>
      </c>
      <c r="BP127" s="30">
        <v>65</v>
      </c>
      <c r="BQ127" s="30">
        <v>65</v>
      </c>
      <c r="BR127" s="30">
        <v>65</v>
      </c>
      <c r="BS127" s="30">
        <v>65</v>
      </c>
      <c r="BT127" s="30">
        <v>65</v>
      </c>
      <c r="BU127" s="30">
        <v>65</v>
      </c>
      <c r="BV127" s="30">
        <v>65</v>
      </c>
      <c r="BW127" s="30">
        <v>65</v>
      </c>
      <c r="BX127" s="30">
        <v>65</v>
      </c>
      <c r="BY127" s="30">
        <v>65</v>
      </c>
      <c r="BZ127" s="30">
        <v>65</v>
      </c>
      <c r="CA127" s="30">
        <v>65</v>
      </c>
      <c r="CB127" s="30">
        <v>65</v>
      </c>
      <c r="CC127" s="30">
        <v>65</v>
      </c>
      <c r="CD127" s="30">
        <v>65</v>
      </c>
      <c r="CE127" s="30">
        <v>65</v>
      </c>
      <c r="CF127" s="30">
        <v>65</v>
      </c>
      <c r="CG127" s="30">
        <v>65</v>
      </c>
      <c r="CH127" s="30">
        <v>65</v>
      </c>
      <c r="CI127" s="30">
        <v>65</v>
      </c>
      <c r="CJ127" s="30">
        <v>65</v>
      </c>
      <c r="CK127" s="30">
        <v>65</v>
      </c>
      <c r="CL127" s="30">
        <v>65</v>
      </c>
      <c r="CM127" s="30">
        <v>65</v>
      </c>
      <c r="CN127" s="30">
        <v>65</v>
      </c>
      <c r="CO127" s="30">
        <v>65</v>
      </c>
      <c r="CP127" s="30">
        <v>65</v>
      </c>
      <c r="CQ127" s="30">
        <v>65</v>
      </c>
      <c r="CR127" s="30">
        <v>65</v>
      </c>
      <c r="CS127" s="30">
        <v>65</v>
      </c>
      <c r="CT127" s="30">
        <v>65</v>
      </c>
      <c r="CU127" s="30">
        <v>65</v>
      </c>
      <c r="CV127" s="30">
        <v>65</v>
      </c>
      <c r="CW127" s="30">
        <v>65</v>
      </c>
      <c r="CX127" s="30">
        <v>65</v>
      </c>
      <c r="CY127" s="30">
        <v>65</v>
      </c>
      <c r="CZ127" s="30">
        <v>65</v>
      </c>
      <c r="DA127" s="30">
        <v>65</v>
      </c>
      <c r="DB127" s="30">
        <v>65</v>
      </c>
      <c r="DC127" s="30">
        <v>65</v>
      </c>
      <c r="DD127" s="30">
        <v>65</v>
      </c>
      <c r="DE127" s="30">
        <v>65</v>
      </c>
      <c r="DF127" s="30">
        <v>65</v>
      </c>
      <c r="DG127" s="30">
        <v>65</v>
      </c>
      <c r="DH127" s="30">
        <v>65</v>
      </c>
      <c r="DI127" s="30">
        <v>65</v>
      </c>
      <c r="DJ127" s="30">
        <v>65</v>
      </c>
      <c r="DK127" s="30">
        <v>65</v>
      </c>
      <c r="DL127" s="30">
        <v>65</v>
      </c>
      <c r="DM127" s="30">
        <v>65</v>
      </c>
      <c r="DN127" s="30">
        <v>65</v>
      </c>
      <c r="DO127" s="30">
        <v>65</v>
      </c>
      <c r="DP127" s="30">
        <v>65</v>
      </c>
      <c r="DQ127" s="30">
        <v>65</v>
      </c>
      <c r="DR127" s="30">
        <v>65</v>
      </c>
      <c r="DS127" s="30">
        <v>65</v>
      </c>
      <c r="DT127" s="30">
        <v>65</v>
      </c>
      <c r="DU127" s="30">
        <v>65</v>
      </c>
      <c r="DV127" s="30">
        <v>65</v>
      </c>
      <c r="DW127" s="30">
        <v>65</v>
      </c>
      <c r="DX127" s="30">
        <v>65</v>
      </c>
      <c r="DY127" s="30">
        <v>65</v>
      </c>
      <c r="DZ127" s="30">
        <v>65</v>
      </c>
      <c r="EA127" s="30">
        <v>65</v>
      </c>
      <c r="EB127" s="30">
        <v>65</v>
      </c>
      <c r="EC127" s="30">
        <v>65</v>
      </c>
      <c r="ED127" s="30">
        <v>65</v>
      </c>
      <c r="EE127" s="30">
        <v>65</v>
      </c>
      <c r="EF127" s="30">
        <v>65</v>
      </c>
      <c r="EG127" s="30">
        <v>65</v>
      </c>
      <c r="EH127" s="30">
        <v>65</v>
      </c>
      <c r="EI127" s="30">
        <v>65</v>
      </c>
      <c r="EJ127" s="30">
        <v>65</v>
      </c>
      <c r="EK127" s="30">
        <v>65</v>
      </c>
      <c r="EL127" s="30">
        <v>65</v>
      </c>
      <c r="EM127" s="30">
        <v>65</v>
      </c>
      <c r="EN127" s="30">
        <v>65</v>
      </c>
      <c r="EO127" s="30">
        <v>65</v>
      </c>
      <c r="EP127" s="30">
        <v>65</v>
      </c>
      <c r="EQ127" s="30">
        <v>65</v>
      </c>
      <c r="ER127" s="30">
        <v>65</v>
      </c>
      <c r="ES127" s="30">
        <v>65</v>
      </c>
      <c r="ET127" s="30">
        <v>65</v>
      </c>
      <c r="EU127" s="30">
        <v>65</v>
      </c>
      <c r="EV127" s="30">
        <v>65</v>
      </c>
      <c r="EW127" s="30">
        <v>65</v>
      </c>
      <c r="EX127" s="30">
        <v>65</v>
      </c>
      <c r="EY127" s="30">
        <v>65</v>
      </c>
      <c r="EZ127" s="30">
        <v>65</v>
      </c>
      <c r="FA127" s="30">
        <v>65</v>
      </c>
      <c r="FB127" s="30">
        <v>65</v>
      </c>
      <c r="FC127" s="30">
        <v>65</v>
      </c>
      <c r="FD127" s="30">
        <v>65</v>
      </c>
      <c r="FE127" s="30">
        <v>65</v>
      </c>
      <c r="FF127" s="30">
        <v>65</v>
      </c>
      <c r="FG127" s="30">
        <v>65</v>
      </c>
      <c r="FH127" s="30">
        <v>65</v>
      </c>
      <c r="FI127" s="30">
        <v>65</v>
      </c>
      <c r="FJ127" s="30">
        <v>65</v>
      </c>
      <c r="FK127" s="30">
        <v>65</v>
      </c>
      <c r="FL127" s="30">
        <v>65</v>
      </c>
      <c r="FM127" s="30">
        <v>65</v>
      </c>
      <c r="FN127" s="30">
        <v>65</v>
      </c>
      <c r="FO127" s="30">
        <v>65</v>
      </c>
      <c r="FP127" s="30">
        <v>65</v>
      </c>
      <c r="FQ127" s="30">
        <v>65</v>
      </c>
      <c r="FR127" s="30">
        <v>65</v>
      </c>
      <c r="FS127" s="30">
        <v>65</v>
      </c>
      <c r="FT127" s="30">
        <v>65</v>
      </c>
      <c r="FU127" s="30">
        <v>65</v>
      </c>
      <c r="FV127" s="30">
        <v>65</v>
      </c>
      <c r="FW127" s="30">
        <v>65</v>
      </c>
      <c r="FX127" s="30">
        <v>65</v>
      </c>
      <c r="FY127" s="30">
        <v>65</v>
      </c>
      <c r="FZ127" s="30">
        <v>65</v>
      </c>
      <c r="GA127" s="30">
        <v>65</v>
      </c>
      <c r="GB127" s="30">
        <v>65</v>
      </c>
      <c r="GC127" s="30">
        <v>65</v>
      </c>
      <c r="GD127" s="30">
        <v>65</v>
      </c>
      <c r="GE127" s="30">
        <v>65</v>
      </c>
      <c r="GF127" s="30">
        <v>65</v>
      </c>
      <c r="GG127" s="30">
        <v>65</v>
      </c>
      <c r="GH127" s="30">
        <v>65</v>
      </c>
      <c r="GI127" s="30">
        <v>65</v>
      </c>
      <c r="GJ127" s="30">
        <v>65</v>
      </c>
      <c r="GK127" s="30">
        <v>65</v>
      </c>
      <c r="GL127" s="30">
        <v>65</v>
      </c>
      <c r="GM127" s="30">
        <v>65</v>
      </c>
      <c r="GN127" s="30">
        <v>65</v>
      </c>
      <c r="GO127" s="30">
        <v>65</v>
      </c>
      <c r="GP127" s="30">
        <v>65</v>
      </c>
      <c r="GQ127" s="30">
        <v>65</v>
      </c>
      <c r="GR127" s="30">
        <v>65</v>
      </c>
      <c r="GS127" s="30">
        <v>65</v>
      </c>
      <c r="GT127" s="30">
        <v>65</v>
      </c>
      <c r="GU127" s="30">
        <v>65</v>
      </c>
      <c r="GV127" s="30">
        <v>65</v>
      </c>
      <c r="GW127" s="30">
        <v>65</v>
      </c>
      <c r="GX127" s="30">
        <v>65</v>
      </c>
      <c r="GY127" s="30">
        <v>65</v>
      </c>
      <c r="GZ127" s="30">
        <v>65</v>
      </c>
      <c r="HA127" s="30">
        <v>65</v>
      </c>
      <c r="HB127" s="30">
        <v>65</v>
      </c>
      <c r="HC127" s="30">
        <v>65</v>
      </c>
      <c r="HD127" s="30">
        <v>65</v>
      </c>
      <c r="HE127" s="30">
        <v>65</v>
      </c>
      <c r="HF127" s="30">
        <v>65</v>
      </c>
      <c r="HG127" s="30">
        <v>65</v>
      </c>
      <c r="HH127" s="30">
        <v>65</v>
      </c>
      <c r="HI127" s="30">
        <v>65</v>
      </c>
      <c r="HJ127" s="30">
        <v>65</v>
      </c>
      <c r="HK127" s="30">
        <v>65</v>
      </c>
      <c r="HL127" s="30">
        <v>65</v>
      </c>
      <c r="HM127" s="30">
        <v>65</v>
      </c>
      <c r="HN127" s="30">
        <v>65</v>
      </c>
      <c r="HO127" s="30">
        <v>65</v>
      </c>
      <c r="HP127" s="30">
        <v>65</v>
      </c>
      <c r="HQ127" s="30">
        <v>65</v>
      </c>
      <c r="HR127" s="30">
        <v>65</v>
      </c>
      <c r="HS127" s="30">
        <v>65</v>
      </c>
      <c r="HT127" s="30">
        <v>65</v>
      </c>
      <c r="HU127" s="30">
        <v>65</v>
      </c>
      <c r="HV127" s="30">
        <v>65</v>
      </c>
      <c r="HW127" s="30">
        <v>65</v>
      </c>
      <c r="HX127" s="30">
        <v>65</v>
      </c>
      <c r="HY127" s="30">
        <v>65</v>
      </c>
      <c r="HZ127" s="30">
        <v>65</v>
      </c>
      <c r="IA127" s="30">
        <v>65</v>
      </c>
      <c r="IB127" s="30">
        <v>65</v>
      </c>
      <c r="IC127" s="30">
        <v>65</v>
      </c>
      <c r="ID127" s="30">
        <v>65</v>
      </c>
      <c r="IE127" s="30">
        <v>65</v>
      </c>
      <c r="IF127" s="30">
        <v>65</v>
      </c>
      <c r="IG127" s="30">
        <v>65</v>
      </c>
      <c r="IH127" s="30">
        <v>65</v>
      </c>
      <c r="II127" s="30">
        <v>65</v>
      </c>
      <c r="IJ127" s="30">
        <v>65</v>
      </c>
      <c r="IK127" s="30">
        <v>65</v>
      </c>
      <c r="IL127" s="30">
        <v>65</v>
      </c>
      <c r="IM127" s="30">
        <v>65</v>
      </c>
      <c r="IN127" s="30">
        <v>65</v>
      </c>
      <c r="IO127" s="30">
        <v>65</v>
      </c>
      <c r="IP127" s="30">
        <v>65</v>
      </c>
      <c r="IQ127" s="30">
        <v>65</v>
      </c>
      <c r="IR127" s="30">
        <v>65</v>
      </c>
      <c r="IS127" s="30">
        <v>65</v>
      </c>
      <c r="IT127" s="30">
        <v>65</v>
      </c>
      <c r="IU127" s="30">
        <v>65</v>
      </c>
      <c r="IV127" s="30">
        <v>65</v>
      </c>
      <c r="IW127" s="30">
        <v>65</v>
      </c>
      <c r="IX127" s="30">
        <v>65</v>
      </c>
      <c r="IY127" s="30">
        <v>65</v>
      </c>
      <c r="IZ127" s="30">
        <v>65</v>
      </c>
      <c r="JA127" s="30">
        <v>65</v>
      </c>
      <c r="JB127" s="30">
        <v>65</v>
      </c>
      <c r="JC127" s="30">
        <v>65</v>
      </c>
      <c r="JD127" s="30">
        <v>65</v>
      </c>
      <c r="JE127" s="30">
        <v>65</v>
      </c>
      <c r="JF127" s="30">
        <v>65</v>
      </c>
      <c r="JG127" s="30">
        <v>65</v>
      </c>
      <c r="JH127" s="30">
        <v>65</v>
      </c>
      <c r="JI127" s="30">
        <v>65</v>
      </c>
      <c r="JJ127" s="30">
        <v>65</v>
      </c>
      <c r="JK127" s="30">
        <v>65</v>
      </c>
      <c r="JL127" s="30">
        <v>65</v>
      </c>
      <c r="JM127" s="30">
        <v>65</v>
      </c>
      <c r="JN127" s="30">
        <v>65</v>
      </c>
      <c r="JO127" s="30">
        <v>65</v>
      </c>
      <c r="JP127" s="30">
        <v>65</v>
      </c>
      <c r="JQ127" s="30">
        <v>65</v>
      </c>
      <c r="JR127" s="30">
        <v>65</v>
      </c>
      <c r="JS127" s="30">
        <v>65</v>
      </c>
      <c r="JT127" s="30">
        <v>65</v>
      </c>
      <c r="JU127" s="30">
        <v>65</v>
      </c>
      <c r="JV127" s="30">
        <v>65</v>
      </c>
      <c r="JW127" s="30">
        <v>65</v>
      </c>
      <c r="JX127" s="30">
        <v>65</v>
      </c>
      <c r="JY127" s="30">
        <v>65</v>
      </c>
      <c r="JZ127" s="30">
        <v>65</v>
      </c>
      <c r="KA127" s="30">
        <v>65</v>
      </c>
      <c r="KB127" s="30">
        <v>65</v>
      </c>
      <c r="KC127" s="30">
        <v>65</v>
      </c>
      <c r="KD127" s="30">
        <v>65</v>
      </c>
      <c r="KE127" s="30">
        <v>65</v>
      </c>
      <c r="KF127" s="30">
        <v>65</v>
      </c>
      <c r="KG127" s="30">
        <v>65</v>
      </c>
      <c r="KH127" s="30">
        <v>65</v>
      </c>
      <c r="KI127" s="30">
        <v>65</v>
      </c>
      <c r="KJ127" s="30">
        <v>65</v>
      </c>
      <c r="KK127" s="30">
        <v>65</v>
      </c>
      <c r="KL127" s="30">
        <v>65</v>
      </c>
      <c r="KM127" s="30">
        <v>65</v>
      </c>
      <c r="KN127" s="30">
        <v>65</v>
      </c>
      <c r="KO127" s="30">
        <v>65</v>
      </c>
      <c r="KP127" s="30">
        <v>65</v>
      </c>
      <c r="KQ127" s="30">
        <v>65</v>
      </c>
      <c r="KR127" s="30">
        <v>65</v>
      </c>
      <c r="KS127" s="30">
        <v>65</v>
      </c>
      <c r="KT127" s="30">
        <v>65</v>
      </c>
      <c r="KU127" s="30">
        <v>65</v>
      </c>
      <c r="KV127" s="30">
        <v>65</v>
      </c>
      <c r="KW127" s="30">
        <v>65</v>
      </c>
      <c r="KX127" s="30">
        <v>65</v>
      </c>
      <c r="KY127" s="30">
        <v>65</v>
      </c>
      <c r="KZ127" s="30">
        <v>65</v>
      </c>
      <c r="LA127" s="30">
        <v>65</v>
      </c>
      <c r="LB127" s="30">
        <v>65</v>
      </c>
      <c r="LC127" s="30">
        <v>65</v>
      </c>
      <c r="LD127" s="30">
        <v>65</v>
      </c>
      <c r="LE127" s="30">
        <v>65</v>
      </c>
      <c r="LF127" s="30">
        <v>65</v>
      </c>
      <c r="LG127" s="30">
        <v>65</v>
      </c>
      <c r="LH127" s="30">
        <v>65</v>
      </c>
      <c r="LI127" s="30">
        <v>65</v>
      </c>
      <c r="LJ127" s="30">
        <v>65</v>
      </c>
      <c r="LK127" s="30">
        <v>65</v>
      </c>
      <c r="LL127" s="30">
        <v>65</v>
      </c>
      <c r="LM127" s="30">
        <v>65</v>
      </c>
      <c r="LN127" s="30">
        <v>65</v>
      </c>
      <c r="LO127" s="30">
        <v>65</v>
      </c>
      <c r="LP127" s="30">
        <v>65</v>
      </c>
      <c r="LQ127" s="30">
        <v>65</v>
      </c>
      <c r="LR127" s="30">
        <v>65</v>
      </c>
      <c r="LS127" s="30">
        <v>65</v>
      </c>
      <c r="LT127" s="30">
        <v>65</v>
      </c>
      <c r="LU127" s="30">
        <v>65</v>
      </c>
      <c r="LV127" s="30">
        <v>65</v>
      </c>
      <c r="LW127" s="30">
        <v>65</v>
      </c>
      <c r="LX127" s="30">
        <v>65</v>
      </c>
      <c r="LY127" s="30">
        <v>65</v>
      </c>
      <c r="LZ127" s="30">
        <v>65</v>
      </c>
      <c r="MA127" s="30">
        <v>65</v>
      </c>
      <c r="MB127" s="30">
        <v>65</v>
      </c>
      <c r="MC127" s="30">
        <v>65</v>
      </c>
      <c r="MD127" s="30">
        <v>65</v>
      </c>
      <c r="ME127" s="30">
        <v>65</v>
      </c>
      <c r="MF127" s="30">
        <v>65</v>
      </c>
      <c r="MG127" s="30">
        <v>65</v>
      </c>
      <c r="MH127" s="30">
        <v>65</v>
      </c>
      <c r="MI127" s="30">
        <v>65</v>
      </c>
      <c r="MJ127" s="30">
        <v>65</v>
      </c>
      <c r="MK127" s="30">
        <v>65</v>
      </c>
      <c r="ML127" s="30">
        <v>65</v>
      </c>
      <c r="MM127" s="30">
        <v>65</v>
      </c>
      <c r="MN127" s="30">
        <v>65</v>
      </c>
      <c r="MO127" s="30">
        <v>65</v>
      </c>
      <c r="MP127" s="30">
        <v>65</v>
      </c>
      <c r="MQ127" s="30">
        <v>65</v>
      </c>
      <c r="MR127" s="30">
        <v>65</v>
      </c>
      <c r="MS127" s="30">
        <v>65</v>
      </c>
      <c r="MT127" s="30">
        <v>65</v>
      </c>
      <c r="MU127" s="30">
        <v>65</v>
      </c>
      <c r="MV127" s="30">
        <v>65</v>
      </c>
      <c r="MW127" s="30">
        <v>65</v>
      </c>
      <c r="MX127" s="30">
        <v>65</v>
      </c>
      <c r="MY127" s="30">
        <v>65</v>
      </c>
      <c r="MZ127" s="30">
        <v>65</v>
      </c>
      <c r="NA127" s="30">
        <v>65</v>
      </c>
      <c r="NB127" s="30">
        <v>65</v>
      </c>
      <c r="NC127" s="30">
        <v>65</v>
      </c>
      <c r="ND127" s="30">
        <v>65</v>
      </c>
      <c r="NE127" s="30">
        <v>65</v>
      </c>
      <c r="NF127" s="30">
        <v>65</v>
      </c>
      <c r="NG127" s="30">
        <v>65</v>
      </c>
      <c r="NH127" s="30">
        <v>65</v>
      </c>
      <c r="NI127" s="30">
        <v>65</v>
      </c>
      <c r="NJ127" s="30">
        <v>65</v>
      </c>
      <c r="NK127" s="30">
        <v>65</v>
      </c>
      <c r="NL127" s="30">
        <v>65</v>
      </c>
      <c r="NM127" s="30">
        <v>65</v>
      </c>
      <c r="NN127" s="30">
        <v>65</v>
      </c>
      <c r="NO127" s="30">
        <v>65</v>
      </c>
      <c r="NP127" s="30">
        <v>65</v>
      </c>
      <c r="NQ127" s="30">
        <v>65</v>
      </c>
      <c r="NR127" s="30">
        <v>65</v>
      </c>
      <c r="NS127" s="30">
        <v>65</v>
      </c>
      <c r="NT127" s="30">
        <v>65</v>
      </c>
      <c r="NU127" s="30">
        <v>65</v>
      </c>
      <c r="NV127" s="30">
        <v>65</v>
      </c>
      <c r="NW127" s="30">
        <v>65</v>
      </c>
      <c r="NX127" s="30">
        <v>65</v>
      </c>
      <c r="NY127" s="30">
        <v>65</v>
      </c>
      <c r="NZ127" s="30">
        <v>65</v>
      </c>
      <c r="OA127" s="30">
        <v>65</v>
      </c>
      <c r="OB127" s="30">
        <v>65</v>
      </c>
      <c r="OC127" s="30">
        <v>65</v>
      </c>
      <c r="OD127" s="30">
        <v>65</v>
      </c>
      <c r="OE127">
        <v>65</v>
      </c>
      <c r="OF127">
        <v>65</v>
      </c>
      <c r="OG127">
        <v>65</v>
      </c>
      <c r="OH127">
        <v>65</v>
      </c>
      <c r="OI127">
        <v>65</v>
      </c>
      <c r="OJ127">
        <v>65</v>
      </c>
      <c r="OK127">
        <v>65</v>
      </c>
    </row>
    <row r="128" spans="1:401" outlineLevel="1" x14ac:dyDescent="0.3">
      <c r="E128" s="7"/>
      <c r="F128" s="21"/>
      <c r="J128" s="76"/>
      <c r="K128" s="66"/>
      <c r="L128" s="77"/>
      <c r="M128" s="30" t="s">
        <v>126</v>
      </c>
      <c r="N128" s="30"/>
      <c r="O128" s="32" t="s">
        <v>31</v>
      </c>
      <c r="P128" s="60" cm="1">
        <f t="array" ref="P128:OK128">_xlfn.ANCHORARRAY(P1)*E82</f>
        <v>0.97</v>
      </c>
      <c r="Q128" s="60">
        <v>0.97</v>
      </c>
      <c r="R128" s="60">
        <v>0.97</v>
      </c>
      <c r="S128" s="60">
        <v>0.97</v>
      </c>
      <c r="T128" s="60">
        <v>0.97</v>
      </c>
      <c r="U128" s="60">
        <v>0.97</v>
      </c>
      <c r="V128" s="60">
        <v>0.97</v>
      </c>
      <c r="W128" s="60">
        <v>0.97</v>
      </c>
      <c r="X128" s="60">
        <v>0.97</v>
      </c>
      <c r="Y128" s="60">
        <v>0.97</v>
      </c>
      <c r="Z128" s="60">
        <v>0.97</v>
      </c>
      <c r="AA128" s="60">
        <v>0.97</v>
      </c>
      <c r="AB128" s="60">
        <v>0.97</v>
      </c>
      <c r="AC128" s="60">
        <v>0.97</v>
      </c>
      <c r="AD128" s="60">
        <v>0.97</v>
      </c>
      <c r="AE128" s="60">
        <v>0.97</v>
      </c>
      <c r="AF128" s="60">
        <v>0.97</v>
      </c>
      <c r="AG128" s="60">
        <v>0.97</v>
      </c>
      <c r="AH128" s="60">
        <v>0.97</v>
      </c>
      <c r="AI128" s="60">
        <v>0.97</v>
      </c>
      <c r="AJ128" s="60">
        <v>0.97</v>
      </c>
      <c r="AK128" s="60">
        <v>0.97</v>
      </c>
      <c r="AL128" s="60">
        <v>0.97</v>
      </c>
      <c r="AM128" s="60">
        <v>0.97</v>
      </c>
      <c r="AN128" s="60">
        <v>0.97</v>
      </c>
      <c r="AO128" s="60">
        <v>0.97</v>
      </c>
      <c r="AP128" s="60">
        <v>0.97</v>
      </c>
      <c r="AQ128" s="60">
        <v>0.97</v>
      </c>
      <c r="AR128" s="60">
        <v>0.97</v>
      </c>
      <c r="AS128" s="60">
        <v>0.97</v>
      </c>
      <c r="AT128" s="60">
        <v>0.97</v>
      </c>
      <c r="AU128" s="60">
        <v>0.97</v>
      </c>
      <c r="AV128" s="60">
        <v>0.97</v>
      </c>
      <c r="AW128" s="60">
        <v>0.97</v>
      </c>
      <c r="AX128" s="60">
        <v>0.97</v>
      </c>
      <c r="AY128" s="60">
        <v>0.97</v>
      </c>
      <c r="AZ128" s="60">
        <v>0.97</v>
      </c>
      <c r="BA128" s="60">
        <v>0.97</v>
      </c>
      <c r="BB128" s="60">
        <v>0.97</v>
      </c>
      <c r="BC128" s="60">
        <v>0.97</v>
      </c>
      <c r="BD128" s="60">
        <v>0.97</v>
      </c>
      <c r="BE128" s="60">
        <v>0.97</v>
      </c>
      <c r="BF128" s="60">
        <v>0.97</v>
      </c>
      <c r="BG128" s="60">
        <v>0.97</v>
      </c>
      <c r="BH128" s="60">
        <v>0.97</v>
      </c>
      <c r="BI128" s="60">
        <v>0.97</v>
      </c>
      <c r="BJ128" s="60">
        <v>0.97</v>
      </c>
      <c r="BK128" s="60">
        <v>0.97</v>
      </c>
      <c r="BL128" s="60">
        <v>0.97</v>
      </c>
      <c r="BM128" s="60">
        <v>0.97</v>
      </c>
      <c r="BN128" s="60">
        <v>0.97</v>
      </c>
      <c r="BO128" s="60">
        <v>0.97</v>
      </c>
      <c r="BP128" s="60">
        <v>0.97</v>
      </c>
      <c r="BQ128" s="60">
        <v>0.97</v>
      </c>
      <c r="BR128" s="60">
        <v>0.97</v>
      </c>
      <c r="BS128" s="60">
        <v>0.97</v>
      </c>
      <c r="BT128" s="60">
        <v>0.97</v>
      </c>
      <c r="BU128" s="60">
        <v>0.97</v>
      </c>
      <c r="BV128" s="60">
        <v>0.97</v>
      </c>
      <c r="BW128" s="60">
        <v>0.97</v>
      </c>
      <c r="BX128" s="60">
        <v>0.97</v>
      </c>
      <c r="BY128" s="60">
        <v>0.97</v>
      </c>
      <c r="BZ128" s="60">
        <v>0.97</v>
      </c>
      <c r="CA128" s="60">
        <v>0.97</v>
      </c>
      <c r="CB128" s="60">
        <v>0.97</v>
      </c>
      <c r="CC128" s="60">
        <v>0.97</v>
      </c>
      <c r="CD128" s="60">
        <v>0.97</v>
      </c>
      <c r="CE128" s="60">
        <v>0.97</v>
      </c>
      <c r="CF128" s="60">
        <v>0.97</v>
      </c>
      <c r="CG128" s="60">
        <v>0.97</v>
      </c>
      <c r="CH128" s="60">
        <v>0.97</v>
      </c>
      <c r="CI128" s="60">
        <v>0.97</v>
      </c>
      <c r="CJ128" s="60">
        <v>0.97</v>
      </c>
      <c r="CK128" s="60">
        <v>0.97</v>
      </c>
      <c r="CL128" s="60">
        <v>0.97</v>
      </c>
      <c r="CM128" s="60">
        <v>0.97</v>
      </c>
      <c r="CN128" s="60">
        <v>0.97</v>
      </c>
      <c r="CO128" s="60">
        <v>0.97</v>
      </c>
      <c r="CP128" s="60">
        <v>0.97</v>
      </c>
      <c r="CQ128" s="60">
        <v>0.97</v>
      </c>
      <c r="CR128" s="60">
        <v>0.97</v>
      </c>
      <c r="CS128" s="60">
        <v>0.97</v>
      </c>
      <c r="CT128" s="60">
        <v>0.97</v>
      </c>
      <c r="CU128" s="60">
        <v>0.97</v>
      </c>
      <c r="CV128" s="60">
        <v>0.97</v>
      </c>
      <c r="CW128" s="60">
        <v>0.97</v>
      </c>
      <c r="CX128" s="60">
        <v>0.97</v>
      </c>
      <c r="CY128" s="60">
        <v>0.97</v>
      </c>
      <c r="CZ128" s="60">
        <v>0.97</v>
      </c>
      <c r="DA128" s="60">
        <v>0.97</v>
      </c>
      <c r="DB128" s="60">
        <v>0.97</v>
      </c>
      <c r="DC128" s="60">
        <v>0.97</v>
      </c>
      <c r="DD128" s="60">
        <v>0.97</v>
      </c>
      <c r="DE128" s="60">
        <v>0.97</v>
      </c>
      <c r="DF128" s="60">
        <v>0.97</v>
      </c>
      <c r="DG128" s="60">
        <v>0.97</v>
      </c>
      <c r="DH128" s="60">
        <v>0.97</v>
      </c>
      <c r="DI128" s="60">
        <v>0.97</v>
      </c>
      <c r="DJ128" s="60">
        <v>0.97</v>
      </c>
      <c r="DK128" s="60">
        <v>0.97</v>
      </c>
      <c r="DL128" s="60">
        <v>0.97</v>
      </c>
      <c r="DM128" s="60">
        <v>0.97</v>
      </c>
      <c r="DN128" s="60">
        <v>0.97</v>
      </c>
      <c r="DO128" s="60">
        <v>0.97</v>
      </c>
      <c r="DP128" s="60">
        <v>0.97</v>
      </c>
      <c r="DQ128" s="60">
        <v>0.97</v>
      </c>
      <c r="DR128" s="60">
        <v>0.97</v>
      </c>
      <c r="DS128" s="60">
        <v>0.97</v>
      </c>
      <c r="DT128" s="60">
        <v>0.97</v>
      </c>
      <c r="DU128" s="60">
        <v>0.97</v>
      </c>
      <c r="DV128" s="60">
        <v>0.97</v>
      </c>
      <c r="DW128" s="60">
        <v>0.97</v>
      </c>
      <c r="DX128" s="60">
        <v>0.97</v>
      </c>
      <c r="DY128" s="60">
        <v>0.97</v>
      </c>
      <c r="DZ128" s="60">
        <v>0.97</v>
      </c>
      <c r="EA128" s="60">
        <v>0.97</v>
      </c>
      <c r="EB128" s="60">
        <v>0.97</v>
      </c>
      <c r="EC128" s="60">
        <v>0.97</v>
      </c>
      <c r="ED128" s="60">
        <v>0.97</v>
      </c>
      <c r="EE128" s="60">
        <v>0.97</v>
      </c>
      <c r="EF128" s="60">
        <v>0.97</v>
      </c>
      <c r="EG128" s="60">
        <v>0.97</v>
      </c>
      <c r="EH128" s="60">
        <v>0.97</v>
      </c>
      <c r="EI128" s="60">
        <v>0.97</v>
      </c>
      <c r="EJ128" s="60">
        <v>0.97</v>
      </c>
      <c r="EK128" s="60">
        <v>0.97</v>
      </c>
      <c r="EL128" s="60">
        <v>0.97</v>
      </c>
      <c r="EM128" s="60">
        <v>0.97</v>
      </c>
      <c r="EN128" s="60">
        <v>0.97</v>
      </c>
      <c r="EO128" s="60">
        <v>0.97</v>
      </c>
      <c r="EP128" s="60">
        <v>0.97</v>
      </c>
      <c r="EQ128" s="60">
        <v>0.97</v>
      </c>
      <c r="ER128" s="60">
        <v>0.97</v>
      </c>
      <c r="ES128" s="60">
        <v>0.97</v>
      </c>
      <c r="ET128" s="60">
        <v>0.97</v>
      </c>
      <c r="EU128" s="60">
        <v>0.97</v>
      </c>
      <c r="EV128" s="60">
        <v>0.97</v>
      </c>
      <c r="EW128" s="60">
        <v>0.97</v>
      </c>
      <c r="EX128" s="60">
        <v>0.97</v>
      </c>
      <c r="EY128" s="60">
        <v>0.97</v>
      </c>
      <c r="EZ128" s="60">
        <v>0.97</v>
      </c>
      <c r="FA128" s="60">
        <v>0.97</v>
      </c>
      <c r="FB128" s="60">
        <v>0.97</v>
      </c>
      <c r="FC128" s="60">
        <v>0.97</v>
      </c>
      <c r="FD128" s="60">
        <v>0.97</v>
      </c>
      <c r="FE128" s="60">
        <v>0.97</v>
      </c>
      <c r="FF128" s="60">
        <v>0.97</v>
      </c>
      <c r="FG128" s="60">
        <v>0.97</v>
      </c>
      <c r="FH128" s="60">
        <v>0.97</v>
      </c>
      <c r="FI128" s="60">
        <v>0.97</v>
      </c>
      <c r="FJ128" s="60">
        <v>0.97</v>
      </c>
      <c r="FK128" s="60">
        <v>0.97</v>
      </c>
      <c r="FL128" s="60">
        <v>0.97</v>
      </c>
      <c r="FM128" s="60">
        <v>0.97</v>
      </c>
      <c r="FN128" s="60">
        <v>0.97</v>
      </c>
      <c r="FO128" s="60">
        <v>0.97</v>
      </c>
      <c r="FP128" s="60">
        <v>0.97</v>
      </c>
      <c r="FQ128" s="60">
        <v>0.97</v>
      </c>
      <c r="FR128" s="60">
        <v>0.97</v>
      </c>
      <c r="FS128" s="60">
        <v>0.97</v>
      </c>
      <c r="FT128" s="60">
        <v>0.97</v>
      </c>
      <c r="FU128" s="60">
        <v>0.97</v>
      </c>
      <c r="FV128" s="60">
        <v>0.97</v>
      </c>
      <c r="FW128" s="60">
        <v>0.97</v>
      </c>
      <c r="FX128" s="60">
        <v>0.97</v>
      </c>
      <c r="FY128" s="60">
        <v>0.97</v>
      </c>
      <c r="FZ128" s="60">
        <v>0.97</v>
      </c>
      <c r="GA128" s="60">
        <v>0.97</v>
      </c>
      <c r="GB128" s="60">
        <v>0.97</v>
      </c>
      <c r="GC128" s="60">
        <v>0.97</v>
      </c>
      <c r="GD128" s="60">
        <v>0.97</v>
      </c>
      <c r="GE128" s="60">
        <v>0.97</v>
      </c>
      <c r="GF128" s="60">
        <v>0.97</v>
      </c>
      <c r="GG128" s="60">
        <v>0.97</v>
      </c>
      <c r="GH128" s="60">
        <v>0.97</v>
      </c>
      <c r="GI128" s="60">
        <v>0.97</v>
      </c>
      <c r="GJ128" s="60">
        <v>0.97</v>
      </c>
      <c r="GK128" s="60">
        <v>0.97</v>
      </c>
      <c r="GL128" s="60">
        <v>0.97</v>
      </c>
      <c r="GM128" s="60">
        <v>0.97</v>
      </c>
      <c r="GN128" s="60">
        <v>0.97</v>
      </c>
      <c r="GO128" s="60">
        <v>0.97</v>
      </c>
      <c r="GP128" s="60">
        <v>0.97</v>
      </c>
      <c r="GQ128" s="60">
        <v>0.97</v>
      </c>
      <c r="GR128" s="60">
        <v>0.97</v>
      </c>
      <c r="GS128" s="60">
        <v>0.97</v>
      </c>
      <c r="GT128" s="60">
        <v>0.97</v>
      </c>
      <c r="GU128" s="60">
        <v>0.97</v>
      </c>
      <c r="GV128" s="60">
        <v>0.97</v>
      </c>
      <c r="GW128" s="60">
        <v>0.97</v>
      </c>
      <c r="GX128" s="60">
        <v>0.97</v>
      </c>
      <c r="GY128" s="60">
        <v>0.97</v>
      </c>
      <c r="GZ128" s="60">
        <v>0.97</v>
      </c>
      <c r="HA128" s="60">
        <v>0.97</v>
      </c>
      <c r="HB128" s="60">
        <v>0.97</v>
      </c>
      <c r="HC128" s="60">
        <v>0.97</v>
      </c>
      <c r="HD128" s="60">
        <v>0.97</v>
      </c>
      <c r="HE128" s="60">
        <v>0.97</v>
      </c>
      <c r="HF128" s="60">
        <v>0.97</v>
      </c>
      <c r="HG128" s="60">
        <v>0.97</v>
      </c>
      <c r="HH128" s="60">
        <v>0.97</v>
      </c>
      <c r="HI128" s="60">
        <v>0.97</v>
      </c>
      <c r="HJ128" s="60">
        <v>0.97</v>
      </c>
      <c r="HK128" s="60">
        <v>0.97</v>
      </c>
      <c r="HL128" s="60">
        <v>0.97</v>
      </c>
      <c r="HM128" s="60">
        <v>0.97</v>
      </c>
      <c r="HN128" s="60">
        <v>0.97</v>
      </c>
      <c r="HO128" s="60">
        <v>0.97</v>
      </c>
      <c r="HP128" s="60">
        <v>0.97</v>
      </c>
      <c r="HQ128" s="60">
        <v>0.97</v>
      </c>
      <c r="HR128" s="60">
        <v>0.97</v>
      </c>
      <c r="HS128" s="60">
        <v>0.97</v>
      </c>
      <c r="HT128" s="60">
        <v>0.97</v>
      </c>
      <c r="HU128" s="60">
        <v>0.97</v>
      </c>
      <c r="HV128" s="60">
        <v>0.97</v>
      </c>
      <c r="HW128" s="60">
        <v>0.97</v>
      </c>
      <c r="HX128" s="60">
        <v>0.97</v>
      </c>
      <c r="HY128" s="60">
        <v>0.97</v>
      </c>
      <c r="HZ128" s="60">
        <v>0.97</v>
      </c>
      <c r="IA128" s="60">
        <v>0.97</v>
      </c>
      <c r="IB128" s="60">
        <v>0.97</v>
      </c>
      <c r="IC128" s="60">
        <v>0.97</v>
      </c>
      <c r="ID128" s="60">
        <v>0.97</v>
      </c>
      <c r="IE128" s="60">
        <v>0.97</v>
      </c>
      <c r="IF128" s="60">
        <v>0.97</v>
      </c>
      <c r="IG128" s="60">
        <v>0.97</v>
      </c>
      <c r="IH128" s="60">
        <v>0.97</v>
      </c>
      <c r="II128" s="60">
        <v>0.97</v>
      </c>
      <c r="IJ128" s="60">
        <v>0.97</v>
      </c>
      <c r="IK128" s="60">
        <v>0.97</v>
      </c>
      <c r="IL128" s="60">
        <v>0.97</v>
      </c>
      <c r="IM128" s="60">
        <v>0.97</v>
      </c>
      <c r="IN128" s="60">
        <v>0.97</v>
      </c>
      <c r="IO128" s="60">
        <v>0.97</v>
      </c>
      <c r="IP128" s="60">
        <v>0.97</v>
      </c>
      <c r="IQ128" s="60">
        <v>0.97</v>
      </c>
      <c r="IR128" s="60">
        <v>0.97</v>
      </c>
      <c r="IS128" s="60">
        <v>0.97</v>
      </c>
      <c r="IT128" s="60">
        <v>0.97</v>
      </c>
      <c r="IU128" s="60">
        <v>0.97</v>
      </c>
      <c r="IV128" s="60">
        <v>0.97</v>
      </c>
      <c r="IW128" s="60">
        <v>0.97</v>
      </c>
      <c r="IX128" s="60">
        <v>0.97</v>
      </c>
      <c r="IY128" s="60">
        <v>0.97</v>
      </c>
      <c r="IZ128" s="60">
        <v>0.97</v>
      </c>
      <c r="JA128" s="60">
        <v>0.97</v>
      </c>
      <c r="JB128" s="60">
        <v>0.97</v>
      </c>
      <c r="JC128" s="60">
        <v>0.97</v>
      </c>
      <c r="JD128" s="60">
        <v>0.97</v>
      </c>
      <c r="JE128" s="60">
        <v>0.97</v>
      </c>
      <c r="JF128" s="60">
        <v>0.97</v>
      </c>
      <c r="JG128" s="60">
        <v>0.97</v>
      </c>
      <c r="JH128" s="60">
        <v>0.97</v>
      </c>
      <c r="JI128" s="60">
        <v>0.97</v>
      </c>
      <c r="JJ128" s="60">
        <v>0.97</v>
      </c>
      <c r="JK128" s="60">
        <v>0.97</v>
      </c>
      <c r="JL128" s="60">
        <v>0.97</v>
      </c>
      <c r="JM128" s="60">
        <v>0.97</v>
      </c>
      <c r="JN128" s="60">
        <v>0.97</v>
      </c>
      <c r="JO128" s="60">
        <v>0.97</v>
      </c>
      <c r="JP128" s="60">
        <v>0.97</v>
      </c>
      <c r="JQ128" s="60">
        <v>0.97</v>
      </c>
      <c r="JR128" s="60">
        <v>0.97</v>
      </c>
      <c r="JS128" s="60">
        <v>0.97</v>
      </c>
      <c r="JT128" s="60">
        <v>0.97</v>
      </c>
      <c r="JU128" s="60">
        <v>0.97</v>
      </c>
      <c r="JV128" s="60">
        <v>0.97</v>
      </c>
      <c r="JW128" s="60">
        <v>0.97</v>
      </c>
      <c r="JX128" s="60">
        <v>0.97</v>
      </c>
      <c r="JY128" s="60">
        <v>0.97</v>
      </c>
      <c r="JZ128" s="60">
        <v>0.97</v>
      </c>
      <c r="KA128" s="60">
        <v>0.97</v>
      </c>
      <c r="KB128" s="60">
        <v>0.97</v>
      </c>
      <c r="KC128" s="60">
        <v>0.97</v>
      </c>
      <c r="KD128" s="60">
        <v>0.97</v>
      </c>
      <c r="KE128" s="60">
        <v>0.97</v>
      </c>
      <c r="KF128" s="60">
        <v>0.97</v>
      </c>
      <c r="KG128" s="60">
        <v>0.97</v>
      </c>
      <c r="KH128" s="60">
        <v>0.97</v>
      </c>
      <c r="KI128" s="60">
        <v>0.97</v>
      </c>
      <c r="KJ128" s="60">
        <v>0.97</v>
      </c>
      <c r="KK128" s="60">
        <v>0.97</v>
      </c>
      <c r="KL128" s="60">
        <v>0.97</v>
      </c>
      <c r="KM128" s="60">
        <v>0.97</v>
      </c>
      <c r="KN128" s="60">
        <v>0.97</v>
      </c>
      <c r="KO128" s="60">
        <v>0.97</v>
      </c>
      <c r="KP128" s="60">
        <v>0.97</v>
      </c>
      <c r="KQ128" s="60">
        <v>0.97</v>
      </c>
      <c r="KR128" s="60">
        <v>0.97</v>
      </c>
      <c r="KS128" s="60">
        <v>0.97</v>
      </c>
      <c r="KT128" s="60">
        <v>0.97</v>
      </c>
      <c r="KU128" s="60">
        <v>0.97</v>
      </c>
      <c r="KV128" s="60">
        <v>0.97</v>
      </c>
      <c r="KW128" s="60">
        <v>0.97</v>
      </c>
      <c r="KX128" s="60">
        <v>0.97</v>
      </c>
      <c r="KY128" s="60">
        <v>0.97</v>
      </c>
      <c r="KZ128" s="60">
        <v>0.97</v>
      </c>
      <c r="LA128" s="60">
        <v>0.97</v>
      </c>
      <c r="LB128" s="60">
        <v>0.97</v>
      </c>
      <c r="LC128" s="60">
        <v>0.97</v>
      </c>
      <c r="LD128" s="60">
        <v>0.97</v>
      </c>
      <c r="LE128" s="60">
        <v>0.97</v>
      </c>
      <c r="LF128" s="60">
        <v>0.97</v>
      </c>
      <c r="LG128" s="60">
        <v>0.97</v>
      </c>
      <c r="LH128" s="60">
        <v>0.97</v>
      </c>
      <c r="LI128" s="60">
        <v>0.97</v>
      </c>
      <c r="LJ128" s="60">
        <v>0.97</v>
      </c>
      <c r="LK128" s="60">
        <v>0.97</v>
      </c>
      <c r="LL128" s="60">
        <v>0.97</v>
      </c>
      <c r="LM128" s="60">
        <v>0.97</v>
      </c>
      <c r="LN128" s="60">
        <v>0.97</v>
      </c>
      <c r="LO128" s="60">
        <v>0.97</v>
      </c>
      <c r="LP128" s="60">
        <v>0.97</v>
      </c>
      <c r="LQ128" s="60">
        <v>0.97</v>
      </c>
      <c r="LR128" s="60">
        <v>0.97</v>
      </c>
      <c r="LS128" s="60">
        <v>0.97</v>
      </c>
      <c r="LT128" s="60">
        <v>0.97</v>
      </c>
      <c r="LU128" s="60">
        <v>0.97</v>
      </c>
      <c r="LV128" s="60">
        <v>0.97</v>
      </c>
      <c r="LW128" s="60">
        <v>0.97</v>
      </c>
      <c r="LX128" s="60">
        <v>0.97</v>
      </c>
      <c r="LY128" s="60">
        <v>0.97</v>
      </c>
      <c r="LZ128" s="60">
        <v>0.97</v>
      </c>
      <c r="MA128" s="60">
        <v>0.97</v>
      </c>
      <c r="MB128" s="60">
        <v>0.97</v>
      </c>
      <c r="MC128" s="60">
        <v>0.97</v>
      </c>
      <c r="MD128" s="60">
        <v>0.97</v>
      </c>
      <c r="ME128" s="60">
        <v>0.97</v>
      </c>
      <c r="MF128" s="60">
        <v>0.97</v>
      </c>
      <c r="MG128" s="60">
        <v>0.97</v>
      </c>
      <c r="MH128" s="60">
        <v>0.97</v>
      </c>
      <c r="MI128" s="60">
        <v>0.97</v>
      </c>
      <c r="MJ128" s="60">
        <v>0.97</v>
      </c>
      <c r="MK128" s="60">
        <v>0.97</v>
      </c>
      <c r="ML128" s="60">
        <v>0.97</v>
      </c>
      <c r="MM128" s="60">
        <v>0.97</v>
      </c>
      <c r="MN128" s="60">
        <v>0.97</v>
      </c>
      <c r="MO128" s="60">
        <v>0.97</v>
      </c>
      <c r="MP128" s="60">
        <v>0.97</v>
      </c>
      <c r="MQ128" s="60">
        <v>0.97</v>
      </c>
      <c r="MR128" s="60">
        <v>0.97</v>
      </c>
      <c r="MS128" s="60">
        <v>0.97</v>
      </c>
      <c r="MT128" s="60">
        <v>0.97</v>
      </c>
      <c r="MU128" s="60">
        <v>0.97</v>
      </c>
      <c r="MV128" s="60">
        <v>0.97</v>
      </c>
      <c r="MW128" s="60">
        <v>0.97</v>
      </c>
      <c r="MX128" s="60">
        <v>0.97</v>
      </c>
      <c r="MY128" s="60">
        <v>0.97</v>
      </c>
      <c r="MZ128" s="60">
        <v>0.97</v>
      </c>
      <c r="NA128" s="60">
        <v>0.97</v>
      </c>
      <c r="NB128" s="60">
        <v>0.97</v>
      </c>
      <c r="NC128" s="60">
        <v>0.97</v>
      </c>
      <c r="ND128" s="60">
        <v>0.97</v>
      </c>
      <c r="NE128" s="60">
        <v>0.97</v>
      </c>
      <c r="NF128" s="60">
        <v>0.97</v>
      </c>
      <c r="NG128" s="60">
        <v>0.97</v>
      </c>
      <c r="NH128" s="60">
        <v>0.97</v>
      </c>
      <c r="NI128" s="60">
        <v>0.97</v>
      </c>
      <c r="NJ128" s="60">
        <v>0.97</v>
      </c>
      <c r="NK128" s="60">
        <v>0.97</v>
      </c>
      <c r="NL128" s="60">
        <v>0.97</v>
      </c>
      <c r="NM128" s="60">
        <v>0.97</v>
      </c>
      <c r="NN128" s="60">
        <v>0.97</v>
      </c>
      <c r="NO128" s="60">
        <v>0.97</v>
      </c>
      <c r="NP128" s="60">
        <v>0.97</v>
      </c>
      <c r="NQ128" s="60">
        <v>0.97</v>
      </c>
      <c r="NR128" s="60">
        <v>0.97</v>
      </c>
      <c r="NS128" s="60">
        <v>0.97</v>
      </c>
      <c r="NT128" s="60">
        <v>0.97</v>
      </c>
      <c r="NU128" s="60">
        <v>0.97</v>
      </c>
      <c r="NV128" s="60">
        <v>0.97</v>
      </c>
      <c r="NW128" s="60">
        <v>0.97</v>
      </c>
      <c r="NX128" s="60">
        <v>0.97</v>
      </c>
      <c r="NY128" s="60">
        <v>0.97</v>
      </c>
      <c r="NZ128" s="60">
        <v>0.97</v>
      </c>
      <c r="OA128" s="60">
        <v>0.97</v>
      </c>
      <c r="OB128" s="60">
        <v>0.97</v>
      </c>
      <c r="OC128" s="60">
        <v>0.97</v>
      </c>
      <c r="OD128" s="60">
        <v>0.97</v>
      </c>
      <c r="OE128" s="4">
        <v>0.97</v>
      </c>
      <c r="OF128" s="4">
        <v>0.97</v>
      </c>
      <c r="OG128" s="4">
        <v>0.97</v>
      </c>
      <c r="OH128" s="4">
        <v>0.97</v>
      </c>
      <c r="OI128" s="4">
        <v>0.97</v>
      </c>
      <c r="OJ128" s="4">
        <v>0.97</v>
      </c>
      <c r="OK128" s="4">
        <v>0.97</v>
      </c>
    </row>
    <row r="129" spans="4:401" x14ac:dyDescent="0.3">
      <c r="E129" s="7"/>
      <c r="F129" s="21"/>
      <c r="J129" s="76"/>
      <c r="K129" s="66"/>
      <c r="L129" s="77"/>
      <c r="M129" t="s">
        <v>133</v>
      </c>
      <c r="O129" s="8" t="s">
        <v>15</v>
      </c>
      <c r="P129" cm="1">
        <f t="array" ref="P129:OK129">_xlfn.ANCHORARRAY(P127)*_xlfn.ANCHORARRAY(P128)</f>
        <v>63.05</v>
      </c>
      <c r="Q129">
        <v>63.05</v>
      </c>
      <c r="R129">
        <v>63.05</v>
      </c>
      <c r="S129">
        <v>63.05</v>
      </c>
      <c r="T129">
        <v>63.05</v>
      </c>
      <c r="U129">
        <v>63.05</v>
      </c>
      <c r="V129">
        <v>63.05</v>
      </c>
      <c r="W129">
        <v>63.05</v>
      </c>
      <c r="X129">
        <v>63.05</v>
      </c>
      <c r="Y129">
        <v>63.05</v>
      </c>
      <c r="Z129">
        <v>63.05</v>
      </c>
      <c r="AA129">
        <v>63.05</v>
      </c>
      <c r="AB129">
        <v>63.05</v>
      </c>
      <c r="AC129">
        <v>63.05</v>
      </c>
      <c r="AD129">
        <v>63.05</v>
      </c>
      <c r="AE129">
        <v>63.05</v>
      </c>
      <c r="AF129">
        <v>63.05</v>
      </c>
      <c r="AG129">
        <v>63.05</v>
      </c>
      <c r="AH129">
        <v>63.05</v>
      </c>
      <c r="AI129">
        <v>63.05</v>
      </c>
      <c r="AJ129">
        <v>63.05</v>
      </c>
      <c r="AK129">
        <v>63.05</v>
      </c>
      <c r="AL129">
        <v>63.05</v>
      </c>
      <c r="AM129">
        <v>63.05</v>
      </c>
      <c r="AN129">
        <v>63.05</v>
      </c>
      <c r="AO129">
        <v>63.05</v>
      </c>
      <c r="AP129">
        <v>63.05</v>
      </c>
      <c r="AQ129">
        <v>63.05</v>
      </c>
      <c r="AR129">
        <v>63.05</v>
      </c>
      <c r="AS129">
        <v>63.05</v>
      </c>
      <c r="AT129">
        <v>63.05</v>
      </c>
      <c r="AU129">
        <v>63.05</v>
      </c>
      <c r="AV129">
        <v>63.05</v>
      </c>
      <c r="AW129">
        <v>63.05</v>
      </c>
      <c r="AX129">
        <v>63.05</v>
      </c>
      <c r="AY129">
        <v>63.05</v>
      </c>
      <c r="AZ129">
        <v>63.05</v>
      </c>
      <c r="BA129">
        <v>63.05</v>
      </c>
      <c r="BB129">
        <v>63.05</v>
      </c>
      <c r="BC129">
        <v>63.05</v>
      </c>
      <c r="BD129">
        <v>63.05</v>
      </c>
      <c r="BE129">
        <v>63.05</v>
      </c>
      <c r="BF129">
        <v>63.05</v>
      </c>
      <c r="BG129">
        <v>63.05</v>
      </c>
      <c r="BH129">
        <v>63.05</v>
      </c>
      <c r="BI129">
        <v>63.05</v>
      </c>
      <c r="BJ129">
        <v>63.05</v>
      </c>
      <c r="BK129">
        <v>63.05</v>
      </c>
      <c r="BL129">
        <v>63.05</v>
      </c>
      <c r="BM129">
        <v>63.05</v>
      </c>
      <c r="BN129">
        <v>63.05</v>
      </c>
      <c r="BO129">
        <v>63.05</v>
      </c>
      <c r="BP129">
        <v>63.05</v>
      </c>
      <c r="BQ129">
        <v>63.05</v>
      </c>
      <c r="BR129">
        <v>63.05</v>
      </c>
      <c r="BS129">
        <v>63.05</v>
      </c>
      <c r="BT129">
        <v>63.05</v>
      </c>
      <c r="BU129">
        <v>63.05</v>
      </c>
      <c r="BV129">
        <v>63.05</v>
      </c>
      <c r="BW129">
        <v>63.05</v>
      </c>
      <c r="BX129">
        <v>63.05</v>
      </c>
      <c r="BY129">
        <v>63.05</v>
      </c>
      <c r="BZ129">
        <v>63.05</v>
      </c>
      <c r="CA129">
        <v>63.05</v>
      </c>
      <c r="CB129">
        <v>63.05</v>
      </c>
      <c r="CC129">
        <v>63.05</v>
      </c>
      <c r="CD129">
        <v>63.05</v>
      </c>
      <c r="CE129">
        <v>63.05</v>
      </c>
      <c r="CF129">
        <v>63.05</v>
      </c>
      <c r="CG129">
        <v>63.05</v>
      </c>
      <c r="CH129">
        <v>63.05</v>
      </c>
      <c r="CI129">
        <v>63.05</v>
      </c>
      <c r="CJ129">
        <v>63.05</v>
      </c>
      <c r="CK129">
        <v>63.05</v>
      </c>
      <c r="CL129">
        <v>63.05</v>
      </c>
      <c r="CM129">
        <v>63.05</v>
      </c>
      <c r="CN129">
        <v>63.05</v>
      </c>
      <c r="CO129">
        <v>63.05</v>
      </c>
      <c r="CP129">
        <v>63.05</v>
      </c>
      <c r="CQ129">
        <v>63.05</v>
      </c>
      <c r="CR129">
        <v>63.05</v>
      </c>
      <c r="CS129">
        <v>63.05</v>
      </c>
      <c r="CT129">
        <v>63.05</v>
      </c>
      <c r="CU129">
        <v>63.05</v>
      </c>
      <c r="CV129">
        <v>63.05</v>
      </c>
      <c r="CW129">
        <v>63.05</v>
      </c>
      <c r="CX129">
        <v>63.05</v>
      </c>
      <c r="CY129">
        <v>63.05</v>
      </c>
      <c r="CZ129">
        <v>63.05</v>
      </c>
      <c r="DA129">
        <v>63.05</v>
      </c>
      <c r="DB129">
        <v>63.05</v>
      </c>
      <c r="DC129">
        <v>63.05</v>
      </c>
      <c r="DD129">
        <v>63.05</v>
      </c>
      <c r="DE129">
        <v>63.05</v>
      </c>
      <c r="DF129">
        <v>63.05</v>
      </c>
      <c r="DG129">
        <v>63.05</v>
      </c>
      <c r="DH129">
        <v>63.05</v>
      </c>
      <c r="DI129">
        <v>63.05</v>
      </c>
      <c r="DJ129">
        <v>63.05</v>
      </c>
      <c r="DK129">
        <v>63.05</v>
      </c>
      <c r="DL129">
        <v>63.05</v>
      </c>
      <c r="DM129">
        <v>63.05</v>
      </c>
      <c r="DN129">
        <v>63.05</v>
      </c>
      <c r="DO129">
        <v>63.05</v>
      </c>
      <c r="DP129">
        <v>63.05</v>
      </c>
      <c r="DQ129">
        <v>63.05</v>
      </c>
      <c r="DR129">
        <v>63.05</v>
      </c>
      <c r="DS129">
        <v>63.05</v>
      </c>
      <c r="DT129">
        <v>63.05</v>
      </c>
      <c r="DU129">
        <v>63.05</v>
      </c>
      <c r="DV129">
        <v>63.05</v>
      </c>
      <c r="DW129">
        <v>63.05</v>
      </c>
      <c r="DX129">
        <v>63.05</v>
      </c>
      <c r="DY129">
        <v>63.05</v>
      </c>
      <c r="DZ129">
        <v>63.05</v>
      </c>
      <c r="EA129">
        <v>63.05</v>
      </c>
      <c r="EB129">
        <v>63.05</v>
      </c>
      <c r="EC129">
        <v>63.05</v>
      </c>
      <c r="ED129">
        <v>63.05</v>
      </c>
      <c r="EE129">
        <v>63.05</v>
      </c>
      <c r="EF129">
        <v>63.05</v>
      </c>
      <c r="EG129">
        <v>63.05</v>
      </c>
      <c r="EH129">
        <v>63.05</v>
      </c>
      <c r="EI129">
        <v>63.05</v>
      </c>
      <c r="EJ129">
        <v>63.05</v>
      </c>
      <c r="EK129">
        <v>63.05</v>
      </c>
      <c r="EL129">
        <v>63.05</v>
      </c>
      <c r="EM129">
        <v>63.05</v>
      </c>
      <c r="EN129">
        <v>63.05</v>
      </c>
      <c r="EO129">
        <v>63.05</v>
      </c>
      <c r="EP129">
        <v>63.05</v>
      </c>
      <c r="EQ129">
        <v>63.05</v>
      </c>
      <c r="ER129">
        <v>63.05</v>
      </c>
      <c r="ES129">
        <v>63.05</v>
      </c>
      <c r="ET129">
        <v>63.05</v>
      </c>
      <c r="EU129">
        <v>63.05</v>
      </c>
      <c r="EV129">
        <v>63.05</v>
      </c>
      <c r="EW129">
        <v>63.05</v>
      </c>
      <c r="EX129">
        <v>63.05</v>
      </c>
      <c r="EY129">
        <v>63.05</v>
      </c>
      <c r="EZ129">
        <v>63.05</v>
      </c>
      <c r="FA129">
        <v>63.05</v>
      </c>
      <c r="FB129">
        <v>63.05</v>
      </c>
      <c r="FC129">
        <v>63.05</v>
      </c>
      <c r="FD129">
        <v>63.05</v>
      </c>
      <c r="FE129">
        <v>63.05</v>
      </c>
      <c r="FF129">
        <v>63.05</v>
      </c>
      <c r="FG129">
        <v>63.05</v>
      </c>
      <c r="FH129">
        <v>63.05</v>
      </c>
      <c r="FI129">
        <v>63.05</v>
      </c>
      <c r="FJ129">
        <v>63.05</v>
      </c>
      <c r="FK129">
        <v>63.05</v>
      </c>
      <c r="FL129">
        <v>63.05</v>
      </c>
      <c r="FM129">
        <v>63.05</v>
      </c>
      <c r="FN129">
        <v>63.05</v>
      </c>
      <c r="FO129">
        <v>63.05</v>
      </c>
      <c r="FP129">
        <v>63.05</v>
      </c>
      <c r="FQ129">
        <v>63.05</v>
      </c>
      <c r="FR129">
        <v>63.05</v>
      </c>
      <c r="FS129">
        <v>63.05</v>
      </c>
      <c r="FT129">
        <v>63.05</v>
      </c>
      <c r="FU129">
        <v>63.05</v>
      </c>
      <c r="FV129">
        <v>63.05</v>
      </c>
      <c r="FW129">
        <v>63.05</v>
      </c>
      <c r="FX129">
        <v>63.05</v>
      </c>
      <c r="FY129">
        <v>63.05</v>
      </c>
      <c r="FZ129">
        <v>63.05</v>
      </c>
      <c r="GA129">
        <v>63.05</v>
      </c>
      <c r="GB129">
        <v>63.05</v>
      </c>
      <c r="GC129">
        <v>63.05</v>
      </c>
      <c r="GD129">
        <v>63.05</v>
      </c>
      <c r="GE129">
        <v>63.05</v>
      </c>
      <c r="GF129">
        <v>63.05</v>
      </c>
      <c r="GG129">
        <v>63.05</v>
      </c>
      <c r="GH129">
        <v>63.05</v>
      </c>
      <c r="GI129">
        <v>63.05</v>
      </c>
      <c r="GJ129">
        <v>63.05</v>
      </c>
      <c r="GK129">
        <v>63.05</v>
      </c>
      <c r="GL129">
        <v>63.05</v>
      </c>
      <c r="GM129">
        <v>63.05</v>
      </c>
      <c r="GN129">
        <v>63.05</v>
      </c>
      <c r="GO129">
        <v>63.05</v>
      </c>
      <c r="GP129">
        <v>63.05</v>
      </c>
      <c r="GQ129">
        <v>63.05</v>
      </c>
      <c r="GR129">
        <v>63.05</v>
      </c>
      <c r="GS129">
        <v>63.05</v>
      </c>
      <c r="GT129">
        <v>63.05</v>
      </c>
      <c r="GU129">
        <v>63.05</v>
      </c>
      <c r="GV129">
        <v>63.05</v>
      </c>
      <c r="GW129">
        <v>63.05</v>
      </c>
      <c r="GX129">
        <v>63.05</v>
      </c>
      <c r="GY129">
        <v>63.05</v>
      </c>
      <c r="GZ129">
        <v>63.05</v>
      </c>
      <c r="HA129">
        <v>63.05</v>
      </c>
      <c r="HB129">
        <v>63.05</v>
      </c>
      <c r="HC129">
        <v>63.05</v>
      </c>
      <c r="HD129">
        <v>63.05</v>
      </c>
      <c r="HE129">
        <v>63.05</v>
      </c>
      <c r="HF129">
        <v>63.05</v>
      </c>
      <c r="HG129">
        <v>63.05</v>
      </c>
      <c r="HH129">
        <v>63.05</v>
      </c>
      <c r="HI129">
        <v>63.05</v>
      </c>
      <c r="HJ129">
        <v>63.05</v>
      </c>
      <c r="HK129">
        <v>63.05</v>
      </c>
      <c r="HL129">
        <v>63.05</v>
      </c>
      <c r="HM129">
        <v>63.05</v>
      </c>
      <c r="HN129">
        <v>63.05</v>
      </c>
      <c r="HO129">
        <v>63.05</v>
      </c>
      <c r="HP129">
        <v>63.05</v>
      </c>
      <c r="HQ129">
        <v>63.05</v>
      </c>
      <c r="HR129">
        <v>63.05</v>
      </c>
      <c r="HS129">
        <v>63.05</v>
      </c>
      <c r="HT129">
        <v>63.05</v>
      </c>
      <c r="HU129">
        <v>63.05</v>
      </c>
      <c r="HV129">
        <v>63.05</v>
      </c>
      <c r="HW129">
        <v>63.05</v>
      </c>
      <c r="HX129">
        <v>63.05</v>
      </c>
      <c r="HY129">
        <v>63.05</v>
      </c>
      <c r="HZ129">
        <v>63.05</v>
      </c>
      <c r="IA129">
        <v>63.05</v>
      </c>
      <c r="IB129">
        <v>63.05</v>
      </c>
      <c r="IC129">
        <v>63.05</v>
      </c>
      <c r="ID129">
        <v>63.05</v>
      </c>
      <c r="IE129">
        <v>63.05</v>
      </c>
      <c r="IF129">
        <v>63.05</v>
      </c>
      <c r="IG129">
        <v>63.05</v>
      </c>
      <c r="IH129">
        <v>63.05</v>
      </c>
      <c r="II129">
        <v>63.05</v>
      </c>
      <c r="IJ129">
        <v>63.05</v>
      </c>
      <c r="IK129">
        <v>63.05</v>
      </c>
      <c r="IL129">
        <v>63.05</v>
      </c>
      <c r="IM129">
        <v>63.05</v>
      </c>
      <c r="IN129">
        <v>63.05</v>
      </c>
      <c r="IO129">
        <v>63.05</v>
      </c>
      <c r="IP129">
        <v>63.05</v>
      </c>
      <c r="IQ129">
        <v>63.05</v>
      </c>
      <c r="IR129">
        <v>63.05</v>
      </c>
      <c r="IS129">
        <v>63.05</v>
      </c>
      <c r="IT129">
        <v>63.05</v>
      </c>
      <c r="IU129">
        <v>63.05</v>
      </c>
      <c r="IV129">
        <v>63.05</v>
      </c>
      <c r="IW129">
        <v>63.05</v>
      </c>
      <c r="IX129">
        <v>63.05</v>
      </c>
      <c r="IY129">
        <v>63.05</v>
      </c>
      <c r="IZ129">
        <v>63.05</v>
      </c>
      <c r="JA129">
        <v>63.05</v>
      </c>
      <c r="JB129">
        <v>63.05</v>
      </c>
      <c r="JC129">
        <v>63.05</v>
      </c>
      <c r="JD129">
        <v>63.05</v>
      </c>
      <c r="JE129">
        <v>63.05</v>
      </c>
      <c r="JF129">
        <v>63.05</v>
      </c>
      <c r="JG129">
        <v>63.05</v>
      </c>
      <c r="JH129">
        <v>63.05</v>
      </c>
      <c r="JI129">
        <v>63.05</v>
      </c>
      <c r="JJ129">
        <v>63.05</v>
      </c>
      <c r="JK129">
        <v>63.05</v>
      </c>
      <c r="JL129">
        <v>63.05</v>
      </c>
      <c r="JM129">
        <v>63.05</v>
      </c>
      <c r="JN129">
        <v>63.05</v>
      </c>
      <c r="JO129">
        <v>63.05</v>
      </c>
      <c r="JP129">
        <v>63.05</v>
      </c>
      <c r="JQ129">
        <v>63.05</v>
      </c>
      <c r="JR129">
        <v>63.05</v>
      </c>
      <c r="JS129">
        <v>63.05</v>
      </c>
      <c r="JT129">
        <v>63.05</v>
      </c>
      <c r="JU129">
        <v>63.05</v>
      </c>
      <c r="JV129">
        <v>63.05</v>
      </c>
      <c r="JW129">
        <v>63.05</v>
      </c>
      <c r="JX129">
        <v>63.05</v>
      </c>
      <c r="JY129">
        <v>63.05</v>
      </c>
      <c r="JZ129">
        <v>63.05</v>
      </c>
      <c r="KA129">
        <v>63.05</v>
      </c>
      <c r="KB129">
        <v>63.05</v>
      </c>
      <c r="KC129">
        <v>63.05</v>
      </c>
      <c r="KD129">
        <v>63.05</v>
      </c>
      <c r="KE129">
        <v>63.05</v>
      </c>
      <c r="KF129">
        <v>63.05</v>
      </c>
      <c r="KG129">
        <v>63.05</v>
      </c>
      <c r="KH129">
        <v>63.05</v>
      </c>
      <c r="KI129">
        <v>63.05</v>
      </c>
      <c r="KJ129">
        <v>63.05</v>
      </c>
      <c r="KK129">
        <v>63.05</v>
      </c>
      <c r="KL129">
        <v>63.05</v>
      </c>
      <c r="KM129">
        <v>63.05</v>
      </c>
      <c r="KN129">
        <v>63.05</v>
      </c>
      <c r="KO129">
        <v>63.05</v>
      </c>
      <c r="KP129">
        <v>63.05</v>
      </c>
      <c r="KQ129">
        <v>63.05</v>
      </c>
      <c r="KR129">
        <v>63.05</v>
      </c>
      <c r="KS129">
        <v>63.05</v>
      </c>
      <c r="KT129">
        <v>63.05</v>
      </c>
      <c r="KU129">
        <v>63.05</v>
      </c>
      <c r="KV129">
        <v>63.05</v>
      </c>
      <c r="KW129">
        <v>63.05</v>
      </c>
      <c r="KX129">
        <v>63.05</v>
      </c>
      <c r="KY129">
        <v>63.05</v>
      </c>
      <c r="KZ129">
        <v>63.05</v>
      </c>
      <c r="LA129">
        <v>63.05</v>
      </c>
      <c r="LB129">
        <v>63.05</v>
      </c>
      <c r="LC129">
        <v>63.05</v>
      </c>
      <c r="LD129">
        <v>63.05</v>
      </c>
      <c r="LE129">
        <v>63.05</v>
      </c>
      <c r="LF129">
        <v>63.05</v>
      </c>
      <c r="LG129">
        <v>63.05</v>
      </c>
      <c r="LH129">
        <v>63.05</v>
      </c>
      <c r="LI129">
        <v>63.05</v>
      </c>
      <c r="LJ129">
        <v>63.05</v>
      </c>
      <c r="LK129">
        <v>63.05</v>
      </c>
      <c r="LL129">
        <v>63.05</v>
      </c>
      <c r="LM129">
        <v>63.05</v>
      </c>
      <c r="LN129">
        <v>63.05</v>
      </c>
      <c r="LO129">
        <v>63.05</v>
      </c>
      <c r="LP129">
        <v>63.05</v>
      </c>
      <c r="LQ129">
        <v>63.05</v>
      </c>
      <c r="LR129">
        <v>63.05</v>
      </c>
      <c r="LS129">
        <v>63.05</v>
      </c>
      <c r="LT129">
        <v>63.05</v>
      </c>
      <c r="LU129">
        <v>63.05</v>
      </c>
      <c r="LV129">
        <v>63.05</v>
      </c>
      <c r="LW129">
        <v>63.05</v>
      </c>
      <c r="LX129">
        <v>63.05</v>
      </c>
      <c r="LY129">
        <v>63.05</v>
      </c>
      <c r="LZ129">
        <v>63.05</v>
      </c>
      <c r="MA129">
        <v>63.05</v>
      </c>
      <c r="MB129">
        <v>63.05</v>
      </c>
      <c r="MC129">
        <v>63.05</v>
      </c>
      <c r="MD129">
        <v>63.05</v>
      </c>
      <c r="ME129">
        <v>63.05</v>
      </c>
      <c r="MF129">
        <v>63.05</v>
      </c>
      <c r="MG129">
        <v>63.05</v>
      </c>
      <c r="MH129">
        <v>63.05</v>
      </c>
      <c r="MI129">
        <v>63.05</v>
      </c>
      <c r="MJ129">
        <v>63.05</v>
      </c>
      <c r="MK129">
        <v>63.05</v>
      </c>
      <c r="ML129">
        <v>63.05</v>
      </c>
      <c r="MM129">
        <v>63.05</v>
      </c>
      <c r="MN129">
        <v>63.05</v>
      </c>
      <c r="MO129">
        <v>63.05</v>
      </c>
      <c r="MP129">
        <v>63.05</v>
      </c>
      <c r="MQ129">
        <v>63.05</v>
      </c>
      <c r="MR129">
        <v>63.05</v>
      </c>
      <c r="MS129">
        <v>63.05</v>
      </c>
      <c r="MT129">
        <v>63.05</v>
      </c>
      <c r="MU129">
        <v>63.05</v>
      </c>
      <c r="MV129">
        <v>63.05</v>
      </c>
      <c r="MW129">
        <v>63.05</v>
      </c>
      <c r="MX129">
        <v>63.05</v>
      </c>
      <c r="MY129">
        <v>63.05</v>
      </c>
      <c r="MZ129">
        <v>63.05</v>
      </c>
      <c r="NA129">
        <v>63.05</v>
      </c>
      <c r="NB129">
        <v>63.05</v>
      </c>
      <c r="NC129">
        <v>63.05</v>
      </c>
      <c r="ND129">
        <v>63.05</v>
      </c>
      <c r="NE129">
        <v>63.05</v>
      </c>
      <c r="NF129">
        <v>63.05</v>
      </c>
      <c r="NG129">
        <v>63.05</v>
      </c>
      <c r="NH129">
        <v>63.05</v>
      </c>
      <c r="NI129">
        <v>63.05</v>
      </c>
      <c r="NJ129">
        <v>63.05</v>
      </c>
      <c r="NK129">
        <v>63.05</v>
      </c>
      <c r="NL129">
        <v>63.05</v>
      </c>
      <c r="NM129">
        <v>63.05</v>
      </c>
      <c r="NN129">
        <v>63.05</v>
      </c>
      <c r="NO129">
        <v>63.05</v>
      </c>
      <c r="NP129">
        <v>63.05</v>
      </c>
      <c r="NQ129">
        <v>63.05</v>
      </c>
      <c r="NR129">
        <v>63.05</v>
      </c>
      <c r="NS129">
        <v>63.05</v>
      </c>
      <c r="NT129">
        <v>63.05</v>
      </c>
      <c r="NU129">
        <v>63.05</v>
      </c>
      <c r="NV129">
        <v>63.05</v>
      </c>
      <c r="NW129">
        <v>63.05</v>
      </c>
      <c r="NX129">
        <v>63.05</v>
      </c>
      <c r="NY129">
        <v>63.05</v>
      </c>
      <c r="NZ129">
        <v>63.05</v>
      </c>
      <c r="OA129">
        <v>63.05</v>
      </c>
      <c r="OB129">
        <v>63.05</v>
      </c>
      <c r="OC129">
        <v>63.05</v>
      </c>
      <c r="OD129">
        <v>63.05</v>
      </c>
      <c r="OE129">
        <v>63.05</v>
      </c>
      <c r="OF129">
        <v>63.05</v>
      </c>
      <c r="OG129">
        <v>63.05</v>
      </c>
      <c r="OH129">
        <v>63.05</v>
      </c>
      <c r="OI129">
        <v>63.05</v>
      </c>
      <c r="OJ129">
        <v>63.05</v>
      </c>
      <c r="OK129">
        <v>63.05</v>
      </c>
    </row>
    <row r="130" spans="4:401" x14ac:dyDescent="0.3">
      <c r="E130" s="7"/>
      <c r="F130" s="21"/>
      <c r="J130" s="76"/>
      <c r="K130" s="66"/>
      <c r="L130" s="77"/>
      <c r="M130" s="98" t="s">
        <v>218</v>
      </c>
      <c r="N130" s="99">
        <f>SUM(_xlfn.ANCHORARRAY(P130))</f>
        <v>77349327.169708148</v>
      </c>
      <c r="O130" s="100" t="s">
        <v>81</v>
      </c>
      <c r="P130" s="99" cm="1">
        <f t="array" ref="P130:OK130">_xlfn.ANCHORARRAY(P126)*_xlfn.ANCHORARRAY(P129)</f>
        <v>124353.51029327403</v>
      </c>
      <c r="Q130" s="99">
        <v>89426.824269217308</v>
      </c>
      <c r="R130" s="99">
        <v>102393.27815517127</v>
      </c>
      <c r="S130" s="99">
        <v>135013.93006081792</v>
      </c>
      <c r="T130" s="99">
        <v>202724.81273720021</v>
      </c>
      <c r="U130" s="99">
        <v>239245.95084900968</v>
      </c>
      <c r="V130" s="99">
        <v>279001.6086201304</v>
      </c>
      <c r="W130" s="99">
        <v>307967.7054365825</v>
      </c>
      <c r="X130" s="99">
        <v>331081.62901574245</v>
      </c>
      <c r="Y130" s="99">
        <v>306854.28042008902</v>
      </c>
      <c r="Z130" s="99">
        <v>237683.82428845769</v>
      </c>
      <c r="AA130" s="99">
        <v>191313.37909535869</v>
      </c>
      <c r="AB130" s="99">
        <v>124353.51029327403</v>
      </c>
      <c r="AC130" s="99">
        <v>89426.824269217308</v>
      </c>
      <c r="AD130" s="99">
        <v>102393.27815517127</v>
      </c>
      <c r="AE130" s="99">
        <v>135013.93006081792</v>
      </c>
      <c r="AF130" s="99">
        <v>202724.81273720021</v>
      </c>
      <c r="AG130" s="99">
        <v>239245.95084900968</v>
      </c>
      <c r="AH130" s="99">
        <v>279001.6086201304</v>
      </c>
      <c r="AI130" s="99">
        <v>307967.7054365825</v>
      </c>
      <c r="AJ130" s="99">
        <v>331081.62901574245</v>
      </c>
      <c r="AK130" s="99">
        <v>306854.28042008902</v>
      </c>
      <c r="AL130" s="99">
        <v>237683.82428845769</v>
      </c>
      <c r="AM130" s="99">
        <v>191313.37909535869</v>
      </c>
      <c r="AN130" s="99">
        <v>124353.51029327403</v>
      </c>
      <c r="AO130" s="99">
        <v>89426.824269217308</v>
      </c>
      <c r="AP130" s="99">
        <v>102393.27815517127</v>
      </c>
      <c r="AQ130" s="99">
        <v>135013.93006081792</v>
      </c>
      <c r="AR130" s="99">
        <v>202657.23779962116</v>
      </c>
      <c r="AS130" s="99">
        <v>239086.48013132712</v>
      </c>
      <c r="AT130" s="99">
        <v>278722.70000171306</v>
      </c>
      <c r="AU130" s="99">
        <v>307557.28709551628</v>
      </c>
      <c r="AV130" s="99">
        <v>330530.19404659054</v>
      </c>
      <c r="AW130" s="99">
        <v>306241.08305580693</v>
      </c>
      <c r="AX130" s="99">
        <v>237129.78298603537</v>
      </c>
      <c r="AY130" s="99">
        <v>190803.80488498433</v>
      </c>
      <c r="AZ130" s="99">
        <v>123980.94678975119</v>
      </c>
      <c r="BA130" s="99">
        <v>89129.181591887158</v>
      </c>
      <c r="BB130" s="99">
        <v>102018.46124664911</v>
      </c>
      <c r="BC130" s="99">
        <v>134474.86334343959</v>
      </c>
      <c r="BD130" s="99">
        <v>201848.09335145654</v>
      </c>
      <c r="BE130" s="99">
        <v>238131.88556500443</v>
      </c>
      <c r="BF130" s="99">
        <v>277609.85089880147</v>
      </c>
      <c r="BG130" s="99">
        <v>306329.31086309586</v>
      </c>
      <c r="BH130" s="99">
        <v>329210.4944673038</v>
      </c>
      <c r="BI130" s="99">
        <v>305018.36199809896</v>
      </c>
      <c r="BJ130" s="99">
        <v>236183.00087511295</v>
      </c>
      <c r="BK130" s="99">
        <v>190041.98733981466</v>
      </c>
      <c r="BL130" s="99">
        <v>123485.93118674416</v>
      </c>
      <c r="BM130" s="99">
        <v>88773.317753824595</v>
      </c>
      <c r="BN130" s="99">
        <v>101611.13470640659</v>
      </c>
      <c r="BO130" s="99">
        <v>133937.94894416397</v>
      </c>
      <c r="BP130" s="99">
        <v>201042.17955394671</v>
      </c>
      <c r="BQ130" s="99">
        <v>237181.10238435923</v>
      </c>
      <c r="BR130" s="99">
        <v>276501.44504046912</v>
      </c>
      <c r="BS130" s="99">
        <v>305106.2375404443</v>
      </c>
      <c r="BT130" s="99">
        <v>327896.06401928229</v>
      </c>
      <c r="BU130" s="99">
        <v>303800.5228679562</v>
      </c>
      <c r="BV130" s="99">
        <v>235239.9989572741</v>
      </c>
      <c r="BW130" s="99">
        <v>189283.21148436645</v>
      </c>
      <c r="BX130" s="99">
        <v>122992.89202006515</v>
      </c>
      <c r="BY130" s="99">
        <v>88418.874764343578</v>
      </c>
      <c r="BZ130" s="99">
        <v>101205.43448858023</v>
      </c>
      <c r="CA130" s="99">
        <v>133403.17826948478</v>
      </c>
      <c r="CB130" s="99">
        <v>200239.4835081542</v>
      </c>
      <c r="CC130" s="99">
        <v>236234.1153717679</v>
      </c>
      <c r="CD130" s="99">
        <v>275397.46468628501</v>
      </c>
      <c r="CE130" s="99">
        <v>303888.04755183734</v>
      </c>
      <c r="CF130" s="99">
        <v>326586.88166459848</v>
      </c>
      <c r="CG130" s="99">
        <v>302587.54617342947</v>
      </c>
      <c r="CH130" s="99">
        <v>234300.76213943725</v>
      </c>
      <c r="CI130" s="99">
        <v>188527.46517416174</v>
      </c>
      <c r="CJ130" s="99">
        <v>122501.82139844666</v>
      </c>
      <c r="CK130" s="99">
        <v>88065.84695045781</v>
      </c>
      <c r="CL130" s="99">
        <v>100801.35409979345</v>
      </c>
      <c r="CM130" s="99">
        <v>132870.54276020679</v>
      </c>
      <c r="CN130" s="99">
        <v>199439.99236664275</v>
      </c>
      <c r="CO130" s="99">
        <v>235290.90937036593</v>
      </c>
      <c r="CP130" s="99">
        <v>274297.89216665039</v>
      </c>
      <c r="CQ130" s="99">
        <v>302674.72139971005</v>
      </c>
      <c r="CR130" s="99">
        <v>325282.9264493222</v>
      </c>
      <c r="CS130" s="99">
        <v>301379.41250039439</v>
      </c>
      <c r="CT130" s="99">
        <v>233365.27538878235</v>
      </c>
      <c r="CU130" s="99">
        <v>187774.73631321153</v>
      </c>
      <c r="CV130" s="99">
        <v>122012.7114621284</v>
      </c>
      <c r="CW130" s="99">
        <v>87714.228661831294</v>
      </c>
      <c r="CX130" s="99">
        <v>100398.88707259569</v>
      </c>
      <c r="CY130" s="99">
        <v>132340.03389130894</v>
      </c>
      <c r="CZ130" s="99">
        <v>198643.6933332718</v>
      </c>
      <c r="DA130" s="99">
        <v>234351.46928380523</v>
      </c>
      <c r="DB130" s="99">
        <v>273202.70988251525</v>
      </c>
      <c r="DC130" s="99">
        <v>301466.23966434516</v>
      </c>
      <c r="DD130" s="99">
        <v>323984.17750318558</v>
      </c>
      <c r="DE130" s="99">
        <v>300176.10251224128</v>
      </c>
      <c r="DF130" s="99">
        <v>232433.52373251066</v>
      </c>
      <c r="DG130" s="99">
        <v>187025.01285382223</v>
      </c>
      <c r="DH130" s="99">
        <v>121525.55438273159</v>
      </c>
      <c r="DI130" s="99">
        <v>87364.014270688058</v>
      </c>
      <c r="DJ130" s="99">
        <v>99998.02696535876</v>
      </c>
      <c r="DK130" s="99">
        <v>131811.64317180772</v>
      </c>
      <c r="DL130" s="99">
        <v>197850.57366299158</v>
      </c>
      <c r="DM130" s="99">
        <v>233415.78007601236</v>
      </c>
      <c r="DN130" s="99">
        <v>272111.90030509693</v>
      </c>
      <c r="DO130" s="99">
        <v>300262.58300356177</v>
      </c>
      <c r="DP130" s="99">
        <v>322690.61403924914</v>
      </c>
      <c r="DQ130" s="99">
        <v>298977.59694956488</v>
      </c>
      <c r="DR130" s="99">
        <v>231505.4922576049</v>
      </c>
      <c r="DS130" s="99">
        <v>186278.28279640272</v>
      </c>
      <c r="DT130" s="99">
        <v>121040.34236313352</v>
      </c>
      <c r="DU130" s="99">
        <v>87015.19817172199</v>
      </c>
      <c r="DV130" s="99">
        <v>99598.767362173792</v>
      </c>
      <c r="DW130" s="99">
        <v>131285.36214462141</v>
      </c>
      <c r="DX130" s="99">
        <v>197060.6206616392</v>
      </c>
      <c r="DY130" s="99">
        <v>232483.82677094825</v>
      </c>
      <c r="DZ130" s="99">
        <v>271025.44597559946</v>
      </c>
      <c r="EA130" s="99">
        <v>299063.7321524063</v>
      </c>
      <c r="EB130" s="99">
        <v>321402.21535356849</v>
      </c>
      <c r="EC130" s="99">
        <v>297783.87662985676</v>
      </c>
      <c r="ED130" s="99">
        <v>230581.16611059077</v>
      </c>
      <c r="EE130" s="99">
        <v>185534.53418927238</v>
      </c>
      <c r="EF130" s="99">
        <v>120557.06763734302</v>
      </c>
      <c r="EG130" s="99">
        <v>86667.774782007138</v>
      </c>
      <c r="EH130" s="99">
        <v>99201.101872748593</v>
      </c>
      <c r="EI130" s="99">
        <v>130761.18238643465</v>
      </c>
      <c r="EJ130" s="99">
        <v>196273.82168573537</v>
      </c>
      <c r="EK130" s="99">
        <v>231555.59445236815</v>
      </c>
      <c r="EL130" s="99">
        <v>269943.3295049342</v>
      </c>
      <c r="EM130" s="99">
        <v>297869.66792284354</v>
      </c>
      <c r="EN130" s="99">
        <v>320118.96082486381</v>
      </c>
      <c r="EO130" s="99">
        <v>296594.92244719772</v>
      </c>
      <c r="EP130" s="99">
        <v>229660.53049729881</v>
      </c>
      <c r="EQ130" s="99">
        <v>184793.75512846978</v>
      </c>
      <c r="ER130" s="99">
        <v>120075.72247037585</v>
      </c>
      <c r="ES130" s="99">
        <v>86321.738540908365</v>
      </c>
      <c r="ET130" s="99">
        <v>98805.024132305349</v>
      </c>
      <c r="EU130" s="99">
        <v>130239.09550756364</v>
      </c>
      <c r="EV130" s="99">
        <v>195490.16414228216</v>
      </c>
      <c r="EW130" s="99">
        <v>230631.06826358312</v>
      </c>
      <c r="EX130" s="99">
        <v>268865.53357344144</v>
      </c>
      <c r="EY130" s="99">
        <v>296680.3712034502</v>
      </c>
      <c r="EZ130" s="99">
        <v>318840.829914189</v>
      </c>
      <c r="FA130" s="99">
        <v>295410.71537195239</v>
      </c>
      <c r="FB130" s="99">
        <v>228743.57068262805</v>
      </c>
      <c r="FC130" s="99">
        <v>184055.93375756204</v>
      </c>
      <c r="FD130" s="99">
        <v>119596.29915813114</v>
      </c>
      <c r="FE130" s="99">
        <v>85977.083909992318</v>
      </c>
      <c r="FF130" s="99">
        <v>98410.527801478631</v>
      </c>
      <c r="FG130" s="99">
        <v>129719.09315182184</v>
      </c>
      <c r="FH130" s="99">
        <v>194709.63548856135</v>
      </c>
      <c r="FI130" s="99">
        <v>229710.233407222</v>
      </c>
      <c r="FJ130" s="99">
        <v>267792.04093061329</v>
      </c>
      <c r="FK130" s="99">
        <v>295495.82295910839</v>
      </c>
      <c r="FL130" s="99">
        <v>317567.80216460349</v>
      </c>
      <c r="FM130" s="99">
        <v>294231.23645046487</v>
      </c>
      <c r="FN130" s="99">
        <v>227830.27199030985</v>
      </c>
      <c r="FO130" s="99">
        <v>183321.05826745523</v>
      </c>
      <c r="FP130" s="99">
        <v>119118.79002726791</v>
      </c>
      <c r="FQ130" s="99">
        <v>85633.805372938819</v>
      </c>
      <c r="FR130" s="99">
        <v>98017.606566214148</v>
      </c>
      <c r="FS130" s="99">
        <v>129201.16699638631</v>
      </c>
      <c r="FT130" s="99">
        <v>193932.22323193369</v>
      </c>
      <c r="FU130" s="99">
        <v>228793.07514499486</v>
      </c>
      <c r="FV130" s="99">
        <v>266722.83439481753</v>
      </c>
      <c r="FW130" s="99">
        <v>294316.00423070154</v>
      </c>
      <c r="FX130" s="99">
        <v>316299.8572008445</v>
      </c>
      <c r="FY130" s="99">
        <v>293056.46680475445</v>
      </c>
      <c r="FZ130" s="99">
        <v>226920.61980267341</v>
      </c>
      <c r="GA130" s="99">
        <v>182589.11689620529</v>
      </c>
      <c r="GB130" s="99">
        <v>118643.18743508242</v>
      </c>
      <c r="GC130" s="99">
        <v>85291.897435452614</v>
      </c>
      <c r="GD130" s="99">
        <v>97626.254137667493</v>
      </c>
      <c r="GE130" s="99">
        <v>128685.30875166431</v>
      </c>
      <c r="GF130" s="99">
        <v>193157.91492963908</v>
      </c>
      <c r="GG130" s="99">
        <v>227879.57879745687</v>
      </c>
      <c r="GH130" s="99">
        <v>265657.89685302251</v>
      </c>
      <c r="GI130" s="99">
        <v>293140.89613481046</v>
      </c>
      <c r="GJ130" s="99">
        <v>315036.97472900123</v>
      </c>
      <c r="GK130" s="99">
        <v>291886.38763221452</v>
      </c>
      <c r="GL130" s="99">
        <v>226014.59956041115</v>
      </c>
      <c r="GM130" s="99">
        <v>181860.09792882984</v>
      </c>
      <c r="GN130" s="99">
        <v>118169.48376938571</v>
      </c>
      <c r="GO130" s="99">
        <v>84951.354625175285</v>
      </c>
      <c r="GP130" s="99">
        <v>97236.464252103644</v>
      </c>
      <c r="GQ130" s="99">
        <v>128171.51016116091</v>
      </c>
      <c r="GR130" s="99">
        <v>192386.69818859719</v>
      </c>
      <c r="GS130" s="99">
        <v>226969.72974377364</v>
      </c>
      <c r="GT130" s="99">
        <v>264597.21126052341</v>
      </c>
      <c r="GU130" s="99">
        <v>291970.47986341128</v>
      </c>
      <c r="GV130" s="99">
        <v>313779.13453618955</v>
      </c>
      <c r="GW130" s="99">
        <v>290720.98020531097</v>
      </c>
      <c r="GX130" s="99">
        <v>225112.19676234637</v>
      </c>
      <c r="GY130" s="99">
        <v>181133.98969712047</v>
      </c>
      <c r="GZ130" s="99">
        <v>117697.67144838181</v>
      </c>
      <c r="HA130" s="99">
        <v>84612.171491597823</v>
      </c>
      <c r="HB130" s="99">
        <v>96848.230670796562</v>
      </c>
      <c r="HC130" s="99">
        <v>127659.76300134655</v>
      </c>
      <c r="HD130" s="99">
        <v>191618.56066520934</v>
      </c>
      <c r="HE130" s="99">
        <v>226063.51342148666</v>
      </c>
      <c r="HF130" s="99">
        <v>263540.76064066956</v>
      </c>
      <c r="HG130" s="99">
        <v>290804.73668357462</v>
      </c>
      <c r="HH130" s="99">
        <v>312526.3164902291</v>
      </c>
      <c r="HI130" s="99">
        <v>289560.22587128275</v>
      </c>
      <c r="HJ130" s="99">
        <v>224213.39696520069</v>
      </c>
      <c r="HK130" s="99">
        <v>180410.78057945622</v>
      </c>
      <c r="HL130" s="99">
        <v>117227.74292054643</v>
      </c>
      <c r="HM130" s="99">
        <v>84274.342605973376</v>
      </c>
      <c r="HN130" s="99">
        <v>96461.547179929461</v>
      </c>
      <c r="HO130" s="99">
        <v>127150.05908152561</v>
      </c>
      <c r="HP130" s="99">
        <v>190853.49006516076</v>
      </c>
      <c r="HQ130" s="99">
        <v>225160.91532628099</v>
      </c>
      <c r="HR130" s="99">
        <v>262488.52808459208</v>
      </c>
      <c r="HS130" s="99">
        <v>289643.64793716557</v>
      </c>
      <c r="HT130" s="99">
        <v>311278.5005393207</v>
      </c>
      <c r="HU130" s="99">
        <v>288404.10605184309</v>
      </c>
      <c r="HV130" s="99">
        <v>223318.18578336327</v>
      </c>
      <c r="HW130" s="99">
        <v>179690.45900061756</v>
      </c>
      <c r="HX130" s="99">
        <v>116759.69066450601</v>
      </c>
      <c r="HY130" s="99">
        <v>83937.862561230184</v>
      </c>
      <c r="HZ130" s="99">
        <v>96076.407590495262</v>
      </c>
      <c r="IA130" s="99">
        <v>126642.39024370525</v>
      </c>
      <c r="IB130" s="99">
        <v>190091.47414322384</v>
      </c>
      <c r="IC130" s="99">
        <v>224261.92101175245</v>
      </c>
      <c r="ID130" s="99">
        <v>261440.49675093428</v>
      </c>
      <c r="IE130" s="99">
        <v>288487.19504054496</v>
      </c>
      <c r="IF130" s="99">
        <v>310035.66671172541</v>
      </c>
      <c r="IG130" s="99">
        <v>287252.60224288231</v>
      </c>
      <c r="IH130" s="99">
        <v>222426.54888865995</v>
      </c>
      <c r="II130" s="99">
        <v>178973.01343160085</v>
      </c>
      <c r="IJ130" s="99">
        <v>116293.50718891746</v>
      </c>
      <c r="IK130" s="99">
        <v>83602.725971885273</v>
      </c>
      <c r="IL130" s="99">
        <v>95692.805738197683</v>
      </c>
      <c r="IM130" s="99">
        <v>126136.74836246479</v>
      </c>
      <c r="IN130" s="99">
        <v>189332.50070306228</v>
      </c>
      <c r="IO130" s="99">
        <v>223366.51608917664</v>
      </c>
      <c r="IP130" s="99">
        <v>260396.64986558101</v>
      </c>
      <c r="IQ130" s="99">
        <v>287335.35948427214</v>
      </c>
      <c r="IR130" s="99">
        <v>308797.79511544487</v>
      </c>
      <c r="IS130" s="99">
        <v>286105.6960141717</v>
      </c>
      <c r="IT130" s="99">
        <v>221538.47201012459</v>
      </c>
      <c r="IU130" s="99">
        <v>178258.43238943417</v>
      </c>
      <c r="IV130" s="99">
        <v>115829.18503234813</v>
      </c>
      <c r="IW130" s="99">
        <v>83268.927473958116</v>
      </c>
      <c r="IX130" s="99">
        <v>95310.735483352328</v>
      </c>
      <c r="IY130" s="99">
        <v>125633.12534482582</v>
      </c>
      <c r="IZ130" s="99">
        <v>188576.55759703572</v>
      </c>
      <c r="JA130" s="99">
        <v>222474.68622727881</v>
      </c>
      <c r="JB130" s="99">
        <v>259356.97072139118</v>
      </c>
      <c r="JC130" s="99">
        <v>286188.12283280853</v>
      </c>
      <c r="JD130" s="99">
        <v>307564.86593790329</v>
      </c>
      <c r="JE130" s="99">
        <v>284963.36900906847</v>
      </c>
      <c r="JF130" s="99">
        <v>220653.94093377038</v>
      </c>
      <c r="JG130" s="99">
        <v>177546.70443699334</v>
      </c>
      <c r="JH130" s="99">
        <v>115366.71676315644</v>
      </c>
      <c r="JI130" s="99">
        <v>82936.461724884823</v>
      </c>
      <c r="JJ130" s="99">
        <v>94930.190710788636</v>
      </c>
      <c r="JK130" s="99">
        <v>125131.51313012245</v>
      </c>
      <c r="JL130" s="99">
        <v>187823.63272600542</v>
      </c>
      <c r="JM130" s="99">
        <v>221586.41715200423</v>
      </c>
      <c r="JN130" s="99">
        <v>258321.44267792939</v>
      </c>
      <c r="JO130" s="99">
        <v>285045.46672422293</v>
      </c>
      <c r="JP130" s="99">
        <v>306336.85944562982</v>
      </c>
      <c r="JQ130" s="99">
        <v>283825.60294422176</v>
      </c>
      <c r="JR130" s="99">
        <v>219772.94150236234</v>
      </c>
      <c r="JS130" s="99">
        <v>176837.81818281885</v>
      </c>
      <c r="JT130" s="99">
        <v>114906.09497937298</v>
      </c>
      <c r="JU130" s="99">
        <v>82605.323403432616</v>
      </c>
      <c r="JV130" s="99">
        <v>94551.165329751937</v>
      </c>
      <c r="JW130" s="99">
        <v>124631.90368987246</v>
      </c>
      <c r="JX130" s="99">
        <v>187073.7140391405</v>
      </c>
      <c r="JY130" s="99">
        <v>220701.69464628983</v>
      </c>
      <c r="JZ130" s="99">
        <v>257290.04916120047</v>
      </c>
      <c r="KA130" s="99">
        <v>283907.37286989723</v>
      </c>
      <c r="KB130" s="99">
        <v>305113.755983943</v>
      </c>
      <c r="KC130" s="99">
        <v>282692.37960928038</v>
      </c>
      <c r="KD130" s="99">
        <v>218895.45961519046</v>
      </c>
      <c r="KE130" s="99">
        <v>176131.76228093368</v>
      </c>
      <c r="KF130" s="99">
        <v>114447.312308582</v>
      </c>
      <c r="KG130" s="99">
        <v>82275.507209614676</v>
      </c>
      <c r="KH130" s="99">
        <v>94173.65327380599</v>
      </c>
      <c r="KI130" s="99">
        <v>124134.28902764876</v>
      </c>
      <c r="KJ130" s="99">
        <v>186326.78953372524</v>
      </c>
      <c r="KK130" s="99">
        <v>219820.50454983677</v>
      </c>
      <c r="KL130" s="99">
        <v>256262.77366338359</v>
      </c>
      <c r="KM130" s="99">
        <v>282773.82305423339</v>
      </c>
      <c r="KN130" s="99">
        <v>303895.53597663593</v>
      </c>
      <c r="KO130" s="99">
        <v>281563.680866601</v>
      </c>
      <c r="KP130" s="99">
        <v>218021.4812278446</v>
      </c>
      <c r="KQ130" s="99">
        <v>175428.52543066148</v>
      </c>
      <c r="KR130" s="99">
        <v>113990.36140780333</v>
      </c>
      <c r="KS130" s="99">
        <v>81947.007864605272</v>
      </c>
      <c r="KT130" s="99">
        <v>93797.648500735784</v>
      </c>
      <c r="KU130" s="99">
        <v>123638.66117895134</v>
      </c>
      <c r="KV130" s="99">
        <v>185582.84725496673</v>
      </c>
      <c r="KW130" s="99">
        <v>218942.83275888342</v>
      </c>
      <c r="KX130" s="99">
        <v>255239.59974256853</v>
      </c>
      <c r="KY130" s="99">
        <v>281644.79913436307</v>
      </c>
      <c r="KZ130" s="99">
        <v>302682.17992566363</v>
      </c>
      <c r="LA130" s="99">
        <v>280439.48865095829</v>
      </c>
      <c r="LB130" s="99">
        <v>217150.99235198929</v>
      </c>
      <c r="LC130" s="99">
        <v>174728.09637644593</v>
      </c>
      <c r="LD130" s="99">
        <v>113535.23496337503</v>
      </c>
      <c r="LE130" s="99">
        <v>81619.820110655375</v>
      </c>
      <c r="LF130" s="99">
        <v>93423.14499245098</v>
      </c>
      <c r="LG130" s="99">
        <v>123145.01221107993</v>
      </c>
      <c r="LH130" s="99">
        <v>184841.87529580379</v>
      </c>
      <c r="LI130" s="99">
        <v>218068.66522598016</v>
      </c>
      <c r="LJ130" s="99">
        <v>254220.51102249199</v>
      </c>
      <c r="LK130" s="99">
        <v>280520.28303985606</v>
      </c>
      <c r="LL130" s="99">
        <v>301473.66841082997</v>
      </c>
      <c r="LM130" s="99">
        <v>279319.78496925498</v>
      </c>
      <c r="LN130" s="99">
        <v>216283.97905513988</v>
      </c>
      <c r="LO130" s="99">
        <v>174030.4639076704</v>
      </c>
      <c r="LP130" s="99">
        <v>113081.92569083616</v>
      </c>
      <c r="LQ130" s="99">
        <v>81293.938711008392</v>
      </c>
      <c r="LR130" s="99">
        <v>93050.136754889449</v>
      </c>
      <c r="LS130" s="99">
        <v>122653.33422300687</v>
      </c>
      <c r="LT130" s="99">
        <v>184103.86179671611</v>
      </c>
      <c r="LU130" s="99">
        <v>217197.98795976405</v>
      </c>
      <c r="LV130" s="99">
        <v>253205.49119227595</v>
      </c>
      <c r="LW130" s="99">
        <v>279400.25677243154</v>
      </c>
      <c r="LX130" s="99">
        <v>300269.98208947777</v>
      </c>
      <c r="LY130" s="99">
        <v>278204.55190023495</v>
      </c>
      <c r="LZ130" s="99">
        <v>215420.42746043953</v>
      </c>
      <c r="MA130" s="99">
        <v>173335.61685847872</v>
      </c>
      <c r="MB130" s="99">
        <v>112630.42633481031</v>
      </c>
      <c r="MC130" s="99">
        <v>80969.358449816413</v>
      </c>
      <c r="MD130" s="99">
        <v>92678.617817921535</v>
      </c>
      <c r="ME130" s="99">
        <v>122163.61934525079</v>
      </c>
      <c r="MF130" s="99">
        <v>183368.79494553476</v>
      </c>
      <c r="MG130" s="99">
        <v>216330.78702473539</v>
      </c>
      <c r="MH130" s="99">
        <v>252194.52400616638</v>
      </c>
      <c r="MI130" s="99">
        <v>278284.70240567008</v>
      </c>
      <c r="MJ130" s="99">
        <v>299071.10169617826</v>
      </c>
      <c r="MK130" s="99">
        <v>277093.77159419528</v>
      </c>
      <c r="ML130" s="99">
        <v>214560.32374643747</v>
      </c>
      <c r="MM130" s="99">
        <v>172643.54410759627</v>
      </c>
      <c r="MN130" s="99">
        <v>112180.72966888944</v>
      </c>
      <c r="MO130" s="99">
        <v>80646.074132056674</v>
      </c>
      <c r="MP130" s="99">
        <v>92308.582235254129</v>
      </c>
      <c r="MQ130" s="99">
        <v>121675.85973975058</v>
      </c>
      <c r="MR130" s="99">
        <v>182636.66297725282</v>
      </c>
      <c r="MS130" s="99">
        <v>215467.04854103402</v>
      </c>
      <c r="MT130" s="99">
        <v>251187.59328327322</v>
      </c>
      <c r="MU130" s="99">
        <v>277173.60208472662</v>
      </c>
      <c r="MV130" s="99">
        <v>297877.00804242381</v>
      </c>
      <c r="MW130" s="99">
        <v>275987.42627270165</v>
      </c>
      <c r="MX130" s="99">
        <v>213703.65414686708</v>
      </c>
      <c r="MY130" s="99">
        <v>171954.23457815204</v>
      </c>
      <c r="MZ130" s="99">
        <v>111732.82849551813</v>
      </c>
      <c r="NA130" s="99">
        <v>80324.080583448522</v>
      </c>
      <c r="NB130" s="99">
        <v>91940.024084336022</v>
      </c>
      <c r="NC130" s="99">
        <v>121190.04759973996</v>
      </c>
      <c r="ND130" s="99">
        <v>181907.45417383732</v>
      </c>
      <c r="NE130" s="99">
        <v>214606.75868421784</v>
      </c>
      <c r="NF130" s="99">
        <v>250184.68290731139</v>
      </c>
      <c r="NG130" s="99">
        <v>276066.9380260444</v>
      </c>
      <c r="NH130" s="99">
        <v>296687.68201631983</v>
      </c>
      <c r="NI130" s="99">
        <v>274885.49822830287</v>
      </c>
      <c r="NJ130" s="99">
        <v>212850.40495042637</v>
      </c>
      <c r="NK130" s="99">
        <v>171267.6772375014</v>
      </c>
      <c r="NL130" s="99">
        <v>111286.71564587855</v>
      </c>
      <c r="NM130" s="99">
        <v>80003.372650370482</v>
      </c>
      <c r="NN130" s="99">
        <v>91572.937466262592</v>
      </c>
      <c r="NO130" s="99">
        <v>120706.1751496225</v>
      </c>
      <c r="NP130" s="99">
        <v>181181.15686404146</v>
      </c>
      <c r="NQ130" s="99">
        <v>213749.90368504115</v>
      </c>
      <c r="NR130" s="99">
        <v>249185.77682634312</v>
      </c>
      <c r="NS130" s="99">
        <v>274964.69251707103</v>
      </c>
      <c r="NT130" s="99">
        <v>295503.10458227975</v>
      </c>
      <c r="NU130" s="99">
        <v>273787.96982424788</v>
      </c>
      <c r="NV130" s="99">
        <v>212000.56250055777</v>
      </c>
      <c r="NW130" s="99">
        <v>170583.86109704952</v>
      </c>
      <c r="NX130" s="99">
        <v>110842.38397977554</v>
      </c>
      <c r="NY130" s="99">
        <v>79683.94519977778</v>
      </c>
      <c r="NZ130" s="99">
        <v>91207.316505681796</v>
      </c>
      <c r="OA130" s="99">
        <v>120224.23464484728</v>
      </c>
      <c r="OB130" s="99">
        <v>180457.75942321806</v>
      </c>
      <c r="OC130" s="99">
        <v>212896.46982923444</v>
      </c>
      <c r="OD130" s="99">
        <v>248190.85905252057</v>
      </c>
      <c r="OE130">
        <v>273866.84791597433</v>
      </c>
      <c r="OF130">
        <v>294323.25678071944</v>
      </c>
      <c r="OG130">
        <v>272694.82349420368</v>
      </c>
      <c r="OH130">
        <v>211154.11319523014</v>
      </c>
      <c r="OI130">
        <v>169902.77521207542</v>
      </c>
      <c r="OJ130">
        <v>110399.82638552249</v>
      </c>
      <c r="OK130">
        <v>79365.793119120252</v>
      </c>
    </row>
    <row r="131" spans="4:401" x14ac:dyDescent="0.3">
      <c r="E131" s="7"/>
      <c r="F131" s="21"/>
      <c r="J131" s="76"/>
      <c r="K131" s="66"/>
      <c r="L131" s="77"/>
      <c r="M131" s="37" t="s">
        <v>219</v>
      </c>
      <c r="N131" s="93">
        <f>SUM(_xlfn.ANCHORARRAY(P131))</f>
        <v>77349327.169708148</v>
      </c>
      <c r="O131" s="39" t="s">
        <v>81</v>
      </c>
      <c r="P131" s="93" cm="1">
        <f t="array" ref="P131:OK131">_xlfn.ANCHORARRAY(P130)</f>
        <v>124353.51029327403</v>
      </c>
      <c r="Q131" s="93">
        <v>89426.824269217308</v>
      </c>
      <c r="R131" s="93">
        <v>102393.27815517127</v>
      </c>
      <c r="S131" s="93">
        <v>135013.93006081792</v>
      </c>
      <c r="T131" s="93">
        <v>202724.81273720021</v>
      </c>
      <c r="U131" s="93">
        <v>239245.95084900968</v>
      </c>
      <c r="V131" s="93">
        <v>279001.6086201304</v>
      </c>
      <c r="W131" s="93">
        <v>307967.7054365825</v>
      </c>
      <c r="X131" s="93">
        <v>331081.62901574245</v>
      </c>
      <c r="Y131" s="93">
        <v>306854.28042008902</v>
      </c>
      <c r="Z131" s="93">
        <v>237683.82428845769</v>
      </c>
      <c r="AA131" s="93">
        <v>191313.37909535869</v>
      </c>
      <c r="AB131" s="93">
        <v>124353.51029327403</v>
      </c>
      <c r="AC131" s="93">
        <v>89426.824269217308</v>
      </c>
      <c r="AD131" s="93">
        <v>102393.27815517127</v>
      </c>
      <c r="AE131" s="93">
        <v>135013.93006081792</v>
      </c>
      <c r="AF131" s="93">
        <v>202724.81273720021</v>
      </c>
      <c r="AG131" s="93">
        <v>239245.95084900968</v>
      </c>
      <c r="AH131" s="93">
        <v>279001.6086201304</v>
      </c>
      <c r="AI131" s="93">
        <v>307967.7054365825</v>
      </c>
      <c r="AJ131" s="93">
        <v>331081.62901574245</v>
      </c>
      <c r="AK131" s="93">
        <v>306854.28042008902</v>
      </c>
      <c r="AL131" s="93">
        <v>237683.82428845769</v>
      </c>
      <c r="AM131" s="93">
        <v>191313.37909535869</v>
      </c>
      <c r="AN131" s="93">
        <v>124353.51029327403</v>
      </c>
      <c r="AO131" s="93">
        <v>89426.824269217308</v>
      </c>
      <c r="AP131" s="93">
        <v>102393.27815517127</v>
      </c>
      <c r="AQ131" s="93">
        <v>135013.93006081792</v>
      </c>
      <c r="AR131" s="93">
        <v>202657.23779962116</v>
      </c>
      <c r="AS131" s="93">
        <v>239086.48013132712</v>
      </c>
      <c r="AT131" s="93">
        <v>278722.70000171306</v>
      </c>
      <c r="AU131" s="93">
        <v>307557.28709551628</v>
      </c>
      <c r="AV131" s="93">
        <v>330530.19404659054</v>
      </c>
      <c r="AW131" s="93">
        <v>306241.08305580693</v>
      </c>
      <c r="AX131" s="93">
        <v>237129.78298603537</v>
      </c>
      <c r="AY131" s="93">
        <v>190803.80488498433</v>
      </c>
      <c r="AZ131" s="93">
        <v>123980.94678975119</v>
      </c>
      <c r="BA131" s="93">
        <v>89129.181591887158</v>
      </c>
      <c r="BB131" s="93">
        <v>102018.46124664911</v>
      </c>
      <c r="BC131" s="93">
        <v>134474.86334343959</v>
      </c>
      <c r="BD131" s="93">
        <v>201848.09335145654</v>
      </c>
      <c r="BE131" s="93">
        <v>238131.88556500443</v>
      </c>
      <c r="BF131" s="93">
        <v>277609.85089880147</v>
      </c>
      <c r="BG131" s="93">
        <v>306329.31086309586</v>
      </c>
      <c r="BH131" s="93">
        <v>329210.4944673038</v>
      </c>
      <c r="BI131" s="93">
        <v>305018.36199809896</v>
      </c>
      <c r="BJ131" s="93">
        <v>236183.00087511295</v>
      </c>
      <c r="BK131" s="93">
        <v>190041.98733981466</v>
      </c>
      <c r="BL131" s="93">
        <v>123485.93118674416</v>
      </c>
      <c r="BM131" s="93">
        <v>88773.317753824595</v>
      </c>
      <c r="BN131" s="93">
        <v>101611.13470640659</v>
      </c>
      <c r="BO131" s="93">
        <v>133937.94894416397</v>
      </c>
      <c r="BP131" s="93">
        <v>201042.17955394671</v>
      </c>
      <c r="BQ131" s="93">
        <v>237181.10238435923</v>
      </c>
      <c r="BR131" s="93">
        <v>276501.44504046912</v>
      </c>
      <c r="BS131" s="93">
        <v>305106.2375404443</v>
      </c>
      <c r="BT131" s="93">
        <v>327896.06401928229</v>
      </c>
      <c r="BU131" s="93">
        <v>303800.5228679562</v>
      </c>
      <c r="BV131" s="93">
        <v>235239.9989572741</v>
      </c>
      <c r="BW131" s="93">
        <v>189283.21148436645</v>
      </c>
      <c r="BX131" s="93">
        <v>122992.89202006515</v>
      </c>
      <c r="BY131" s="93">
        <v>88418.874764343578</v>
      </c>
      <c r="BZ131" s="93">
        <v>101205.43448858023</v>
      </c>
      <c r="CA131" s="93">
        <v>133403.17826948478</v>
      </c>
      <c r="CB131" s="93">
        <v>200239.4835081542</v>
      </c>
      <c r="CC131" s="93">
        <v>236234.1153717679</v>
      </c>
      <c r="CD131" s="93">
        <v>275397.46468628501</v>
      </c>
      <c r="CE131" s="93">
        <v>303888.04755183734</v>
      </c>
      <c r="CF131" s="93">
        <v>326586.88166459848</v>
      </c>
      <c r="CG131" s="93">
        <v>302587.54617342947</v>
      </c>
      <c r="CH131" s="93">
        <v>234300.76213943725</v>
      </c>
      <c r="CI131" s="93">
        <v>188527.46517416174</v>
      </c>
      <c r="CJ131" s="93">
        <v>122501.82139844666</v>
      </c>
      <c r="CK131" s="93">
        <v>88065.84695045781</v>
      </c>
      <c r="CL131" s="93">
        <v>100801.35409979345</v>
      </c>
      <c r="CM131" s="93">
        <v>132870.54276020679</v>
      </c>
      <c r="CN131" s="93">
        <v>199439.99236664275</v>
      </c>
      <c r="CO131" s="93">
        <v>235290.90937036593</v>
      </c>
      <c r="CP131" s="93">
        <v>274297.89216665039</v>
      </c>
      <c r="CQ131" s="93">
        <v>302674.72139971005</v>
      </c>
      <c r="CR131" s="93">
        <v>325282.9264493222</v>
      </c>
      <c r="CS131" s="93">
        <v>301379.41250039439</v>
      </c>
      <c r="CT131" s="93">
        <v>233365.27538878235</v>
      </c>
      <c r="CU131" s="93">
        <v>187774.73631321153</v>
      </c>
      <c r="CV131" s="93">
        <v>122012.7114621284</v>
      </c>
      <c r="CW131" s="93">
        <v>87714.228661831294</v>
      </c>
      <c r="CX131" s="93">
        <v>100398.88707259569</v>
      </c>
      <c r="CY131" s="93">
        <v>132340.03389130894</v>
      </c>
      <c r="CZ131" s="93">
        <v>198643.6933332718</v>
      </c>
      <c r="DA131" s="93">
        <v>234351.46928380523</v>
      </c>
      <c r="DB131" s="93">
        <v>273202.70988251525</v>
      </c>
      <c r="DC131" s="93">
        <v>301466.23966434516</v>
      </c>
      <c r="DD131" s="93">
        <v>323984.17750318558</v>
      </c>
      <c r="DE131" s="93">
        <v>300176.10251224128</v>
      </c>
      <c r="DF131" s="93">
        <v>232433.52373251066</v>
      </c>
      <c r="DG131" s="93">
        <v>187025.01285382223</v>
      </c>
      <c r="DH131" s="93">
        <v>121525.55438273159</v>
      </c>
      <c r="DI131" s="93">
        <v>87364.014270688058</v>
      </c>
      <c r="DJ131" s="93">
        <v>99998.02696535876</v>
      </c>
      <c r="DK131" s="93">
        <v>131811.64317180772</v>
      </c>
      <c r="DL131" s="93">
        <v>197850.57366299158</v>
      </c>
      <c r="DM131" s="93">
        <v>233415.78007601236</v>
      </c>
      <c r="DN131" s="93">
        <v>272111.90030509693</v>
      </c>
      <c r="DO131" s="93">
        <v>300262.58300356177</v>
      </c>
      <c r="DP131" s="93">
        <v>322690.61403924914</v>
      </c>
      <c r="DQ131" s="93">
        <v>298977.59694956488</v>
      </c>
      <c r="DR131" s="93">
        <v>231505.4922576049</v>
      </c>
      <c r="DS131" s="93">
        <v>186278.28279640272</v>
      </c>
      <c r="DT131" s="93">
        <v>121040.34236313352</v>
      </c>
      <c r="DU131" s="93">
        <v>87015.19817172199</v>
      </c>
      <c r="DV131" s="93">
        <v>99598.767362173792</v>
      </c>
      <c r="DW131" s="93">
        <v>131285.36214462141</v>
      </c>
      <c r="DX131" s="93">
        <v>197060.6206616392</v>
      </c>
      <c r="DY131" s="93">
        <v>232483.82677094825</v>
      </c>
      <c r="DZ131" s="93">
        <v>271025.44597559946</v>
      </c>
      <c r="EA131" s="93">
        <v>299063.7321524063</v>
      </c>
      <c r="EB131" s="93">
        <v>321402.21535356849</v>
      </c>
      <c r="EC131" s="93">
        <v>297783.87662985676</v>
      </c>
      <c r="ED131" s="93">
        <v>230581.16611059077</v>
      </c>
      <c r="EE131" s="93">
        <v>185534.53418927238</v>
      </c>
      <c r="EF131" s="93">
        <v>120557.06763734302</v>
      </c>
      <c r="EG131" s="93">
        <v>86667.774782007138</v>
      </c>
      <c r="EH131" s="93">
        <v>99201.101872748593</v>
      </c>
      <c r="EI131" s="93">
        <v>130761.18238643465</v>
      </c>
      <c r="EJ131" s="93">
        <v>196273.82168573537</v>
      </c>
      <c r="EK131" s="93">
        <v>231555.59445236815</v>
      </c>
      <c r="EL131" s="93">
        <v>269943.3295049342</v>
      </c>
      <c r="EM131" s="93">
        <v>297869.66792284354</v>
      </c>
      <c r="EN131" s="93">
        <v>320118.96082486381</v>
      </c>
      <c r="EO131" s="93">
        <v>296594.92244719772</v>
      </c>
      <c r="EP131" s="93">
        <v>229660.53049729881</v>
      </c>
      <c r="EQ131" s="93">
        <v>184793.75512846978</v>
      </c>
      <c r="ER131" s="93">
        <v>120075.72247037585</v>
      </c>
      <c r="ES131" s="93">
        <v>86321.738540908365</v>
      </c>
      <c r="ET131" s="93">
        <v>98805.024132305349</v>
      </c>
      <c r="EU131" s="93">
        <v>130239.09550756364</v>
      </c>
      <c r="EV131" s="93">
        <v>195490.16414228216</v>
      </c>
      <c r="EW131" s="93">
        <v>230631.06826358312</v>
      </c>
      <c r="EX131" s="93">
        <v>268865.53357344144</v>
      </c>
      <c r="EY131" s="93">
        <v>296680.3712034502</v>
      </c>
      <c r="EZ131" s="93">
        <v>318840.829914189</v>
      </c>
      <c r="FA131" s="93">
        <v>295410.71537195239</v>
      </c>
      <c r="FB131" s="93">
        <v>228743.57068262805</v>
      </c>
      <c r="FC131" s="93">
        <v>184055.93375756204</v>
      </c>
      <c r="FD131" s="93">
        <v>119596.29915813114</v>
      </c>
      <c r="FE131" s="93">
        <v>85977.083909992318</v>
      </c>
      <c r="FF131" s="93">
        <v>98410.527801478631</v>
      </c>
      <c r="FG131" s="93">
        <v>129719.09315182184</v>
      </c>
      <c r="FH131" s="93">
        <v>194709.63548856135</v>
      </c>
      <c r="FI131" s="93">
        <v>229710.233407222</v>
      </c>
      <c r="FJ131" s="93">
        <v>267792.04093061329</v>
      </c>
      <c r="FK131" s="93">
        <v>295495.82295910839</v>
      </c>
      <c r="FL131" s="93">
        <v>317567.80216460349</v>
      </c>
      <c r="FM131" s="93">
        <v>294231.23645046487</v>
      </c>
      <c r="FN131" s="93">
        <v>227830.27199030985</v>
      </c>
      <c r="FO131" s="93">
        <v>183321.05826745523</v>
      </c>
      <c r="FP131" s="93">
        <v>119118.79002726791</v>
      </c>
      <c r="FQ131" s="93">
        <v>85633.805372938819</v>
      </c>
      <c r="FR131" s="93">
        <v>98017.606566214148</v>
      </c>
      <c r="FS131" s="93">
        <v>129201.16699638631</v>
      </c>
      <c r="FT131" s="93">
        <v>193932.22323193369</v>
      </c>
      <c r="FU131" s="93">
        <v>228793.07514499486</v>
      </c>
      <c r="FV131" s="93">
        <v>266722.83439481753</v>
      </c>
      <c r="FW131" s="93">
        <v>294316.00423070154</v>
      </c>
      <c r="FX131" s="93">
        <v>316299.8572008445</v>
      </c>
      <c r="FY131" s="93">
        <v>293056.46680475445</v>
      </c>
      <c r="FZ131" s="93">
        <v>226920.61980267341</v>
      </c>
      <c r="GA131" s="93">
        <v>182589.11689620529</v>
      </c>
      <c r="GB131" s="93">
        <v>118643.18743508242</v>
      </c>
      <c r="GC131" s="93">
        <v>85291.897435452614</v>
      </c>
      <c r="GD131" s="93">
        <v>97626.254137667493</v>
      </c>
      <c r="GE131" s="93">
        <v>128685.30875166431</v>
      </c>
      <c r="GF131" s="93">
        <v>193157.91492963908</v>
      </c>
      <c r="GG131" s="93">
        <v>227879.57879745687</v>
      </c>
      <c r="GH131" s="93">
        <v>265657.89685302251</v>
      </c>
      <c r="GI131" s="93">
        <v>293140.89613481046</v>
      </c>
      <c r="GJ131" s="93">
        <v>315036.97472900123</v>
      </c>
      <c r="GK131" s="93">
        <v>291886.38763221452</v>
      </c>
      <c r="GL131" s="93">
        <v>226014.59956041115</v>
      </c>
      <c r="GM131" s="93">
        <v>181860.09792882984</v>
      </c>
      <c r="GN131" s="93">
        <v>118169.48376938571</v>
      </c>
      <c r="GO131" s="93">
        <v>84951.354625175285</v>
      </c>
      <c r="GP131" s="93">
        <v>97236.464252103644</v>
      </c>
      <c r="GQ131" s="93">
        <v>128171.51016116091</v>
      </c>
      <c r="GR131" s="93">
        <v>192386.69818859719</v>
      </c>
      <c r="GS131" s="93">
        <v>226969.72974377364</v>
      </c>
      <c r="GT131" s="93">
        <v>264597.21126052341</v>
      </c>
      <c r="GU131" s="93">
        <v>291970.47986341128</v>
      </c>
      <c r="GV131" s="93">
        <v>313779.13453618955</v>
      </c>
      <c r="GW131" s="93">
        <v>290720.98020531097</v>
      </c>
      <c r="GX131" s="93">
        <v>225112.19676234637</v>
      </c>
      <c r="GY131" s="93">
        <v>181133.98969712047</v>
      </c>
      <c r="GZ131" s="93">
        <v>117697.67144838181</v>
      </c>
      <c r="HA131" s="93">
        <v>84612.171491597823</v>
      </c>
      <c r="HB131" s="93">
        <v>96848.230670796562</v>
      </c>
      <c r="HC131" s="93">
        <v>127659.76300134655</v>
      </c>
      <c r="HD131" s="93">
        <v>191618.56066520934</v>
      </c>
      <c r="HE131" s="93">
        <v>226063.51342148666</v>
      </c>
      <c r="HF131" s="93">
        <v>263540.76064066956</v>
      </c>
      <c r="HG131" s="93">
        <v>290804.73668357462</v>
      </c>
      <c r="HH131" s="93">
        <v>312526.3164902291</v>
      </c>
      <c r="HI131" s="93">
        <v>289560.22587128275</v>
      </c>
      <c r="HJ131" s="93">
        <v>224213.39696520069</v>
      </c>
      <c r="HK131" s="93">
        <v>180410.78057945622</v>
      </c>
      <c r="HL131" s="93">
        <v>117227.74292054643</v>
      </c>
      <c r="HM131" s="93">
        <v>84274.342605973376</v>
      </c>
      <c r="HN131" s="93">
        <v>96461.547179929461</v>
      </c>
      <c r="HO131" s="93">
        <v>127150.05908152561</v>
      </c>
      <c r="HP131" s="93">
        <v>190853.49006516076</v>
      </c>
      <c r="HQ131" s="93">
        <v>225160.91532628099</v>
      </c>
      <c r="HR131" s="93">
        <v>262488.52808459208</v>
      </c>
      <c r="HS131" s="93">
        <v>289643.64793716557</v>
      </c>
      <c r="HT131" s="93">
        <v>311278.5005393207</v>
      </c>
      <c r="HU131" s="93">
        <v>288404.10605184309</v>
      </c>
      <c r="HV131" s="93">
        <v>223318.18578336327</v>
      </c>
      <c r="HW131" s="93">
        <v>179690.45900061756</v>
      </c>
      <c r="HX131" s="93">
        <v>116759.69066450601</v>
      </c>
      <c r="HY131" s="93">
        <v>83937.862561230184</v>
      </c>
      <c r="HZ131" s="93">
        <v>96076.407590495262</v>
      </c>
      <c r="IA131" s="93">
        <v>126642.39024370525</v>
      </c>
      <c r="IB131" s="93">
        <v>190091.47414322384</v>
      </c>
      <c r="IC131" s="93">
        <v>224261.92101175245</v>
      </c>
      <c r="ID131" s="93">
        <v>261440.49675093428</v>
      </c>
      <c r="IE131" s="93">
        <v>288487.19504054496</v>
      </c>
      <c r="IF131" s="93">
        <v>310035.66671172541</v>
      </c>
      <c r="IG131" s="93">
        <v>287252.60224288231</v>
      </c>
      <c r="IH131" s="93">
        <v>222426.54888865995</v>
      </c>
      <c r="II131" s="93">
        <v>178973.01343160085</v>
      </c>
      <c r="IJ131" s="93">
        <v>116293.50718891746</v>
      </c>
      <c r="IK131" s="93">
        <v>83602.725971885273</v>
      </c>
      <c r="IL131" s="93">
        <v>95692.805738197683</v>
      </c>
      <c r="IM131" s="93">
        <v>126136.74836246479</v>
      </c>
      <c r="IN131" s="93">
        <v>189332.50070306228</v>
      </c>
      <c r="IO131" s="93">
        <v>223366.51608917664</v>
      </c>
      <c r="IP131" s="93">
        <v>260396.64986558101</v>
      </c>
      <c r="IQ131" s="93">
        <v>287335.35948427214</v>
      </c>
      <c r="IR131" s="93">
        <v>308797.79511544487</v>
      </c>
      <c r="IS131" s="93">
        <v>286105.6960141717</v>
      </c>
      <c r="IT131" s="93">
        <v>221538.47201012459</v>
      </c>
      <c r="IU131" s="93">
        <v>178258.43238943417</v>
      </c>
      <c r="IV131" s="93">
        <v>115829.18503234813</v>
      </c>
      <c r="IW131" s="93">
        <v>83268.927473958116</v>
      </c>
      <c r="IX131" s="93">
        <v>95310.735483352328</v>
      </c>
      <c r="IY131" s="93">
        <v>125633.12534482582</v>
      </c>
      <c r="IZ131" s="93">
        <v>188576.55759703572</v>
      </c>
      <c r="JA131" s="93">
        <v>222474.68622727881</v>
      </c>
      <c r="JB131" s="93">
        <v>259356.97072139118</v>
      </c>
      <c r="JC131" s="93">
        <v>286188.12283280853</v>
      </c>
      <c r="JD131" s="93">
        <v>307564.86593790329</v>
      </c>
      <c r="JE131" s="93">
        <v>284963.36900906847</v>
      </c>
      <c r="JF131" s="93">
        <v>220653.94093377038</v>
      </c>
      <c r="JG131" s="93">
        <v>177546.70443699334</v>
      </c>
      <c r="JH131" s="93">
        <v>115366.71676315644</v>
      </c>
      <c r="JI131" s="93">
        <v>82936.461724884823</v>
      </c>
      <c r="JJ131" s="93">
        <v>94930.190710788636</v>
      </c>
      <c r="JK131" s="93">
        <v>125131.51313012245</v>
      </c>
      <c r="JL131" s="93">
        <v>187823.63272600542</v>
      </c>
      <c r="JM131" s="93">
        <v>221586.41715200423</v>
      </c>
      <c r="JN131" s="93">
        <v>258321.44267792939</v>
      </c>
      <c r="JO131" s="93">
        <v>285045.46672422293</v>
      </c>
      <c r="JP131" s="93">
        <v>306336.85944562982</v>
      </c>
      <c r="JQ131" s="93">
        <v>283825.60294422176</v>
      </c>
      <c r="JR131" s="93">
        <v>219772.94150236234</v>
      </c>
      <c r="JS131" s="93">
        <v>176837.81818281885</v>
      </c>
      <c r="JT131" s="93">
        <v>114906.09497937298</v>
      </c>
      <c r="JU131" s="93">
        <v>82605.323403432616</v>
      </c>
      <c r="JV131" s="93">
        <v>94551.165329751937</v>
      </c>
      <c r="JW131" s="93">
        <v>124631.90368987246</v>
      </c>
      <c r="JX131" s="93">
        <v>187073.7140391405</v>
      </c>
      <c r="JY131" s="93">
        <v>220701.69464628983</v>
      </c>
      <c r="JZ131" s="93">
        <v>257290.04916120047</v>
      </c>
      <c r="KA131" s="93">
        <v>283907.37286989723</v>
      </c>
      <c r="KB131" s="93">
        <v>305113.755983943</v>
      </c>
      <c r="KC131" s="93">
        <v>282692.37960928038</v>
      </c>
      <c r="KD131" s="93">
        <v>218895.45961519046</v>
      </c>
      <c r="KE131" s="93">
        <v>176131.76228093368</v>
      </c>
      <c r="KF131" s="93">
        <v>114447.312308582</v>
      </c>
      <c r="KG131" s="93">
        <v>82275.507209614676</v>
      </c>
      <c r="KH131" s="93">
        <v>94173.65327380599</v>
      </c>
      <c r="KI131" s="93">
        <v>124134.28902764876</v>
      </c>
      <c r="KJ131" s="93">
        <v>186326.78953372524</v>
      </c>
      <c r="KK131" s="93">
        <v>219820.50454983677</v>
      </c>
      <c r="KL131" s="93">
        <v>256262.77366338359</v>
      </c>
      <c r="KM131" s="93">
        <v>282773.82305423339</v>
      </c>
      <c r="KN131" s="93">
        <v>303895.53597663593</v>
      </c>
      <c r="KO131" s="93">
        <v>281563.680866601</v>
      </c>
      <c r="KP131" s="93">
        <v>218021.4812278446</v>
      </c>
      <c r="KQ131" s="93">
        <v>175428.52543066148</v>
      </c>
      <c r="KR131" s="93">
        <v>113990.36140780333</v>
      </c>
      <c r="KS131" s="93">
        <v>81947.007864605272</v>
      </c>
      <c r="KT131" s="93">
        <v>93797.648500735784</v>
      </c>
      <c r="KU131" s="93">
        <v>123638.66117895134</v>
      </c>
      <c r="KV131" s="93">
        <v>185582.84725496673</v>
      </c>
      <c r="KW131" s="93">
        <v>218942.83275888342</v>
      </c>
      <c r="KX131" s="93">
        <v>255239.59974256853</v>
      </c>
      <c r="KY131" s="93">
        <v>281644.79913436307</v>
      </c>
      <c r="KZ131" s="93">
        <v>302682.17992566363</v>
      </c>
      <c r="LA131" s="93">
        <v>280439.48865095829</v>
      </c>
      <c r="LB131" s="93">
        <v>217150.99235198929</v>
      </c>
      <c r="LC131" s="93">
        <v>174728.09637644593</v>
      </c>
      <c r="LD131" s="93">
        <v>113535.23496337503</v>
      </c>
      <c r="LE131" s="93">
        <v>81619.820110655375</v>
      </c>
      <c r="LF131" s="93">
        <v>93423.14499245098</v>
      </c>
      <c r="LG131" s="93">
        <v>123145.01221107993</v>
      </c>
      <c r="LH131" s="93">
        <v>184841.87529580379</v>
      </c>
      <c r="LI131" s="93">
        <v>218068.66522598016</v>
      </c>
      <c r="LJ131" s="93">
        <v>254220.51102249199</v>
      </c>
      <c r="LK131" s="93">
        <v>280520.28303985606</v>
      </c>
      <c r="LL131" s="93">
        <v>301473.66841082997</v>
      </c>
      <c r="LM131" s="93">
        <v>279319.78496925498</v>
      </c>
      <c r="LN131" s="93">
        <v>216283.97905513988</v>
      </c>
      <c r="LO131" s="93">
        <v>174030.4639076704</v>
      </c>
      <c r="LP131" s="93">
        <v>113081.92569083616</v>
      </c>
      <c r="LQ131" s="93">
        <v>81293.938711008392</v>
      </c>
      <c r="LR131" s="93">
        <v>93050.136754889449</v>
      </c>
      <c r="LS131" s="93">
        <v>122653.33422300687</v>
      </c>
      <c r="LT131" s="93">
        <v>184103.86179671611</v>
      </c>
      <c r="LU131" s="93">
        <v>217197.98795976405</v>
      </c>
      <c r="LV131" s="93">
        <v>253205.49119227595</v>
      </c>
      <c r="LW131" s="93">
        <v>279400.25677243154</v>
      </c>
      <c r="LX131" s="93">
        <v>300269.98208947777</v>
      </c>
      <c r="LY131" s="93">
        <v>278204.55190023495</v>
      </c>
      <c r="LZ131" s="93">
        <v>215420.42746043953</v>
      </c>
      <c r="MA131" s="93">
        <v>173335.61685847872</v>
      </c>
      <c r="MB131" s="93">
        <v>112630.42633481031</v>
      </c>
      <c r="MC131" s="93">
        <v>80969.358449816413</v>
      </c>
      <c r="MD131" s="93">
        <v>92678.617817921535</v>
      </c>
      <c r="ME131" s="93">
        <v>122163.61934525079</v>
      </c>
      <c r="MF131" s="93">
        <v>183368.79494553476</v>
      </c>
      <c r="MG131" s="93">
        <v>216330.78702473539</v>
      </c>
      <c r="MH131" s="93">
        <v>252194.52400616638</v>
      </c>
      <c r="MI131" s="93">
        <v>278284.70240567008</v>
      </c>
      <c r="MJ131" s="93">
        <v>299071.10169617826</v>
      </c>
      <c r="MK131" s="93">
        <v>277093.77159419528</v>
      </c>
      <c r="ML131" s="93">
        <v>214560.32374643747</v>
      </c>
      <c r="MM131" s="93">
        <v>172643.54410759627</v>
      </c>
      <c r="MN131" s="93">
        <v>112180.72966888944</v>
      </c>
      <c r="MO131" s="93">
        <v>80646.074132056674</v>
      </c>
      <c r="MP131" s="93">
        <v>92308.582235254129</v>
      </c>
      <c r="MQ131" s="93">
        <v>121675.85973975058</v>
      </c>
      <c r="MR131" s="93">
        <v>182636.66297725282</v>
      </c>
      <c r="MS131" s="93">
        <v>215467.04854103402</v>
      </c>
      <c r="MT131" s="93">
        <v>251187.59328327322</v>
      </c>
      <c r="MU131" s="93">
        <v>277173.60208472662</v>
      </c>
      <c r="MV131" s="93">
        <v>297877.00804242381</v>
      </c>
      <c r="MW131" s="93">
        <v>275987.42627270165</v>
      </c>
      <c r="MX131" s="93">
        <v>213703.65414686708</v>
      </c>
      <c r="MY131" s="93">
        <v>171954.23457815204</v>
      </c>
      <c r="MZ131" s="93">
        <v>111732.82849551813</v>
      </c>
      <c r="NA131" s="93">
        <v>80324.080583448522</v>
      </c>
      <c r="NB131" s="93">
        <v>91940.024084336022</v>
      </c>
      <c r="NC131" s="93">
        <v>121190.04759973996</v>
      </c>
      <c r="ND131" s="93">
        <v>181907.45417383732</v>
      </c>
      <c r="NE131" s="93">
        <v>214606.75868421784</v>
      </c>
      <c r="NF131" s="93">
        <v>250184.68290731139</v>
      </c>
      <c r="NG131" s="93">
        <v>276066.9380260444</v>
      </c>
      <c r="NH131" s="93">
        <v>296687.68201631983</v>
      </c>
      <c r="NI131" s="93">
        <v>274885.49822830287</v>
      </c>
      <c r="NJ131" s="93">
        <v>212850.40495042637</v>
      </c>
      <c r="NK131" s="93">
        <v>171267.6772375014</v>
      </c>
      <c r="NL131" s="93">
        <v>111286.71564587855</v>
      </c>
      <c r="NM131" s="93">
        <v>80003.372650370482</v>
      </c>
      <c r="NN131" s="93">
        <v>91572.937466262592</v>
      </c>
      <c r="NO131" s="93">
        <v>120706.1751496225</v>
      </c>
      <c r="NP131" s="93">
        <v>181181.15686404146</v>
      </c>
      <c r="NQ131" s="93">
        <v>213749.90368504115</v>
      </c>
      <c r="NR131" s="93">
        <v>249185.77682634312</v>
      </c>
      <c r="NS131" s="93">
        <v>274964.69251707103</v>
      </c>
      <c r="NT131" s="93">
        <v>295503.10458227975</v>
      </c>
      <c r="NU131" s="93">
        <v>273787.96982424788</v>
      </c>
      <c r="NV131" s="93">
        <v>212000.56250055777</v>
      </c>
      <c r="NW131" s="93">
        <v>170583.86109704952</v>
      </c>
      <c r="NX131" s="93">
        <v>110842.38397977554</v>
      </c>
      <c r="NY131" s="93">
        <v>79683.94519977778</v>
      </c>
      <c r="NZ131" s="93">
        <v>91207.316505681796</v>
      </c>
      <c r="OA131" s="93">
        <v>120224.23464484728</v>
      </c>
      <c r="OB131" s="93">
        <v>180457.75942321806</v>
      </c>
      <c r="OC131" s="93">
        <v>212896.46982923444</v>
      </c>
      <c r="OD131" s="93">
        <v>248190.85905252057</v>
      </c>
      <c r="OE131">
        <v>273866.84791597433</v>
      </c>
      <c r="OF131">
        <v>294323.25678071944</v>
      </c>
      <c r="OG131">
        <v>272694.82349420368</v>
      </c>
      <c r="OH131">
        <v>211154.11319523014</v>
      </c>
      <c r="OI131">
        <v>169902.77521207542</v>
      </c>
      <c r="OJ131">
        <v>110399.82638552249</v>
      </c>
      <c r="OK131">
        <v>79365.793119120252</v>
      </c>
    </row>
    <row r="132" spans="4:401" x14ac:dyDescent="0.3">
      <c r="D132" s="133"/>
      <c r="E132" s="7"/>
      <c r="F132" s="21"/>
      <c r="J132" s="76"/>
      <c r="K132" s="66"/>
      <c r="L132" s="66"/>
      <c r="M132" s="119"/>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B132" s="66"/>
      <c r="JC132" s="66"/>
      <c r="JD132" s="66"/>
      <c r="JE132" s="66"/>
      <c r="JF132" s="66"/>
      <c r="JG132" s="66"/>
      <c r="JH132" s="66"/>
      <c r="JI132" s="66"/>
      <c r="JJ132" s="66"/>
      <c r="JK132" s="66"/>
      <c r="JL132" s="66"/>
      <c r="JM132" s="66"/>
      <c r="JN132" s="66"/>
      <c r="JO132" s="66"/>
      <c r="JP132" s="66"/>
      <c r="JQ132" s="66"/>
      <c r="JR132" s="66"/>
      <c r="JS132" s="66"/>
      <c r="JT132" s="66"/>
      <c r="JU132" s="66"/>
      <c r="JV132" s="66"/>
      <c r="JW132" s="66"/>
      <c r="JX132" s="66"/>
      <c r="JY132" s="66"/>
      <c r="JZ132" s="66"/>
      <c r="KA132" s="66"/>
      <c r="KB132" s="66"/>
      <c r="KC132" s="66"/>
      <c r="KD132" s="66"/>
      <c r="KE132" s="66"/>
      <c r="KF132" s="66"/>
      <c r="KG132" s="66"/>
      <c r="KH132" s="66"/>
      <c r="KI132" s="66"/>
      <c r="KJ132" s="66"/>
      <c r="KK132" s="66"/>
      <c r="KL132" s="66"/>
      <c r="KM132" s="66"/>
      <c r="KN132" s="66"/>
      <c r="KO132" s="66"/>
      <c r="KP132" s="66"/>
      <c r="KQ132" s="66"/>
      <c r="KR132" s="66"/>
      <c r="KS132" s="66"/>
      <c r="KT132" s="66"/>
      <c r="KU132" s="66"/>
      <c r="KV132" s="66"/>
      <c r="KW132" s="66"/>
      <c r="KX132" s="66"/>
      <c r="KY132" s="66"/>
      <c r="KZ132" s="66"/>
      <c r="LA132" s="66"/>
      <c r="LB132" s="66"/>
      <c r="LC132" s="66"/>
      <c r="LD132" s="66"/>
      <c r="LE132" s="66"/>
      <c r="LF132" s="66"/>
      <c r="LG132" s="66"/>
      <c r="LH132" s="66"/>
      <c r="LI132" s="66"/>
      <c r="LJ132" s="66"/>
      <c r="LK132" s="66"/>
      <c r="LL132" s="66"/>
      <c r="LM132" s="66"/>
      <c r="LN132" s="66"/>
      <c r="LO132" s="66"/>
      <c r="LP132" s="66"/>
      <c r="LQ132" s="66"/>
      <c r="LR132" s="66"/>
      <c r="LS132" s="66"/>
      <c r="LT132" s="66"/>
      <c r="LU132" s="66"/>
      <c r="LV132" s="66"/>
      <c r="LW132" s="66"/>
      <c r="LX132" s="66"/>
      <c r="LY132" s="66"/>
      <c r="LZ132" s="66"/>
      <c r="MA132" s="66"/>
      <c r="MB132" s="66"/>
      <c r="MC132" s="66"/>
      <c r="MD132" s="66"/>
      <c r="ME132" s="66"/>
      <c r="MF132" s="66"/>
      <c r="MG132" s="66"/>
      <c r="MH132" s="66"/>
      <c r="MI132" s="66"/>
      <c r="MJ132" s="66"/>
      <c r="MK132" s="66"/>
      <c r="ML132" s="66"/>
      <c r="MM132" s="66"/>
      <c r="MN132" s="66"/>
      <c r="MO132" s="66"/>
      <c r="MP132" s="66"/>
      <c r="MQ132" s="66"/>
      <c r="MR132" s="66"/>
      <c r="MS132" s="66"/>
      <c r="MT132" s="66"/>
      <c r="MU132" s="66"/>
      <c r="MV132" s="66"/>
      <c r="MW132" s="66"/>
      <c r="MX132" s="66"/>
      <c r="MY132" s="66"/>
      <c r="MZ132" s="66"/>
      <c r="NA132" s="66"/>
      <c r="NB132" s="66"/>
      <c r="NC132" s="66"/>
      <c r="ND132" s="66"/>
      <c r="NE132" s="66"/>
      <c r="NF132" s="66"/>
      <c r="NG132" s="66"/>
      <c r="NH132" s="66"/>
      <c r="NI132" s="66"/>
      <c r="NJ132" s="66"/>
      <c r="NK132" s="66"/>
      <c r="NL132" s="66"/>
      <c r="NM132" s="66"/>
      <c r="NN132" s="66"/>
      <c r="NO132" s="66"/>
      <c r="NP132" s="66"/>
      <c r="NQ132" s="66"/>
      <c r="NR132" s="66"/>
      <c r="NS132" s="66"/>
      <c r="NT132" s="66"/>
      <c r="NU132" s="66"/>
      <c r="NV132" s="66"/>
      <c r="NW132" s="66"/>
      <c r="NX132" s="66"/>
      <c r="NY132" s="66"/>
      <c r="NZ132" s="66"/>
      <c r="OA132" s="66"/>
      <c r="OB132" s="66"/>
      <c r="OC132" s="66"/>
      <c r="OD132" s="66"/>
    </row>
    <row r="133" spans="4:401" x14ac:dyDescent="0.3">
      <c r="J133" s="76"/>
      <c r="K133" s="66"/>
      <c r="L133" s="66"/>
      <c r="M133" s="69"/>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B133" s="66"/>
      <c r="JC133" s="66"/>
      <c r="JD133" s="66"/>
      <c r="JE133" s="66"/>
      <c r="JF133" s="66"/>
      <c r="JG133" s="66"/>
      <c r="JH133" s="66"/>
      <c r="JI133" s="66"/>
      <c r="JJ133" s="66"/>
      <c r="JK133" s="66"/>
      <c r="JL133" s="66"/>
      <c r="JM133" s="66"/>
      <c r="JN133" s="66"/>
      <c r="JO133" s="66"/>
      <c r="JP133" s="66"/>
      <c r="JQ133" s="66"/>
      <c r="JR133" s="66"/>
      <c r="JS133" s="66"/>
      <c r="JT133" s="66"/>
      <c r="JU133" s="66"/>
      <c r="JV133" s="66"/>
      <c r="JW133" s="66"/>
      <c r="JX133" s="66"/>
      <c r="JY133" s="66"/>
      <c r="JZ133" s="66"/>
      <c r="KA133" s="66"/>
      <c r="KB133" s="66"/>
      <c r="KC133" s="66"/>
      <c r="KD133" s="66"/>
      <c r="KE133" s="66"/>
      <c r="KF133" s="66"/>
      <c r="KG133" s="66"/>
      <c r="KH133" s="66"/>
      <c r="KI133" s="66"/>
      <c r="KJ133" s="66"/>
      <c r="KK133" s="66"/>
      <c r="KL133" s="66"/>
      <c r="KM133" s="66"/>
      <c r="KN133" s="66"/>
      <c r="KO133" s="66"/>
      <c r="KP133" s="66"/>
      <c r="KQ133" s="66"/>
      <c r="KR133" s="66"/>
      <c r="KS133" s="66"/>
      <c r="KT133" s="66"/>
      <c r="KU133" s="66"/>
      <c r="KV133" s="66"/>
      <c r="KW133" s="66"/>
      <c r="KX133" s="66"/>
      <c r="KY133" s="66"/>
      <c r="KZ133" s="66"/>
      <c r="LA133" s="66"/>
      <c r="LB133" s="66"/>
      <c r="LC133" s="66"/>
      <c r="LD133" s="66"/>
      <c r="LE133" s="66"/>
      <c r="LF133" s="66"/>
      <c r="LG133" s="66"/>
      <c r="LH133" s="66"/>
      <c r="LI133" s="66"/>
      <c r="LJ133" s="66"/>
      <c r="LK133" s="66"/>
      <c r="LL133" s="66"/>
      <c r="LM133" s="66"/>
      <c r="LN133" s="66"/>
      <c r="LO133" s="66"/>
      <c r="LP133" s="66"/>
      <c r="LQ133" s="66"/>
      <c r="LR133" s="66"/>
      <c r="LS133" s="66"/>
      <c r="LT133" s="66"/>
      <c r="LU133" s="66"/>
      <c r="LV133" s="66"/>
      <c r="LW133" s="66"/>
      <c r="LX133" s="66"/>
      <c r="LY133" s="66"/>
      <c r="LZ133" s="66"/>
      <c r="MA133" s="66"/>
      <c r="MB133" s="66"/>
      <c r="MC133" s="66"/>
      <c r="MD133" s="66"/>
      <c r="ME133" s="66"/>
      <c r="MF133" s="66"/>
      <c r="MG133" s="66"/>
      <c r="MH133" s="66"/>
      <c r="MI133" s="66"/>
      <c r="MJ133" s="66"/>
      <c r="MK133" s="66"/>
      <c r="ML133" s="66"/>
      <c r="MM133" s="66"/>
      <c r="MN133" s="66"/>
      <c r="MO133" s="66"/>
      <c r="MP133" s="66"/>
      <c r="MQ133" s="66"/>
      <c r="MR133" s="66"/>
      <c r="MS133" s="66"/>
      <c r="MT133" s="66"/>
      <c r="MU133" s="66"/>
      <c r="MV133" s="66"/>
      <c r="MW133" s="66"/>
      <c r="MX133" s="66"/>
      <c r="MY133" s="66"/>
      <c r="MZ133" s="66"/>
      <c r="NA133" s="66"/>
      <c r="NB133" s="66"/>
      <c r="NC133" s="66"/>
      <c r="ND133" s="66"/>
      <c r="NE133" s="66"/>
      <c r="NF133" s="66"/>
      <c r="NG133" s="66"/>
      <c r="NH133" s="66"/>
      <c r="NI133" s="66"/>
      <c r="NJ133" s="66"/>
      <c r="NK133" s="66"/>
      <c r="NL133" s="66"/>
      <c r="NM133" s="66"/>
      <c r="NN133" s="66"/>
      <c r="NO133" s="66"/>
      <c r="NP133" s="66"/>
      <c r="NQ133" s="66"/>
      <c r="NR133" s="66"/>
      <c r="NS133" s="66"/>
      <c r="NT133" s="66"/>
      <c r="NU133" s="66"/>
      <c r="NV133" s="66"/>
      <c r="NW133" s="66"/>
      <c r="NX133" s="66"/>
      <c r="NY133" s="66"/>
      <c r="NZ133" s="66"/>
      <c r="OA133" s="66"/>
      <c r="OB133" s="66"/>
      <c r="OC133" s="66"/>
      <c r="OD133" s="66"/>
    </row>
    <row r="134" spans="4:401" x14ac:dyDescent="0.3">
      <c r="J134" s="76"/>
      <c r="K134" s="66"/>
      <c r="L134" s="77"/>
      <c r="M134" s="107" t="s">
        <v>213</v>
      </c>
      <c r="N134" s="108"/>
      <c r="O134" s="109"/>
      <c r="P134" s="108"/>
      <c r="Q134" s="30"/>
    </row>
    <row r="135" spans="4:401" x14ac:dyDescent="0.3">
      <c r="J135" s="76"/>
      <c r="K135" s="66"/>
      <c r="L135" s="77"/>
      <c r="M135" s="88"/>
      <c r="O135" s="90"/>
    </row>
    <row r="136" spans="4:401" x14ac:dyDescent="0.3">
      <c r="J136" s="76"/>
      <c r="K136" s="66"/>
      <c r="L136" s="77"/>
      <c r="O136" s="8"/>
      <c r="Q136" s="30"/>
    </row>
    <row r="137" spans="4:401" x14ac:dyDescent="0.3">
      <c r="J137" s="76"/>
      <c r="K137" s="66"/>
      <c r="L137" s="77"/>
      <c r="M137" s="151" t="s">
        <v>221</v>
      </c>
      <c r="N137" s="152"/>
      <c r="O137" s="153"/>
      <c r="P137" s="152"/>
      <c r="Q137" s="30"/>
    </row>
    <row r="138" spans="4:401" x14ac:dyDescent="0.3">
      <c r="J138" s="76"/>
      <c r="K138" s="66"/>
      <c r="L138" s="77"/>
      <c r="M138" t="s">
        <v>278</v>
      </c>
      <c r="O138" s="8"/>
      <c r="Q138" s="30"/>
    </row>
    <row r="139" spans="4:401" x14ac:dyDescent="0.3">
      <c r="J139" s="76"/>
      <c r="K139" s="66"/>
      <c r="L139" s="77"/>
      <c r="M139" t="s">
        <v>277</v>
      </c>
      <c r="O139" s="8"/>
      <c r="Q139" s="30"/>
    </row>
    <row r="140" spans="4:401" x14ac:dyDescent="0.3">
      <c r="J140" s="76"/>
      <c r="K140" s="66"/>
      <c r="L140" s="77"/>
      <c r="M140" s="151" t="s">
        <v>216</v>
      </c>
      <c r="N140" s="152"/>
      <c r="O140" s="153"/>
      <c r="P140" s="154"/>
      <c r="Q140" s="30"/>
    </row>
    <row r="141" spans="4:401" x14ac:dyDescent="0.3">
      <c r="J141" s="76"/>
      <c r="K141" s="66"/>
      <c r="L141" s="77"/>
      <c r="O141" s="8"/>
      <c r="Q141" s="30"/>
    </row>
    <row r="142" spans="4:401" x14ac:dyDescent="0.3">
      <c r="J142" s="76"/>
      <c r="K142" s="66"/>
      <c r="L142" s="77"/>
      <c r="N142" s="30"/>
      <c r="O142" s="32"/>
      <c r="P142" s="60"/>
    </row>
    <row r="143" spans="4:401" x14ac:dyDescent="0.3">
      <c r="J143" s="76"/>
      <c r="K143" s="66"/>
      <c r="L143" s="77"/>
      <c r="M143" s="30"/>
      <c r="N143" s="30"/>
      <c r="O143" s="32"/>
      <c r="P143" s="30"/>
    </row>
    <row r="144" spans="4:401" x14ac:dyDescent="0.3">
      <c r="J144" s="76"/>
      <c r="K144" s="66"/>
      <c r="L144" s="77"/>
      <c r="M144" s="147" t="s">
        <v>217</v>
      </c>
      <c r="N144" s="148"/>
      <c r="O144" s="149"/>
      <c r="P144" s="150"/>
    </row>
    <row r="145" spans="10:16" x14ac:dyDescent="0.3">
      <c r="J145" s="76"/>
      <c r="K145" s="66"/>
      <c r="L145" s="77"/>
      <c r="M145" s="111" t="s">
        <v>6</v>
      </c>
      <c r="N145" s="112"/>
      <c r="O145" s="113"/>
      <c r="P145" s="112"/>
    </row>
    <row r="146" spans="10:16" x14ac:dyDescent="0.3">
      <c r="J146" s="76"/>
      <c r="K146" s="66"/>
      <c r="L146" s="77"/>
      <c r="N146" s="110"/>
      <c r="O146" s="59"/>
      <c r="P146" s="110"/>
    </row>
    <row r="147" spans="10:16" x14ac:dyDescent="0.3">
      <c r="J147" s="76"/>
      <c r="K147" s="66"/>
      <c r="L147" s="77"/>
      <c r="N147" s="30"/>
      <c r="O147" s="32"/>
      <c r="P147" s="94"/>
    </row>
    <row r="148" spans="10:16" x14ac:dyDescent="0.3">
      <c r="J148" s="76"/>
      <c r="K148" s="66"/>
      <c r="L148" s="77"/>
      <c r="M148" s="147" t="s">
        <v>215</v>
      </c>
      <c r="N148" s="148"/>
      <c r="O148" s="149"/>
      <c r="P148" s="148"/>
    </row>
    <row r="149" spans="10:16" x14ac:dyDescent="0.3">
      <c r="J149" s="76"/>
      <c r="K149" s="66"/>
      <c r="L149" s="77"/>
      <c r="N149" s="30"/>
      <c r="O149" s="32"/>
      <c r="P149" s="65"/>
    </row>
    <row r="150" spans="10:16" x14ac:dyDescent="0.3">
      <c r="J150" s="76"/>
      <c r="K150" s="66"/>
      <c r="L150" s="77"/>
      <c r="N150" s="30"/>
      <c r="O150" s="32"/>
      <c r="P150" s="30"/>
    </row>
    <row r="151" spans="10:16" x14ac:dyDescent="0.3">
      <c r="J151" s="76"/>
      <c r="K151" s="66"/>
      <c r="L151" s="77"/>
      <c r="M151" s="30"/>
      <c r="N151" s="30"/>
      <c r="O151" s="32"/>
      <c r="P151" s="30"/>
    </row>
    <row r="152" spans="10:16" x14ac:dyDescent="0.3">
      <c r="J152" s="76"/>
      <c r="K152" s="66"/>
      <c r="L152" s="77"/>
      <c r="M152" s="147" t="s">
        <v>214</v>
      </c>
      <c r="N152" s="148"/>
      <c r="O152" s="149"/>
      <c r="P152" s="148"/>
    </row>
    <row r="153" spans="10:16" x14ac:dyDescent="0.3">
      <c r="J153" s="76"/>
      <c r="K153" s="66"/>
      <c r="L153" s="77"/>
      <c r="M153" s="114" t="s">
        <v>222</v>
      </c>
      <c r="N153" s="115"/>
      <c r="O153" s="116" t="s">
        <v>81</v>
      </c>
      <c r="P153" s="115"/>
    </row>
    <row r="154" spans="10:16" x14ac:dyDescent="0.3">
      <c r="J154" s="76"/>
      <c r="K154" s="66"/>
      <c r="L154" s="77"/>
      <c r="M154" s="101" t="s">
        <v>219</v>
      </c>
      <c r="N154" s="102"/>
      <c r="O154" s="103" t="s">
        <v>81</v>
      </c>
      <c r="P154" s="102"/>
    </row>
    <row r="155" spans="10:16" x14ac:dyDescent="0.3">
      <c r="J155" s="76"/>
      <c r="K155" s="66"/>
      <c r="L155" s="66"/>
      <c r="M155" s="119"/>
      <c r="N155" s="66"/>
      <c r="O155" s="66"/>
      <c r="P155" s="66"/>
    </row>
    <row r="156" spans="10:16" x14ac:dyDescent="0.3">
      <c r="J156" s="76"/>
      <c r="K156" s="66"/>
      <c r="L156" s="66"/>
      <c r="M156" s="66" t="s">
        <v>5</v>
      </c>
      <c r="N156" s="66"/>
      <c r="O156" s="66"/>
      <c r="P156" s="66"/>
    </row>
    <row r="157" spans="10:16" x14ac:dyDescent="0.3">
      <c r="J157" s="76"/>
      <c r="K157" s="66"/>
      <c r="L157" s="66"/>
      <c r="M157" s="66" t="s">
        <v>250</v>
      </c>
      <c r="N157" s="66"/>
      <c r="O157" s="66"/>
      <c r="P157" s="66"/>
    </row>
    <row r="158" spans="10:16" x14ac:dyDescent="0.3">
      <c r="J158" s="76"/>
      <c r="K158" s="66"/>
      <c r="L158" s="66"/>
      <c r="M158" s="66" t="s">
        <v>251</v>
      </c>
      <c r="N158" s="66"/>
      <c r="O158" s="66"/>
      <c r="P158" s="66"/>
    </row>
    <row r="159" spans="10:16" x14ac:dyDescent="0.3">
      <c r="J159" s="76"/>
      <c r="K159" s="66"/>
      <c r="L159" s="66"/>
      <c r="M159" s="66" t="s">
        <v>252</v>
      </c>
      <c r="N159" s="66"/>
      <c r="O159" s="66"/>
      <c r="P159" s="66"/>
    </row>
    <row r="160" spans="10:16" x14ac:dyDescent="0.3">
      <c r="J160" s="76"/>
      <c r="K160" s="66"/>
      <c r="L160" s="66"/>
      <c r="M160" s="66"/>
      <c r="N160" s="66"/>
      <c r="O160" s="66"/>
      <c r="P160" s="66"/>
    </row>
    <row r="161" spans="10:16" x14ac:dyDescent="0.3">
      <c r="J161" s="76"/>
      <c r="K161" s="66"/>
      <c r="L161" s="77"/>
      <c r="M161" s="139" t="s">
        <v>1</v>
      </c>
      <c r="N161" s="140"/>
      <c r="O161" s="162"/>
      <c r="P161" s="140"/>
    </row>
    <row r="162" spans="10:16" x14ac:dyDescent="0.3">
      <c r="J162" s="76"/>
      <c r="K162" s="66"/>
      <c r="L162" s="77"/>
      <c r="M162" t="s">
        <v>223</v>
      </c>
      <c r="O162" s="8"/>
    </row>
    <row r="163" spans="10:16" x14ac:dyDescent="0.3">
      <c r="J163" s="76"/>
      <c r="K163" s="66"/>
      <c r="L163" s="77"/>
      <c r="M163" t="s">
        <v>253</v>
      </c>
      <c r="O163" s="8"/>
    </row>
    <row r="164" spans="10:16" x14ac:dyDescent="0.3">
      <c r="J164" s="76"/>
      <c r="K164" s="66"/>
      <c r="L164" s="77"/>
      <c r="M164" t="s">
        <v>254</v>
      </c>
      <c r="O164" s="8"/>
    </row>
    <row r="165" spans="10:16" x14ac:dyDescent="0.3">
      <c r="J165" s="76"/>
      <c r="K165" s="66"/>
      <c r="L165" s="77"/>
      <c r="M165" t="s">
        <v>298</v>
      </c>
      <c r="O165" s="8"/>
      <c r="P165" s="63"/>
    </row>
    <row r="166" spans="10:16" x14ac:dyDescent="0.3">
      <c r="J166" s="76"/>
      <c r="K166" s="66"/>
      <c r="L166" s="77"/>
      <c r="M166" t="s">
        <v>299</v>
      </c>
      <c r="O166" s="8"/>
      <c r="P166" s="63"/>
    </row>
    <row r="167" spans="10:16" x14ac:dyDescent="0.3">
      <c r="J167" s="76"/>
      <c r="K167" s="66"/>
      <c r="L167" s="77"/>
      <c r="M167" s="87" t="s">
        <v>270</v>
      </c>
      <c r="N167" s="6"/>
      <c r="O167" s="33"/>
      <c r="P167" s="6"/>
    </row>
    <row r="168" spans="10:16" x14ac:dyDescent="0.3">
      <c r="J168" s="76"/>
      <c r="K168" s="66"/>
      <c r="L168" s="77"/>
      <c r="M168" s="159" t="s">
        <v>271</v>
      </c>
      <c r="N168" s="159"/>
      <c r="O168" s="163" t="s">
        <v>81</v>
      </c>
      <c r="P168" s="159"/>
    </row>
    <row r="169" spans="10:16" x14ac:dyDescent="0.3">
      <c r="J169" s="76"/>
      <c r="K169" s="66"/>
      <c r="L169" s="77"/>
      <c r="M169" s="139" t="s">
        <v>219</v>
      </c>
      <c r="N169" s="140"/>
      <c r="O169" s="162" t="s">
        <v>81</v>
      </c>
      <c r="P169" s="140"/>
    </row>
    <row r="170" spans="10:16" x14ac:dyDescent="0.3">
      <c r="J170" s="76"/>
      <c r="K170" s="66"/>
      <c r="L170" s="66"/>
      <c r="M170" s="119"/>
      <c r="N170" s="66"/>
      <c r="O170" s="66"/>
      <c r="P170" s="66"/>
    </row>
    <row r="171" spans="10:16" x14ac:dyDescent="0.3">
      <c r="J171" s="76"/>
      <c r="K171" s="66"/>
      <c r="L171" s="66"/>
      <c r="M171" s="66" t="s">
        <v>296</v>
      </c>
      <c r="N171" s="66"/>
      <c r="O171" s="66"/>
      <c r="P171" s="66"/>
    </row>
    <row r="172" spans="10:16" x14ac:dyDescent="0.3">
      <c r="J172" s="76"/>
      <c r="K172" s="66"/>
      <c r="L172" s="66"/>
      <c r="M172" s="66" t="s">
        <v>297</v>
      </c>
      <c r="N172" s="66"/>
      <c r="O172" s="66"/>
      <c r="P172" s="66"/>
    </row>
    <row r="173" spans="10:16" x14ac:dyDescent="0.3">
      <c r="J173" s="76"/>
      <c r="K173" s="66"/>
      <c r="L173" s="66"/>
      <c r="M173" s="66"/>
      <c r="N173" s="66"/>
      <c r="O173" s="66"/>
      <c r="P173" s="66"/>
    </row>
    <row r="174" spans="10:16" ht="14.4" thickBot="1" x14ac:dyDescent="0.35">
      <c r="J174" s="157"/>
      <c r="K174" s="156"/>
      <c r="L174" s="155" t="s">
        <v>255</v>
      </c>
      <c r="M174" s="156"/>
      <c r="N174" s="156"/>
      <c r="O174" s="156"/>
      <c r="P174" s="156"/>
    </row>
    <row r="175" spans="10:16" x14ac:dyDescent="0.3">
      <c r="J175" s="76"/>
      <c r="K175" s="66"/>
      <c r="L175" s="126" t="s">
        <v>256</v>
      </c>
      <c r="M175" s="66"/>
      <c r="N175" s="66"/>
      <c r="O175" s="66"/>
      <c r="P175" s="66"/>
    </row>
    <row r="176" spans="10:16" x14ac:dyDescent="0.3">
      <c r="J176" s="76"/>
      <c r="K176" s="66"/>
      <c r="L176" s="126"/>
      <c r="M176" s="66"/>
      <c r="N176" s="66"/>
      <c r="O176" s="66"/>
      <c r="P176" s="66"/>
    </row>
    <row r="177" spans="10:16" x14ac:dyDescent="0.3">
      <c r="J177" s="76"/>
      <c r="K177" s="66"/>
      <c r="L177" s="77"/>
      <c r="M177" s="135" t="s">
        <v>276</v>
      </c>
      <c r="N177" s="136"/>
      <c r="O177" s="164"/>
      <c r="P177" s="136"/>
    </row>
    <row r="178" spans="10:16" x14ac:dyDescent="0.3">
      <c r="J178" s="76"/>
      <c r="K178" s="66"/>
      <c r="L178" s="77"/>
      <c r="M178" s="158" t="s">
        <v>251</v>
      </c>
      <c r="N178" s="85"/>
      <c r="O178" s="86" t="s">
        <v>81</v>
      </c>
      <c r="P178" s="85"/>
    </row>
    <row r="179" spans="10:16" x14ac:dyDescent="0.3">
      <c r="J179" s="76"/>
      <c r="K179" s="66"/>
      <c r="L179" s="77"/>
      <c r="M179" s="158" t="s">
        <v>1</v>
      </c>
      <c r="N179" s="85"/>
      <c r="O179" s="86" t="s">
        <v>81</v>
      </c>
      <c r="P179" s="85"/>
    </row>
    <row r="180" spans="10:16" x14ac:dyDescent="0.3">
      <c r="J180" s="76"/>
      <c r="K180" s="66"/>
      <c r="L180" s="77"/>
      <c r="M180" s="30" t="s">
        <v>266</v>
      </c>
      <c r="N180" s="30"/>
      <c r="O180" s="32" t="s">
        <v>269</v>
      </c>
      <c r="P180" s="30"/>
    </row>
    <row r="181" spans="10:16" x14ac:dyDescent="0.3">
      <c r="J181" s="76"/>
      <c r="K181" s="66"/>
      <c r="L181" s="77"/>
      <c r="M181" s="30" t="s">
        <v>267</v>
      </c>
      <c r="N181" s="30"/>
      <c r="O181" s="32"/>
      <c r="P181" s="30"/>
    </row>
    <row r="182" spans="10:16" x14ac:dyDescent="0.3">
      <c r="J182" s="76"/>
      <c r="K182" s="66"/>
      <c r="L182" s="77"/>
      <c r="M182" s="30" t="s">
        <v>268</v>
      </c>
      <c r="N182" s="30"/>
      <c r="O182" s="32"/>
      <c r="P182" s="30"/>
    </row>
    <row r="183" spans="10:16" x14ac:dyDescent="0.3">
      <c r="J183" s="76"/>
      <c r="K183" s="66"/>
      <c r="L183" s="77"/>
      <c r="M183" s="87" t="s">
        <v>264</v>
      </c>
      <c r="N183" s="6"/>
      <c r="O183" s="33" t="s">
        <v>81</v>
      </c>
      <c r="P183" s="6"/>
    </row>
    <row r="184" spans="10:16" x14ac:dyDescent="0.3">
      <c r="J184" s="76"/>
      <c r="K184" s="66"/>
      <c r="L184" s="77"/>
      <c r="M184" s="2" t="s">
        <v>258</v>
      </c>
      <c r="N184" s="160"/>
      <c r="O184" s="165"/>
      <c r="P184" s="160"/>
    </row>
    <row r="185" spans="10:16" x14ac:dyDescent="0.3">
      <c r="J185" s="76"/>
      <c r="K185" s="66"/>
      <c r="L185" s="77"/>
      <c r="M185" s="161" t="s">
        <v>265</v>
      </c>
      <c r="N185" s="161"/>
      <c r="O185" s="166" t="s">
        <v>81</v>
      </c>
      <c r="P185" s="161"/>
    </row>
    <row r="186" spans="10:16" x14ac:dyDescent="0.3">
      <c r="J186" s="76"/>
      <c r="K186" s="66"/>
      <c r="L186" s="77"/>
      <c r="M186" s="135" t="s">
        <v>219</v>
      </c>
      <c r="N186" s="136"/>
      <c r="O186" s="164" t="s">
        <v>81</v>
      </c>
      <c r="P186" s="136"/>
    </row>
    <row r="187" spans="10:16" x14ac:dyDescent="0.3">
      <c r="J187" s="76"/>
      <c r="K187" s="66"/>
      <c r="L187" s="66"/>
      <c r="M187" s="66"/>
      <c r="N187" s="66"/>
      <c r="O187" s="66"/>
      <c r="P187" s="66"/>
    </row>
    <row r="188" spans="10:16" x14ac:dyDescent="0.3">
      <c r="J188" s="76"/>
      <c r="K188" s="66"/>
      <c r="L188" s="66"/>
      <c r="M188" s="66" t="s">
        <v>283</v>
      </c>
      <c r="N188" s="66"/>
      <c r="O188" s="66"/>
      <c r="P188" s="66"/>
    </row>
    <row r="189" spans="10:16" x14ac:dyDescent="0.3">
      <c r="J189" s="76"/>
      <c r="K189" s="66"/>
      <c r="L189" s="66"/>
      <c r="M189" s="66" t="s">
        <v>281</v>
      </c>
      <c r="N189" s="66"/>
      <c r="O189" s="66"/>
      <c r="P189" s="66"/>
    </row>
    <row r="190" spans="10:16" x14ac:dyDescent="0.3">
      <c r="J190" s="76"/>
      <c r="K190" s="66"/>
      <c r="L190" s="66"/>
      <c r="M190" s="66"/>
      <c r="N190" s="66"/>
      <c r="O190" s="66"/>
      <c r="P190" s="66"/>
    </row>
    <row r="191" spans="10:16" x14ac:dyDescent="0.3">
      <c r="J191" s="76"/>
      <c r="K191" s="66"/>
      <c r="L191" s="77"/>
      <c r="M191" s="137" t="s">
        <v>316</v>
      </c>
      <c r="N191" s="138"/>
      <c r="O191" s="167"/>
      <c r="P191" s="138"/>
    </row>
    <row r="192" spans="10:16" x14ac:dyDescent="0.3">
      <c r="J192" s="76"/>
      <c r="K192" s="66"/>
      <c r="L192" s="77"/>
      <c r="M192" t="s">
        <v>318</v>
      </c>
      <c r="O192" s="8"/>
    </row>
    <row r="193" spans="10:16" x14ac:dyDescent="0.3">
      <c r="J193" s="76"/>
      <c r="K193" s="66"/>
      <c r="L193" s="77"/>
      <c r="M193" t="s">
        <v>319</v>
      </c>
      <c r="O193" s="8"/>
    </row>
    <row r="194" spans="10:16" x14ac:dyDescent="0.3">
      <c r="J194" s="76"/>
      <c r="K194" s="66"/>
      <c r="L194" s="77"/>
      <c r="M194" t="s">
        <v>320</v>
      </c>
      <c r="O194" s="8"/>
    </row>
    <row r="195" spans="10:16" x14ac:dyDescent="0.3">
      <c r="J195" s="76"/>
      <c r="K195" s="66"/>
      <c r="L195" s="77"/>
      <c r="M195" t="s">
        <v>321</v>
      </c>
      <c r="O195" s="8"/>
    </row>
    <row r="196" spans="10:16" x14ac:dyDescent="0.3">
      <c r="J196" s="76"/>
      <c r="K196" s="66"/>
      <c r="L196" s="77"/>
      <c r="M196" s="193" t="s">
        <v>317</v>
      </c>
      <c r="N196" s="194"/>
      <c r="O196" s="195"/>
      <c r="P196" s="194"/>
    </row>
    <row r="197" spans="10:16" x14ac:dyDescent="0.3">
      <c r="J197" s="76"/>
      <c r="K197" s="66"/>
      <c r="L197" s="77"/>
      <c r="M197" t="s">
        <v>322</v>
      </c>
      <c r="O197" s="8"/>
    </row>
    <row r="198" spans="10:16" x14ac:dyDescent="0.3">
      <c r="J198" s="76"/>
      <c r="K198" s="66"/>
      <c r="L198" s="77"/>
      <c r="M198" t="s">
        <v>323</v>
      </c>
      <c r="O198" s="8"/>
    </row>
    <row r="199" spans="10:16" x14ac:dyDescent="0.3">
      <c r="J199" s="76"/>
      <c r="K199" s="66"/>
      <c r="L199" s="77"/>
      <c r="M199" t="s">
        <v>325</v>
      </c>
      <c r="O199" s="8"/>
    </row>
    <row r="200" spans="10:16" x14ac:dyDescent="0.3">
      <c r="J200" s="76"/>
      <c r="K200" s="66"/>
      <c r="L200" s="77"/>
      <c r="M200" t="s">
        <v>326</v>
      </c>
      <c r="O200" s="8"/>
    </row>
    <row r="201" spans="10:16" x14ac:dyDescent="0.3">
      <c r="J201" s="76"/>
      <c r="K201" s="66"/>
      <c r="L201" s="77"/>
      <c r="M201" t="s">
        <v>324</v>
      </c>
      <c r="O201" s="8"/>
    </row>
    <row r="202" spans="10:16" x14ac:dyDescent="0.3">
      <c r="J202" s="76"/>
      <c r="K202" s="66"/>
      <c r="L202" s="77"/>
      <c r="M202" t="s">
        <v>327</v>
      </c>
      <c r="O202" s="8"/>
    </row>
    <row r="203" spans="10:16" x14ac:dyDescent="0.3">
      <c r="J203" s="76"/>
      <c r="K203" s="66"/>
      <c r="L203" s="77"/>
      <c r="M203" s="193" t="s">
        <v>331</v>
      </c>
      <c r="N203" s="194"/>
      <c r="O203" s="195"/>
      <c r="P203" s="194"/>
    </row>
    <row r="204" spans="10:16" x14ac:dyDescent="0.3">
      <c r="J204" s="76"/>
      <c r="K204" s="66"/>
      <c r="L204" s="77"/>
      <c r="M204" t="s">
        <v>328</v>
      </c>
      <c r="O204" s="8"/>
    </row>
    <row r="205" spans="10:16" x14ac:dyDescent="0.3">
      <c r="J205" s="76"/>
      <c r="K205" s="66"/>
      <c r="L205" s="77"/>
      <c r="M205" t="s">
        <v>329</v>
      </c>
      <c r="O205" s="8"/>
    </row>
    <row r="206" spans="10:16" x14ac:dyDescent="0.3">
      <c r="J206" s="76"/>
      <c r="K206" s="66"/>
      <c r="L206" s="77"/>
      <c r="M206" t="s">
        <v>330</v>
      </c>
      <c r="O206" s="8"/>
    </row>
    <row r="207" spans="10:16" x14ac:dyDescent="0.3">
      <c r="J207" s="76"/>
      <c r="K207" s="66"/>
      <c r="L207" s="77"/>
      <c r="M207" s="193" t="s">
        <v>260</v>
      </c>
      <c r="N207" s="194"/>
      <c r="O207" s="195"/>
      <c r="P207" s="194"/>
    </row>
    <row r="208" spans="10:16" x14ac:dyDescent="0.3">
      <c r="J208" s="76"/>
      <c r="K208" s="66"/>
      <c r="L208" s="77"/>
      <c r="M208" s="137" t="s">
        <v>219</v>
      </c>
      <c r="N208" s="138"/>
      <c r="O208" s="167"/>
      <c r="P208" s="138"/>
    </row>
    <row r="209" spans="4:394" x14ac:dyDescent="0.3">
      <c r="J209" s="76"/>
      <c r="K209" s="66"/>
      <c r="L209" s="66"/>
      <c r="M209" s="66"/>
      <c r="N209" s="66"/>
      <c r="O209" s="66"/>
      <c r="P209" s="66"/>
    </row>
    <row r="210" spans="4:394" x14ac:dyDescent="0.3">
      <c r="J210" s="76"/>
      <c r="K210" s="66"/>
      <c r="L210" s="66"/>
      <c r="M210" s="66"/>
      <c r="N210" s="66"/>
      <c r="O210" s="66"/>
      <c r="P210" s="66"/>
    </row>
    <row r="211" spans="4:394" x14ac:dyDescent="0.3">
      <c r="J211" s="76"/>
      <c r="K211" s="66"/>
      <c r="L211" s="77"/>
      <c r="M211" s="199" t="s">
        <v>259</v>
      </c>
      <c r="N211" s="142"/>
      <c r="O211" s="168"/>
      <c r="P211" s="142"/>
    </row>
    <row r="212" spans="4:394" x14ac:dyDescent="0.3">
      <c r="J212" s="76"/>
      <c r="K212" s="66"/>
      <c r="L212" s="77"/>
      <c r="O212" s="8"/>
    </row>
    <row r="213" spans="4:394" x14ac:dyDescent="0.3">
      <c r="J213" s="76"/>
      <c r="K213" s="66"/>
      <c r="L213" s="77"/>
      <c r="O213" s="8"/>
    </row>
    <row r="214" spans="4:394" x14ac:dyDescent="0.3">
      <c r="D214" s="133"/>
      <c r="E214" s="7"/>
      <c r="F214" s="21"/>
      <c r="J214" s="76"/>
      <c r="K214" s="66"/>
      <c r="L214" s="77"/>
      <c r="O214" s="8"/>
    </row>
    <row r="215" spans="4:394" x14ac:dyDescent="0.3">
      <c r="D215" s="133"/>
      <c r="E215" s="7"/>
      <c r="F215" s="21"/>
      <c r="J215" s="76"/>
      <c r="K215" s="66"/>
      <c r="L215" s="77"/>
      <c r="M215" s="196" t="s">
        <v>220</v>
      </c>
      <c r="N215" s="197"/>
      <c r="O215" s="198"/>
      <c r="P215" s="197"/>
    </row>
    <row r="216" spans="4:394" x14ac:dyDescent="0.3">
      <c r="D216" s="133"/>
      <c r="E216" s="7"/>
      <c r="F216" s="21"/>
      <c r="J216" s="76"/>
      <c r="K216" s="66"/>
      <c r="L216" s="77"/>
      <c r="O216" s="8"/>
    </row>
    <row r="217" spans="4:394" x14ac:dyDescent="0.3">
      <c r="D217" s="133"/>
      <c r="E217" s="7"/>
      <c r="F217" s="21"/>
      <c r="J217" s="76"/>
      <c r="K217" s="66"/>
      <c r="L217" s="77"/>
      <c r="O217" s="8"/>
      <c r="Q217" s="63"/>
      <c r="W217" s="63"/>
      <c r="X217" s="63"/>
      <c r="Y217" s="63"/>
      <c r="Z217" s="63"/>
      <c r="AA217" s="63"/>
      <c r="AB217" s="63"/>
      <c r="AC217" s="63"/>
      <c r="AD217" s="63"/>
      <c r="AE217" s="63"/>
      <c r="AF217" s="63"/>
      <c r="AG217" s="63"/>
      <c r="AH217" s="63"/>
      <c r="AI217" s="63"/>
      <c r="AJ217" s="63"/>
      <c r="AK217" s="63"/>
      <c r="AL217" s="63"/>
      <c r="AM217" s="63"/>
      <c r="AN217" s="63"/>
      <c r="AO217" s="63"/>
      <c r="AP217" s="63"/>
      <c r="AQ217" s="63"/>
      <c r="AR217" s="63"/>
      <c r="AS217" s="63"/>
      <c r="AT217" s="63"/>
      <c r="AU217" s="63"/>
      <c r="AV217" s="63"/>
      <c r="AW217" s="63"/>
      <c r="AX217" s="63"/>
      <c r="AY217" s="63"/>
      <c r="AZ217" s="63"/>
      <c r="BA217" s="63"/>
      <c r="BB217" s="63"/>
      <c r="BC217" s="63"/>
      <c r="BD217" s="63"/>
      <c r="BE217" s="63"/>
      <c r="BF217" s="63"/>
      <c r="BG217" s="63"/>
      <c r="BH217" s="63"/>
      <c r="BI217" s="63"/>
      <c r="BJ217" s="63"/>
      <c r="BK217" s="63"/>
      <c r="BL217" s="63"/>
      <c r="BM217" s="63"/>
      <c r="BN217" s="63"/>
      <c r="BO217" s="63"/>
      <c r="BP217" s="63"/>
      <c r="BQ217" s="63"/>
      <c r="BR217" s="63"/>
      <c r="BS217" s="63"/>
      <c r="BT217" s="63"/>
      <c r="BU217" s="63"/>
      <c r="BV217" s="63"/>
      <c r="BW217" s="63"/>
      <c r="BX217" s="63"/>
      <c r="BY217" s="63"/>
      <c r="BZ217" s="63"/>
      <c r="CA217" s="63"/>
      <c r="CB217" s="63"/>
      <c r="CC217" s="63"/>
      <c r="CD217" s="63"/>
      <c r="CE217" s="63"/>
      <c r="CF217" s="63"/>
      <c r="CG217" s="63"/>
      <c r="CH217" s="63"/>
      <c r="CI217" s="63"/>
      <c r="CJ217" s="63"/>
      <c r="CK217" s="63"/>
      <c r="CL217" s="63"/>
      <c r="CM217" s="63"/>
      <c r="CN217" s="63"/>
      <c r="CO217" s="63"/>
      <c r="CP217" s="63"/>
      <c r="CQ217" s="63"/>
      <c r="CR217" s="63"/>
      <c r="CS217" s="63"/>
      <c r="CT217" s="63"/>
      <c r="CU217" s="63"/>
      <c r="CV217" s="63"/>
      <c r="CW217" s="63"/>
      <c r="CX217" s="63"/>
      <c r="CY217" s="63"/>
      <c r="CZ217" s="63"/>
      <c r="DA217" s="63"/>
      <c r="DB217" s="63"/>
      <c r="DC217" s="63"/>
      <c r="DD217" s="63"/>
      <c r="DE217" s="63"/>
      <c r="DF217" s="63"/>
      <c r="DG217" s="63"/>
      <c r="DH217" s="63"/>
      <c r="DI217" s="63"/>
      <c r="DJ217" s="63"/>
      <c r="DK217" s="63"/>
      <c r="DL217" s="63"/>
      <c r="DM217" s="63"/>
      <c r="DN217" s="63"/>
      <c r="DO217" s="63"/>
      <c r="DP217" s="63"/>
      <c r="DQ217" s="63"/>
      <c r="DR217" s="63"/>
      <c r="DS217" s="63"/>
      <c r="DT217" s="63"/>
      <c r="DU217" s="63"/>
      <c r="DV217" s="63"/>
      <c r="DW217" s="63"/>
      <c r="DX217" s="63"/>
      <c r="DY217" s="63"/>
      <c r="DZ217" s="63"/>
      <c r="EA217" s="63"/>
      <c r="EB217" s="63"/>
      <c r="EC217" s="63"/>
      <c r="ED217" s="63"/>
      <c r="EE217" s="63"/>
      <c r="EF217" s="63"/>
      <c r="EG217" s="63"/>
      <c r="EH217" s="63"/>
      <c r="EI217" s="63"/>
      <c r="EJ217" s="63"/>
      <c r="EK217" s="63"/>
      <c r="EL217" s="63"/>
      <c r="EM217" s="63"/>
      <c r="EN217" s="63"/>
      <c r="EO217" s="63"/>
      <c r="EP217" s="63"/>
      <c r="EQ217" s="63"/>
      <c r="ER217" s="63"/>
      <c r="ES217" s="63"/>
      <c r="ET217" s="63"/>
      <c r="EU217" s="63"/>
      <c r="EV217" s="63"/>
      <c r="EW217" s="63"/>
      <c r="EX217" s="63"/>
      <c r="EY217" s="63"/>
      <c r="EZ217" s="63"/>
      <c r="FA217" s="63"/>
      <c r="FB217" s="63"/>
      <c r="FC217" s="63"/>
      <c r="FD217" s="63"/>
      <c r="FE217" s="63"/>
      <c r="FF217" s="63"/>
      <c r="FG217" s="63"/>
      <c r="FH217" s="63"/>
      <c r="FI217" s="63"/>
      <c r="FJ217" s="63"/>
      <c r="FK217" s="63"/>
      <c r="FL217" s="63"/>
      <c r="FM217" s="63"/>
      <c r="FN217" s="63"/>
      <c r="FO217" s="63"/>
      <c r="FP217" s="63"/>
      <c r="FQ217" s="63"/>
      <c r="FR217" s="63"/>
      <c r="FS217" s="63"/>
      <c r="FT217" s="63"/>
      <c r="FU217" s="63"/>
      <c r="FV217" s="63"/>
      <c r="FW217" s="63"/>
      <c r="FX217" s="63"/>
      <c r="FY217" s="63"/>
      <c r="FZ217" s="63"/>
      <c r="GA217" s="63"/>
      <c r="GB217" s="63"/>
      <c r="GC217" s="63"/>
      <c r="GD217" s="63"/>
      <c r="GE217" s="63"/>
      <c r="GF217" s="63"/>
      <c r="GG217" s="63"/>
      <c r="GH217" s="63"/>
      <c r="GI217" s="63"/>
      <c r="GJ217" s="63"/>
      <c r="GK217" s="63"/>
      <c r="GL217" s="63"/>
      <c r="GM217" s="63"/>
      <c r="GN217" s="63"/>
      <c r="GO217" s="63"/>
      <c r="GP217" s="63"/>
      <c r="GQ217" s="63"/>
      <c r="GR217" s="63"/>
      <c r="GS217" s="63"/>
      <c r="GT217" s="63"/>
      <c r="GU217" s="63"/>
      <c r="GV217" s="63"/>
      <c r="GW217" s="63"/>
      <c r="GX217" s="63"/>
      <c r="GY217" s="63"/>
      <c r="GZ217" s="63"/>
      <c r="HA217" s="63"/>
      <c r="HB217" s="63"/>
      <c r="HC217" s="63"/>
      <c r="HD217" s="63"/>
      <c r="HE217" s="63"/>
      <c r="HF217" s="63"/>
      <c r="HG217" s="63"/>
      <c r="HH217" s="63"/>
      <c r="HI217" s="63"/>
      <c r="HJ217" s="63"/>
      <c r="HK217" s="63"/>
      <c r="HL217" s="63"/>
      <c r="HM217" s="63"/>
      <c r="HN217" s="63"/>
      <c r="HO217" s="63"/>
      <c r="HP217" s="63"/>
      <c r="HQ217" s="63"/>
      <c r="HR217" s="63"/>
      <c r="HS217" s="63"/>
      <c r="HT217" s="63"/>
      <c r="HU217" s="63"/>
      <c r="HV217" s="63"/>
      <c r="HW217" s="63"/>
      <c r="HX217" s="63"/>
      <c r="HY217" s="63"/>
      <c r="HZ217" s="63"/>
      <c r="IA217" s="63"/>
      <c r="IB217" s="63"/>
      <c r="IC217" s="63"/>
      <c r="ID217" s="63"/>
      <c r="IE217" s="63"/>
      <c r="IF217" s="63"/>
      <c r="IG217" s="63"/>
      <c r="IH217" s="63"/>
      <c r="II217" s="63"/>
      <c r="IJ217" s="63"/>
      <c r="IK217" s="63"/>
      <c r="IL217" s="63"/>
      <c r="IM217" s="63"/>
      <c r="IN217" s="63"/>
      <c r="IO217" s="63"/>
      <c r="IP217" s="63"/>
      <c r="IQ217" s="63"/>
      <c r="IR217" s="63"/>
      <c r="IS217" s="63"/>
      <c r="IT217" s="63"/>
      <c r="IU217" s="63"/>
      <c r="IV217" s="63"/>
      <c r="IW217" s="63"/>
      <c r="IX217" s="63"/>
      <c r="IY217" s="63"/>
      <c r="IZ217" s="63"/>
      <c r="JA217" s="63"/>
      <c r="JB217" s="63"/>
      <c r="JC217" s="63"/>
      <c r="JD217" s="63"/>
      <c r="JE217" s="63"/>
      <c r="JF217" s="63"/>
      <c r="JG217" s="63"/>
      <c r="JH217" s="63"/>
      <c r="JI217" s="63"/>
      <c r="JJ217" s="63"/>
      <c r="JK217" s="63"/>
      <c r="JL217" s="63"/>
      <c r="JM217" s="63"/>
      <c r="JN217" s="63"/>
      <c r="JO217" s="63"/>
      <c r="JP217" s="63"/>
      <c r="JQ217" s="63"/>
      <c r="JR217" s="63"/>
      <c r="JS217" s="63"/>
      <c r="JT217" s="63"/>
      <c r="JU217" s="63"/>
      <c r="JV217" s="63"/>
      <c r="JW217" s="63"/>
      <c r="JX217" s="63"/>
      <c r="JY217" s="63"/>
      <c r="JZ217" s="63"/>
      <c r="KA217" s="63"/>
      <c r="KB217" s="63"/>
      <c r="KC217" s="63"/>
      <c r="KD217" s="63"/>
      <c r="KE217" s="63"/>
      <c r="KF217" s="63"/>
      <c r="KG217" s="63"/>
      <c r="KH217" s="63"/>
      <c r="KI217" s="63"/>
      <c r="KJ217" s="63"/>
      <c r="KK217" s="63"/>
      <c r="KL217" s="63"/>
      <c r="KM217" s="63"/>
      <c r="KN217" s="63"/>
      <c r="KO217" s="63"/>
      <c r="KP217" s="63"/>
      <c r="KQ217" s="63"/>
      <c r="KR217" s="63"/>
      <c r="KS217" s="63"/>
      <c r="KT217" s="63"/>
      <c r="KU217" s="63"/>
      <c r="KV217" s="63"/>
      <c r="KW217" s="63"/>
      <c r="KX217" s="63"/>
      <c r="KY217" s="63"/>
      <c r="KZ217" s="63"/>
      <c r="LA217" s="63"/>
      <c r="LB217" s="63"/>
      <c r="LC217" s="63"/>
      <c r="LD217" s="63"/>
      <c r="LE217" s="63"/>
      <c r="LF217" s="63"/>
      <c r="LG217" s="63"/>
      <c r="LH217" s="63"/>
      <c r="LI217" s="63"/>
      <c r="LJ217" s="63"/>
      <c r="LK217" s="63"/>
      <c r="LL217" s="63"/>
      <c r="LM217" s="63"/>
      <c r="LN217" s="63"/>
      <c r="LO217" s="63"/>
      <c r="LP217" s="63"/>
      <c r="LQ217" s="63"/>
      <c r="LR217" s="63"/>
      <c r="LS217" s="63"/>
      <c r="LT217" s="63"/>
      <c r="LU217" s="63"/>
      <c r="LV217" s="63"/>
      <c r="LW217" s="63"/>
      <c r="LX217" s="63"/>
      <c r="LY217" s="63"/>
      <c r="LZ217" s="63"/>
      <c r="MA217" s="63"/>
      <c r="MB217" s="63"/>
      <c r="MC217" s="63"/>
      <c r="MD217" s="63"/>
      <c r="ME217" s="63"/>
      <c r="MF217" s="63"/>
      <c r="MG217" s="63"/>
      <c r="MH217" s="63"/>
      <c r="MI217" s="63"/>
      <c r="MJ217" s="63"/>
      <c r="MK217" s="63"/>
      <c r="ML217" s="63"/>
      <c r="MM217" s="63"/>
      <c r="MN217" s="63"/>
      <c r="MO217" s="63"/>
      <c r="MP217" s="63"/>
      <c r="MQ217" s="63"/>
      <c r="MR217" s="63"/>
      <c r="MS217" s="63"/>
      <c r="MT217" s="63"/>
      <c r="MU217" s="63"/>
      <c r="MV217" s="63"/>
      <c r="MW217" s="63"/>
      <c r="MX217" s="63"/>
      <c r="MY217" s="63"/>
      <c r="MZ217" s="63"/>
      <c r="NA217" s="63"/>
      <c r="NB217" s="63"/>
      <c r="NC217" s="63"/>
      <c r="ND217" s="63"/>
      <c r="NE217" s="63"/>
      <c r="NF217" s="63"/>
      <c r="NG217" s="63"/>
      <c r="NH217" s="63"/>
      <c r="NI217" s="63"/>
      <c r="NJ217" s="63"/>
      <c r="NK217" s="63"/>
      <c r="NL217" s="63"/>
      <c r="NM217" s="63"/>
      <c r="NN217" s="63"/>
      <c r="NO217" s="63"/>
      <c r="NP217" s="63"/>
      <c r="NQ217" s="63"/>
      <c r="NR217" s="63"/>
      <c r="NS217" s="63"/>
      <c r="NT217" s="63"/>
      <c r="NU217" s="63"/>
      <c r="NV217" s="63"/>
      <c r="NW217" s="63"/>
      <c r="NX217" s="63"/>
      <c r="NY217" s="63"/>
      <c r="NZ217" s="63"/>
      <c r="OA217" s="63"/>
      <c r="OB217" s="63"/>
      <c r="OC217" s="63"/>
      <c r="OD217" s="63"/>
    </row>
    <row r="218" spans="4:394" x14ac:dyDescent="0.3">
      <c r="D218" s="133"/>
      <c r="E218" s="7"/>
      <c r="F218" s="21"/>
      <c r="J218" s="76"/>
      <c r="K218" s="66"/>
      <c r="L218" s="77"/>
      <c r="M218" s="196" t="s">
        <v>332</v>
      </c>
      <c r="N218" s="197"/>
      <c r="O218" s="198"/>
      <c r="P218" s="197"/>
      <c r="Q218" s="63"/>
      <c r="W218" s="63"/>
      <c r="X218" s="63"/>
      <c r="Y218" s="63"/>
      <c r="Z218" s="63"/>
      <c r="AA218" s="63"/>
      <c r="AB218" s="63"/>
      <c r="AC218" s="63"/>
      <c r="AD218" s="63"/>
      <c r="AE218" s="63"/>
      <c r="AF218" s="63"/>
      <c r="AG218" s="63"/>
      <c r="AH218" s="63"/>
      <c r="AI218" s="63"/>
      <c r="AJ218" s="63"/>
      <c r="AK218" s="63"/>
      <c r="AL218" s="63"/>
      <c r="AM218" s="63"/>
      <c r="AN218" s="63"/>
      <c r="AO218" s="63"/>
      <c r="AP218" s="63"/>
      <c r="AQ218" s="63"/>
      <c r="AR218" s="63"/>
      <c r="AS218" s="63"/>
      <c r="AT218" s="63"/>
      <c r="AU218" s="63"/>
      <c r="AV218" s="63"/>
      <c r="AW218" s="63"/>
      <c r="AX218" s="63"/>
      <c r="AY218" s="63"/>
      <c r="AZ218" s="63"/>
      <c r="BA218" s="63"/>
      <c r="BB218" s="63"/>
      <c r="BC218" s="63"/>
      <c r="BD218" s="63"/>
      <c r="BE218" s="63"/>
      <c r="BF218" s="63"/>
      <c r="BG218" s="63"/>
      <c r="BH218" s="63"/>
      <c r="BI218" s="63"/>
      <c r="BJ218" s="63"/>
      <c r="BK218" s="63"/>
      <c r="BL218" s="63"/>
      <c r="BM218" s="63"/>
      <c r="BN218" s="63"/>
      <c r="BO218" s="63"/>
      <c r="BP218" s="63"/>
      <c r="BQ218" s="63"/>
      <c r="BR218" s="63"/>
      <c r="BS218" s="63"/>
      <c r="BT218" s="63"/>
      <c r="BU218" s="63"/>
      <c r="BV218" s="63"/>
      <c r="BW218" s="63"/>
      <c r="BX218" s="63"/>
      <c r="BY218" s="63"/>
      <c r="BZ218" s="63"/>
      <c r="CA218" s="63"/>
      <c r="CB218" s="63"/>
      <c r="CC218" s="63"/>
      <c r="CD218" s="63"/>
      <c r="CE218" s="63"/>
      <c r="CF218" s="63"/>
      <c r="CG218" s="63"/>
      <c r="CH218" s="63"/>
      <c r="CI218" s="63"/>
      <c r="CJ218" s="63"/>
      <c r="CK218" s="63"/>
      <c r="CL218" s="63"/>
      <c r="CM218" s="63"/>
      <c r="CN218" s="63"/>
      <c r="CO218" s="63"/>
      <c r="CP218" s="63"/>
      <c r="CQ218" s="63"/>
      <c r="CR218" s="63"/>
      <c r="CS218" s="63"/>
      <c r="CT218" s="63"/>
      <c r="CU218" s="63"/>
      <c r="CV218" s="63"/>
      <c r="CW218" s="63"/>
      <c r="CX218" s="63"/>
      <c r="CY218" s="63"/>
      <c r="CZ218" s="63"/>
      <c r="DA218" s="63"/>
      <c r="DB218" s="63"/>
      <c r="DC218" s="63"/>
      <c r="DD218" s="63"/>
      <c r="DE218" s="63"/>
      <c r="DF218" s="63"/>
      <c r="DG218" s="63"/>
      <c r="DH218" s="63"/>
      <c r="DI218" s="63"/>
      <c r="DJ218" s="63"/>
      <c r="DK218" s="63"/>
      <c r="DL218" s="63"/>
      <c r="DM218" s="63"/>
      <c r="DN218" s="63"/>
      <c r="DO218" s="63"/>
      <c r="DP218" s="63"/>
      <c r="DQ218" s="63"/>
      <c r="DR218" s="63"/>
      <c r="DS218" s="63"/>
      <c r="DT218" s="63"/>
      <c r="DU218" s="63"/>
      <c r="DV218" s="63"/>
      <c r="DW218" s="63"/>
      <c r="DX218" s="63"/>
      <c r="DY218" s="63"/>
      <c r="DZ218" s="63"/>
      <c r="EA218" s="63"/>
      <c r="EB218" s="63"/>
      <c r="EC218" s="63"/>
      <c r="ED218" s="63"/>
      <c r="EE218" s="63"/>
      <c r="EF218" s="63"/>
      <c r="EG218" s="63"/>
      <c r="EH218" s="63"/>
      <c r="EI218" s="63"/>
      <c r="EJ218" s="63"/>
      <c r="EK218" s="63"/>
      <c r="EL218" s="63"/>
      <c r="EM218" s="63"/>
      <c r="EN218" s="63"/>
      <c r="EO218" s="63"/>
      <c r="EP218" s="63"/>
      <c r="EQ218" s="63"/>
      <c r="ER218" s="63"/>
      <c r="ES218" s="63"/>
      <c r="ET218" s="63"/>
      <c r="EU218" s="63"/>
      <c r="EV218" s="63"/>
      <c r="EW218" s="63"/>
      <c r="EX218" s="63"/>
      <c r="EY218" s="63"/>
      <c r="EZ218" s="63"/>
      <c r="FA218" s="63"/>
      <c r="FB218" s="63"/>
      <c r="FC218" s="63"/>
      <c r="FD218" s="63"/>
      <c r="FE218" s="63"/>
      <c r="FF218" s="63"/>
      <c r="FG218" s="63"/>
      <c r="FH218" s="63"/>
      <c r="FI218" s="63"/>
      <c r="FJ218" s="63"/>
      <c r="FK218" s="63"/>
      <c r="FL218" s="63"/>
      <c r="FM218" s="63"/>
      <c r="FN218" s="63"/>
      <c r="FO218" s="63"/>
      <c r="FP218" s="63"/>
      <c r="FQ218" s="63"/>
      <c r="FR218" s="63"/>
      <c r="FS218" s="63"/>
      <c r="FT218" s="63"/>
      <c r="FU218" s="63"/>
      <c r="FV218" s="63"/>
      <c r="FW218" s="63"/>
      <c r="FX218" s="63"/>
      <c r="FY218" s="63"/>
      <c r="FZ218" s="63"/>
      <c r="GA218" s="63"/>
      <c r="GB218" s="63"/>
      <c r="GC218" s="63"/>
      <c r="GD218" s="63"/>
      <c r="GE218" s="63"/>
      <c r="GF218" s="63"/>
      <c r="GG218" s="63"/>
      <c r="GH218" s="63"/>
      <c r="GI218" s="63"/>
      <c r="GJ218" s="63"/>
      <c r="GK218" s="63"/>
      <c r="GL218" s="63"/>
      <c r="GM218" s="63"/>
      <c r="GN218" s="63"/>
      <c r="GO218" s="63"/>
      <c r="GP218" s="63"/>
      <c r="GQ218" s="63"/>
      <c r="GR218" s="63"/>
      <c r="GS218" s="63"/>
      <c r="GT218" s="63"/>
      <c r="GU218" s="63"/>
      <c r="GV218" s="63"/>
      <c r="GW218" s="63"/>
      <c r="GX218" s="63"/>
      <c r="GY218" s="63"/>
      <c r="GZ218" s="63"/>
      <c r="HA218" s="63"/>
      <c r="HB218" s="63"/>
      <c r="HC218" s="63"/>
      <c r="HD218" s="63"/>
      <c r="HE218" s="63"/>
      <c r="HF218" s="63"/>
      <c r="HG218" s="63"/>
      <c r="HH218" s="63"/>
      <c r="HI218" s="63"/>
      <c r="HJ218" s="63"/>
      <c r="HK218" s="63"/>
      <c r="HL218" s="63"/>
      <c r="HM218" s="63"/>
      <c r="HN218" s="63"/>
      <c r="HO218" s="63"/>
      <c r="HP218" s="63"/>
      <c r="HQ218" s="63"/>
      <c r="HR218" s="63"/>
      <c r="HS218" s="63"/>
      <c r="HT218" s="63"/>
      <c r="HU218" s="63"/>
      <c r="HV218" s="63"/>
      <c r="HW218" s="63"/>
      <c r="HX218" s="63"/>
      <c r="HY218" s="63"/>
      <c r="HZ218" s="63"/>
      <c r="IA218" s="63"/>
      <c r="IB218" s="63"/>
      <c r="IC218" s="63"/>
      <c r="ID218" s="63"/>
      <c r="IE218" s="63"/>
      <c r="IF218" s="63"/>
      <c r="IG218" s="63"/>
      <c r="IH218" s="63"/>
      <c r="II218" s="63"/>
      <c r="IJ218" s="63"/>
      <c r="IK218" s="63"/>
      <c r="IL218" s="63"/>
      <c r="IM218" s="63"/>
      <c r="IN218" s="63"/>
      <c r="IO218" s="63"/>
      <c r="IP218" s="63"/>
      <c r="IQ218" s="63"/>
      <c r="IR218" s="63"/>
      <c r="IS218" s="63"/>
      <c r="IT218" s="63"/>
      <c r="IU218" s="63"/>
      <c r="IV218" s="63"/>
      <c r="IW218" s="63"/>
      <c r="IX218" s="63"/>
      <c r="IY218" s="63"/>
      <c r="IZ218" s="63"/>
      <c r="JA218" s="63"/>
      <c r="JB218" s="63"/>
      <c r="JC218" s="63"/>
      <c r="JD218" s="63"/>
      <c r="JE218" s="63"/>
      <c r="JF218" s="63"/>
      <c r="JG218" s="63"/>
      <c r="JH218" s="63"/>
      <c r="JI218" s="63"/>
      <c r="JJ218" s="63"/>
      <c r="JK218" s="63"/>
      <c r="JL218" s="63"/>
      <c r="JM218" s="63"/>
      <c r="JN218" s="63"/>
      <c r="JO218" s="63"/>
      <c r="JP218" s="63"/>
      <c r="JQ218" s="63"/>
      <c r="JR218" s="63"/>
      <c r="JS218" s="63"/>
      <c r="JT218" s="63"/>
      <c r="JU218" s="63"/>
      <c r="JV218" s="63"/>
      <c r="JW218" s="63"/>
      <c r="JX218" s="63"/>
      <c r="JY218" s="63"/>
      <c r="JZ218" s="63"/>
      <c r="KA218" s="63"/>
      <c r="KB218" s="63"/>
      <c r="KC218" s="63"/>
      <c r="KD218" s="63"/>
      <c r="KE218" s="63"/>
      <c r="KF218" s="63"/>
      <c r="KG218" s="63"/>
      <c r="KH218" s="63"/>
      <c r="KI218" s="63"/>
      <c r="KJ218" s="63"/>
      <c r="KK218" s="63"/>
      <c r="KL218" s="63"/>
      <c r="KM218" s="63"/>
      <c r="KN218" s="63"/>
      <c r="KO218" s="63"/>
      <c r="KP218" s="63"/>
      <c r="KQ218" s="63"/>
      <c r="KR218" s="63"/>
      <c r="KS218" s="63"/>
      <c r="KT218" s="63"/>
      <c r="KU218" s="63"/>
      <c r="KV218" s="63"/>
      <c r="KW218" s="63"/>
      <c r="KX218" s="63"/>
      <c r="KY218" s="63"/>
      <c r="KZ218" s="63"/>
      <c r="LA218" s="63"/>
      <c r="LB218" s="63"/>
      <c r="LC218" s="63"/>
      <c r="LD218" s="63"/>
      <c r="LE218" s="63"/>
      <c r="LF218" s="63"/>
      <c r="LG218" s="63"/>
      <c r="LH218" s="63"/>
      <c r="LI218" s="63"/>
      <c r="LJ218" s="63"/>
      <c r="LK218" s="63"/>
      <c r="LL218" s="63"/>
      <c r="LM218" s="63"/>
      <c r="LN218" s="63"/>
      <c r="LO218" s="63"/>
      <c r="LP218" s="63"/>
      <c r="LQ218" s="63"/>
      <c r="LR218" s="63"/>
      <c r="LS218" s="63"/>
      <c r="LT218" s="63"/>
      <c r="LU218" s="63"/>
      <c r="LV218" s="63"/>
      <c r="LW218" s="63"/>
      <c r="LX218" s="63"/>
      <c r="LY218" s="63"/>
      <c r="LZ218" s="63"/>
      <c r="MA218" s="63"/>
      <c r="MB218" s="63"/>
      <c r="MC218" s="63"/>
      <c r="MD218" s="63"/>
      <c r="ME218" s="63"/>
      <c r="MF218" s="63"/>
      <c r="MG218" s="63"/>
      <c r="MH218" s="63"/>
      <c r="MI218" s="63"/>
      <c r="MJ218" s="63"/>
      <c r="MK218" s="63"/>
      <c r="ML218" s="63"/>
      <c r="MM218" s="63"/>
      <c r="MN218" s="63"/>
      <c r="MO218" s="63"/>
      <c r="MP218" s="63"/>
      <c r="MQ218" s="63"/>
      <c r="MR218" s="63"/>
      <c r="MS218" s="63"/>
      <c r="MT218" s="63"/>
      <c r="MU218" s="63"/>
      <c r="MV218" s="63"/>
      <c r="MW218" s="63"/>
      <c r="MX218" s="63"/>
      <c r="MY218" s="63"/>
      <c r="MZ218" s="63"/>
      <c r="NA218" s="63"/>
      <c r="NB218" s="63"/>
      <c r="NC218" s="63"/>
      <c r="ND218" s="63"/>
      <c r="NE218" s="63"/>
      <c r="NF218" s="63"/>
      <c r="NG218" s="63"/>
      <c r="NH218" s="63"/>
      <c r="NI218" s="63"/>
      <c r="NJ218" s="63"/>
      <c r="NK218" s="63"/>
      <c r="NL218" s="63"/>
      <c r="NM218" s="63"/>
      <c r="NN218" s="63"/>
      <c r="NO218" s="63"/>
      <c r="NP218" s="63"/>
      <c r="NQ218" s="63"/>
      <c r="NR218" s="63"/>
      <c r="NS218" s="63"/>
      <c r="NT218" s="63"/>
      <c r="NU218" s="63"/>
      <c r="NV218" s="63"/>
      <c r="NW218" s="63"/>
      <c r="NX218" s="63"/>
      <c r="NY218" s="63"/>
      <c r="NZ218" s="63"/>
      <c r="OA218" s="63"/>
      <c r="OB218" s="63"/>
      <c r="OC218" s="63"/>
      <c r="OD218" s="63"/>
    </row>
    <row r="219" spans="4:394" x14ac:dyDescent="0.3">
      <c r="D219" s="133"/>
      <c r="E219" s="7"/>
      <c r="F219" s="21"/>
      <c r="J219" s="76"/>
      <c r="K219" s="66"/>
      <c r="L219" s="77"/>
      <c r="M219" s="141" t="s">
        <v>219</v>
      </c>
      <c r="N219" s="142"/>
      <c r="O219" s="168"/>
      <c r="P219" s="142"/>
    </row>
    <row r="220" spans="4:394" x14ac:dyDescent="0.3">
      <c r="D220" s="133"/>
      <c r="J220" s="76"/>
      <c r="K220" s="66"/>
      <c r="L220" s="66"/>
      <c r="M220" s="66"/>
      <c r="N220" s="66"/>
      <c r="O220" s="66"/>
      <c r="P220" s="66"/>
    </row>
    <row r="221" spans="4:394" x14ac:dyDescent="0.3">
      <c r="D221" s="133"/>
      <c r="J221" s="76"/>
      <c r="K221" s="66"/>
      <c r="L221" s="66"/>
      <c r="M221" s="66" t="s">
        <v>262</v>
      </c>
      <c r="N221" s="66"/>
      <c r="O221" s="66"/>
      <c r="P221" s="66"/>
    </row>
    <row r="222" spans="4:394" x14ac:dyDescent="0.3">
      <c r="D222" s="133"/>
      <c r="J222" s="76"/>
      <c r="K222" s="66"/>
      <c r="L222" s="66"/>
      <c r="M222" s="66" t="s">
        <v>284</v>
      </c>
      <c r="N222" s="66"/>
      <c r="O222" s="66"/>
      <c r="P222" s="66"/>
    </row>
    <row r="223" spans="4:394" x14ac:dyDescent="0.3">
      <c r="D223" s="133"/>
      <c r="J223" s="76"/>
      <c r="K223" s="66"/>
      <c r="L223" s="66"/>
      <c r="M223" s="66" t="s">
        <v>282</v>
      </c>
      <c r="N223" s="66"/>
      <c r="O223" s="66"/>
      <c r="P223" s="66"/>
    </row>
    <row r="224" spans="4:394" x14ac:dyDescent="0.3">
      <c r="D224" s="133"/>
      <c r="J224" s="76"/>
      <c r="K224" s="66"/>
      <c r="L224" s="66"/>
      <c r="M224" s="66"/>
      <c r="N224" s="66"/>
      <c r="O224" s="66"/>
      <c r="P224" s="66"/>
    </row>
    <row r="225" spans="2:401" x14ac:dyDescent="0.3">
      <c r="D225" s="133"/>
      <c r="J225" s="76"/>
      <c r="K225" s="66"/>
      <c r="L225" s="77"/>
      <c r="M225" s="143" t="s">
        <v>295</v>
      </c>
      <c r="N225" s="144"/>
      <c r="O225" s="169"/>
      <c r="P225" s="144"/>
    </row>
    <row r="226" spans="2:401" x14ac:dyDescent="0.3">
      <c r="D226" s="133"/>
      <c r="E226" s="15"/>
      <c r="F226" s="16"/>
      <c r="J226" s="76"/>
      <c r="K226" s="66"/>
      <c r="L226" s="77"/>
      <c r="M226" s="30" t="s">
        <v>294</v>
      </c>
      <c r="N226" s="30"/>
      <c r="O226" s="32" t="s">
        <v>31</v>
      </c>
      <c r="P226" s="4" cm="1">
        <f t="array" ref="P226:OK226">IF((EDATE(E55,$E$112*12)&lt;=_xlfn.ANCHORARRAY(P2)),$E$116,0%)</f>
        <v>0</v>
      </c>
      <c r="Q226" s="4">
        <v>0</v>
      </c>
      <c r="R226" s="4">
        <v>0</v>
      </c>
      <c r="S226" s="4">
        <v>0</v>
      </c>
      <c r="T226" s="4">
        <v>0</v>
      </c>
      <c r="U226" s="4">
        <v>0</v>
      </c>
      <c r="V226" s="4">
        <v>0</v>
      </c>
      <c r="W226" s="4">
        <v>0</v>
      </c>
      <c r="X226" s="4">
        <v>0</v>
      </c>
      <c r="Y226" s="4">
        <v>0</v>
      </c>
      <c r="Z226" s="4">
        <v>0</v>
      </c>
      <c r="AA226" s="4">
        <v>0</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0</v>
      </c>
      <c r="AT226" s="4">
        <v>0</v>
      </c>
      <c r="AU226" s="4">
        <v>0</v>
      </c>
      <c r="AV226" s="4">
        <v>0</v>
      </c>
      <c r="AW226" s="4">
        <v>0</v>
      </c>
      <c r="AX226" s="4">
        <v>0</v>
      </c>
      <c r="AY226" s="4">
        <v>0</v>
      </c>
      <c r="AZ226" s="4">
        <v>0</v>
      </c>
      <c r="BA226" s="4">
        <v>0</v>
      </c>
      <c r="BB226" s="4">
        <v>0</v>
      </c>
      <c r="BC226" s="4">
        <v>0</v>
      </c>
      <c r="BD226" s="4">
        <v>0</v>
      </c>
      <c r="BE226" s="4">
        <v>0</v>
      </c>
      <c r="BF226" s="4">
        <v>0</v>
      </c>
      <c r="BG226" s="4">
        <v>0</v>
      </c>
      <c r="BH226" s="4">
        <v>0</v>
      </c>
      <c r="BI226" s="4">
        <v>0</v>
      </c>
      <c r="BJ226" s="4">
        <v>0</v>
      </c>
      <c r="BK226" s="4">
        <v>0</v>
      </c>
      <c r="BL226" s="4">
        <v>0</v>
      </c>
      <c r="BM226" s="4">
        <v>0</v>
      </c>
      <c r="BN226" s="4">
        <v>0</v>
      </c>
      <c r="BO226" s="4">
        <v>0</v>
      </c>
      <c r="BP226" s="4">
        <v>0</v>
      </c>
      <c r="BQ226" s="4">
        <v>0</v>
      </c>
      <c r="BR226" s="4">
        <v>0</v>
      </c>
      <c r="BS226" s="4">
        <v>0</v>
      </c>
      <c r="BT226" s="4">
        <v>0</v>
      </c>
      <c r="BU226" s="4">
        <v>0</v>
      </c>
      <c r="BV226" s="4">
        <v>0</v>
      </c>
      <c r="BW226" s="4">
        <v>0</v>
      </c>
      <c r="BX226" s="4">
        <v>0</v>
      </c>
      <c r="BY226" s="4">
        <v>0</v>
      </c>
      <c r="BZ226" s="4">
        <v>0</v>
      </c>
      <c r="CA226" s="4">
        <v>0</v>
      </c>
      <c r="CB226" s="4">
        <v>0</v>
      </c>
      <c r="CC226" s="4">
        <v>0</v>
      </c>
      <c r="CD226" s="4">
        <v>0</v>
      </c>
      <c r="CE226" s="4">
        <v>0</v>
      </c>
      <c r="CF226" s="4">
        <v>0</v>
      </c>
      <c r="CG226" s="4">
        <v>0</v>
      </c>
      <c r="CH226" s="4">
        <v>0</v>
      </c>
      <c r="CI226" s="4">
        <v>0</v>
      </c>
      <c r="CJ226" s="4">
        <v>0</v>
      </c>
      <c r="CK226" s="4">
        <v>0</v>
      </c>
      <c r="CL226" s="4">
        <v>0</v>
      </c>
      <c r="CM226" s="4">
        <v>0</v>
      </c>
      <c r="CN226" s="4">
        <v>1</v>
      </c>
      <c r="CO226" s="4">
        <v>1</v>
      </c>
      <c r="CP226" s="4">
        <v>1</v>
      </c>
      <c r="CQ226" s="4">
        <v>1</v>
      </c>
      <c r="CR226" s="4">
        <v>1</v>
      </c>
      <c r="CS226" s="4">
        <v>1</v>
      </c>
      <c r="CT226" s="4">
        <v>1</v>
      </c>
      <c r="CU226" s="4">
        <v>1</v>
      </c>
      <c r="CV226" s="4">
        <v>1</v>
      </c>
      <c r="CW226" s="4">
        <v>1</v>
      </c>
      <c r="CX226" s="4">
        <v>1</v>
      </c>
      <c r="CY226" s="4">
        <v>1</v>
      </c>
      <c r="CZ226" s="4">
        <v>1</v>
      </c>
      <c r="DA226" s="4">
        <v>1</v>
      </c>
      <c r="DB226" s="4">
        <v>1</v>
      </c>
      <c r="DC226" s="4">
        <v>1</v>
      </c>
      <c r="DD226" s="4">
        <v>1</v>
      </c>
      <c r="DE226" s="4">
        <v>1</v>
      </c>
      <c r="DF226" s="4">
        <v>1</v>
      </c>
      <c r="DG226" s="4">
        <v>1</v>
      </c>
      <c r="DH226" s="4">
        <v>1</v>
      </c>
      <c r="DI226" s="4">
        <v>1</v>
      </c>
      <c r="DJ226" s="4">
        <v>1</v>
      </c>
      <c r="DK226" s="4">
        <v>1</v>
      </c>
      <c r="DL226" s="4">
        <v>1</v>
      </c>
      <c r="DM226" s="4">
        <v>1</v>
      </c>
      <c r="DN226" s="4">
        <v>1</v>
      </c>
      <c r="DO226" s="4">
        <v>1</v>
      </c>
      <c r="DP226" s="4">
        <v>1</v>
      </c>
      <c r="DQ226" s="4">
        <v>1</v>
      </c>
      <c r="DR226" s="4">
        <v>1</v>
      </c>
      <c r="DS226" s="4">
        <v>1</v>
      </c>
      <c r="DT226" s="4">
        <v>1</v>
      </c>
      <c r="DU226" s="4">
        <v>1</v>
      </c>
      <c r="DV226" s="4">
        <v>1</v>
      </c>
      <c r="DW226" s="4">
        <v>1</v>
      </c>
      <c r="DX226" s="4">
        <v>1</v>
      </c>
      <c r="DY226" s="4">
        <v>1</v>
      </c>
      <c r="DZ226" s="4">
        <v>1</v>
      </c>
      <c r="EA226" s="4">
        <v>1</v>
      </c>
      <c r="EB226" s="4">
        <v>1</v>
      </c>
      <c r="EC226" s="4">
        <v>1</v>
      </c>
      <c r="ED226" s="4">
        <v>1</v>
      </c>
      <c r="EE226" s="4">
        <v>1</v>
      </c>
      <c r="EF226" s="4">
        <v>1</v>
      </c>
      <c r="EG226" s="4">
        <v>1</v>
      </c>
      <c r="EH226" s="4">
        <v>1</v>
      </c>
      <c r="EI226" s="4">
        <v>1</v>
      </c>
      <c r="EJ226" s="4">
        <v>1</v>
      </c>
      <c r="EK226" s="4">
        <v>1</v>
      </c>
      <c r="EL226" s="4">
        <v>1</v>
      </c>
      <c r="EM226" s="4">
        <v>1</v>
      </c>
      <c r="EN226" s="4">
        <v>1</v>
      </c>
      <c r="EO226" s="4">
        <v>1</v>
      </c>
      <c r="EP226" s="4">
        <v>1</v>
      </c>
      <c r="EQ226" s="4">
        <v>1</v>
      </c>
      <c r="ER226" s="4">
        <v>1</v>
      </c>
      <c r="ES226" s="4">
        <v>1</v>
      </c>
      <c r="ET226" s="4">
        <v>1</v>
      </c>
      <c r="EU226" s="4">
        <v>1</v>
      </c>
      <c r="EV226" s="4">
        <v>1</v>
      </c>
      <c r="EW226" s="4">
        <v>1</v>
      </c>
      <c r="EX226" s="4">
        <v>1</v>
      </c>
      <c r="EY226" s="4">
        <v>1</v>
      </c>
      <c r="EZ226" s="4">
        <v>1</v>
      </c>
      <c r="FA226" s="4">
        <v>1</v>
      </c>
      <c r="FB226" s="4">
        <v>1</v>
      </c>
      <c r="FC226" s="4">
        <v>1</v>
      </c>
      <c r="FD226" s="4">
        <v>1</v>
      </c>
      <c r="FE226" s="4">
        <v>1</v>
      </c>
      <c r="FF226" s="4">
        <v>1</v>
      </c>
      <c r="FG226" s="4">
        <v>1</v>
      </c>
      <c r="FH226" s="4">
        <v>1</v>
      </c>
      <c r="FI226" s="4">
        <v>1</v>
      </c>
      <c r="FJ226" s="4">
        <v>1</v>
      </c>
      <c r="FK226" s="4">
        <v>1</v>
      </c>
      <c r="FL226" s="4">
        <v>1</v>
      </c>
      <c r="FM226" s="4">
        <v>1</v>
      </c>
      <c r="FN226" s="4">
        <v>1</v>
      </c>
      <c r="FO226" s="4">
        <v>1</v>
      </c>
      <c r="FP226" s="4">
        <v>1</v>
      </c>
      <c r="FQ226" s="4">
        <v>1</v>
      </c>
      <c r="FR226" s="4">
        <v>1</v>
      </c>
      <c r="FS226" s="4">
        <v>1</v>
      </c>
      <c r="FT226" s="4">
        <v>1</v>
      </c>
      <c r="FU226" s="4">
        <v>1</v>
      </c>
      <c r="FV226" s="4">
        <v>1</v>
      </c>
      <c r="FW226" s="4">
        <v>1</v>
      </c>
      <c r="FX226" s="4">
        <v>1</v>
      </c>
      <c r="FY226" s="4">
        <v>1</v>
      </c>
      <c r="FZ226" s="4">
        <v>1</v>
      </c>
      <c r="GA226" s="4">
        <v>1</v>
      </c>
      <c r="GB226" s="4">
        <v>1</v>
      </c>
      <c r="GC226" s="4">
        <v>1</v>
      </c>
      <c r="GD226" s="4">
        <v>1</v>
      </c>
      <c r="GE226" s="4">
        <v>1</v>
      </c>
      <c r="GF226" s="4">
        <v>1</v>
      </c>
      <c r="GG226" s="4">
        <v>1</v>
      </c>
      <c r="GH226" s="4">
        <v>1</v>
      </c>
      <c r="GI226" s="4">
        <v>1</v>
      </c>
      <c r="GJ226" s="4">
        <v>1</v>
      </c>
      <c r="GK226" s="4">
        <v>1</v>
      </c>
      <c r="GL226" s="4">
        <v>1</v>
      </c>
      <c r="GM226" s="4">
        <v>1</v>
      </c>
      <c r="GN226" s="4">
        <v>1</v>
      </c>
      <c r="GO226" s="4">
        <v>1</v>
      </c>
      <c r="GP226" s="4">
        <v>1</v>
      </c>
      <c r="GQ226" s="4">
        <v>1</v>
      </c>
      <c r="GR226" s="4">
        <v>1</v>
      </c>
      <c r="GS226" s="4">
        <v>1</v>
      </c>
      <c r="GT226" s="4">
        <v>1</v>
      </c>
      <c r="GU226" s="4">
        <v>1</v>
      </c>
      <c r="GV226" s="4">
        <v>1</v>
      </c>
      <c r="GW226" s="4">
        <v>1</v>
      </c>
      <c r="GX226" s="4">
        <v>1</v>
      </c>
      <c r="GY226" s="4">
        <v>1</v>
      </c>
      <c r="GZ226" s="4">
        <v>1</v>
      </c>
      <c r="HA226" s="4">
        <v>1</v>
      </c>
      <c r="HB226" s="4">
        <v>1</v>
      </c>
      <c r="HC226" s="4">
        <v>1</v>
      </c>
      <c r="HD226" s="4">
        <v>1</v>
      </c>
      <c r="HE226" s="4">
        <v>1</v>
      </c>
      <c r="HF226" s="4">
        <v>1</v>
      </c>
      <c r="HG226" s="4">
        <v>1</v>
      </c>
      <c r="HH226" s="4">
        <v>1</v>
      </c>
      <c r="HI226" s="4">
        <v>1</v>
      </c>
      <c r="HJ226" s="4">
        <v>1</v>
      </c>
      <c r="HK226" s="4">
        <v>1</v>
      </c>
      <c r="HL226" s="4">
        <v>1</v>
      </c>
      <c r="HM226" s="4">
        <v>1</v>
      </c>
      <c r="HN226" s="4">
        <v>1</v>
      </c>
      <c r="HO226" s="4">
        <v>1</v>
      </c>
      <c r="HP226" s="4">
        <v>1</v>
      </c>
      <c r="HQ226" s="4">
        <v>1</v>
      </c>
      <c r="HR226" s="4">
        <v>1</v>
      </c>
      <c r="HS226" s="4">
        <v>1</v>
      </c>
      <c r="HT226" s="4">
        <v>1</v>
      </c>
      <c r="HU226" s="4">
        <v>1</v>
      </c>
      <c r="HV226" s="4">
        <v>1</v>
      </c>
      <c r="HW226" s="4">
        <v>1</v>
      </c>
      <c r="HX226" s="4">
        <v>1</v>
      </c>
      <c r="HY226" s="4">
        <v>1</v>
      </c>
      <c r="HZ226" s="4">
        <v>1</v>
      </c>
      <c r="IA226" s="4">
        <v>1</v>
      </c>
      <c r="IB226" s="4">
        <v>1</v>
      </c>
      <c r="IC226" s="4">
        <v>1</v>
      </c>
      <c r="ID226" s="4">
        <v>1</v>
      </c>
      <c r="IE226" s="4">
        <v>1</v>
      </c>
      <c r="IF226" s="4">
        <v>1</v>
      </c>
      <c r="IG226" s="4">
        <v>1</v>
      </c>
      <c r="IH226" s="4">
        <v>1</v>
      </c>
      <c r="II226" s="4">
        <v>1</v>
      </c>
      <c r="IJ226" s="4">
        <v>1</v>
      </c>
      <c r="IK226" s="4">
        <v>1</v>
      </c>
      <c r="IL226" s="4">
        <v>1</v>
      </c>
      <c r="IM226" s="4">
        <v>1</v>
      </c>
      <c r="IN226" s="4">
        <v>1</v>
      </c>
      <c r="IO226" s="4">
        <v>1</v>
      </c>
      <c r="IP226" s="4">
        <v>1</v>
      </c>
      <c r="IQ226" s="4">
        <v>1</v>
      </c>
      <c r="IR226" s="4">
        <v>1</v>
      </c>
      <c r="IS226" s="4">
        <v>1</v>
      </c>
      <c r="IT226" s="4">
        <v>1</v>
      </c>
      <c r="IU226" s="4">
        <v>1</v>
      </c>
      <c r="IV226" s="4">
        <v>1</v>
      </c>
      <c r="IW226" s="4">
        <v>1</v>
      </c>
      <c r="IX226" s="4">
        <v>1</v>
      </c>
      <c r="IY226" s="4">
        <v>1</v>
      </c>
      <c r="IZ226" s="4">
        <v>1</v>
      </c>
      <c r="JA226" s="4">
        <v>1</v>
      </c>
      <c r="JB226" s="4">
        <v>1</v>
      </c>
      <c r="JC226" s="4">
        <v>1</v>
      </c>
      <c r="JD226" s="4">
        <v>1</v>
      </c>
      <c r="JE226" s="4">
        <v>1</v>
      </c>
      <c r="JF226" s="4">
        <v>1</v>
      </c>
      <c r="JG226" s="4">
        <v>1</v>
      </c>
      <c r="JH226" s="4">
        <v>1</v>
      </c>
      <c r="JI226" s="4">
        <v>1</v>
      </c>
      <c r="JJ226" s="4">
        <v>1</v>
      </c>
      <c r="JK226" s="4">
        <v>1</v>
      </c>
      <c r="JL226" s="4">
        <v>1</v>
      </c>
      <c r="JM226" s="4">
        <v>1</v>
      </c>
      <c r="JN226" s="4">
        <v>1</v>
      </c>
      <c r="JO226" s="4">
        <v>1</v>
      </c>
      <c r="JP226" s="4">
        <v>1</v>
      </c>
      <c r="JQ226" s="4">
        <v>1</v>
      </c>
      <c r="JR226" s="4">
        <v>1</v>
      </c>
      <c r="JS226" s="4">
        <v>1</v>
      </c>
      <c r="JT226" s="4">
        <v>1</v>
      </c>
      <c r="JU226" s="4">
        <v>1</v>
      </c>
      <c r="JV226" s="4">
        <v>1</v>
      </c>
      <c r="JW226" s="4">
        <v>1</v>
      </c>
      <c r="JX226" s="4">
        <v>1</v>
      </c>
      <c r="JY226" s="4">
        <v>1</v>
      </c>
      <c r="JZ226" s="4">
        <v>1</v>
      </c>
      <c r="KA226" s="4">
        <v>1</v>
      </c>
      <c r="KB226" s="4">
        <v>1</v>
      </c>
      <c r="KC226" s="4">
        <v>1</v>
      </c>
      <c r="KD226" s="4">
        <v>1</v>
      </c>
      <c r="KE226" s="4">
        <v>1</v>
      </c>
      <c r="KF226" s="4">
        <v>1</v>
      </c>
      <c r="KG226" s="4">
        <v>1</v>
      </c>
      <c r="KH226" s="4">
        <v>1</v>
      </c>
      <c r="KI226" s="4">
        <v>1</v>
      </c>
      <c r="KJ226" s="4">
        <v>1</v>
      </c>
      <c r="KK226" s="4">
        <v>1</v>
      </c>
      <c r="KL226" s="4">
        <v>1</v>
      </c>
      <c r="KM226" s="4">
        <v>1</v>
      </c>
      <c r="KN226" s="4">
        <v>1</v>
      </c>
      <c r="KO226" s="4">
        <v>1</v>
      </c>
      <c r="KP226" s="4">
        <v>1</v>
      </c>
      <c r="KQ226" s="4">
        <v>1</v>
      </c>
      <c r="KR226" s="4">
        <v>1</v>
      </c>
      <c r="KS226" s="4">
        <v>1</v>
      </c>
      <c r="KT226" s="4">
        <v>1</v>
      </c>
      <c r="KU226" s="4">
        <v>1</v>
      </c>
      <c r="KV226" s="4">
        <v>1</v>
      </c>
      <c r="KW226" s="4">
        <v>1</v>
      </c>
      <c r="KX226" s="4">
        <v>1</v>
      </c>
      <c r="KY226" s="4">
        <v>1</v>
      </c>
      <c r="KZ226" s="4">
        <v>1</v>
      </c>
      <c r="LA226" s="4">
        <v>1</v>
      </c>
      <c r="LB226" s="4">
        <v>1</v>
      </c>
      <c r="LC226" s="4">
        <v>1</v>
      </c>
      <c r="LD226" s="4">
        <v>1</v>
      </c>
      <c r="LE226" s="4">
        <v>1</v>
      </c>
      <c r="LF226" s="4">
        <v>1</v>
      </c>
      <c r="LG226" s="4">
        <v>1</v>
      </c>
      <c r="LH226" s="4">
        <v>1</v>
      </c>
      <c r="LI226" s="4">
        <v>1</v>
      </c>
      <c r="LJ226" s="4">
        <v>1</v>
      </c>
      <c r="LK226" s="4">
        <v>1</v>
      </c>
      <c r="LL226" s="4">
        <v>1</v>
      </c>
      <c r="LM226" s="4">
        <v>1</v>
      </c>
      <c r="LN226" s="4">
        <v>1</v>
      </c>
      <c r="LO226" s="4">
        <v>1</v>
      </c>
      <c r="LP226" s="4">
        <v>1</v>
      </c>
      <c r="LQ226" s="4">
        <v>1</v>
      </c>
      <c r="LR226" s="4">
        <v>1</v>
      </c>
      <c r="LS226" s="4">
        <v>1</v>
      </c>
      <c r="LT226" s="4">
        <v>1</v>
      </c>
      <c r="LU226" s="4">
        <v>1</v>
      </c>
      <c r="LV226" s="4">
        <v>1</v>
      </c>
      <c r="LW226" s="4">
        <v>1</v>
      </c>
      <c r="LX226" s="4">
        <v>1</v>
      </c>
      <c r="LY226" s="4">
        <v>1</v>
      </c>
      <c r="LZ226" s="4">
        <v>1</v>
      </c>
      <c r="MA226" s="4">
        <v>1</v>
      </c>
      <c r="MB226" s="4">
        <v>1</v>
      </c>
      <c r="MC226" s="4">
        <v>1</v>
      </c>
      <c r="MD226" s="4">
        <v>1</v>
      </c>
      <c r="ME226" s="4">
        <v>1</v>
      </c>
      <c r="MF226" s="4">
        <v>1</v>
      </c>
      <c r="MG226" s="4">
        <v>1</v>
      </c>
      <c r="MH226" s="4">
        <v>1</v>
      </c>
      <c r="MI226" s="4">
        <v>1</v>
      </c>
      <c r="MJ226" s="4">
        <v>1</v>
      </c>
      <c r="MK226" s="4">
        <v>1</v>
      </c>
      <c r="ML226" s="4">
        <v>1</v>
      </c>
      <c r="MM226" s="4">
        <v>1</v>
      </c>
      <c r="MN226" s="4">
        <v>1</v>
      </c>
      <c r="MO226" s="4">
        <v>1</v>
      </c>
      <c r="MP226" s="4">
        <v>1</v>
      </c>
      <c r="MQ226" s="4">
        <v>1</v>
      </c>
      <c r="MR226" s="4">
        <v>1</v>
      </c>
      <c r="MS226" s="4">
        <v>1</v>
      </c>
      <c r="MT226" s="4">
        <v>1</v>
      </c>
      <c r="MU226" s="4">
        <v>1</v>
      </c>
      <c r="MV226" s="4">
        <v>1</v>
      </c>
      <c r="MW226" s="4">
        <v>1</v>
      </c>
      <c r="MX226" s="4">
        <v>1</v>
      </c>
      <c r="MY226" s="4">
        <v>1</v>
      </c>
      <c r="MZ226" s="4">
        <v>1</v>
      </c>
      <c r="NA226" s="4">
        <v>1</v>
      </c>
      <c r="NB226" s="4">
        <v>1</v>
      </c>
      <c r="NC226" s="4">
        <v>1</v>
      </c>
      <c r="ND226" s="4">
        <v>1</v>
      </c>
      <c r="NE226" s="4">
        <v>1</v>
      </c>
      <c r="NF226" s="4">
        <v>1</v>
      </c>
      <c r="NG226" s="4">
        <v>1</v>
      </c>
      <c r="NH226" s="4">
        <v>1</v>
      </c>
      <c r="NI226" s="4">
        <v>1</v>
      </c>
      <c r="NJ226" s="4">
        <v>1</v>
      </c>
      <c r="NK226" s="4">
        <v>1</v>
      </c>
      <c r="NL226" s="4">
        <v>1</v>
      </c>
      <c r="NM226" s="4">
        <v>1</v>
      </c>
      <c r="NN226" s="4">
        <v>1</v>
      </c>
      <c r="NO226" s="4">
        <v>1</v>
      </c>
      <c r="NP226" s="4">
        <v>1</v>
      </c>
      <c r="NQ226" s="4">
        <v>1</v>
      </c>
      <c r="NR226" s="4">
        <v>1</v>
      </c>
      <c r="NS226" s="4">
        <v>1</v>
      </c>
      <c r="NT226" s="4">
        <v>1</v>
      </c>
      <c r="NU226" s="4">
        <v>1</v>
      </c>
      <c r="NV226" s="4">
        <v>1</v>
      </c>
      <c r="NW226" s="4">
        <v>1</v>
      </c>
      <c r="NX226" s="4">
        <v>1</v>
      </c>
      <c r="NY226" s="4">
        <v>1</v>
      </c>
      <c r="NZ226" s="4">
        <v>1</v>
      </c>
      <c r="OA226" s="4">
        <v>1</v>
      </c>
      <c r="OB226" s="4">
        <v>1</v>
      </c>
      <c r="OC226" s="4">
        <v>1</v>
      </c>
      <c r="OD226" s="4">
        <v>1</v>
      </c>
      <c r="OE226">
        <v>1</v>
      </c>
      <c r="OF226">
        <v>1</v>
      </c>
      <c r="OG226">
        <v>1</v>
      </c>
      <c r="OH226">
        <v>1</v>
      </c>
      <c r="OI226">
        <v>1</v>
      </c>
      <c r="OJ226">
        <v>1</v>
      </c>
      <c r="OK226">
        <v>1</v>
      </c>
    </row>
    <row r="227" spans="2:401" x14ac:dyDescent="0.3">
      <c r="B227" s="130"/>
      <c r="D227" s="133"/>
      <c r="J227" s="76"/>
      <c r="K227" s="66"/>
      <c r="L227" s="77"/>
      <c r="M227" s="175" t="s">
        <v>293</v>
      </c>
      <c r="N227" s="204"/>
      <c r="O227" s="205" t="s">
        <v>31</v>
      </c>
      <c r="P227" s="173" cm="1">
        <f t="array" ref="P227:OK227">100%-_xlfn.ANCHORARRAY(P226)</f>
        <v>1</v>
      </c>
      <c r="Q227" s="173">
        <v>1</v>
      </c>
      <c r="R227" s="173">
        <v>1</v>
      </c>
      <c r="S227" s="173">
        <v>1</v>
      </c>
      <c r="T227" s="173">
        <v>1</v>
      </c>
      <c r="U227" s="173">
        <v>1</v>
      </c>
      <c r="V227" s="173">
        <v>1</v>
      </c>
      <c r="W227" s="173">
        <v>1</v>
      </c>
      <c r="X227" s="173">
        <v>1</v>
      </c>
      <c r="Y227" s="173">
        <v>1</v>
      </c>
      <c r="Z227" s="173">
        <v>1</v>
      </c>
      <c r="AA227" s="173">
        <v>1</v>
      </c>
      <c r="AB227" s="173">
        <v>1</v>
      </c>
      <c r="AC227" s="173">
        <v>1</v>
      </c>
      <c r="AD227" s="173">
        <v>1</v>
      </c>
      <c r="AE227" s="173">
        <v>1</v>
      </c>
      <c r="AF227" s="173">
        <v>1</v>
      </c>
      <c r="AG227" s="173">
        <v>1</v>
      </c>
      <c r="AH227" s="173">
        <v>1</v>
      </c>
      <c r="AI227" s="173">
        <v>1</v>
      </c>
      <c r="AJ227" s="173">
        <v>1</v>
      </c>
      <c r="AK227" s="173">
        <v>1</v>
      </c>
      <c r="AL227" s="173">
        <v>1</v>
      </c>
      <c r="AM227" s="173">
        <v>1</v>
      </c>
      <c r="AN227" s="173">
        <v>1</v>
      </c>
      <c r="AO227" s="173">
        <v>1</v>
      </c>
      <c r="AP227" s="173">
        <v>1</v>
      </c>
      <c r="AQ227" s="173">
        <v>1</v>
      </c>
      <c r="AR227" s="173">
        <v>1</v>
      </c>
      <c r="AS227" s="173">
        <v>1</v>
      </c>
      <c r="AT227" s="173">
        <v>1</v>
      </c>
      <c r="AU227" s="173">
        <v>1</v>
      </c>
      <c r="AV227" s="173">
        <v>1</v>
      </c>
      <c r="AW227" s="173">
        <v>1</v>
      </c>
      <c r="AX227" s="173">
        <v>1</v>
      </c>
      <c r="AY227" s="173">
        <v>1</v>
      </c>
      <c r="AZ227" s="173">
        <v>1</v>
      </c>
      <c r="BA227" s="173">
        <v>1</v>
      </c>
      <c r="BB227" s="173">
        <v>1</v>
      </c>
      <c r="BC227" s="173">
        <v>1</v>
      </c>
      <c r="BD227" s="173">
        <v>1</v>
      </c>
      <c r="BE227" s="173">
        <v>1</v>
      </c>
      <c r="BF227" s="173">
        <v>1</v>
      </c>
      <c r="BG227" s="173">
        <v>1</v>
      </c>
      <c r="BH227" s="173">
        <v>1</v>
      </c>
      <c r="BI227" s="173">
        <v>1</v>
      </c>
      <c r="BJ227" s="173">
        <v>1</v>
      </c>
      <c r="BK227" s="173">
        <v>1</v>
      </c>
      <c r="BL227" s="173">
        <v>1</v>
      </c>
      <c r="BM227" s="173">
        <v>1</v>
      </c>
      <c r="BN227" s="173">
        <v>1</v>
      </c>
      <c r="BO227" s="173">
        <v>1</v>
      </c>
      <c r="BP227" s="173">
        <v>1</v>
      </c>
      <c r="BQ227" s="173">
        <v>1</v>
      </c>
      <c r="BR227" s="173">
        <v>1</v>
      </c>
      <c r="BS227" s="173">
        <v>1</v>
      </c>
      <c r="BT227" s="173">
        <v>1</v>
      </c>
      <c r="BU227" s="173">
        <v>1</v>
      </c>
      <c r="BV227" s="173">
        <v>1</v>
      </c>
      <c r="BW227" s="173">
        <v>1</v>
      </c>
      <c r="BX227" s="173">
        <v>1</v>
      </c>
      <c r="BY227" s="173">
        <v>1</v>
      </c>
      <c r="BZ227" s="173">
        <v>1</v>
      </c>
      <c r="CA227" s="173">
        <v>1</v>
      </c>
      <c r="CB227" s="173">
        <v>1</v>
      </c>
      <c r="CC227" s="173">
        <v>1</v>
      </c>
      <c r="CD227" s="173">
        <v>1</v>
      </c>
      <c r="CE227" s="173">
        <v>1</v>
      </c>
      <c r="CF227" s="173">
        <v>1</v>
      </c>
      <c r="CG227" s="173">
        <v>1</v>
      </c>
      <c r="CH227" s="173">
        <v>1</v>
      </c>
      <c r="CI227" s="173">
        <v>1</v>
      </c>
      <c r="CJ227" s="173">
        <v>1</v>
      </c>
      <c r="CK227" s="173">
        <v>1</v>
      </c>
      <c r="CL227" s="173">
        <v>1</v>
      </c>
      <c r="CM227" s="173">
        <v>1</v>
      </c>
      <c r="CN227" s="173">
        <v>0</v>
      </c>
      <c r="CO227" s="173">
        <v>0</v>
      </c>
      <c r="CP227" s="173">
        <v>0</v>
      </c>
      <c r="CQ227" s="173">
        <v>0</v>
      </c>
      <c r="CR227" s="173">
        <v>0</v>
      </c>
      <c r="CS227" s="173">
        <v>0</v>
      </c>
      <c r="CT227" s="173">
        <v>0</v>
      </c>
      <c r="CU227" s="173">
        <v>0</v>
      </c>
      <c r="CV227" s="173">
        <v>0</v>
      </c>
      <c r="CW227" s="173">
        <v>0</v>
      </c>
      <c r="CX227" s="173">
        <v>0</v>
      </c>
      <c r="CY227" s="173">
        <v>0</v>
      </c>
      <c r="CZ227" s="173">
        <v>0</v>
      </c>
      <c r="DA227" s="173">
        <v>0</v>
      </c>
      <c r="DB227" s="173">
        <v>0</v>
      </c>
      <c r="DC227" s="173">
        <v>0</v>
      </c>
      <c r="DD227" s="173">
        <v>0</v>
      </c>
      <c r="DE227" s="173">
        <v>0</v>
      </c>
      <c r="DF227" s="173">
        <v>0</v>
      </c>
      <c r="DG227" s="173">
        <v>0</v>
      </c>
      <c r="DH227" s="173">
        <v>0</v>
      </c>
      <c r="DI227" s="173">
        <v>0</v>
      </c>
      <c r="DJ227" s="173">
        <v>0</v>
      </c>
      <c r="DK227" s="173">
        <v>0</v>
      </c>
      <c r="DL227" s="173">
        <v>0</v>
      </c>
      <c r="DM227" s="173">
        <v>0</v>
      </c>
      <c r="DN227" s="173">
        <v>0</v>
      </c>
      <c r="DO227" s="173">
        <v>0</v>
      </c>
      <c r="DP227" s="173">
        <v>0</v>
      </c>
      <c r="DQ227" s="173">
        <v>0</v>
      </c>
      <c r="DR227" s="173">
        <v>0</v>
      </c>
      <c r="DS227" s="173">
        <v>0</v>
      </c>
      <c r="DT227" s="173">
        <v>0</v>
      </c>
      <c r="DU227" s="173">
        <v>0</v>
      </c>
      <c r="DV227" s="173">
        <v>0</v>
      </c>
      <c r="DW227" s="173">
        <v>0</v>
      </c>
      <c r="DX227" s="173">
        <v>0</v>
      </c>
      <c r="DY227" s="173">
        <v>0</v>
      </c>
      <c r="DZ227" s="173">
        <v>0</v>
      </c>
      <c r="EA227" s="173">
        <v>0</v>
      </c>
      <c r="EB227" s="173">
        <v>0</v>
      </c>
      <c r="EC227" s="173">
        <v>0</v>
      </c>
      <c r="ED227" s="173">
        <v>0</v>
      </c>
      <c r="EE227" s="173">
        <v>0</v>
      </c>
      <c r="EF227" s="173">
        <v>0</v>
      </c>
      <c r="EG227" s="173">
        <v>0</v>
      </c>
      <c r="EH227" s="173">
        <v>0</v>
      </c>
      <c r="EI227" s="173">
        <v>0</v>
      </c>
      <c r="EJ227" s="173">
        <v>0</v>
      </c>
      <c r="EK227" s="173">
        <v>0</v>
      </c>
      <c r="EL227" s="173">
        <v>0</v>
      </c>
      <c r="EM227" s="173">
        <v>0</v>
      </c>
      <c r="EN227" s="173">
        <v>0</v>
      </c>
      <c r="EO227" s="173">
        <v>0</v>
      </c>
      <c r="EP227" s="173">
        <v>0</v>
      </c>
      <c r="EQ227" s="173">
        <v>0</v>
      </c>
      <c r="ER227" s="173">
        <v>0</v>
      </c>
      <c r="ES227" s="173">
        <v>0</v>
      </c>
      <c r="ET227" s="173">
        <v>0</v>
      </c>
      <c r="EU227" s="173">
        <v>0</v>
      </c>
      <c r="EV227" s="173">
        <v>0</v>
      </c>
      <c r="EW227" s="173">
        <v>0</v>
      </c>
      <c r="EX227" s="173">
        <v>0</v>
      </c>
      <c r="EY227" s="173">
        <v>0</v>
      </c>
      <c r="EZ227" s="173">
        <v>0</v>
      </c>
      <c r="FA227" s="173">
        <v>0</v>
      </c>
      <c r="FB227" s="173">
        <v>0</v>
      </c>
      <c r="FC227" s="173">
        <v>0</v>
      </c>
      <c r="FD227" s="173">
        <v>0</v>
      </c>
      <c r="FE227" s="173">
        <v>0</v>
      </c>
      <c r="FF227" s="173">
        <v>0</v>
      </c>
      <c r="FG227" s="173">
        <v>0</v>
      </c>
      <c r="FH227" s="173">
        <v>0</v>
      </c>
      <c r="FI227" s="173">
        <v>0</v>
      </c>
      <c r="FJ227" s="173">
        <v>0</v>
      </c>
      <c r="FK227" s="173">
        <v>0</v>
      </c>
      <c r="FL227" s="173">
        <v>0</v>
      </c>
      <c r="FM227" s="173">
        <v>0</v>
      </c>
      <c r="FN227" s="173">
        <v>0</v>
      </c>
      <c r="FO227" s="173">
        <v>0</v>
      </c>
      <c r="FP227" s="173">
        <v>0</v>
      </c>
      <c r="FQ227" s="173">
        <v>0</v>
      </c>
      <c r="FR227" s="173">
        <v>0</v>
      </c>
      <c r="FS227" s="173">
        <v>0</v>
      </c>
      <c r="FT227" s="173">
        <v>0</v>
      </c>
      <c r="FU227" s="173">
        <v>0</v>
      </c>
      <c r="FV227" s="173">
        <v>0</v>
      </c>
      <c r="FW227" s="173">
        <v>0</v>
      </c>
      <c r="FX227" s="173">
        <v>0</v>
      </c>
      <c r="FY227" s="173">
        <v>0</v>
      </c>
      <c r="FZ227" s="173">
        <v>0</v>
      </c>
      <c r="GA227" s="173">
        <v>0</v>
      </c>
      <c r="GB227" s="173">
        <v>0</v>
      </c>
      <c r="GC227" s="173">
        <v>0</v>
      </c>
      <c r="GD227" s="173">
        <v>0</v>
      </c>
      <c r="GE227" s="173">
        <v>0</v>
      </c>
      <c r="GF227" s="173">
        <v>0</v>
      </c>
      <c r="GG227" s="173">
        <v>0</v>
      </c>
      <c r="GH227" s="173">
        <v>0</v>
      </c>
      <c r="GI227" s="173">
        <v>0</v>
      </c>
      <c r="GJ227" s="173">
        <v>0</v>
      </c>
      <c r="GK227" s="173">
        <v>0</v>
      </c>
      <c r="GL227" s="173">
        <v>0</v>
      </c>
      <c r="GM227" s="173">
        <v>0</v>
      </c>
      <c r="GN227" s="173">
        <v>0</v>
      </c>
      <c r="GO227" s="173">
        <v>0</v>
      </c>
      <c r="GP227" s="173">
        <v>0</v>
      </c>
      <c r="GQ227" s="173">
        <v>0</v>
      </c>
      <c r="GR227" s="173">
        <v>0</v>
      </c>
      <c r="GS227" s="173">
        <v>0</v>
      </c>
      <c r="GT227" s="173">
        <v>0</v>
      </c>
      <c r="GU227" s="173">
        <v>0</v>
      </c>
      <c r="GV227" s="173">
        <v>0</v>
      </c>
      <c r="GW227" s="173">
        <v>0</v>
      </c>
      <c r="GX227" s="173">
        <v>0</v>
      </c>
      <c r="GY227" s="173">
        <v>0</v>
      </c>
      <c r="GZ227" s="173">
        <v>0</v>
      </c>
      <c r="HA227" s="173">
        <v>0</v>
      </c>
      <c r="HB227" s="173">
        <v>0</v>
      </c>
      <c r="HC227" s="173">
        <v>0</v>
      </c>
      <c r="HD227" s="173">
        <v>0</v>
      </c>
      <c r="HE227" s="173">
        <v>0</v>
      </c>
      <c r="HF227" s="173">
        <v>0</v>
      </c>
      <c r="HG227" s="173">
        <v>0</v>
      </c>
      <c r="HH227" s="173">
        <v>0</v>
      </c>
      <c r="HI227" s="173">
        <v>0</v>
      </c>
      <c r="HJ227" s="173">
        <v>0</v>
      </c>
      <c r="HK227" s="173">
        <v>0</v>
      </c>
      <c r="HL227" s="173">
        <v>0</v>
      </c>
      <c r="HM227" s="173">
        <v>0</v>
      </c>
      <c r="HN227" s="173">
        <v>0</v>
      </c>
      <c r="HO227" s="173">
        <v>0</v>
      </c>
      <c r="HP227" s="173">
        <v>0</v>
      </c>
      <c r="HQ227" s="173">
        <v>0</v>
      </c>
      <c r="HR227" s="173">
        <v>0</v>
      </c>
      <c r="HS227" s="173">
        <v>0</v>
      </c>
      <c r="HT227" s="173">
        <v>0</v>
      </c>
      <c r="HU227" s="173">
        <v>0</v>
      </c>
      <c r="HV227" s="173">
        <v>0</v>
      </c>
      <c r="HW227" s="173">
        <v>0</v>
      </c>
      <c r="HX227" s="173">
        <v>0</v>
      </c>
      <c r="HY227" s="173">
        <v>0</v>
      </c>
      <c r="HZ227" s="173">
        <v>0</v>
      </c>
      <c r="IA227" s="173">
        <v>0</v>
      </c>
      <c r="IB227" s="173">
        <v>0</v>
      </c>
      <c r="IC227" s="173">
        <v>0</v>
      </c>
      <c r="ID227" s="173">
        <v>0</v>
      </c>
      <c r="IE227" s="173">
        <v>0</v>
      </c>
      <c r="IF227" s="173">
        <v>0</v>
      </c>
      <c r="IG227" s="173">
        <v>0</v>
      </c>
      <c r="IH227" s="173">
        <v>0</v>
      </c>
      <c r="II227" s="173">
        <v>0</v>
      </c>
      <c r="IJ227" s="173">
        <v>0</v>
      </c>
      <c r="IK227" s="173">
        <v>0</v>
      </c>
      <c r="IL227" s="173">
        <v>0</v>
      </c>
      <c r="IM227" s="173">
        <v>0</v>
      </c>
      <c r="IN227" s="173">
        <v>0</v>
      </c>
      <c r="IO227" s="173">
        <v>0</v>
      </c>
      <c r="IP227" s="173">
        <v>0</v>
      </c>
      <c r="IQ227" s="173">
        <v>0</v>
      </c>
      <c r="IR227" s="173">
        <v>0</v>
      </c>
      <c r="IS227" s="173">
        <v>0</v>
      </c>
      <c r="IT227" s="173">
        <v>0</v>
      </c>
      <c r="IU227" s="173">
        <v>0</v>
      </c>
      <c r="IV227" s="173">
        <v>0</v>
      </c>
      <c r="IW227" s="173">
        <v>0</v>
      </c>
      <c r="IX227" s="173">
        <v>0</v>
      </c>
      <c r="IY227" s="173">
        <v>0</v>
      </c>
      <c r="IZ227" s="173">
        <v>0</v>
      </c>
      <c r="JA227" s="173">
        <v>0</v>
      </c>
      <c r="JB227" s="173">
        <v>0</v>
      </c>
      <c r="JC227" s="173">
        <v>0</v>
      </c>
      <c r="JD227" s="173">
        <v>0</v>
      </c>
      <c r="JE227" s="173">
        <v>0</v>
      </c>
      <c r="JF227" s="173">
        <v>0</v>
      </c>
      <c r="JG227" s="173">
        <v>0</v>
      </c>
      <c r="JH227" s="173">
        <v>0</v>
      </c>
      <c r="JI227" s="173">
        <v>0</v>
      </c>
      <c r="JJ227" s="173">
        <v>0</v>
      </c>
      <c r="JK227" s="173">
        <v>0</v>
      </c>
      <c r="JL227" s="173">
        <v>0</v>
      </c>
      <c r="JM227" s="173">
        <v>0</v>
      </c>
      <c r="JN227" s="173">
        <v>0</v>
      </c>
      <c r="JO227" s="173">
        <v>0</v>
      </c>
      <c r="JP227" s="173">
        <v>0</v>
      </c>
      <c r="JQ227" s="173">
        <v>0</v>
      </c>
      <c r="JR227" s="173">
        <v>0</v>
      </c>
      <c r="JS227" s="173">
        <v>0</v>
      </c>
      <c r="JT227" s="173">
        <v>0</v>
      </c>
      <c r="JU227" s="173">
        <v>0</v>
      </c>
      <c r="JV227" s="173">
        <v>0</v>
      </c>
      <c r="JW227" s="173">
        <v>0</v>
      </c>
      <c r="JX227" s="173">
        <v>0</v>
      </c>
      <c r="JY227" s="173">
        <v>0</v>
      </c>
      <c r="JZ227" s="173">
        <v>0</v>
      </c>
      <c r="KA227" s="173">
        <v>0</v>
      </c>
      <c r="KB227" s="173">
        <v>0</v>
      </c>
      <c r="KC227" s="173">
        <v>0</v>
      </c>
      <c r="KD227" s="173">
        <v>0</v>
      </c>
      <c r="KE227" s="173">
        <v>0</v>
      </c>
      <c r="KF227" s="173">
        <v>0</v>
      </c>
      <c r="KG227" s="173">
        <v>0</v>
      </c>
      <c r="KH227" s="173">
        <v>0</v>
      </c>
      <c r="KI227" s="173">
        <v>0</v>
      </c>
      <c r="KJ227" s="173">
        <v>0</v>
      </c>
      <c r="KK227" s="173">
        <v>0</v>
      </c>
      <c r="KL227" s="173">
        <v>0</v>
      </c>
      <c r="KM227" s="173">
        <v>0</v>
      </c>
      <c r="KN227" s="173">
        <v>0</v>
      </c>
      <c r="KO227" s="173">
        <v>0</v>
      </c>
      <c r="KP227" s="173">
        <v>0</v>
      </c>
      <c r="KQ227" s="173">
        <v>0</v>
      </c>
      <c r="KR227" s="173">
        <v>0</v>
      </c>
      <c r="KS227" s="173">
        <v>0</v>
      </c>
      <c r="KT227" s="173">
        <v>0</v>
      </c>
      <c r="KU227" s="173">
        <v>0</v>
      </c>
      <c r="KV227" s="173">
        <v>0</v>
      </c>
      <c r="KW227" s="173">
        <v>0</v>
      </c>
      <c r="KX227" s="173">
        <v>0</v>
      </c>
      <c r="KY227" s="173">
        <v>0</v>
      </c>
      <c r="KZ227" s="173">
        <v>0</v>
      </c>
      <c r="LA227" s="173">
        <v>0</v>
      </c>
      <c r="LB227" s="173">
        <v>0</v>
      </c>
      <c r="LC227" s="173">
        <v>0</v>
      </c>
      <c r="LD227" s="173">
        <v>0</v>
      </c>
      <c r="LE227" s="173">
        <v>0</v>
      </c>
      <c r="LF227" s="173">
        <v>0</v>
      </c>
      <c r="LG227" s="173">
        <v>0</v>
      </c>
      <c r="LH227" s="173">
        <v>0</v>
      </c>
      <c r="LI227" s="173">
        <v>0</v>
      </c>
      <c r="LJ227" s="173">
        <v>0</v>
      </c>
      <c r="LK227" s="173">
        <v>0</v>
      </c>
      <c r="LL227" s="173">
        <v>0</v>
      </c>
      <c r="LM227" s="173">
        <v>0</v>
      </c>
      <c r="LN227" s="173">
        <v>0</v>
      </c>
      <c r="LO227" s="173">
        <v>0</v>
      </c>
      <c r="LP227" s="173">
        <v>0</v>
      </c>
      <c r="LQ227" s="173">
        <v>0</v>
      </c>
      <c r="LR227" s="173">
        <v>0</v>
      </c>
      <c r="LS227" s="173">
        <v>0</v>
      </c>
      <c r="LT227" s="173">
        <v>0</v>
      </c>
      <c r="LU227" s="173">
        <v>0</v>
      </c>
      <c r="LV227" s="173">
        <v>0</v>
      </c>
      <c r="LW227" s="173">
        <v>0</v>
      </c>
      <c r="LX227" s="173">
        <v>0</v>
      </c>
      <c r="LY227" s="173">
        <v>0</v>
      </c>
      <c r="LZ227" s="173">
        <v>0</v>
      </c>
      <c r="MA227" s="173">
        <v>0</v>
      </c>
      <c r="MB227" s="173">
        <v>0</v>
      </c>
      <c r="MC227" s="173">
        <v>0</v>
      </c>
      <c r="MD227" s="173">
        <v>0</v>
      </c>
      <c r="ME227" s="173">
        <v>0</v>
      </c>
      <c r="MF227" s="173">
        <v>0</v>
      </c>
      <c r="MG227" s="173">
        <v>0</v>
      </c>
      <c r="MH227" s="173">
        <v>0</v>
      </c>
      <c r="MI227" s="173">
        <v>0</v>
      </c>
      <c r="MJ227" s="173">
        <v>0</v>
      </c>
      <c r="MK227" s="173">
        <v>0</v>
      </c>
      <c r="ML227" s="173">
        <v>0</v>
      </c>
      <c r="MM227" s="173">
        <v>0</v>
      </c>
      <c r="MN227" s="173">
        <v>0</v>
      </c>
      <c r="MO227" s="173">
        <v>0</v>
      </c>
      <c r="MP227" s="173">
        <v>0</v>
      </c>
      <c r="MQ227" s="173">
        <v>0</v>
      </c>
      <c r="MR227" s="173">
        <v>0</v>
      </c>
      <c r="MS227" s="173">
        <v>0</v>
      </c>
      <c r="MT227" s="173">
        <v>0</v>
      </c>
      <c r="MU227" s="173">
        <v>0</v>
      </c>
      <c r="MV227" s="173">
        <v>0</v>
      </c>
      <c r="MW227" s="173">
        <v>0</v>
      </c>
      <c r="MX227" s="173">
        <v>0</v>
      </c>
      <c r="MY227" s="173">
        <v>0</v>
      </c>
      <c r="MZ227" s="173">
        <v>0</v>
      </c>
      <c r="NA227" s="173">
        <v>0</v>
      </c>
      <c r="NB227" s="173">
        <v>0</v>
      </c>
      <c r="NC227" s="173">
        <v>0</v>
      </c>
      <c r="ND227" s="173">
        <v>0</v>
      </c>
      <c r="NE227" s="173">
        <v>0</v>
      </c>
      <c r="NF227" s="173">
        <v>0</v>
      </c>
      <c r="NG227" s="173">
        <v>0</v>
      </c>
      <c r="NH227" s="173">
        <v>0</v>
      </c>
      <c r="NI227" s="173">
        <v>0</v>
      </c>
      <c r="NJ227" s="173">
        <v>0</v>
      </c>
      <c r="NK227" s="173">
        <v>0</v>
      </c>
      <c r="NL227" s="173">
        <v>0</v>
      </c>
      <c r="NM227" s="173">
        <v>0</v>
      </c>
      <c r="NN227" s="173">
        <v>0</v>
      </c>
      <c r="NO227" s="173">
        <v>0</v>
      </c>
      <c r="NP227" s="173">
        <v>0</v>
      </c>
      <c r="NQ227" s="173">
        <v>0</v>
      </c>
      <c r="NR227" s="173">
        <v>0</v>
      </c>
      <c r="NS227" s="173">
        <v>0</v>
      </c>
      <c r="NT227" s="173">
        <v>0</v>
      </c>
      <c r="NU227" s="173">
        <v>0</v>
      </c>
      <c r="NV227" s="173">
        <v>0</v>
      </c>
      <c r="NW227" s="173">
        <v>0</v>
      </c>
      <c r="NX227" s="173">
        <v>0</v>
      </c>
      <c r="NY227" s="173">
        <v>0</v>
      </c>
      <c r="NZ227" s="173">
        <v>0</v>
      </c>
      <c r="OA227" s="173">
        <v>0</v>
      </c>
      <c r="OB227" s="173">
        <v>0</v>
      </c>
      <c r="OC227" s="173">
        <v>0</v>
      </c>
      <c r="OD227" s="173">
        <v>0</v>
      </c>
      <c r="OE227">
        <v>0</v>
      </c>
      <c r="OF227">
        <v>0</v>
      </c>
      <c r="OG227">
        <v>0</v>
      </c>
      <c r="OH227">
        <v>0</v>
      </c>
      <c r="OI227">
        <v>0</v>
      </c>
      <c r="OJ227">
        <v>0</v>
      </c>
      <c r="OK227">
        <v>0</v>
      </c>
    </row>
    <row r="228" spans="2:401" x14ac:dyDescent="0.3">
      <c r="B228" s="130"/>
      <c r="D228" s="133"/>
      <c r="J228" s="76"/>
      <c r="K228" s="66"/>
      <c r="L228" s="77"/>
      <c r="M228" s="200" t="s">
        <v>261</v>
      </c>
      <c r="N228" s="201"/>
      <c r="O228" s="202"/>
      <c r="P228" s="203" t="e" cm="1">
        <f t="array" ref="P228">IF(_xlfn.ANCHORARRAY(P221)&lt;0,-_xlfn.ANCHORARRAY(P221),0)</f>
        <v>#REF!</v>
      </c>
    </row>
    <row r="229" spans="2:401" x14ac:dyDescent="0.3">
      <c r="B229" s="130"/>
      <c r="D229" s="133"/>
      <c r="J229" s="76"/>
      <c r="K229" s="66"/>
      <c r="L229" s="77"/>
      <c r="M229" s="174" t="s">
        <v>290</v>
      </c>
      <c r="O229" s="8"/>
      <c r="P229" t="e" cm="1">
        <f t="array" ref="P229:OK229">_xlfn.ANCHORARRAY(P228)*_xlfn.ANCHORARRAY(P226)</f>
        <v>#REF!</v>
      </c>
      <c r="Q229" t="e">
        <v>#REF!</v>
      </c>
      <c r="R229" t="e">
        <v>#REF!</v>
      </c>
      <c r="S229" t="e">
        <v>#REF!</v>
      </c>
      <c r="T229" t="e">
        <v>#REF!</v>
      </c>
      <c r="U229" t="e">
        <v>#REF!</v>
      </c>
      <c r="V229" t="e">
        <v>#REF!</v>
      </c>
      <c r="W229" t="e">
        <v>#REF!</v>
      </c>
      <c r="X229" t="e">
        <v>#REF!</v>
      </c>
      <c r="Y229" t="e">
        <v>#REF!</v>
      </c>
      <c r="Z229" t="e">
        <v>#REF!</v>
      </c>
      <c r="AA229" t="e">
        <v>#REF!</v>
      </c>
      <c r="AB229" t="e">
        <v>#REF!</v>
      </c>
      <c r="AC229" t="e">
        <v>#REF!</v>
      </c>
      <c r="AD229" t="e">
        <v>#REF!</v>
      </c>
      <c r="AE229" t="e">
        <v>#REF!</v>
      </c>
      <c r="AF229" t="e">
        <v>#REF!</v>
      </c>
      <c r="AG229" t="e">
        <v>#REF!</v>
      </c>
      <c r="AH229" t="e">
        <v>#REF!</v>
      </c>
      <c r="AI229" t="e">
        <v>#REF!</v>
      </c>
      <c r="AJ229" t="e">
        <v>#REF!</v>
      </c>
      <c r="AK229" t="e">
        <v>#REF!</v>
      </c>
      <c r="AL229" t="e">
        <v>#REF!</v>
      </c>
      <c r="AM229" t="e">
        <v>#REF!</v>
      </c>
      <c r="AN229" t="e">
        <v>#REF!</v>
      </c>
      <c r="AO229" t="e">
        <v>#REF!</v>
      </c>
      <c r="AP229" t="e">
        <v>#REF!</v>
      </c>
      <c r="AQ229" t="e">
        <v>#REF!</v>
      </c>
      <c r="AR229" t="e">
        <v>#REF!</v>
      </c>
      <c r="AS229" t="e">
        <v>#REF!</v>
      </c>
      <c r="AT229" t="e">
        <v>#REF!</v>
      </c>
      <c r="AU229" t="e">
        <v>#REF!</v>
      </c>
      <c r="AV229" t="e">
        <v>#REF!</v>
      </c>
      <c r="AW229" t="e">
        <v>#REF!</v>
      </c>
      <c r="AX229" t="e">
        <v>#REF!</v>
      </c>
      <c r="AY229" t="e">
        <v>#REF!</v>
      </c>
      <c r="AZ229" t="e">
        <v>#REF!</v>
      </c>
      <c r="BA229" t="e">
        <v>#REF!</v>
      </c>
      <c r="BB229" t="e">
        <v>#REF!</v>
      </c>
      <c r="BC229" t="e">
        <v>#REF!</v>
      </c>
      <c r="BD229" t="e">
        <v>#REF!</v>
      </c>
      <c r="BE229" t="e">
        <v>#REF!</v>
      </c>
      <c r="BF229" t="e">
        <v>#REF!</v>
      </c>
      <c r="BG229" t="e">
        <v>#REF!</v>
      </c>
      <c r="BH229" t="e">
        <v>#REF!</v>
      </c>
      <c r="BI229" t="e">
        <v>#REF!</v>
      </c>
      <c r="BJ229" t="e">
        <v>#REF!</v>
      </c>
      <c r="BK229" t="e">
        <v>#REF!</v>
      </c>
      <c r="BL229" t="e">
        <v>#REF!</v>
      </c>
      <c r="BM229" t="e">
        <v>#REF!</v>
      </c>
      <c r="BN229" t="e">
        <v>#REF!</v>
      </c>
      <c r="BO229" t="e">
        <v>#REF!</v>
      </c>
      <c r="BP229" t="e">
        <v>#REF!</v>
      </c>
      <c r="BQ229" t="e">
        <v>#REF!</v>
      </c>
      <c r="BR229" t="e">
        <v>#REF!</v>
      </c>
      <c r="BS229" t="e">
        <v>#REF!</v>
      </c>
      <c r="BT229" t="e">
        <v>#REF!</v>
      </c>
      <c r="BU229" t="e">
        <v>#REF!</v>
      </c>
      <c r="BV229" t="e">
        <v>#REF!</v>
      </c>
      <c r="BW229" t="e">
        <v>#REF!</v>
      </c>
      <c r="BX229" t="e">
        <v>#REF!</v>
      </c>
      <c r="BY229" t="e">
        <v>#REF!</v>
      </c>
      <c r="BZ229" t="e">
        <v>#REF!</v>
      </c>
      <c r="CA229" t="e">
        <v>#REF!</v>
      </c>
      <c r="CB229" t="e">
        <v>#REF!</v>
      </c>
      <c r="CC229" t="e">
        <v>#REF!</v>
      </c>
      <c r="CD229" t="e">
        <v>#REF!</v>
      </c>
      <c r="CE229" t="e">
        <v>#REF!</v>
      </c>
      <c r="CF229" t="e">
        <v>#REF!</v>
      </c>
      <c r="CG229" t="e">
        <v>#REF!</v>
      </c>
      <c r="CH229" t="e">
        <v>#REF!</v>
      </c>
      <c r="CI229" t="e">
        <v>#REF!</v>
      </c>
      <c r="CJ229" t="e">
        <v>#REF!</v>
      </c>
      <c r="CK229" t="e">
        <v>#REF!</v>
      </c>
      <c r="CL229" t="e">
        <v>#REF!</v>
      </c>
      <c r="CM229" t="e">
        <v>#REF!</v>
      </c>
      <c r="CN229" t="e">
        <v>#REF!</v>
      </c>
      <c r="CO229" t="e">
        <v>#REF!</v>
      </c>
      <c r="CP229" t="e">
        <v>#REF!</v>
      </c>
      <c r="CQ229" t="e">
        <v>#REF!</v>
      </c>
      <c r="CR229" t="e">
        <v>#REF!</v>
      </c>
      <c r="CS229" t="e">
        <v>#REF!</v>
      </c>
      <c r="CT229" t="e">
        <v>#REF!</v>
      </c>
      <c r="CU229" t="e">
        <v>#REF!</v>
      </c>
      <c r="CV229" t="e">
        <v>#REF!</v>
      </c>
      <c r="CW229" t="e">
        <v>#REF!</v>
      </c>
      <c r="CX229" t="e">
        <v>#REF!</v>
      </c>
      <c r="CY229" t="e">
        <v>#REF!</v>
      </c>
      <c r="CZ229" t="e">
        <v>#REF!</v>
      </c>
      <c r="DA229" t="e">
        <v>#REF!</v>
      </c>
      <c r="DB229" t="e">
        <v>#REF!</v>
      </c>
      <c r="DC229" t="e">
        <v>#REF!</v>
      </c>
      <c r="DD229" t="e">
        <v>#REF!</v>
      </c>
      <c r="DE229" t="e">
        <v>#REF!</v>
      </c>
      <c r="DF229" t="e">
        <v>#REF!</v>
      </c>
      <c r="DG229" t="e">
        <v>#REF!</v>
      </c>
      <c r="DH229" t="e">
        <v>#REF!</v>
      </c>
      <c r="DI229" t="e">
        <v>#REF!</v>
      </c>
      <c r="DJ229" t="e">
        <v>#REF!</v>
      </c>
      <c r="DK229" t="e">
        <v>#REF!</v>
      </c>
      <c r="DL229" t="e">
        <v>#REF!</v>
      </c>
      <c r="DM229" t="e">
        <v>#REF!</v>
      </c>
      <c r="DN229" t="e">
        <v>#REF!</v>
      </c>
      <c r="DO229" t="e">
        <v>#REF!</v>
      </c>
      <c r="DP229" t="e">
        <v>#REF!</v>
      </c>
      <c r="DQ229" t="e">
        <v>#REF!</v>
      </c>
      <c r="DR229" t="e">
        <v>#REF!</v>
      </c>
      <c r="DS229" t="e">
        <v>#REF!</v>
      </c>
      <c r="DT229" t="e">
        <v>#REF!</v>
      </c>
      <c r="DU229" t="e">
        <v>#REF!</v>
      </c>
      <c r="DV229" t="e">
        <v>#REF!</v>
      </c>
      <c r="DW229" t="e">
        <v>#REF!</v>
      </c>
      <c r="DX229" t="e">
        <v>#REF!</v>
      </c>
      <c r="DY229" t="e">
        <v>#REF!</v>
      </c>
      <c r="DZ229" t="e">
        <v>#REF!</v>
      </c>
      <c r="EA229" t="e">
        <v>#REF!</v>
      </c>
      <c r="EB229" t="e">
        <v>#REF!</v>
      </c>
      <c r="EC229" t="e">
        <v>#REF!</v>
      </c>
      <c r="ED229" t="e">
        <v>#REF!</v>
      </c>
      <c r="EE229" t="e">
        <v>#REF!</v>
      </c>
      <c r="EF229" t="e">
        <v>#REF!</v>
      </c>
      <c r="EG229" t="e">
        <v>#REF!</v>
      </c>
      <c r="EH229" t="e">
        <v>#REF!</v>
      </c>
      <c r="EI229" t="e">
        <v>#REF!</v>
      </c>
      <c r="EJ229" t="e">
        <v>#REF!</v>
      </c>
      <c r="EK229" t="e">
        <v>#REF!</v>
      </c>
      <c r="EL229" t="e">
        <v>#REF!</v>
      </c>
      <c r="EM229" t="e">
        <v>#REF!</v>
      </c>
      <c r="EN229" t="e">
        <v>#REF!</v>
      </c>
      <c r="EO229" t="e">
        <v>#REF!</v>
      </c>
      <c r="EP229" t="e">
        <v>#REF!</v>
      </c>
      <c r="EQ229" t="e">
        <v>#REF!</v>
      </c>
      <c r="ER229" t="e">
        <v>#REF!</v>
      </c>
      <c r="ES229" t="e">
        <v>#REF!</v>
      </c>
      <c r="ET229" t="e">
        <v>#REF!</v>
      </c>
      <c r="EU229" t="e">
        <v>#REF!</v>
      </c>
      <c r="EV229" t="e">
        <v>#REF!</v>
      </c>
      <c r="EW229" t="e">
        <v>#REF!</v>
      </c>
      <c r="EX229" t="e">
        <v>#REF!</v>
      </c>
      <c r="EY229" t="e">
        <v>#REF!</v>
      </c>
      <c r="EZ229" t="e">
        <v>#REF!</v>
      </c>
      <c r="FA229" t="e">
        <v>#REF!</v>
      </c>
      <c r="FB229" t="e">
        <v>#REF!</v>
      </c>
      <c r="FC229" t="e">
        <v>#REF!</v>
      </c>
      <c r="FD229" t="e">
        <v>#REF!</v>
      </c>
      <c r="FE229" t="e">
        <v>#REF!</v>
      </c>
      <c r="FF229" t="e">
        <v>#REF!</v>
      </c>
      <c r="FG229" t="e">
        <v>#REF!</v>
      </c>
      <c r="FH229" t="e">
        <v>#REF!</v>
      </c>
      <c r="FI229" t="e">
        <v>#REF!</v>
      </c>
      <c r="FJ229" t="e">
        <v>#REF!</v>
      </c>
      <c r="FK229" t="e">
        <v>#REF!</v>
      </c>
      <c r="FL229" t="e">
        <v>#REF!</v>
      </c>
      <c r="FM229" t="e">
        <v>#REF!</v>
      </c>
      <c r="FN229" t="e">
        <v>#REF!</v>
      </c>
      <c r="FO229" t="e">
        <v>#REF!</v>
      </c>
      <c r="FP229" t="e">
        <v>#REF!</v>
      </c>
      <c r="FQ229" t="e">
        <v>#REF!</v>
      </c>
      <c r="FR229" t="e">
        <v>#REF!</v>
      </c>
      <c r="FS229" t="e">
        <v>#REF!</v>
      </c>
      <c r="FT229" t="e">
        <v>#REF!</v>
      </c>
      <c r="FU229" t="e">
        <v>#REF!</v>
      </c>
      <c r="FV229" t="e">
        <v>#REF!</v>
      </c>
      <c r="FW229" t="e">
        <v>#REF!</v>
      </c>
      <c r="FX229" t="e">
        <v>#REF!</v>
      </c>
      <c r="FY229" t="e">
        <v>#REF!</v>
      </c>
      <c r="FZ229" t="e">
        <v>#REF!</v>
      </c>
      <c r="GA229" t="e">
        <v>#REF!</v>
      </c>
      <c r="GB229" t="e">
        <v>#REF!</v>
      </c>
      <c r="GC229" t="e">
        <v>#REF!</v>
      </c>
      <c r="GD229" t="e">
        <v>#REF!</v>
      </c>
      <c r="GE229" t="e">
        <v>#REF!</v>
      </c>
      <c r="GF229" t="e">
        <v>#REF!</v>
      </c>
      <c r="GG229" t="e">
        <v>#REF!</v>
      </c>
      <c r="GH229" t="e">
        <v>#REF!</v>
      </c>
      <c r="GI229" t="e">
        <v>#REF!</v>
      </c>
      <c r="GJ229" t="e">
        <v>#REF!</v>
      </c>
      <c r="GK229" t="e">
        <v>#REF!</v>
      </c>
      <c r="GL229" t="e">
        <v>#REF!</v>
      </c>
      <c r="GM229" t="e">
        <v>#REF!</v>
      </c>
      <c r="GN229" t="e">
        <v>#REF!</v>
      </c>
      <c r="GO229" t="e">
        <v>#REF!</v>
      </c>
      <c r="GP229" t="e">
        <v>#REF!</v>
      </c>
      <c r="GQ229" t="e">
        <v>#REF!</v>
      </c>
      <c r="GR229" t="e">
        <v>#REF!</v>
      </c>
      <c r="GS229" t="e">
        <v>#REF!</v>
      </c>
      <c r="GT229" t="e">
        <v>#REF!</v>
      </c>
      <c r="GU229" t="e">
        <v>#REF!</v>
      </c>
      <c r="GV229" t="e">
        <v>#REF!</v>
      </c>
      <c r="GW229" t="e">
        <v>#REF!</v>
      </c>
      <c r="GX229" t="e">
        <v>#REF!</v>
      </c>
      <c r="GY229" t="e">
        <v>#REF!</v>
      </c>
      <c r="GZ229" t="e">
        <v>#REF!</v>
      </c>
      <c r="HA229" t="e">
        <v>#REF!</v>
      </c>
      <c r="HB229" t="e">
        <v>#REF!</v>
      </c>
      <c r="HC229" t="e">
        <v>#REF!</v>
      </c>
      <c r="HD229" t="e">
        <v>#REF!</v>
      </c>
      <c r="HE229" t="e">
        <v>#REF!</v>
      </c>
      <c r="HF229" t="e">
        <v>#REF!</v>
      </c>
      <c r="HG229" t="e">
        <v>#REF!</v>
      </c>
      <c r="HH229" t="e">
        <v>#REF!</v>
      </c>
      <c r="HI229" t="e">
        <v>#REF!</v>
      </c>
      <c r="HJ229" t="e">
        <v>#REF!</v>
      </c>
      <c r="HK229" t="e">
        <v>#REF!</v>
      </c>
      <c r="HL229" t="e">
        <v>#REF!</v>
      </c>
      <c r="HM229" t="e">
        <v>#REF!</v>
      </c>
      <c r="HN229" t="e">
        <v>#REF!</v>
      </c>
      <c r="HO229" t="e">
        <v>#REF!</v>
      </c>
      <c r="HP229" t="e">
        <v>#REF!</v>
      </c>
      <c r="HQ229" t="e">
        <v>#REF!</v>
      </c>
      <c r="HR229" t="e">
        <v>#REF!</v>
      </c>
      <c r="HS229" t="e">
        <v>#REF!</v>
      </c>
      <c r="HT229" t="e">
        <v>#REF!</v>
      </c>
      <c r="HU229" t="e">
        <v>#REF!</v>
      </c>
      <c r="HV229" t="e">
        <v>#REF!</v>
      </c>
      <c r="HW229" t="e">
        <v>#REF!</v>
      </c>
      <c r="HX229" t="e">
        <v>#REF!</v>
      </c>
      <c r="HY229" t="e">
        <v>#REF!</v>
      </c>
      <c r="HZ229" t="e">
        <v>#REF!</v>
      </c>
      <c r="IA229" t="e">
        <v>#REF!</v>
      </c>
      <c r="IB229" t="e">
        <v>#REF!</v>
      </c>
      <c r="IC229" t="e">
        <v>#REF!</v>
      </c>
      <c r="ID229" t="e">
        <v>#REF!</v>
      </c>
      <c r="IE229" t="e">
        <v>#REF!</v>
      </c>
      <c r="IF229" t="e">
        <v>#REF!</v>
      </c>
      <c r="IG229" t="e">
        <v>#REF!</v>
      </c>
      <c r="IH229" t="e">
        <v>#REF!</v>
      </c>
      <c r="II229" t="e">
        <v>#REF!</v>
      </c>
      <c r="IJ229" t="e">
        <v>#REF!</v>
      </c>
      <c r="IK229" t="e">
        <v>#REF!</v>
      </c>
      <c r="IL229" t="e">
        <v>#REF!</v>
      </c>
      <c r="IM229" t="e">
        <v>#REF!</v>
      </c>
      <c r="IN229" t="e">
        <v>#REF!</v>
      </c>
      <c r="IO229" t="e">
        <v>#REF!</v>
      </c>
      <c r="IP229" t="e">
        <v>#REF!</v>
      </c>
      <c r="IQ229" t="e">
        <v>#REF!</v>
      </c>
      <c r="IR229" t="e">
        <v>#REF!</v>
      </c>
      <c r="IS229" t="e">
        <v>#REF!</v>
      </c>
      <c r="IT229" t="e">
        <v>#REF!</v>
      </c>
      <c r="IU229" t="e">
        <v>#REF!</v>
      </c>
      <c r="IV229" t="e">
        <v>#REF!</v>
      </c>
      <c r="IW229" t="e">
        <v>#REF!</v>
      </c>
      <c r="IX229" t="e">
        <v>#REF!</v>
      </c>
      <c r="IY229" t="e">
        <v>#REF!</v>
      </c>
      <c r="IZ229" t="e">
        <v>#REF!</v>
      </c>
      <c r="JA229" t="e">
        <v>#REF!</v>
      </c>
      <c r="JB229" t="e">
        <v>#REF!</v>
      </c>
      <c r="JC229" t="e">
        <v>#REF!</v>
      </c>
      <c r="JD229" t="e">
        <v>#REF!</v>
      </c>
      <c r="JE229" t="e">
        <v>#REF!</v>
      </c>
      <c r="JF229" t="e">
        <v>#REF!</v>
      </c>
      <c r="JG229" t="e">
        <v>#REF!</v>
      </c>
      <c r="JH229" t="e">
        <v>#REF!</v>
      </c>
      <c r="JI229" t="e">
        <v>#REF!</v>
      </c>
      <c r="JJ229" t="e">
        <v>#REF!</v>
      </c>
      <c r="JK229" t="e">
        <v>#REF!</v>
      </c>
      <c r="JL229" t="e">
        <v>#REF!</v>
      </c>
      <c r="JM229" t="e">
        <v>#REF!</v>
      </c>
      <c r="JN229" t="e">
        <v>#REF!</v>
      </c>
      <c r="JO229" t="e">
        <v>#REF!</v>
      </c>
      <c r="JP229" t="e">
        <v>#REF!</v>
      </c>
      <c r="JQ229" t="e">
        <v>#REF!</v>
      </c>
      <c r="JR229" t="e">
        <v>#REF!</v>
      </c>
      <c r="JS229" t="e">
        <v>#REF!</v>
      </c>
      <c r="JT229" t="e">
        <v>#REF!</v>
      </c>
      <c r="JU229" t="e">
        <v>#REF!</v>
      </c>
      <c r="JV229" t="e">
        <v>#REF!</v>
      </c>
      <c r="JW229" t="e">
        <v>#REF!</v>
      </c>
      <c r="JX229" t="e">
        <v>#REF!</v>
      </c>
      <c r="JY229" t="e">
        <v>#REF!</v>
      </c>
      <c r="JZ229" t="e">
        <v>#REF!</v>
      </c>
      <c r="KA229" t="e">
        <v>#REF!</v>
      </c>
      <c r="KB229" t="e">
        <v>#REF!</v>
      </c>
      <c r="KC229" t="e">
        <v>#REF!</v>
      </c>
      <c r="KD229" t="e">
        <v>#REF!</v>
      </c>
      <c r="KE229" t="e">
        <v>#REF!</v>
      </c>
      <c r="KF229" t="e">
        <v>#REF!</v>
      </c>
      <c r="KG229" t="e">
        <v>#REF!</v>
      </c>
      <c r="KH229" t="e">
        <v>#REF!</v>
      </c>
      <c r="KI229" t="e">
        <v>#REF!</v>
      </c>
      <c r="KJ229" t="e">
        <v>#REF!</v>
      </c>
      <c r="KK229" t="e">
        <v>#REF!</v>
      </c>
      <c r="KL229" t="e">
        <v>#REF!</v>
      </c>
      <c r="KM229" t="e">
        <v>#REF!</v>
      </c>
      <c r="KN229" t="e">
        <v>#REF!</v>
      </c>
      <c r="KO229" t="e">
        <v>#REF!</v>
      </c>
      <c r="KP229" t="e">
        <v>#REF!</v>
      </c>
      <c r="KQ229" t="e">
        <v>#REF!</v>
      </c>
      <c r="KR229" t="e">
        <v>#REF!</v>
      </c>
      <c r="KS229" t="e">
        <v>#REF!</v>
      </c>
      <c r="KT229" t="e">
        <v>#REF!</v>
      </c>
      <c r="KU229" t="e">
        <v>#REF!</v>
      </c>
      <c r="KV229" t="e">
        <v>#REF!</v>
      </c>
      <c r="KW229" t="e">
        <v>#REF!</v>
      </c>
      <c r="KX229" t="e">
        <v>#REF!</v>
      </c>
      <c r="KY229" t="e">
        <v>#REF!</v>
      </c>
      <c r="KZ229" t="e">
        <v>#REF!</v>
      </c>
      <c r="LA229" t="e">
        <v>#REF!</v>
      </c>
      <c r="LB229" t="e">
        <v>#REF!</v>
      </c>
      <c r="LC229" t="e">
        <v>#REF!</v>
      </c>
      <c r="LD229" t="e">
        <v>#REF!</v>
      </c>
      <c r="LE229" t="e">
        <v>#REF!</v>
      </c>
      <c r="LF229" t="e">
        <v>#REF!</v>
      </c>
      <c r="LG229" t="e">
        <v>#REF!</v>
      </c>
      <c r="LH229" t="e">
        <v>#REF!</v>
      </c>
      <c r="LI229" t="e">
        <v>#REF!</v>
      </c>
      <c r="LJ229" t="e">
        <v>#REF!</v>
      </c>
      <c r="LK229" t="e">
        <v>#REF!</v>
      </c>
      <c r="LL229" t="e">
        <v>#REF!</v>
      </c>
      <c r="LM229" t="e">
        <v>#REF!</v>
      </c>
      <c r="LN229" t="e">
        <v>#REF!</v>
      </c>
      <c r="LO229" t="e">
        <v>#REF!</v>
      </c>
      <c r="LP229" t="e">
        <v>#REF!</v>
      </c>
      <c r="LQ229" t="e">
        <v>#REF!</v>
      </c>
      <c r="LR229" t="e">
        <v>#REF!</v>
      </c>
      <c r="LS229" t="e">
        <v>#REF!</v>
      </c>
      <c r="LT229" t="e">
        <v>#REF!</v>
      </c>
      <c r="LU229" t="e">
        <v>#REF!</v>
      </c>
      <c r="LV229" t="e">
        <v>#REF!</v>
      </c>
      <c r="LW229" t="e">
        <v>#REF!</v>
      </c>
      <c r="LX229" t="e">
        <v>#REF!</v>
      </c>
      <c r="LY229" t="e">
        <v>#REF!</v>
      </c>
      <c r="LZ229" t="e">
        <v>#REF!</v>
      </c>
      <c r="MA229" t="e">
        <v>#REF!</v>
      </c>
      <c r="MB229" t="e">
        <v>#REF!</v>
      </c>
      <c r="MC229" t="e">
        <v>#REF!</v>
      </c>
      <c r="MD229" t="e">
        <v>#REF!</v>
      </c>
      <c r="ME229" t="e">
        <v>#REF!</v>
      </c>
      <c r="MF229" t="e">
        <v>#REF!</v>
      </c>
      <c r="MG229" t="e">
        <v>#REF!</v>
      </c>
      <c r="MH229" t="e">
        <v>#REF!</v>
      </c>
      <c r="MI229" t="e">
        <v>#REF!</v>
      </c>
      <c r="MJ229" t="e">
        <v>#REF!</v>
      </c>
      <c r="MK229" t="e">
        <v>#REF!</v>
      </c>
      <c r="ML229" t="e">
        <v>#REF!</v>
      </c>
      <c r="MM229" t="e">
        <v>#REF!</v>
      </c>
      <c r="MN229" t="e">
        <v>#REF!</v>
      </c>
      <c r="MO229" t="e">
        <v>#REF!</v>
      </c>
      <c r="MP229" t="e">
        <v>#REF!</v>
      </c>
      <c r="MQ229" t="e">
        <v>#REF!</v>
      </c>
      <c r="MR229" t="e">
        <v>#REF!</v>
      </c>
      <c r="MS229" t="e">
        <v>#REF!</v>
      </c>
      <c r="MT229" t="e">
        <v>#REF!</v>
      </c>
      <c r="MU229" t="e">
        <v>#REF!</v>
      </c>
      <c r="MV229" t="e">
        <v>#REF!</v>
      </c>
      <c r="MW229" t="e">
        <v>#REF!</v>
      </c>
      <c r="MX229" t="e">
        <v>#REF!</v>
      </c>
      <c r="MY229" t="e">
        <v>#REF!</v>
      </c>
      <c r="MZ229" t="e">
        <v>#REF!</v>
      </c>
      <c r="NA229" t="e">
        <v>#REF!</v>
      </c>
      <c r="NB229" t="e">
        <v>#REF!</v>
      </c>
      <c r="NC229" t="e">
        <v>#REF!</v>
      </c>
      <c r="ND229" t="e">
        <v>#REF!</v>
      </c>
      <c r="NE229" t="e">
        <v>#REF!</v>
      </c>
      <c r="NF229" t="e">
        <v>#REF!</v>
      </c>
      <c r="NG229" t="e">
        <v>#REF!</v>
      </c>
      <c r="NH229" t="e">
        <v>#REF!</v>
      </c>
      <c r="NI229" t="e">
        <v>#REF!</v>
      </c>
      <c r="NJ229" t="e">
        <v>#REF!</v>
      </c>
      <c r="NK229" t="e">
        <v>#REF!</v>
      </c>
      <c r="NL229" t="e">
        <v>#REF!</v>
      </c>
      <c r="NM229" t="e">
        <v>#REF!</v>
      </c>
      <c r="NN229" t="e">
        <v>#REF!</v>
      </c>
      <c r="NO229" t="e">
        <v>#REF!</v>
      </c>
      <c r="NP229" t="e">
        <v>#REF!</v>
      </c>
      <c r="NQ229" t="e">
        <v>#REF!</v>
      </c>
      <c r="NR229" t="e">
        <v>#REF!</v>
      </c>
      <c r="NS229" t="e">
        <v>#REF!</v>
      </c>
      <c r="NT229" t="e">
        <v>#REF!</v>
      </c>
      <c r="NU229" t="e">
        <v>#REF!</v>
      </c>
      <c r="NV229" t="e">
        <v>#REF!</v>
      </c>
      <c r="NW229" t="e">
        <v>#REF!</v>
      </c>
      <c r="NX229" t="e">
        <v>#REF!</v>
      </c>
      <c r="NY229" t="e">
        <v>#REF!</v>
      </c>
      <c r="NZ229" t="e">
        <v>#REF!</v>
      </c>
      <c r="OA229" t="e">
        <v>#REF!</v>
      </c>
      <c r="OB229" t="e">
        <v>#REF!</v>
      </c>
      <c r="OC229" t="e">
        <v>#REF!</v>
      </c>
      <c r="OD229" t="e">
        <v>#REF!</v>
      </c>
      <c r="OE229" t="e">
        <v>#REF!</v>
      </c>
      <c r="OF229" t="e">
        <v>#REF!</v>
      </c>
      <c r="OG229" t="e">
        <v>#REF!</v>
      </c>
      <c r="OH229" t="e">
        <v>#REF!</v>
      </c>
      <c r="OI229" t="e">
        <v>#REF!</v>
      </c>
      <c r="OJ229" t="e">
        <v>#REF!</v>
      </c>
      <c r="OK229" t="e">
        <v>#REF!</v>
      </c>
    </row>
    <row r="230" spans="2:401" x14ac:dyDescent="0.3">
      <c r="B230" s="131"/>
      <c r="D230" s="133"/>
      <c r="J230" s="76"/>
      <c r="K230" s="66"/>
      <c r="L230" s="77"/>
      <c r="M230" s="175" t="s">
        <v>291</v>
      </c>
      <c r="N230" s="6"/>
      <c r="O230" s="33"/>
      <c r="P230" s="6" t="e" cm="1">
        <f t="array" ref="P230:OK230">_xlfn.ANCHORARRAY(P228)*_xlfn.ANCHORARRAY(P227)</f>
        <v>#REF!</v>
      </c>
      <c r="Q230" s="6" t="e">
        <v>#REF!</v>
      </c>
      <c r="R230" s="6" t="e">
        <v>#REF!</v>
      </c>
      <c r="S230" s="6" t="e">
        <v>#REF!</v>
      </c>
      <c r="T230" s="6" t="e">
        <v>#REF!</v>
      </c>
      <c r="U230" s="6" t="e">
        <v>#REF!</v>
      </c>
      <c r="V230" s="6" t="e">
        <v>#REF!</v>
      </c>
      <c r="W230" s="6" t="e">
        <v>#REF!</v>
      </c>
      <c r="X230" s="6" t="e">
        <v>#REF!</v>
      </c>
      <c r="Y230" s="6" t="e">
        <v>#REF!</v>
      </c>
      <c r="Z230" s="6" t="e">
        <v>#REF!</v>
      </c>
      <c r="AA230" s="6" t="e">
        <v>#REF!</v>
      </c>
      <c r="AB230" s="6" t="e">
        <v>#REF!</v>
      </c>
      <c r="AC230" s="6" t="e">
        <v>#REF!</v>
      </c>
      <c r="AD230" s="6" t="e">
        <v>#REF!</v>
      </c>
      <c r="AE230" s="6" t="e">
        <v>#REF!</v>
      </c>
      <c r="AF230" s="6" t="e">
        <v>#REF!</v>
      </c>
      <c r="AG230" s="6" t="e">
        <v>#REF!</v>
      </c>
      <c r="AH230" s="6" t="e">
        <v>#REF!</v>
      </c>
      <c r="AI230" s="6" t="e">
        <v>#REF!</v>
      </c>
      <c r="AJ230" s="6" t="e">
        <v>#REF!</v>
      </c>
      <c r="AK230" s="6" t="e">
        <v>#REF!</v>
      </c>
      <c r="AL230" s="6" t="e">
        <v>#REF!</v>
      </c>
      <c r="AM230" s="6" t="e">
        <v>#REF!</v>
      </c>
      <c r="AN230" s="6" t="e">
        <v>#REF!</v>
      </c>
      <c r="AO230" s="6" t="e">
        <v>#REF!</v>
      </c>
      <c r="AP230" s="6" t="e">
        <v>#REF!</v>
      </c>
      <c r="AQ230" s="6" t="e">
        <v>#REF!</v>
      </c>
      <c r="AR230" s="6" t="e">
        <v>#REF!</v>
      </c>
      <c r="AS230" s="6" t="e">
        <v>#REF!</v>
      </c>
      <c r="AT230" s="6" t="e">
        <v>#REF!</v>
      </c>
      <c r="AU230" s="6" t="e">
        <v>#REF!</v>
      </c>
      <c r="AV230" s="6" t="e">
        <v>#REF!</v>
      </c>
      <c r="AW230" s="6" t="e">
        <v>#REF!</v>
      </c>
      <c r="AX230" s="6" t="e">
        <v>#REF!</v>
      </c>
      <c r="AY230" s="6" t="e">
        <v>#REF!</v>
      </c>
      <c r="AZ230" s="6" t="e">
        <v>#REF!</v>
      </c>
      <c r="BA230" s="6" t="e">
        <v>#REF!</v>
      </c>
      <c r="BB230" s="6" t="e">
        <v>#REF!</v>
      </c>
      <c r="BC230" s="6" t="e">
        <v>#REF!</v>
      </c>
      <c r="BD230" s="6" t="e">
        <v>#REF!</v>
      </c>
      <c r="BE230" s="6" t="e">
        <v>#REF!</v>
      </c>
      <c r="BF230" s="6" t="e">
        <v>#REF!</v>
      </c>
      <c r="BG230" s="6" t="e">
        <v>#REF!</v>
      </c>
      <c r="BH230" s="6" t="e">
        <v>#REF!</v>
      </c>
      <c r="BI230" s="6" t="e">
        <v>#REF!</v>
      </c>
      <c r="BJ230" s="6" t="e">
        <v>#REF!</v>
      </c>
      <c r="BK230" s="6" t="e">
        <v>#REF!</v>
      </c>
      <c r="BL230" s="6" t="e">
        <v>#REF!</v>
      </c>
      <c r="BM230" s="6" t="e">
        <v>#REF!</v>
      </c>
      <c r="BN230" s="6" t="e">
        <v>#REF!</v>
      </c>
      <c r="BO230" s="6" t="e">
        <v>#REF!</v>
      </c>
      <c r="BP230" s="6" t="e">
        <v>#REF!</v>
      </c>
      <c r="BQ230" s="6" t="e">
        <v>#REF!</v>
      </c>
      <c r="BR230" s="6" t="e">
        <v>#REF!</v>
      </c>
      <c r="BS230" s="6" t="e">
        <v>#REF!</v>
      </c>
      <c r="BT230" s="6" t="e">
        <v>#REF!</v>
      </c>
      <c r="BU230" s="6" t="e">
        <v>#REF!</v>
      </c>
      <c r="BV230" s="6" t="e">
        <v>#REF!</v>
      </c>
      <c r="BW230" s="6" t="e">
        <v>#REF!</v>
      </c>
      <c r="BX230" s="6" t="e">
        <v>#REF!</v>
      </c>
      <c r="BY230" s="6" t="e">
        <v>#REF!</v>
      </c>
      <c r="BZ230" s="6" t="e">
        <v>#REF!</v>
      </c>
      <c r="CA230" s="6" t="e">
        <v>#REF!</v>
      </c>
      <c r="CB230" s="6" t="e">
        <v>#REF!</v>
      </c>
      <c r="CC230" s="6" t="e">
        <v>#REF!</v>
      </c>
      <c r="CD230" s="6" t="e">
        <v>#REF!</v>
      </c>
      <c r="CE230" s="6" t="e">
        <v>#REF!</v>
      </c>
      <c r="CF230" s="6" t="e">
        <v>#REF!</v>
      </c>
      <c r="CG230" s="6" t="e">
        <v>#REF!</v>
      </c>
      <c r="CH230" s="6" t="e">
        <v>#REF!</v>
      </c>
      <c r="CI230" s="6" t="e">
        <v>#REF!</v>
      </c>
      <c r="CJ230" s="6" t="e">
        <v>#REF!</v>
      </c>
      <c r="CK230" s="6" t="e">
        <v>#REF!</v>
      </c>
      <c r="CL230" s="6" t="e">
        <v>#REF!</v>
      </c>
      <c r="CM230" s="6" t="e">
        <v>#REF!</v>
      </c>
      <c r="CN230" s="6" t="e">
        <v>#REF!</v>
      </c>
      <c r="CO230" s="6" t="e">
        <v>#REF!</v>
      </c>
      <c r="CP230" s="6" t="e">
        <v>#REF!</v>
      </c>
      <c r="CQ230" s="6" t="e">
        <v>#REF!</v>
      </c>
      <c r="CR230" s="6" t="e">
        <v>#REF!</v>
      </c>
      <c r="CS230" s="6" t="e">
        <v>#REF!</v>
      </c>
      <c r="CT230" s="6" t="e">
        <v>#REF!</v>
      </c>
      <c r="CU230" s="6" t="e">
        <v>#REF!</v>
      </c>
      <c r="CV230" s="6" t="e">
        <v>#REF!</v>
      </c>
      <c r="CW230" s="6" t="e">
        <v>#REF!</v>
      </c>
      <c r="CX230" s="6" t="e">
        <v>#REF!</v>
      </c>
      <c r="CY230" s="6" t="e">
        <v>#REF!</v>
      </c>
      <c r="CZ230" s="6" t="e">
        <v>#REF!</v>
      </c>
      <c r="DA230" s="6" t="e">
        <v>#REF!</v>
      </c>
      <c r="DB230" s="6" t="e">
        <v>#REF!</v>
      </c>
      <c r="DC230" s="6" t="e">
        <v>#REF!</v>
      </c>
      <c r="DD230" s="6" t="e">
        <v>#REF!</v>
      </c>
      <c r="DE230" s="6" t="e">
        <v>#REF!</v>
      </c>
      <c r="DF230" s="6" t="e">
        <v>#REF!</v>
      </c>
      <c r="DG230" s="6" t="e">
        <v>#REF!</v>
      </c>
      <c r="DH230" s="6" t="e">
        <v>#REF!</v>
      </c>
      <c r="DI230" s="6" t="e">
        <v>#REF!</v>
      </c>
      <c r="DJ230" s="6" t="e">
        <v>#REF!</v>
      </c>
      <c r="DK230" s="6" t="e">
        <v>#REF!</v>
      </c>
      <c r="DL230" s="6" t="e">
        <v>#REF!</v>
      </c>
      <c r="DM230" s="6" t="e">
        <v>#REF!</v>
      </c>
      <c r="DN230" s="6" t="e">
        <v>#REF!</v>
      </c>
      <c r="DO230" s="6" t="e">
        <v>#REF!</v>
      </c>
      <c r="DP230" s="6" t="e">
        <v>#REF!</v>
      </c>
      <c r="DQ230" s="6" t="e">
        <v>#REF!</v>
      </c>
      <c r="DR230" s="6" t="e">
        <v>#REF!</v>
      </c>
      <c r="DS230" s="6" t="e">
        <v>#REF!</v>
      </c>
      <c r="DT230" s="6" t="e">
        <v>#REF!</v>
      </c>
      <c r="DU230" s="6" t="e">
        <v>#REF!</v>
      </c>
      <c r="DV230" s="6" t="e">
        <v>#REF!</v>
      </c>
      <c r="DW230" s="6" t="e">
        <v>#REF!</v>
      </c>
      <c r="DX230" s="6" t="e">
        <v>#REF!</v>
      </c>
      <c r="DY230" s="6" t="e">
        <v>#REF!</v>
      </c>
      <c r="DZ230" s="6" t="e">
        <v>#REF!</v>
      </c>
      <c r="EA230" s="6" t="e">
        <v>#REF!</v>
      </c>
      <c r="EB230" s="6" t="e">
        <v>#REF!</v>
      </c>
      <c r="EC230" s="6" t="e">
        <v>#REF!</v>
      </c>
      <c r="ED230" s="6" t="e">
        <v>#REF!</v>
      </c>
      <c r="EE230" s="6" t="e">
        <v>#REF!</v>
      </c>
      <c r="EF230" s="6" t="e">
        <v>#REF!</v>
      </c>
      <c r="EG230" s="6" t="e">
        <v>#REF!</v>
      </c>
      <c r="EH230" s="6" t="e">
        <v>#REF!</v>
      </c>
      <c r="EI230" s="6" t="e">
        <v>#REF!</v>
      </c>
      <c r="EJ230" s="6" t="e">
        <v>#REF!</v>
      </c>
      <c r="EK230" s="6" t="e">
        <v>#REF!</v>
      </c>
      <c r="EL230" s="6" t="e">
        <v>#REF!</v>
      </c>
      <c r="EM230" s="6" t="e">
        <v>#REF!</v>
      </c>
      <c r="EN230" s="6" t="e">
        <v>#REF!</v>
      </c>
      <c r="EO230" s="6" t="e">
        <v>#REF!</v>
      </c>
      <c r="EP230" s="6" t="e">
        <v>#REF!</v>
      </c>
      <c r="EQ230" s="6" t="e">
        <v>#REF!</v>
      </c>
      <c r="ER230" s="6" t="e">
        <v>#REF!</v>
      </c>
      <c r="ES230" s="6" t="e">
        <v>#REF!</v>
      </c>
      <c r="ET230" s="6" t="e">
        <v>#REF!</v>
      </c>
      <c r="EU230" s="6" t="e">
        <v>#REF!</v>
      </c>
      <c r="EV230" s="6" t="e">
        <v>#REF!</v>
      </c>
      <c r="EW230" s="6" t="e">
        <v>#REF!</v>
      </c>
      <c r="EX230" s="6" t="e">
        <v>#REF!</v>
      </c>
      <c r="EY230" s="6" t="e">
        <v>#REF!</v>
      </c>
      <c r="EZ230" s="6" t="e">
        <v>#REF!</v>
      </c>
      <c r="FA230" s="6" t="e">
        <v>#REF!</v>
      </c>
      <c r="FB230" s="6" t="e">
        <v>#REF!</v>
      </c>
      <c r="FC230" s="6" t="e">
        <v>#REF!</v>
      </c>
      <c r="FD230" s="6" t="e">
        <v>#REF!</v>
      </c>
      <c r="FE230" s="6" t="e">
        <v>#REF!</v>
      </c>
      <c r="FF230" s="6" t="e">
        <v>#REF!</v>
      </c>
      <c r="FG230" s="6" t="e">
        <v>#REF!</v>
      </c>
      <c r="FH230" s="6" t="e">
        <v>#REF!</v>
      </c>
      <c r="FI230" s="6" t="e">
        <v>#REF!</v>
      </c>
      <c r="FJ230" s="6" t="e">
        <v>#REF!</v>
      </c>
      <c r="FK230" s="6" t="e">
        <v>#REF!</v>
      </c>
      <c r="FL230" s="6" t="e">
        <v>#REF!</v>
      </c>
      <c r="FM230" s="6" t="e">
        <v>#REF!</v>
      </c>
      <c r="FN230" s="6" t="e">
        <v>#REF!</v>
      </c>
      <c r="FO230" s="6" t="e">
        <v>#REF!</v>
      </c>
      <c r="FP230" s="6" t="e">
        <v>#REF!</v>
      </c>
      <c r="FQ230" s="6" t="e">
        <v>#REF!</v>
      </c>
      <c r="FR230" s="6" t="e">
        <v>#REF!</v>
      </c>
      <c r="FS230" s="6" t="e">
        <v>#REF!</v>
      </c>
      <c r="FT230" s="6" t="e">
        <v>#REF!</v>
      </c>
      <c r="FU230" s="6" t="e">
        <v>#REF!</v>
      </c>
      <c r="FV230" s="6" t="e">
        <v>#REF!</v>
      </c>
      <c r="FW230" s="6" t="e">
        <v>#REF!</v>
      </c>
      <c r="FX230" s="6" t="e">
        <v>#REF!</v>
      </c>
      <c r="FY230" s="6" t="e">
        <v>#REF!</v>
      </c>
      <c r="FZ230" s="6" t="e">
        <v>#REF!</v>
      </c>
      <c r="GA230" s="6" t="e">
        <v>#REF!</v>
      </c>
      <c r="GB230" s="6" t="e">
        <v>#REF!</v>
      </c>
      <c r="GC230" s="6" t="e">
        <v>#REF!</v>
      </c>
      <c r="GD230" s="6" t="e">
        <v>#REF!</v>
      </c>
      <c r="GE230" s="6" t="e">
        <v>#REF!</v>
      </c>
      <c r="GF230" s="6" t="e">
        <v>#REF!</v>
      </c>
      <c r="GG230" s="6" t="e">
        <v>#REF!</v>
      </c>
      <c r="GH230" s="6" t="e">
        <v>#REF!</v>
      </c>
      <c r="GI230" s="6" t="e">
        <v>#REF!</v>
      </c>
      <c r="GJ230" s="6" t="e">
        <v>#REF!</v>
      </c>
      <c r="GK230" s="6" t="e">
        <v>#REF!</v>
      </c>
      <c r="GL230" s="6" t="e">
        <v>#REF!</v>
      </c>
      <c r="GM230" s="6" t="e">
        <v>#REF!</v>
      </c>
      <c r="GN230" s="6" t="e">
        <v>#REF!</v>
      </c>
      <c r="GO230" s="6" t="e">
        <v>#REF!</v>
      </c>
      <c r="GP230" s="6" t="e">
        <v>#REF!</v>
      </c>
      <c r="GQ230" s="6" t="e">
        <v>#REF!</v>
      </c>
      <c r="GR230" s="6" t="e">
        <v>#REF!</v>
      </c>
      <c r="GS230" s="6" t="e">
        <v>#REF!</v>
      </c>
      <c r="GT230" s="6" t="e">
        <v>#REF!</v>
      </c>
      <c r="GU230" s="6" t="e">
        <v>#REF!</v>
      </c>
      <c r="GV230" s="6" t="e">
        <v>#REF!</v>
      </c>
      <c r="GW230" s="6" t="e">
        <v>#REF!</v>
      </c>
      <c r="GX230" s="6" t="e">
        <v>#REF!</v>
      </c>
      <c r="GY230" s="6" t="e">
        <v>#REF!</v>
      </c>
      <c r="GZ230" s="6" t="e">
        <v>#REF!</v>
      </c>
      <c r="HA230" s="6" t="e">
        <v>#REF!</v>
      </c>
      <c r="HB230" s="6" t="e">
        <v>#REF!</v>
      </c>
      <c r="HC230" s="6" t="e">
        <v>#REF!</v>
      </c>
      <c r="HD230" s="6" t="e">
        <v>#REF!</v>
      </c>
      <c r="HE230" s="6" t="e">
        <v>#REF!</v>
      </c>
      <c r="HF230" s="6" t="e">
        <v>#REF!</v>
      </c>
      <c r="HG230" s="6" t="e">
        <v>#REF!</v>
      </c>
      <c r="HH230" s="6" t="e">
        <v>#REF!</v>
      </c>
      <c r="HI230" s="6" t="e">
        <v>#REF!</v>
      </c>
      <c r="HJ230" s="6" t="e">
        <v>#REF!</v>
      </c>
      <c r="HK230" s="6" t="e">
        <v>#REF!</v>
      </c>
      <c r="HL230" s="6" t="e">
        <v>#REF!</v>
      </c>
      <c r="HM230" s="6" t="e">
        <v>#REF!</v>
      </c>
      <c r="HN230" s="6" t="e">
        <v>#REF!</v>
      </c>
      <c r="HO230" s="6" t="e">
        <v>#REF!</v>
      </c>
      <c r="HP230" s="6" t="e">
        <v>#REF!</v>
      </c>
      <c r="HQ230" s="6" t="e">
        <v>#REF!</v>
      </c>
      <c r="HR230" s="6" t="e">
        <v>#REF!</v>
      </c>
      <c r="HS230" s="6" t="e">
        <v>#REF!</v>
      </c>
      <c r="HT230" s="6" t="e">
        <v>#REF!</v>
      </c>
      <c r="HU230" s="6" t="e">
        <v>#REF!</v>
      </c>
      <c r="HV230" s="6" t="e">
        <v>#REF!</v>
      </c>
      <c r="HW230" s="6" t="e">
        <v>#REF!</v>
      </c>
      <c r="HX230" s="6" t="e">
        <v>#REF!</v>
      </c>
      <c r="HY230" s="6" t="e">
        <v>#REF!</v>
      </c>
      <c r="HZ230" s="6" t="e">
        <v>#REF!</v>
      </c>
      <c r="IA230" s="6" t="e">
        <v>#REF!</v>
      </c>
      <c r="IB230" s="6" t="e">
        <v>#REF!</v>
      </c>
      <c r="IC230" s="6" t="e">
        <v>#REF!</v>
      </c>
      <c r="ID230" s="6" t="e">
        <v>#REF!</v>
      </c>
      <c r="IE230" s="6" t="e">
        <v>#REF!</v>
      </c>
      <c r="IF230" s="6" t="e">
        <v>#REF!</v>
      </c>
      <c r="IG230" s="6" t="e">
        <v>#REF!</v>
      </c>
      <c r="IH230" s="6" t="e">
        <v>#REF!</v>
      </c>
      <c r="II230" s="6" t="e">
        <v>#REF!</v>
      </c>
      <c r="IJ230" s="6" t="e">
        <v>#REF!</v>
      </c>
      <c r="IK230" s="6" t="e">
        <v>#REF!</v>
      </c>
      <c r="IL230" s="6" t="e">
        <v>#REF!</v>
      </c>
      <c r="IM230" s="6" t="e">
        <v>#REF!</v>
      </c>
      <c r="IN230" s="6" t="e">
        <v>#REF!</v>
      </c>
      <c r="IO230" s="6" t="e">
        <v>#REF!</v>
      </c>
      <c r="IP230" s="6" t="e">
        <v>#REF!</v>
      </c>
      <c r="IQ230" s="6" t="e">
        <v>#REF!</v>
      </c>
      <c r="IR230" s="6" t="e">
        <v>#REF!</v>
      </c>
      <c r="IS230" s="6" t="e">
        <v>#REF!</v>
      </c>
      <c r="IT230" s="6" t="e">
        <v>#REF!</v>
      </c>
      <c r="IU230" s="6" t="e">
        <v>#REF!</v>
      </c>
      <c r="IV230" s="6" t="e">
        <v>#REF!</v>
      </c>
      <c r="IW230" s="6" t="e">
        <v>#REF!</v>
      </c>
      <c r="IX230" s="6" t="e">
        <v>#REF!</v>
      </c>
      <c r="IY230" s="6" t="e">
        <v>#REF!</v>
      </c>
      <c r="IZ230" s="6" t="e">
        <v>#REF!</v>
      </c>
      <c r="JA230" s="6" t="e">
        <v>#REF!</v>
      </c>
      <c r="JB230" s="6" t="e">
        <v>#REF!</v>
      </c>
      <c r="JC230" s="6" t="e">
        <v>#REF!</v>
      </c>
      <c r="JD230" s="6" t="e">
        <v>#REF!</v>
      </c>
      <c r="JE230" s="6" t="e">
        <v>#REF!</v>
      </c>
      <c r="JF230" s="6" t="e">
        <v>#REF!</v>
      </c>
      <c r="JG230" s="6" t="e">
        <v>#REF!</v>
      </c>
      <c r="JH230" s="6" t="e">
        <v>#REF!</v>
      </c>
      <c r="JI230" s="6" t="e">
        <v>#REF!</v>
      </c>
      <c r="JJ230" s="6" t="e">
        <v>#REF!</v>
      </c>
      <c r="JK230" s="6" t="e">
        <v>#REF!</v>
      </c>
      <c r="JL230" s="6" t="e">
        <v>#REF!</v>
      </c>
      <c r="JM230" s="6" t="e">
        <v>#REF!</v>
      </c>
      <c r="JN230" s="6" t="e">
        <v>#REF!</v>
      </c>
      <c r="JO230" s="6" t="e">
        <v>#REF!</v>
      </c>
      <c r="JP230" s="6" t="e">
        <v>#REF!</v>
      </c>
      <c r="JQ230" s="6" t="e">
        <v>#REF!</v>
      </c>
      <c r="JR230" s="6" t="e">
        <v>#REF!</v>
      </c>
      <c r="JS230" s="6" t="e">
        <v>#REF!</v>
      </c>
      <c r="JT230" s="6" t="e">
        <v>#REF!</v>
      </c>
      <c r="JU230" s="6" t="e">
        <v>#REF!</v>
      </c>
      <c r="JV230" s="6" t="e">
        <v>#REF!</v>
      </c>
      <c r="JW230" s="6" t="e">
        <v>#REF!</v>
      </c>
      <c r="JX230" s="6" t="e">
        <v>#REF!</v>
      </c>
      <c r="JY230" s="6" t="e">
        <v>#REF!</v>
      </c>
      <c r="JZ230" s="6" t="e">
        <v>#REF!</v>
      </c>
      <c r="KA230" s="6" t="e">
        <v>#REF!</v>
      </c>
      <c r="KB230" s="6" t="e">
        <v>#REF!</v>
      </c>
      <c r="KC230" s="6" t="e">
        <v>#REF!</v>
      </c>
      <c r="KD230" s="6" t="e">
        <v>#REF!</v>
      </c>
      <c r="KE230" s="6" t="e">
        <v>#REF!</v>
      </c>
      <c r="KF230" s="6" t="e">
        <v>#REF!</v>
      </c>
      <c r="KG230" s="6" t="e">
        <v>#REF!</v>
      </c>
      <c r="KH230" s="6" t="e">
        <v>#REF!</v>
      </c>
      <c r="KI230" s="6" t="e">
        <v>#REF!</v>
      </c>
      <c r="KJ230" s="6" t="e">
        <v>#REF!</v>
      </c>
      <c r="KK230" s="6" t="e">
        <v>#REF!</v>
      </c>
      <c r="KL230" s="6" t="e">
        <v>#REF!</v>
      </c>
      <c r="KM230" s="6" t="e">
        <v>#REF!</v>
      </c>
      <c r="KN230" s="6" t="e">
        <v>#REF!</v>
      </c>
      <c r="KO230" s="6" t="e">
        <v>#REF!</v>
      </c>
      <c r="KP230" s="6" t="e">
        <v>#REF!</v>
      </c>
      <c r="KQ230" s="6" t="e">
        <v>#REF!</v>
      </c>
      <c r="KR230" s="6" t="e">
        <v>#REF!</v>
      </c>
      <c r="KS230" s="6" t="e">
        <v>#REF!</v>
      </c>
      <c r="KT230" s="6" t="e">
        <v>#REF!</v>
      </c>
      <c r="KU230" s="6" t="e">
        <v>#REF!</v>
      </c>
      <c r="KV230" s="6" t="e">
        <v>#REF!</v>
      </c>
      <c r="KW230" s="6" t="e">
        <v>#REF!</v>
      </c>
      <c r="KX230" s="6" t="e">
        <v>#REF!</v>
      </c>
      <c r="KY230" s="6" t="e">
        <v>#REF!</v>
      </c>
      <c r="KZ230" s="6" t="e">
        <v>#REF!</v>
      </c>
      <c r="LA230" s="6" t="e">
        <v>#REF!</v>
      </c>
      <c r="LB230" s="6" t="e">
        <v>#REF!</v>
      </c>
      <c r="LC230" s="6" t="e">
        <v>#REF!</v>
      </c>
      <c r="LD230" s="6" t="e">
        <v>#REF!</v>
      </c>
      <c r="LE230" s="6" t="e">
        <v>#REF!</v>
      </c>
      <c r="LF230" s="6" t="e">
        <v>#REF!</v>
      </c>
      <c r="LG230" s="6" t="e">
        <v>#REF!</v>
      </c>
      <c r="LH230" s="6" t="e">
        <v>#REF!</v>
      </c>
      <c r="LI230" s="6" t="e">
        <v>#REF!</v>
      </c>
      <c r="LJ230" s="6" t="e">
        <v>#REF!</v>
      </c>
      <c r="LK230" s="6" t="e">
        <v>#REF!</v>
      </c>
      <c r="LL230" s="6" t="e">
        <v>#REF!</v>
      </c>
      <c r="LM230" s="6" t="e">
        <v>#REF!</v>
      </c>
      <c r="LN230" s="6" t="e">
        <v>#REF!</v>
      </c>
      <c r="LO230" s="6" t="e">
        <v>#REF!</v>
      </c>
      <c r="LP230" s="6" t="e">
        <v>#REF!</v>
      </c>
      <c r="LQ230" s="6" t="e">
        <v>#REF!</v>
      </c>
      <c r="LR230" s="6" t="e">
        <v>#REF!</v>
      </c>
      <c r="LS230" s="6" t="e">
        <v>#REF!</v>
      </c>
      <c r="LT230" s="6" t="e">
        <v>#REF!</v>
      </c>
      <c r="LU230" s="6" t="e">
        <v>#REF!</v>
      </c>
      <c r="LV230" s="6" t="e">
        <v>#REF!</v>
      </c>
      <c r="LW230" s="6" t="e">
        <v>#REF!</v>
      </c>
      <c r="LX230" s="6" t="e">
        <v>#REF!</v>
      </c>
      <c r="LY230" s="6" t="e">
        <v>#REF!</v>
      </c>
      <c r="LZ230" s="6" t="e">
        <v>#REF!</v>
      </c>
      <c r="MA230" s="6" t="e">
        <v>#REF!</v>
      </c>
      <c r="MB230" s="6" t="e">
        <v>#REF!</v>
      </c>
      <c r="MC230" s="6" t="e">
        <v>#REF!</v>
      </c>
      <c r="MD230" s="6" t="e">
        <v>#REF!</v>
      </c>
      <c r="ME230" s="6" t="e">
        <v>#REF!</v>
      </c>
      <c r="MF230" s="6" t="e">
        <v>#REF!</v>
      </c>
      <c r="MG230" s="6" t="e">
        <v>#REF!</v>
      </c>
      <c r="MH230" s="6" t="e">
        <v>#REF!</v>
      </c>
      <c r="MI230" s="6" t="e">
        <v>#REF!</v>
      </c>
      <c r="MJ230" s="6" t="e">
        <v>#REF!</v>
      </c>
      <c r="MK230" s="6" t="e">
        <v>#REF!</v>
      </c>
      <c r="ML230" s="6" t="e">
        <v>#REF!</v>
      </c>
      <c r="MM230" s="6" t="e">
        <v>#REF!</v>
      </c>
      <c r="MN230" s="6" t="e">
        <v>#REF!</v>
      </c>
      <c r="MO230" s="6" t="e">
        <v>#REF!</v>
      </c>
      <c r="MP230" s="6" t="e">
        <v>#REF!</v>
      </c>
      <c r="MQ230" s="6" t="e">
        <v>#REF!</v>
      </c>
      <c r="MR230" s="6" t="e">
        <v>#REF!</v>
      </c>
      <c r="MS230" s="6" t="e">
        <v>#REF!</v>
      </c>
      <c r="MT230" s="6" t="e">
        <v>#REF!</v>
      </c>
      <c r="MU230" s="6" t="e">
        <v>#REF!</v>
      </c>
      <c r="MV230" s="6" t="e">
        <v>#REF!</v>
      </c>
      <c r="MW230" s="6" t="e">
        <v>#REF!</v>
      </c>
      <c r="MX230" s="6" t="e">
        <v>#REF!</v>
      </c>
      <c r="MY230" s="6" t="e">
        <v>#REF!</v>
      </c>
      <c r="MZ230" s="6" t="e">
        <v>#REF!</v>
      </c>
      <c r="NA230" s="6" t="e">
        <v>#REF!</v>
      </c>
      <c r="NB230" s="6" t="e">
        <v>#REF!</v>
      </c>
      <c r="NC230" s="6" t="e">
        <v>#REF!</v>
      </c>
      <c r="ND230" s="6" t="e">
        <v>#REF!</v>
      </c>
      <c r="NE230" s="6" t="e">
        <v>#REF!</v>
      </c>
      <c r="NF230" s="6" t="e">
        <v>#REF!</v>
      </c>
      <c r="NG230" s="6" t="e">
        <v>#REF!</v>
      </c>
      <c r="NH230" s="6" t="e">
        <v>#REF!</v>
      </c>
      <c r="NI230" s="6" t="e">
        <v>#REF!</v>
      </c>
      <c r="NJ230" s="6" t="e">
        <v>#REF!</v>
      </c>
      <c r="NK230" s="6" t="e">
        <v>#REF!</v>
      </c>
      <c r="NL230" s="6" t="e">
        <v>#REF!</v>
      </c>
      <c r="NM230" s="6" t="e">
        <v>#REF!</v>
      </c>
      <c r="NN230" s="6" t="e">
        <v>#REF!</v>
      </c>
      <c r="NO230" s="6" t="e">
        <v>#REF!</v>
      </c>
      <c r="NP230" s="6" t="e">
        <v>#REF!</v>
      </c>
      <c r="NQ230" s="6" t="e">
        <v>#REF!</v>
      </c>
      <c r="NR230" s="6" t="e">
        <v>#REF!</v>
      </c>
      <c r="NS230" s="6" t="e">
        <v>#REF!</v>
      </c>
      <c r="NT230" s="6" t="e">
        <v>#REF!</v>
      </c>
      <c r="NU230" s="6" t="e">
        <v>#REF!</v>
      </c>
      <c r="NV230" s="6" t="e">
        <v>#REF!</v>
      </c>
      <c r="NW230" s="6" t="e">
        <v>#REF!</v>
      </c>
      <c r="NX230" s="6" t="e">
        <v>#REF!</v>
      </c>
      <c r="NY230" s="6" t="e">
        <v>#REF!</v>
      </c>
      <c r="NZ230" s="6" t="e">
        <v>#REF!</v>
      </c>
      <c r="OA230" s="6" t="e">
        <v>#REF!</v>
      </c>
      <c r="OB230" s="6" t="e">
        <v>#REF!</v>
      </c>
      <c r="OC230" s="6" t="e">
        <v>#REF!</v>
      </c>
      <c r="OD230" s="6" t="e">
        <v>#REF!</v>
      </c>
      <c r="OE230" t="e">
        <v>#REF!</v>
      </c>
      <c r="OF230" t="e">
        <v>#REF!</v>
      </c>
      <c r="OG230" t="e">
        <v>#REF!</v>
      </c>
      <c r="OH230" t="e">
        <v>#REF!</v>
      </c>
      <c r="OI230" t="e">
        <v>#REF!</v>
      </c>
      <c r="OJ230" t="e">
        <v>#REF!</v>
      </c>
      <c r="OK230" t="e">
        <v>#REF!</v>
      </c>
    </row>
    <row r="231" spans="2:401" x14ac:dyDescent="0.3">
      <c r="B231" s="130"/>
      <c r="D231" s="133"/>
      <c r="J231" s="76"/>
      <c r="K231" s="66"/>
      <c r="L231" s="77"/>
      <c r="M231" s="200" t="s">
        <v>2</v>
      </c>
      <c r="N231" s="201"/>
      <c r="O231" s="202"/>
      <c r="P231" s="203" t="e" cm="1">
        <f t="array" ref="P231">IF(_xlfn.ANCHORARRAY(P221)&gt;=0,-_xlfn.ANCHORARRAY(P221),0)</f>
        <v>#REF!</v>
      </c>
    </row>
    <row r="232" spans="2:401" x14ac:dyDescent="0.3">
      <c r="D232" s="134"/>
      <c r="E232" s="61"/>
      <c r="F232" s="61"/>
      <c r="J232" s="76"/>
      <c r="K232" s="66"/>
      <c r="L232" s="77"/>
      <c r="M232" s="174" t="s">
        <v>288</v>
      </c>
      <c r="O232" s="8"/>
      <c r="P232" t="e" cm="1">
        <f t="array" ref="P232:OK232">_xlfn.ANCHORARRAY(P231)*_xlfn.ANCHORARRAY(P226)</f>
        <v>#REF!</v>
      </c>
      <c r="Q232" t="e">
        <v>#REF!</v>
      </c>
      <c r="R232" t="e">
        <v>#REF!</v>
      </c>
      <c r="S232" t="e">
        <v>#REF!</v>
      </c>
      <c r="T232" t="e">
        <v>#REF!</v>
      </c>
      <c r="U232" t="e">
        <v>#REF!</v>
      </c>
      <c r="V232" t="e">
        <v>#REF!</v>
      </c>
      <c r="W232" t="e">
        <v>#REF!</v>
      </c>
      <c r="X232" t="e">
        <v>#REF!</v>
      </c>
      <c r="Y232" t="e">
        <v>#REF!</v>
      </c>
      <c r="Z232" t="e">
        <v>#REF!</v>
      </c>
      <c r="AA232" t="e">
        <v>#REF!</v>
      </c>
      <c r="AB232" t="e">
        <v>#REF!</v>
      </c>
      <c r="AC232" t="e">
        <v>#REF!</v>
      </c>
      <c r="AD232" t="e">
        <v>#REF!</v>
      </c>
      <c r="AE232" t="e">
        <v>#REF!</v>
      </c>
      <c r="AF232" t="e">
        <v>#REF!</v>
      </c>
      <c r="AG232" t="e">
        <v>#REF!</v>
      </c>
      <c r="AH232" t="e">
        <v>#REF!</v>
      </c>
      <c r="AI232" t="e">
        <v>#REF!</v>
      </c>
      <c r="AJ232" t="e">
        <v>#REF!</v>
      </c>
      <c r="AK232" t="e">
        <v>#REF!</v>
      </c>
      <c r="AL232" t="e">
        <v>#REF!</v>
      </c>
      <c r="AM232" t="e">
        <v>#REF!</v>
      </c>
      <c r="AN232" t="e">
        <v>#REF!</v>
      </c>
      <c r="AO232" t="e">
        <v>#REF!</v>
      </c>
      <c r="AP232" t="e">
        <v>#REF!</v>
      </c>
      <c r="AQ232" t="e">
        <v>#REF!</v>
      </c>
      <c r="AR232" t="e">
        <v>#REF!</v>
      </c>
      <c r="AS232" t="e">
        <v>#REF!</v>
      </c>
      <c r="AT232" t="e">
        <v>#REF!</v>
      </c>
      <c r="AU232" t="e">
        <v>#REF!</v>
      </c>
      <c r="AV232" t="e">
        <v>#REF!</v>
      </c>
      <c r="AW232" t="e">
        <v>#REF!</v>
      </c>
      <c r="AX232" t="e">
        <v>#REF!</v>
      </c>
      <c r="AY232" t="e">
        <v>#REF!</v>
      </c>
      <c r="AZ232" t="e">
        <v>#REF!</v>
      </c>
      <c r="BA232" t="e">
        <v>#REF!</v>
      </c>
      <c r="BB232" t="e">
        <v>#REF!</v>
      </c>
      <c r="BC232" t="e">
        <v>#REF!</v>
      </c>
      <c r="BD232" t="e">
        <v>#REF!</v>
      </c>
      <c r="BE232" t="e">
        <v>#REF!</v>
      </c>
      <c r="BF232" t="e">
        <v>#REF!</v>
      </c>
      <c r="BG232" t="e">
        <v>#REF!</v>
      </c>
      <c r="BH232" t="e">
        <v>#REF!</v>
      </c>
      <c r="BI232" t="e">
        <v>#REF!</v>
      </c>
      <c r="BJ232" t="e">
        <v>#REF!</v>
      </c>
      <c r="BK232" t="e">
        <v>#REF!</v>
      </c>
      <c r="BL232" t="e">
        <v>#REF!</v>
      </c>
      <c r="BM232" t="e">
        <v>#REF!</v>
      </c>
      <c r="BN232" t="e">
        <v>#REF!</v>
      </c>
      <c r="BO232" t="e">
        <v>#REF!</v>
      </c>
      <c r="BP232" t="e">
        <v>#REF!</v>
      </c>
      <c r="BQ232" t="e">
        <v>#REF!</v>
      </c>
      <c r="BR232" t="e">
        <v>#REF!</v>
      </c>
      <c r="BS232" t="e">
        <v>#REF!</v>
      </c>
      <c r="BT232" t="e">
        <v>#REF!</v>
      </c>
      <c r="BU232" t="e">
        <v>#REF!</v>
      </c>
      <c r="BV232" t="e">
        <v>#REF!</v>
      </c>
      <c r="BW232" t="e">
        <v>#REF!</v>
      </c>
      <c r="BX232" t="e">
        <v>#REF!</v>
      </c>
      <c r="BY232" t="e">
        <v>#REF!</v>
      </c>
      <c r="BZ232" t="e">
        <v>#REF!</v>
      </c>
      <c r="CA232" t="e">
        <v>#REF!</v>
      </c>
      <c r="CB232" t="e">
        <v>#REF!</v>
      </c>
      <c r="CC232" t="e">
        <v>#REF!</v>
      </c>
      <c r="CD232" t="e">
        <v>#REF!</v>
      </c>
      <c r="CE232" t="e">
        <v>#REF!</v>
      </c>
      <c r="CF232" t="e">
        <v>#REF!</v>
      </c>
      <c r="CG232" t="e">
        <v>#REF!</v>
      </c>
      <c r="CH232" t="e">
        <v>#REF!</v>
      </c>
      <c r="CI232" t="e">
        <v>#REF!</v>
      </c>
      <c r="CJ232" t="e">
        <v>#REF!</v>
      </c>
      <c r="CK232" t="e">
        <v>#REF!</v>
      </c>
      <c r="CL232" t="e">
        <v>#REF!</v>
      </c>
      <c r="CM232" t="e">
        <v>#REF!</v>
      </c>
      <c r="CN232" t="e">
        <v>#REF!</v>
      </c>
      <c r="CO232" t="e">
        <v>#REF!</v>
      </c>
      <c r="CP232" t="e">
        <v>#REF!</v>
      </c>
      <c r="CQ232" t="e">
        <v>#REF!</v>
      </c>
      <c r="CR232" t="e">
        <v>#REF!</v>
      </c>
      <c r="CS232" t="e">
        <v>#REF!</v>
      </c>
      <c r="CT232" t="e">
        <v>#REF!</v>
      </c>
      <c r="CU232" t="e">
        <v>#REF!</v>
      </c>
      <c r="CV232" t="e">
        <v>#REF!</v>
      </c>
      <c r="CW232" t="e">
        <v>#REF!</v>
      </c>
      <c r="CX232" t="e">
        <v>#REF!</v>
      </c>
      <c r="CY232" t="e">
        <v>#REF!</v>
      </c>
      <c r="CZ232" t="e">
        <v>#REF!</v>
      </c>
      <c r="DA232" t="e">
        <v>#REF!</v>
      </c>
      <c r="DB232" t="e">
        <v>#REF!</v>
      </c>
      <c r="DC232" t="e">
        <v>#REF!</v>
      </c>
      <c r="DD232" t="e">
        <v>#REF!</v>
      </c>
      <c r="DE232" t="e">
        <v>#REF!</v>
      </c>
      <c r="DF232" t="e">
        <v>#REF!</v>
      </c>
      <c r="DG232" t="e">
        <v>#REF!</v>
      </c>
      <c r="DH232" t="e">
        <v>#REF!</v>
      </c>
      <c r="DI232" t="e">
        <v>#REF!</v>
      </c>
      <c r="DJ232" t="e">
        <v>#REF!</v>
      </c>
      <c r="DK232" t="e">
        <v>#REF!</v>
      </c>
      <c r="DL232" t="e">
        <v>#REF!</v>
      </c>
      <c r="DM232" t="e">
        <v>#REF!</v>
      </c>
      <c r="DN232" t="e">
        <v>#REF!</v>
      </c>
      <c r="DO232" t="e">
        <v>#REF!</v>
      </c>
      <c r="DP232" t="e">
        <v>#REF!</v>
      </c>
      <c r="DQ232" t="e">
        <v>#REF!</v>
      </c>
      <c r="DR232" t="e">
        <v>#REF!</v>
      </c>
      <c r="DS232" t="e">
        <v>#REF!</v>
      </c>
      <c r="DT232" t="e">
        <v>#REF!</v>
      </c>
      <c r="DU232" t="e">
        <v>#REF!</v>
      </c>
      <c r="DV232" t="e">
        <v>#REF!</v>
      </c>
      <c r="DW232" t="e">
        <v>#REF!</v>
      </c>
      <c r="DX232" t="e">
        <v>#REF!</v>
      </c>
      <c r="DY232" t="e">
        <v>#REF!</v>
      </c>
      <c r="DZ232" t="e">
        <v>#REF!</v>
      </c>
      <c r="EA232" t="e">
        <v>#REF!</v>
      </c>
      <c r="EB232" t="e">
        <v>#REF!</v>
      </c>
      <c r="EC232" t="e">
        <v>#REF!</v>
      </c>
      <c r="ED232" t="e">
        <v>#REF!</v>
      </c>
      <c r="EE232" t="e">
        <v>#REF!</v>
      </c>
      <c r="EF232" t="e">
        <v>#REF!</v>
      </c>
      <c r="EG232" t="e">
        <v>#REF!</v>
      </c>
      <c r="EH232" t="e">
        <v>#REF!</v>
      </c>
      <c r="EI232" t="e">
        <v>#REF!</v>
      </c>
      <c r="EJ232" t="e">
        <v>#REF!</v>
      </c>
      <c r="EK232" t="e">
        <v>#REF!</v>
      </c>
      <c r="EL232" t="e">
        <v>#REF!</v>
      </c>
      <c r="EM232" t="e">
        <v>#REF!</v>
      </c>
      <c r="EN232" t="e">
        <v>#REF!</v>
      </c>
      <c r="EO232" t="e">
        <v>#REF!</v>
      </c>
      <c r="EP232" t="e">
        <v>#REF!</v>
      </c>
      <c r="EQ232" t="e">
        <v>#REF!</v>
      </c>
      <c r="ER232" t="e">
        <v>#REF!</v>
      </c>
      <c r="ES232" t="e">
        <v>#REF!</v>
      </c>
      <c r="ET232" t="e">
        <v>#REF!</v>
      </c>
      <c r="EU232" t="e">
        <v>#REF!</v>
      </c>
      <c r="EV232" t="e">
        <v>#REF!</v>
      </c>
      <c r="EW232" t="e">
        <v>#REF!</v>
      </c>
      <c r="EX232" t="e">
        <v>#REF!</v>
      </c>
      <c r="EY232" t="e">
        <v>#REF!</v>
      </c>
      <c r="EZ232" t="e">
        <v>#REF!</v>
      </c>
      <c r="FA232" t="e">
        <v>#REF!</v>
      </c>
      <c r="FB232" t="e">
        <v>#REF!</v>
      </c>
      <c r="FC232" t="e">
        <v>#REF!</v>
      </c>
      <c r="FD232" t="e">
        <v>#REF!</v>
      </c>
      <c r="FE232" t="e">
        <v>#REF!</v>
      </c>
      <c r="FF232" t="e">
        <v>#REF!</v>
      </c>
      <c r="FG232" t="e">
        <v>#REF!</v>
      </c>
      <c r="FH232" t="e">
        <v>#REF!</v>
      </c>
      <c r="FI232" t="e">
        <v>#REF!</v>
      </c>
      <c r="FJ232" t="e">
        <v>#REF!</v>
      </c>
      <c r="FK232" t="e">
        <v>#REF!</v>
      </c>
      <c r="FL232" t="e">
        <v>#REF!</v>
      </c>
      <c r="FM232" t="e">
        <v>#REF!</v>
      </c>
      <c r="FN232" t="e">
        <v>#REF!</v>
      </c>
      <c r="FO232" t="e">
        <v>#REF!</v>
      </c>
      <c r="FP232" t="e">
        <v>#REF!</v>
      </c>
      <c r="FQ232" t="e">
        <v>#REF!</v>
      </c>
      <c r="FR232" t="e">
        <v>#REF!</v>
      </c>
      <c r="FS232" t="e">
        <v>#REF!</v>
      </c>
      <c r="FT232" t="e">
        <v>#REF!</v>
      </c>
      <c r="FU232" t="e">
        <v>#REF!</v>
      </c>
      <c r="FV232" t="e">
        <v>#REF!</v>
      </c>
      <c r="FW232" t="e">
        <v>#REF!</v>
      </c>
      <c r="FX232" t="e">
        <v>#REF!</v>
      </c>
      <c r="FY232" t="e">
        <v>#REF!</v>
      </c>
      <c r="FZ232" t="e">
        <v>#REF!</v>
      </c>
      <c r="GA232" t="e">
        <v>#REF!</v>
      </c>
      <c r="GB232" t="e">
        <v>#REF!</v>
      </c>
      <c r="GC232" t="e">
        <v>#REF!</v>
      </c>
      <c r="GD232" t="e">
        <v>#REF!</v>
      </c>
      <c r="GE232" t="e">
        <v>#REF!</v>
      </c>
      <c r="GF232" t="e">
        <v>#REF!</v>
      </c>
      <c r="GG232" t="e">
        <v>#REF!</v>
      </c>
      <c r="GH232" t="e">
        <v>#REF!</v>
      </c>
      <c r="GI232" t="e">
        <v>#REF!</v>
      </c>
      <c r="GJ232" t="e">
        <v>#REF!</v>
      </c>
      <c r="GK232" t="e">
        <v>#REF!</v>
      </c>
      <c r="GL232" t="e">
        <v>#REF!</v>
      </c>
      <c r="GM232" t="e">
        <v>#REF!</v>
      </c>
      <c r="GN232" t="e">
        <v>#REF!</v>
      </c>
      <c r="GO232" t="e">
        <v>#REF!</v>
      </c>
      <c r="GP232" t="e">
        <v>#REF!</v>
      </c>
      <c r="GQ232" t="e">
        <v>#REF!</v>
      </c>
      <c r="GR232" t="e">
        <v>#REF!</v>
      </c>
      <c r="GS232" t="e">
        <v>#REF!</v>
      </c>
      <c r="GT232" t="e">
        <v>#REF!</v>
      </c>
      <c r="GU232" t="e">
        <v>#REF!</v>
      </c>
      <c r="GV232" t="e">
        <v>#REF!</v>
      </c>
      <c r="GW232" t="e">
        <v>#REF!</v>
      </c>
      <c r="GX232" t="e">
        <v>#REF!</v>
      </c>
      <c r="GY232" t="e">
        <v>#REF!</v>
      </c>
      <c r="GZ232" t="e">
        <v>#REF!</v>
      </c>
      <c r="HA232" t="e">
        <v>#REF!</v>
      </c>
      <c r="HB232" t="e">
        <v>#REF!</v>
      </c>
      <c r="HC232" t="e">
        <v>#REF!</v>
      </c>
      <c r="HD232" t="e">
        <v>#REF!</v>
      </c>
      <c r="HE232" t="e">
        <v>#REF!</v>
      </c>
      <c r="HF232" t="e">
        <v>#REF!</v>
      </c>
      <c r="HG232" t="e">
        <v>#REF!</v>
      </c>
      <c r="HH232" t="e">
        <v>#REF!</v>
      </c>
      <c r="HI232" t="e">
        <v>#REF!</v>
      </c>
      <c r="HJ232" t="e">
        <v>#REF!</v>
      </c>
      <c r="HK232" t="e">
        <v>#REF!</v>
      </c>
      <c r="HL232" t="e">
        <v>#REF!</v>
      </c>
      <c r="HM232" t="e">
        <v>#REF!</v>
      </c>
      <c r="HN232" t="e">
        <v>#REF!</v>
      </c>
      <c r="HO232" t="e">
        <v>#REF!</v>
      </c>
      <c r="HP232" t="e">
        <v>#REF!</v>
      </c>
      <c r="HQ232" t="e">
        <v>#REF!</v>
      </c>
      <c r="HR232" t="e">
        <v>#REF!</v>
      </c>
      <c r="HS232" t="e">
        <v>#REF!</v>
      </c>
      <c r="HT232" t="e">
        <v>#REF!</v>
      </c>
      <c r="HU232" t="e">
        <v>#REF!</v>
      </c>
      <c r="HV232" t="e">
        <v>#REF!</v>
      </c>
      <c r="HW232" t="e">
        <v>#REF!</v>
      </c>
      <c r="HX232" t="e">
        <v>#REF!</v>
      </c>
      <c r="HY232" t="e">
        <v>#REF!</v>
      </c>
      <c r="HZ232" t="e">
        <v>#REF!</v>
      </c>
      <c r="IA232" t="e">
        <v>#REF!</v>
      </c>
      <c r="IB232" t="e">
        <v>#REF!</v>
      </c>
      <c r="IC232" t="e">
        <v>#REF!</v>
      </c>
      <c r="ID232" t="e">
        <v>#REF!</v>
      </c>
      <c r="IE232" t="e">
        <v>#REF!</v>
      </c>
      <c r="IF232" t="e">
        <v>#REF!</v>
      </c>
      <c r="IG232" t="e">
        <v>#REF!</v>
      </c>
      <c r="IH232" t="e">
        <v>#REF!</v>
      </c>
      <c r="II232" t="e">
        <v>#REF!</v>
      </c>
      <c r="IJ232" t="e">
        <v>#REF!</v>
      </c>
      <c r="IK232" t="e">
        <v>#REF!</v>
      </c>
      <c r="IL232" t="e">
        <v>#REF!</v>
      </c>
      <c r="IM232" t="e">
        <v>#REF!</v>
      </c>
      <c r="IN232" t="e">
        <v>#REF!</v>
      </c>
      <c r="IO232" t="e">
        <v>#REF!</v>
      </c>
      <c r="IP232" t="e">
        <v>#REF!</v>
      </c>
      <c r="IQ232" t="e">
        <v>#REF!</v>
      </c>
      <c r="IR232" t="e">
        <v>#REF!</v>
      </c>
      <c r="IS232" t="e">
        <v>#REF!</v>
      </c>
      <c r="IT232" t="e">
        <v>#REF!</v>
      </c>
      <c r="IU232" t="e">
        <v>#REF!</v>
      </c>
      <c r="IV232" t="e">
        <v>#REF!</v>
      </c>
      <c r="IW232" t="e">
        <v>#REF!</v>
      </c>
      <c r="IX232" t="e">
        <v>#REF!</v>
      </c>
      <c r="IY232" t="e">
        <v>#REF!</v>
      </c>
      <c r="IZ232" t="e">
        <v>#REF!</v>
      </c>
      <c r="JA232" t="e">
        <v>#REF!</v>
      </c>
      <c r="JB232" t="e">
        <v>#REF!</v>
      </c>
      <c r="JC232" t="e">
        <v>#REF!</v>
      </c>
      <c r="JD232" t="e">
        <v>#REF!</v>
      </c>
      <c r="JE232" t="e">
        <v>#REF!</v>
      </c>
      <c r="JF232" t="e">
        <v>#REF!</v>
      </c>
      <c r="JG232" t="e">
        <v>#REF!</v>
      </c>
      <c r="JH232" t="e">
        <v>#REF!</v>
      </c>
      <c r="JI232" t="e">
        <v>#REF!</v>
      </c>
      <c r="JJ232" t="e">
        <v>#REF!</v>
      </c>
      <c r="JK232" t="e">
        <v>#REF!</v>
      </c>
      <c r="JL232" t="e">
        <v>#REF!</v>
      </c>
      <c r="JM232" t="e">
        <v>#REF!</v>
      </c>
      <c r="JN232" t="e">
        <v>#REF!</v>
      </c>
      <c r="JO232" t="e">
        <v>#REF!</v>
      </c>
      <c r="JP232" t="e">
        <v>#REF!</v>
      </c>
      <c r="JQ232" t="e">
        <v>#REF!</v>
      </c>
      <c r="JR232" t="e">
        <v>#REF!</v>
      </c>
      <c r="JS232" t="e">
        <v>#REF!</v>
      </c>
      <c r="JT232" t="e">
        <v>#REF!</v>
      </c>
      <c r="JU232" t="e">
        <v>#REF!</v>
      </c>
      <c r="JV232" t="e">
        <v>#REF!</v>
      </c>
      <c r="JW232" t="e">
        <v>#REF!</v>
      </c>
      <c r="JX232" t="e">
        <v>#REF!</v>
      </c>
      <c r="JY232" t="e">
        <v>#REF!</v>
      </c>
      <c r="JZ232" t="e">
        <v>#REF!</v>
      </c>
      <c r="KA232" t="e">
        <v>#REF!</v>
      </c>
      <c r="KB232" t="e">
        <v>#REF!</v>
      </c>
      <c r="KC232" t="e">
        <v>#REF!</v>
      </c>
      <c r="KD232" t="e">
        <v>#REF!</v>
      </c>
      <c r="KE232" t="e">
        <v>#REF!</v>
      </c>
      <c r="KF232" t="e">
        <v>#REF!</v>
      </c>
      <c r="KG232" t="e">
        <v>#REF!</v>
      </c>
      <c r="KH232" t="e">
        <v>#REF!</v>
      </c>
      <c r="KI232" t="e">
        <v>#REF!</v>
      </c>
      <c r="KJ232" t="e">
        <v>#REF!</v>
      </c>
      <c r="KK232" t="e">
        <v>#REF!</v>
      </c>
      <c r="KL232" t="e">
        <v>#REF!</v>
      </c>
      <c r="KM232" t="e">
        <v>#REF!</v>
      </c>
      <c r="KN232" t="e">
        <v>#REF!</v>
      </c>
      <c r="KO232" t="e">
        <v>#REF!</v>
      </c>
      <c r="KP232" t="e">
        <v>#REF!</v>
      </c>
      <c r="KQ232" t="e">
        <v>#REF!</v>
      </c>
      <c r="KR232" t="e">
        <v>#REF!</v>
      </c>
      <c r="KS232" t="e">
        <v>#REF!</v>
      </c>
      <c r="KT232" t="e">
        <v>#REF!</v>
      </c>
      <c r="KU232" t="e">
        <v>#REF!</v>
      </c>
      <c r="KV232" t="e">
        <v>#REF!</v>
      </c>
      <c r="KW232" t="e">
        <v>#REF!</v>
      </c>
      <c r="KX232" t="e">
        <v>#REF!</v>
      </c>
      <c r="KY232" t="e">
        <v>#REF!</v>
      </c>
      <c r="KZ232" t="e">
        <v>#REF!</v>
      </c>
      <c r="LA232" t="e">
        <v>#REF!</v>
      </c>
      <c r="LB232" t="e">
        <v>#REF!</v>
      </c>
      <c r="LC232" t="e">
        <v>#REF!</v>
      </c>
      <c r="LD232" t="e">
        <v>#REF!</v>
      </c>
      <c r="LE232" t="e">
        <v>#REF!</v>
      </c>
      <c r="LF232" t="e">
        <v>#REF!</v>
      </c>
      <c r="LG232" t="e">
        <v>#REF!</v>
      </c>
      <c r="LH232" t="e">
        <v>#REF!</v>
      </c>
      <c r="LI232" t="e">
        <v>#REF!</v>
      </c>
      <c r="LJ232" t="e">
        <v>#REF!</v>
      </c>
      <c r="LK232" t="e">
        <v>#REF!</v>
      </c>
      <c r="LL232" t="e">
        <v>#REF!</v>
      </c>
      <c r="LM232" t="e">
        <v>#REF!</v>
      </c>
      <c r="LN232" t="e">
        <v>#REF!</v>
      </c>
      <c r="LO232" t="e">
        <v>#REF!</v>
      </c>
      <c r="LP232" t="e">
        <v>#REF!</v>
      </c>
      <c r="LQ232" t="e">
        <v>#REF!</v>
      </c>
      <c r="LR232" t="e">
        <v>#REF!</v>
      </c>
      <c r="LS232" t="e">
        <v>#REF!</v>
      </c>
      <c r="LT232" t="e">
        <v>#REF!</v>
      </c>
      <c r="LU232" t="e">
        <v>#REF!</v>
      </c>
      <c r="LV232" t="e">
        <v>#REF!</v>
      </c>
      <c r="LW232" t="e">
        <v>#REF!</v>
      </c>
      <c r="LX232" t="e">
        <v>#REF!</v>
      </c>
      <c r="LY232" t="e">
        <v>#REF!</v>
      </c>
      <c r="LZ232" t="e">
        <v>#REF!</v>
      </c>
      <c r="MA232" t="e">
        <v>#REF!</v>
      </c>
      <c r="MB232" t="e">
        <v>#REF!</v>
      </c>
      <c r="MC232" t="e">
        <v>#REF!</v>
      </c>
      <c r="MD232" t="e">
        <v>#REF!</v>
      </c>
      <c r="ME232" t="e">
        <v>#REF!</v>
      </c>
      <c r="MF232" t="e">
        <v>#REF!</v>
      </c>
      <c r="MG232" t="e">
        <v>#REF!</v>
      </c>
      <c r="MH232" t="e">
        <v>#REF!</v>
      </c>
      <c r="MI232" t="e">
        <v>#REF!</v>
      </c>
      <c r="MJ232" t="e">
        <v>#REF!</v>
      </c>
      <c r="MK232" t="e">
        <v>#REF!</v>
      </c>
      <c r="ML232" t="e">
        <v>#REF!</v>
      </c>
      <c r="MM232" t="e">
        <v>#REF!</v>
      </c>
      <c r="MN232" t="e">
        <v>#REF!</v>
      </c>
      <c r="MO232" t="e">
        <v>#REF!</v>
      </c>
      <c r="MP232" t="e">
        <v>#REF!</v>
      </c>
      <c r="MQ232" t="e">
        <v>#REF!</v>
      </c>
      <c r="MR232" t="e">
        <v>#REF!</v>
      </c>
      <c r="MS232" t="e">
        <v>#REF!</v>
      </c>
      <c r="MT232" t="e">
        <v>#REF!</v>
      </c>
      <c r="MU232" t="e">
        <v>#REF!</v>
      </c>
      <c r="MV232" t="e">
        <v>#REF!</v>
      </c>
      <c r="MW232" t="e">
        <v>#REF!</v>
      </c>
      <c r="MX232" t="e">
        <v>#REF!</v>
      </c>
      <c r="MY232" t="e">
        <v>#REF!</v>
      </c>
      <c r="MZ232" t="e">
        <v>#REF!</v>
      </c>
      <c r="NA232" t="e">
        <v>#REF!</v>
      </c>
      <c r="NB232" t="e">
        <v>#REF!</v>
      </c>
      <c r="NC232" t="e">
        <v>#REF!</v>
      </c>
      <c r="ND232" t="e">
        <v>#REF!</v>
      </c>
      <c r="NE232" t="e">
        <v>#REF!</v>
      </c>
      <c r="NF232" t="e">
        <v>#REF!</v>
      </c>
      <c r="NG232" t="e">
        <v>#REF!</v>
      </c>
      <c r="NH232" t="e">
        <v>#REF!</v>
      </c>
      <c r="NI232" t="e">
        <v>#REF!</v>
      </c>
      <c r="NJ232" t="e">
        <v>#REF!</v>
      </c>
      <c r="NK232" t="e">
        <v>#REF!</v>
      </c>
      <c r="NL232" t="e">
        <v>#REF!</v>
      </c>
      <c r="NM232" t="e">
        <v>#REF!</v>
      </c>
      <c r="NN232" t="e">
        <v>#REF!</v>
      </c>
      <c r="NO232" t="e">
        <v>#REF!</v>
      </c>
      <c r="NP232" t="e">
        <v>#REF!</v>
      </c>
      <c r="NQ232" t="e">
        <v>#REF!</v>
      </c>
      <c r="NR232" t="e">
        <v>#REF!</v>
      </c>
      <c r="NS232" t="e">
        <v>#REF!</v>
      </c>
      <c r="NT232" t="e">
        <v>#REF!</v>
      </c>
      <c r="NU232" t="e">
        <v>#REF!</v>
      </c>
      <c r="NV232" t="e">
        <v>#REF!</v>
      </c>
      <c r="NW232" t="e">
        <v>#REF!</v>
      </c>
      <c r="NX232" t="e">
        <v>#REF!</v>
      </c>
      <c r="NY232" t="e">
        <v>#REF!</v>
      </c>
      <c r="NZ232" t="e">
        <v>#REF!</v>
      </c>
      <c r="OA232" t="e">
        <v>#REF!</v>
      </c>
      <c r="OB232" t="e">
        <v>#REF!</v>
      </c>
      <c r="OC232" t="e">
        <v>#REF!</v>
      </c>
      <c r="OD232" t="e">
        <v>#REF!</v>
      </c>
      <c r="OE232" t="e">
        <v>#REF!</v>
      </c>
      <c r="OF232" t="e">
        <v>#REF!</v>
      </c>
      <c r="OG232" t="e">
        <v>#REF!</v>
      </c>
      <c r="OH232" t="e">
        <v>#REF!</v>
      </c>
      <c r="OI232" t="e">
        <v>#REF!</v>
      </c>
      <c r="OJ232" t="e">
        <v>#REF!</v>
      </c>
      <c r="OK232" t="e">
        <v>#REF!</v>
      </c>
    </row>
    <row r="233" spans="2:401" x14ac:dyDescent="0.3">
      <c r="B233" s="130"/>
      <c r="D233" s="133"/>
      <c r="J233" s="76"/>
      <c r="K233" s="66"/>
      <c r="L233" s="77"/>
      <c r="M233" s="175" t="s">
        <v>289</v>
      </c>
      <c r="N233" s="6"/>
      <c r="O233" s="33"/>
      <c r="P233" s="6" t="e" cm="1">
        <f t="array" ref="P233:OK233">_xlfn.ANCHORARRAY(P231)*_xlfn.ANCHORARRAY(P227)</f>
        <v>#REF!</v>
      </c>
      <c r="Q233" s="6" t="e">
        <v>#REF!</v>
      </c>
      <c r="R233" s="6" t="e">
        <v>#REF!</v>
      </c>
      <c r="S233" s="6" t="e">
        <v>#REF!</v>
      </c>
      <c r="T233" s="6" t="e">
        <v>#REF!</v>
      </c>
      <c r="U233" s="6" t="e">
        <v>#REF!</v>
      </c>
      <c r="V233" s="6" t="e">
        <v>#REF!</v>
      </c>
      <c r="W233" s="6" t="e">
        <v>#REF!</v>
      </c>
      <c r="X233" s="6" t="e">
        <v>#REF!</v>
      </c>
      <c r="Y233" s="6" t="e">
        <v>#REF!</v>
      </c>
      <c r="Z233" s="6" t="e">
        <v>#REF!</v>
      </c>
      <c r="AA233" s="6" t="e">
        <v>#REF!</v>
      </c>
      <c r="AB233" s="6" t="e">
        <v>#REF!</v>
      </c>
      <c r="AC233" s="6" t="e">
        <v>#REF!</v>
      </c>
      <c r="AD233" s="6" t="e">
        <v>#REF!</v>
      </c>
      <c r="AE233" s="6" t="e">
        <v>#REF!</v>
      </c>
      <c r="AF233" s="6" t="e">
        <v>#REF!</v>
      </c>
      <c r="AG233" s="6" t="e">
        <v>#REF!</v>
      </c>
      <c r="AH233" s="6" t="e">
        <v>#REF!</v>
      </c>
      <c r="AI233" s="6" t="e">
        <v>#REF!</v>
      </c>
      <c r="AJ233" s="6" t="e">
        <v>#REF!</v>
      </c>
      <c r="AK233" s="6" t="e">
        <v>#REF!</v>
      </c>
      <c r="AL233" s="6" t="e">
        <v>#REF!</v>
      </c>
      <c r="AM233" s="6" t="e">
        <v>#REF!</v>
      </c>
      <c r="AN233" s="6" t="e">
        <v>#REF!</v>
      </c>
      <c r="AO233" s="6" t="e">
        <v>#REF!</v>
      </c>
      <c r="AP233" s="6" t="e">
        <v>#REF!</v>
      </c>
      <c r="AQ233" s="6" t="e">
        <v>#REF!</v>
      </c>
      <c r="AR233" s="6" t="e">
        <v>#REF!</v>
      </c>
      <c r="AS233" s="6" t="e">
        <v>#REF!</v>
      </c>
      <c r="AT233" s="6" t="e">
        <v>#REF!</v>
      </c>
      <c r="AU233" s="6" t="e">
        <v>#REF!</v>
      </c>
      <c r="AV233" s="6" t="e">
        <v>#REF!</v>
      </c>
      <c r="AW233" s="6" t="e">
        <v>#REF!</v>
      </c>
      <c r="AX233" s="6" t="e">
        <v>#REF!</v>
      </c>
      <c r="AY233" s="6" t="e">
        <v>#REF!</v>
      </c>
      <c r="AZ233" s="6" t="e">
        <v>#REF!</v>
      </c>
      <c r="BA233" s="6" t="e">
        <v>#REF!</v>
      </c>
      <c r="BB233" s="6" t="e">
        <v>#REF!</v>
      </c>
      <c r="BC233" s="6" t="e">
        <v>#REF!</v>
      </c>
      <c r="BD233" s="6" t="e">
        <v>#REF!</v>
      </c>
      <c r="BE233" s="6" t="e">
        <v>#REF!</v>
      </c>
      <c r="BF233" s="6" t="e">
        <v>#REF!</v>
      </c>
      <c r="BG233" s="6" t="e">
        <v>#REF!</v>
      </c>
      <c r="BH233" s="6" t="e">
        <v>#REF!</v>
      </c>
      <c r="BI233" s="6" t="e">
        <v>#REF!</v>
      </c>
      <c r="BJ233" s="6" t="e">
        <v>#REF!</v>
      </c>
      <c r="BK233" s="6" t="e">
        <v>#REF!</v>
      </c>
      <c r="BL233" s="6" t="e">
        <v>#REF!</v>
      </c>
      <c r="BM233" s="6" t="e">
        <v>#REF!</v>
      </c>
      <c r="BN233" s="6" t="e">
        <v>#REF!</v>
      </c>
      <c r="BO233" s="6" t="e">
        <v>#REF!</v>
      </c>
      <c r="BP233" s="6" t="e">
        <v>#REF!</v>
      </c>
      <c r="BQ233" s="6" t="e">
        <v>#REF!</v>
      </c>
      <c r="BR233" s="6" t="e">
        <v>#REF!</v>
      </c>
      <c r="BS233" s="6" t="e">
        <v>#REF!</v>
      </c>
      <c r="BT233" s="6" t="e">
        <v>#REF!</v>
      </c>
      <c r="BU233" s="6" t="e">
        <v>#REF!</v>
      </c>
      <c r="BV233" s="6" t="e">
        <v>#REF!</v>
      </c>
      <c r="BW233" s="6" t="e">
        <v>#REF!</v>
      </c>
      <c r="BX233" s="6" t="e">
        <v>#REF!</v>
      </c>
      <c r="BY233" s="6" t="e">
        <v>#REF!</v>
      </c>
      <c r="BZ233" s="6" t="e">
        <v>#REF!</v>
      </c>
      <c r="CA233" s="6" t="e">
        <v>#REF!</v>
      </c>
      <c r="CB233" s="6" t="e">
        <v>#REF!</v>
      </c>
      <c r="CC233" s="6" t="e">
        <v>#REF!</v>
      </c>
      <c r="CD233" s="6" t="e">
        <v>#REF!</v>
      </c>
      <c r="CE233" s="6" t="e">
        <v>#REF!</v>
      </c>
      <c r="CF233" s="6" t="e">
        <v>#REF!</v>
      </c>
      <c r="CG233" s="6" t="e">
        <v>#REF!</v>
      </c>
      <c r="CH233" s="6" t="e">
        <v>#REF!</v>
      </c>
      <c r="CI233" s="6" t="e">
        <v>#REF!</v>
      </c>
      <c r="CJ233" s="6" t="e">
        <v>#REF!</v>
      </c>
      <c r="CK233" s="6" t="e">
        <v>#REF!</v>
      </c>
      <c r="CL233" s="6" t="e">
        <v>#REF!</v>
      </c>
      <c r="CM233" s="6" t="e">
        <v>#REF!</v>
      </c>
      <c r="CN233" s="6" t="e">
        <v>#REF!</v>
      </c>
      <c r="CO233" s="6" t="e">
        <v>#REF!</v>
      </c>
      <c r="CP233" s="6" t="e">
        <v>#REF!</v>
      </c>
      <c r="CQ233" s="6" t="e">
        <v>#REF!</v>
      </c>
      <c r="CR233" s="6" t="e">
        <v>#REF!</v>
      </c>
      <c r="CS233" s="6" t="e">
        <v>#REF!</v>
      </c>
      <c r="CT233" s="6" t="e">
        <v>#REF!</v>
      </c>
      <c r="CU233" s="6" t="e">
        <v>#REF!</v>
      </c>
      <c r="CV233" s="6" t="e">
        <v>#REF!</v>
      </c>
      <c r="CW233" s="6" t="e">
        <v>#REF!</v>
      </c>
      <c r="CX233" s="6" t="e">
        <v>#REF!</v>
      </c>
      <c r="CY233" s="6" t="e">
        <v>#REF!</v>
      </c>
      <c r="CZ233" s="6" t="e">
        <v>#REF!</v>
      </c>
      <c r="DA233" s="6" t="e">
        <v>#REF!</v>
      </c>
      <c r="DB233" s="6" t="e">
        <v>#REF!</v>
      </c>
      <c r="DC233" s="6" t="e">
        <v>#REF!</v>
      </c>
      <c r="DD233" s="6" t="e">
        <v>#REF!</v>
      </c>
      <c r="DE233" s="6" t="e">
        <v>#REF!</v>
      </c>
      <c r="DF233" s="6" t="e">
        <v>#REF!</v>
      </c>
      <c r="DG233" s="6" t="e">
        <v>#REF!</v>
      </c>
      <c r="DH233" s="6" t="e">
        <v>#REF!</v>
      </c>
      <c r="DI233" s="6" t="e">
        <v>#REF!</v>
      </c>
      <c r="DJ233" s="6" t="e">
        <v>#REF!</v>
      </c>
      <c r="DK233" s="6" t="e">
        <v>#REF!</v>
      </c>
      <c r="DL233" s="6" t="e">
        <v>#REF!</v>
      </c>
      <c r="DM233" s="6" t="e">
        <v>#REF!</v>
      </c>
      <c r="DN233" s="6" t="e">
        <v>#REF!</v>
      </c>
      <c r="DO233" s="6" t="e">
        <v>#REF!</v>
      </c>
      <c r="DP233" s="6" t="e">
        <v>#REF!</v>
      </c>
      <c r="DQ233" s="6" t="e">
        <v>#REF!</v>
      </c>
      <c r="DR233" s="6" t="e">
        <v>#REF!</v>
      </c>
      <c r="DS233" s="6" t="e">
        <v>#REF!</v>
      </c>
      <c r="DT233" s="6" t="e">
        <v>#REF!</v>
      </c>
      <c r="DU233" s="6" t="e">
        <v>#REF!</v>
      </c>
      <c r="DV233" s="6" t="e">
        <v>#REF!</v>
      </c>
      <c r="DW233" s="6" t="e">
        <v>#REF!</v>
      </c>
      <c r="DX233" s="6" t="e">
        <v>#REF!</v>
      </c>
      <c r="DY233" s="6" t="e">
        <v>#REF!</v>
      </c>
      <c r="DZ233" s="6" t="e">
        <v>#REF!</v>
      </c>
      <c r="EA233" s="6" t="e">
        <v>#REF!</v>
      </c>
      <c r="EB233" s="6" t="e">
        <v>#REF!</v>
      </c>
      <c r="EC233" s="6" t="e">
        <v>#REF!</v>
      </c>
      <c r="ED233" s="6" t="e">
        <v>#REF!</v>
      </c>
      <c r="EE233" s="6" t="e">
        <v>#REF!</v>
      </c>
      <c r="EF233" s="6" t="e">
        <v>#REF!</v>
      </c>
      <c r="EG233" s="6" t="e">
        <v>#REF!</v>
      </c>
      <c r="EH233" s="6" t="e">
        <v>#REF!</v>
      </c>
      <c r="EI233" s="6" t="e">
        <v>#REF!</v>
      </c>
      <c r="EJ233" s="6" t="e">
        <v>#REF!</v>
      </c>
      <c r="EK233" s="6" t="e">
        <v>#REF!</v>
      </c>
      <c r="EL233" s="6" t="e">
        <v>#REF!</v>
      </c>
      <c r="EM233" s="6" t="e">
        <v>#REF!</v>
      </c>
      <c r="EN233" s="6" t="e">
        <v>#REF!</v>
      </c>
      <c r="EO233" s="6" t="e">
        <v>#REF!</v>
      </c>
      <c r="EP233" s="6" t="e">
        <v>#REF!</v>
      </c>
      <c r="EQ233" s="6" t="e">
        <v>#REF!</v>
      </c>
      <c r="ER233" s="6" t="e">
        <v>#REF!</v>
      </c>
      <c r="ES233" s="6" t="e">
        <v>#REF!</v>
      </c>
      <c r="ET233" s="6" t="e">
        <v>#REF!</v>
      </c>
      <c r="EU233" s="6" t="e">
        <v>#REF!</v>
      </c>
      <c r="EV233" s="6" t="e">
        <v>#REF!</v>
      </c>
      <c r="EW233" s="6" t="e">
        <v>#REF!</v>
      </c>
      <c r="EX233" s="6" t="e">
        <v>#REF!</v>
      </c>
      <c r="EY233" s="6" t="e">
        <v>#REF!</v>
      </c>
      <c r="EZ233" s="6" t="e">
        <v>#REF!</v>
      </c>
      <c r="FA233" s="6" t="e">
        <v>#REF!</v>
      </c>
      <c r="FB233" s="6" t="e">
        <v>#REF!</v>
      </c>
      <c r="FC233" s="6" t="e">
        <v>#REF!</v>
      </c>
      <c r="FD233" s="6" t="e">
        <v>#REF!</v>
      </c>
      <c r="FE233" s="6" t="e">
        <v>#REF!</v>
      </c>
      <c r="FF233" s="6" t="e">
        <v>#REF!</v>
      </c>
      <c r="FG233" s="6" t="e">
        <v>#REF!</v>
      </c>
      <c r="FH233" s="6" t="e">
        <v>#REF!</v>
      </c>
      <c r="FI233" s="6" t="e">
        <v>#REF!</v>
      </c>
      <c r="FJ233" s="6" t="e">
        <v>#REF!</v>
      </c>
      <c r="FK233" s="6" t="e">
        <v>#REF!</v>
      </c>
      <c r="FL233" s="6" t="e">
        <v>#REF!</v>
      </c>
      <c r="FM233" s="6" t="e">
        <v>#REF!</v>
      </c>
      <c r="FN233" s="6" t="e">
        <v>#REF!</v>
      </c>
      <c r="FO233" s="6" t="e">
        <v>#REF!</v>
      </c>
      <c r="FP233" s="6" t="e">
        <v>#REF!</v>
      </c>
      <c r="FQ233" s="6" t="e">
        <v>#REF!</v>
      </c>
      <c r="FR233" s="6" t="e">
        <v>#REF!</v>
      </c>
      <c r="FS233" s="6" t="e">
        <v>#REF!</v>
      </c>
      <c r="FT233" s="6" t="e">
        <v>#REF!</v>
      </c>
      <c r="FU233" s="6" t="e">
        <v>#REF!</v>
      </c>
      <c r="FV233" s="6" t="e">
        <v>#REF!</v>
      </c>
      <c r="FW233" s="6" t="e">
        <v>#REF!</v>
      </c>
      <c r="FX233" s="6" t="e">
        <v>#REF!</v>
      </c>
      <c r="FY233" s="6" t="e">
        <v>#REF!</v>
      </c>
      <c r="FZ233" s="6" t="e">
        <v>#REF!</v>
      </c>
      <c r="GA233" s="6" t="e">
        <v>#REF!</v>
      </c>
      <c r="GB233" s="6" t="e">
        <v>#REF!</v>
      </c>
      <c r="GC233" s="6" t="e">
        <v>#REF!</v>
      </c>
      <c r="GD233" s="6" t="e">
        <v>#REF!</v>
      </c>
      <c r="GE233" s="6" t="e">
        <v>#REF!</v>
      </c>
      <c r="GF233" s="6" t="e">
        <v>#REF!</v>
      </c>
      <c r="GG233" s="6" t="e">
        <v>#REF!</v>
      </c>
      <c r="GH233" s="6" t="e">
        <v>#REF!</v>
      </c>
      <c r="GI233" s="6" t="e">
        <v>#REF!</v>
      </c>
      <c r="GJ233" s="6" t="e">
        <v>#REF!</v>
      </c>
      <c r="GK233" s="6" t="e">
        <v>#REF!</v>
      </c>
      <c r="GL233" s="6" t="e">
        <v>#REF!</v>
      </c>
      <c r="GM233" s="6" t="e">
        <v>#REF!</v>
      </c>
      <c r="GN233" s="6" t="e">
        <v>#REF!</v>
      </c>
      <c r="GO233" s="6" t="e">
        <v>#REF!</v>
      </c>
      <c r="GP233" s="6" t="e">
        <v>#REF!</v>
      </c>
      <c r="GQ233" s="6" t="e">
        <v>#REF!</v>
      </c>
      <c r="GR233" s="6" t="e">
        <v>#REF!</v>
      </c>
      <c r="GS233" s="6" t="e">
        <v>#REF!</v>
      </c>
      <c r="GT233" s="6" t="e">
        <v>#REF!</v>
      </c>
      <c r="GU233" s="6" t="e">
        <v>#REF!</v>
      </c>
      <c r="GV233" s="6" t="e">
        <v>#REF!</v>
      </c>
      <c r="GW233" s="6" t="e">
        <v>#REF!</v>
      </c>
      <c r="GX233" s="6" t="e">
        <v>#REF!</v>
      </c>
      <c r="GY233" s="6" t="e">
        <v>#REF!</v>
      </c>
      <c r="GZ233" s="6" t="e">
        <v>#REF!</v>
      </c>
      <c r="HA233" s="6" t="e">
        <v>#REF!</v>
      </c>
      <c r="HB233" s="6" t="e">
        <v>#REF!</v>
      </c>
      <c r="HC233" s="6" t="e">
        <v>#REF!</v>
      </c>
      <c r="HD233" s="6" t="e">
        <v>#REF!</v>
      </c>
      <c r="HE233" s="6" t="e">
        <v>#REF!</v>
      </c>
      <c r="HF233" s="6" t="e">
        <v>#REF!</v>
      </c>
      <c r="HG233" s="6" t="e">
        <v>#REF!</v>
      </c>
      <c r="HH233" s="6" t="e">
        <v>#REF!</v>
      </c>
      <c r="HI233" s="6" t="e">
        <v>#REF!</v>
      </c>
      <c r="HJ233" s="6" t="e">
        <v>#REF!</v>
      </c>
      <c r="HK233" s="6" t="e">
        <v>#REF!</v>
      </c>
      <c r="HL233" s="6" t="e">
        <v>#REF!</v>
      </c>
      <c r="HM233" s="6" t="e">
        <v>#REF!</v>
      </c>
      <c r="HN233" s="6" t="e">
        <v>#REF!</v>
      </c>
      <c r="HO233" s="6" t="e">
        <v>#REF!</v>
      </c>
      <c r="HP233" s="6" t="e">
        <v>#REF!</v>
      </c>
      <c r="HQ233" s="6" t="e">
        <v>#REF!</v>
      </c>
      <c r="HR233" s="6" t="e">
        <v>#REF!</v>
      </c>
      <c r="HS233" s="6" t="e">
        <v>#REF!</v>
      </c>
      <c r="HT233" s="6" t="e">
        <v>#REF!</v>
      </c>
      <c r="HU233" s="6" t="e">
        <v>#REF!</v>
      </c>
      <c r="HV233" s="6" t="e">
        <v>#REF!</v>
      </c>
      <c r="HW233" s="6" t="e">
        <v>#REF!</v>
      </c>
      <c r="HX233" s="6" t="e">
        <v>#REF!</v>
      </c>
      <c r="HY233" s="6" t="e">
        <v>#REF!</v>
      </c>
      <c r="HZ233" s="6" t="e">
        <v>#REF!</v>
      </c>
      <c r="IA233" s="6" t="e">
        <v>#REF!</v>
      </c>
      <c r="IB233" s="6" t="e">
        <v>#REF!</v>
      </c>
      <c r="IC233" s="6" t="e">
        <v>#REF!</v>
      </c>
      <c r="ID233" s="6" t="e">
        <v>#REF!</v>
      </c>
      <c r="IE233" s="6" t="e">
        <v>#REF!</v>
      </c>
      <c r="IF233" s="6" t="e">
        <v>#REF!</v>
      </c>
      <c r="IG233" s="6" t="e">
        <v>#REF!</v>
      </c>
      <c r="IH233" s="6" t="e">
        <v>#REF!</v>
      </c>
      <c r="II233" s="6" t="e">
        <v>#REF!</v>
      </c>
      <c r="IJ233" s="6" t="e">
        <v>#REF!</v>
      </c>
      <c r="IK233" s="6" t="e">
        <v>#REF!</v>
      </c>
      <c r="IL233" s="6" t="e">
        <v>#REF!</v>
      </c>
      <c r="IM233" s="6" t="e">
        <v>#REF!</v>
      </c>
      <c r="IN233" s="6" t="e">
        <v>#REF!</v>
      </c>
      <c r="IO233" s="6" t="e">
        <v>#REF!</v>
      </c>
      <c r="IP233" s="6" t="e">
        <v>#REF!</v>
      </c>
      <c r="IQ233" s="6" t="e">
        <v>#REF!</v>
      </c>
      <c r="IR233" s="6" t="e">
        <v>#REF!</v>
      </c>
      <c r="IS233" s="6" t="e">
        <v>#REF!</v>
      </c>
      <c r="IT233" s="6" t="e">
        <v>#REF!</v>
      </c>
      <c r="IU233" s="6" t="e">
        <v>#REF!</v>
      </c>
      <c r="IV233" s="6" t="e">
        <v>#REF!</v>
      </c>
      <c r="IW233" s="6" t="e">
        <v>#REF!</v>
      </c>
      <c r="IX233" s="6" t="e">
        <v>#REF!</v>
      </c>
      <c r="IY233" s="6" t="e">
        <v>#REF!</v>
      </c>
      <c r="IZ233" s="6" t="e">
        <v>#REF!</v>
      </c>
      <c r="JA233" s="6" t="e">
        <v>#REF!</v>
      </c>
      <c r="JB233" s="6" t="e">
        <v>#REF!</v>
      </c>
      <c r="JC233" s="6" t="e">
        <v>#REF!</v>
      </c>
      <c r="JD233" s="6" t="e">
        <v>#REF!</v>
      </c>
      <c r="JE233" s="6" t="e">
        <v>#REF!</v>
      </c>
      <c r="JF233" s="6" t="e">
        <v>#REF!</v>
      </c>
      <c r="JG233" s="6" t="e">
        <v>#REF!</v>
      </c>
      <c r="JH233" s="6" t="e">
        <v>#REF!</v>
      </c>
      <c r="JI233" s="6" t="e">
        <v>#REF!</v>
      </c>
      <c r="JJ233" s="6" t="e">
        <v>#REF!</v>
      </c>
      <c r="JK233" s="6" t="e">
        <v>#REF!</v>
      </c>
      <c r="JL233" s="6" t="e">
        <v>#REF!</v>
      </c>
      <c r="JM233" s="6" t="e">
        <v>#REF!</v>
      </c>
      <c r="JN233" s="6" t="e">
        <v>#REF!</v>
      </c>
      <c r="JO233" s="6" t="e">
        <v>#REF!</v>
      </c>
      <c r="JP233" s="6" t="e">
        <v>#REF!</v>
      </c>
      <c r="JQ233" s="6" t="e">
        <v>#REF!</v>
      </c>
      <c r="JR233" s="6" t="e">
        <v>#REF!</v>
      </c>
      <c r="JS233" s="6" t="e">
        <v>#REF!</v>
      </c>
      <c r="JT233" s="6" t="e">
        <v>#REF!</v>
      </c>
      <c r="JU233" s="6" t="e">
        <v>#REF!</v>
      </c>
      <c r="JV233" s="6" t="e">
        <v>#REF!</v>
      </c>
      <c r="JW233" s="6" t="e">
        <v>#REF!</v>
      </c>
      <c r="JX233" s="6" t="e">
        <v>#REF!</v>
      </c>
      <c r="JY233" s="6" t="e">
        <v>#REF!</v>
      </c>
      <c r="JZ233" s="6" t="e">
        <v>#REF!</v>
      </c>
      <c r="KA233" s="6" t="e">
        <v>#REF!</v>
      </c>
      <c r="KB233" s="6" t="e">
        <v>#REF!</v>
      </c>
      <c r="KC233" s="6" t="e">
        <v>#REF!</v>
      </c>
      <c r="KD233" s="6" t="e">
        <v>#REF!</v>
      </c>
      <c r="KE233" s="6" t="e">
        <v>#REF!</v>
      </c>
      <c r="KF233" s="6" t="e">
        <v>#REF!</v>
      </c>
      <c r="KG233" s="6" t="e">
        <v>#REF!</v>
      </c>
      <c r="KH233" s="6" t="e">
        <v>#REF!</v>
      </c>
      <c r="KI233" s="6" t="e">
        <v>#REF!</v>
      </c>
      <c r="KJ233" s="6" t="e">
        <v>#REF!</v>
      </c>
      <c r="KK233" s="6" t="e">
        <v>#REF!</v>
      </c>
      <c r="KL233" s="6" t="e">
        <v>#REF!</v>
      </c>
      <c r="KM233" s="6" t="e">
        <v>#REF!</v>
      </c>
      <c r="KN233" s="6" t="e">
        <v>#REF!</v>
      </c>
      <c r="KO233" s="6" t="e">
        <v>#REF!</v>
      </c>
      <c r="KP233" s="6" t="e">
        <v>#REF!</v>
      </c>
      <c r="KQ233" s="6" t="e">
        <v>#REF!</v>
      </c>
      <c r="KR233" s="6" t="e">
        <v>#REF!</v>
      </c>
      <c r="KS233" s="6" t="e">
        <v>#REF!</v>
      </c>
      <c r="KT233" s="6" t="e">
        <v>#REF!</v>
      </c>
      <c r="KU233" s="6" t="e">
        <v>#REF!</v>
      </c>
      <c r="KV233" s="6" t="e">
        <v>#REF!</v>
      </c>
      <c r="KW233" s="6" t="e">
        <v>#REF!</v>
      </c>
      <c r="KX233" s="6" t="e">
        <v>#REF!</v>
      </c>
      <c r="KY233" s="6" t="e">
        <v>#REF!</v>
      </c>
      <c r="KZ233" s="6" t="e">
        <v>#REF!</v>
      </c>
      <c r="LA233" s="6" t="e">
        <v>#REF!</v>
      </c>
      <c r="LB233" s="6" t="e">
        <v>#REF!</v>
      </c>
      <c r="LC233" s="6" t="e">
        <v>#REF!</v>
      </c>
      <c r="LD233" s="6" t="e">
        <v>#REF!</v>
      </c>
      <c r="LE233" s="6" t="e">
        <v>#REF!</v>
      </c>
      <c r="LF233" s="6" t="e">
        <v>#REF!</v>
      </c>
      <c r="LG233" s="6" t="e">
        <v>#REF!</v>
      </c>
      <c r="LH233" s="6" t="e">
        <v>#REF!</v>
      </c>
      <c r="LI233" s="6" t="e">
        <v>#REF!</v>
      </c>
      <c r="LJ233" s="6" t="e">
        <v>#REF!</v>
      </c>
      <c r="LK233" s="6" t="e">
        <v>#REF!</v>
      </c>
      <c r="LL233" s="6" t="e">
        <v>#REF!</v>
      </c>
      <c r="LM233" s="6" t="e">
        <v>#REF!</v>
      </c>
      <c r="LN233" s="6" t="e">
        <v>#REF!</v>
      </c>
      <c r="LO233" s="6" t="e">
        <v>#REF!</v>
      </c>
      <c r="LP233" s="6" t="e">
        <v>#REF!</v>
      </c>
      <c r="LQ233" s="6" t="e">
        <v>#REF!</v>
      </c>
      <c r="LR233" s="6" t="e">
        <v>#REF!</v>
      </c>
      <c r="LS233" s="6" t="e">
        <v>#REF!</v>
      </c>
      <c r="LT233" s="6" t="e">
        <v>#REF!</v>
      </c>
      <c r="LU233" s="6" t="e">
        <v>#REF!</v>
      </c>
      <c r="LV233" s="6" t="e">
        <v>#REF!</v>
      </c>
      <c r="LW233" s="6" t="e">
        <v>#REF!</v>
      </c>
      <c r="LX233" s="6" t="e">
        <v>#REF!</v>
      </c>
      <c r="LY233" s="6" t="e">
        <v>#REF!</v>
      </c>
      <c r="LZ233" s="6" t="e">
        <v>#REF!</v>
      </c>
      <c r="MA233" s="6" t="e">
        <v>#REF!</v>
      </c>
      <c r="MB233" s="6" t="e">
        <v>#REF!</v>
      </c>
      <c r="MC233" s="6" t="e">
        <v>#REF!</v>
      </c>
      <c r="MD233" s="6" t="e">
        <v>#REF!</v>
      </c>
      <c r="ME233" s="6" t="e">
        <v>#REF!</v>
      </c>
      <c r="MF233" s="6" t="e">
        <v>#REF!</v>
      </c>
      <c r="MG233" s="6" t="e">
        <v>#REF!</v>
      </c>
      <c r="MH233" s="6" t="e">
        <v>#REF!</v>
      </c>
      <c r="MI233" s="6" t="e">
        <v>#REF!</v>
      </c>
      <c r="MJ233" s="6" t="e">
        <v>#REF!</v>
      </c>
      <c r="MK233" s="6" t="e">
        <v>#REF!</v>
      </c>
      <c r="ML233" s="6" t="e">
        <v>#REF!</v>
      </c>
      <c r="MM233" s="6" t="e">
        <v>#REF!</v>
      </c>
      <c r="MN233" s="6" t="e">
        <v>#REF!</v>
      </c>
      <c r="MO233" s="6" t="e">
        <v>#REF!</v>
      </c>
      <c r="MP233" s="6" t="e">
        <v>#REF!</v>
      </c>
      <c r="MQ233" s="6" t="e">
        <v>#REF!</v>
      </c>
      <c r="MR233" s="6" t="e">
        <v>#REF!</v>
      </c>
      <c r="MS233" s="6" t="e">
        <v>#REF!</v>
      </c>
      <c r="MT233" s="6" t="e">
        <v>#REF!</v>
      </c>
      <c r="MU233" s="6" t="e">
        <v>#REF!</v>
      </c>
      <c r="MV233" s="6" t="e">
        <v>#REF!</v>
      </c>
      <c r="MW233" s="6" t="e">
        <v>#REF!</v>
      </c>
      <c r="MX233" s="6" t="e">
        <v>#REF!</v>
      </c>
      <c r="MY233" s="6" t="e">
        <v>#REF!</v>
      </c>
      <c r="MZ233" s="6" t="e">
        <v>#REF!</v>
      </c>
      <c r="NA233" s="6" t="e">
        <v>#REF!</v>
      </c>
      <c r="NB233" s="6" t="e">
        <v>#REF!</v>
      </c>
      <c r="NC233" s="6" t="e">
        <v>#REF!</v>
      </c>
      <c r="ND233" s="6" t="e">
        <v>#REF!</v>
      </c>
      <c r="NE233" s="6" t="e">
        <v>#REF!</v>
      </c>
      <c r="NF233" s="6" t="e">
        <v>#REF!</v>
      </c>
      <c r="NG233" s="6" t="e">
        <v>#REF!</v>
      </c>
      <c r="NH233" s="6" t="e">
        <v>#REF!</v>
      </c>
      <c r="NI233" s="6" t="e">
        <v>#REF!</v>
      </c>
      <c r="NJ233" s="6" t="e">
        <v>#REF!</v>
      </c>
      <c r="NK233" s="6" t="e">
        <v>#REF!</v>
      </c>
      <c r="NL233" s="6" t="e">
        <v>#REF!</v>
      </c>
      <c r="NM233" s="6" t="e">
        <v>#REF!</v>
      </c>
      <c r="NN233" s="6" t="e">
        <v>#REF!</v>
      </c>
      <c r="NO233" s="6" t="e">
        <v>#REF!</v>
      </c>
      <c r="NP233" s="6" t="e">
        <v>#REF!</v>
      </c>
      <c r="NQ233" s="6" t="e">
        <v>#REF!</v>
      </c>
      <c r="NR233" s="6" t="e">
        <v>#REF!</v>
      </c>
      <c r="NS233" s="6" t="e">
        <v>#REF!</v>
      </c>
      <c r="NT233" s="6" t="e">
        <v>#REF!</v>
      </c>
      <c r="NU233" s="6" t="e">
        <v>#REF!</v>
      </c>
      <c r="NV233" s="6" t="e">
        <v>#REF!</v>
      </c>
      <c r="NW233" s="6" t="e">
        <v>#REF!</v>
      </c>
      <c r="NX233" s="6" t="e">
        <v>#REF!</v>
      </c>
      <c r="NY233" s="6" t="e">
        <v>#REF!</v>
      </c>
      <c r="NZ233" s="6" t="e">
        <v>#REF!</v>
      </c>
      <c r="OA233" s="6" t="e">
        <v>#REF!</v>
      </c>
      <c r="OB233" s="6" t="e">
        <v>#REF!</v>
      </c>
      <c r="OC233" s="6" t="e">
        <v>#REF!</v>
      </c>
      <c r="OD233" s="6" t="e">
        <v>#REF!</v>
      </c>
      <c r="OE233" t="e">
        <v>#REF!</v>
      </c>
      <c r="OF233" t="e">
        <v>#REF!</v>
      </c>
      <c r="OG233" t="e">
        <v>#REF!</v>
      </c>
      <c r="OH233" t="e">
        <v>#REF!</v>
      </c>
      <c r="OI233" t="e">
        <v>#REF!</v>
      </c>
      <c r="OJ233" t="e">
        <v>#REF!</v>
      </c>
      <c r="OK233" t="e">
        <v>#REF!</v>
      </c>
    </row>
    <row r="234" spans="2:401" x14ac:dyDescent="0.3">
      <c r="D234" s="133"/>
      <c r="J234" s="76"/>
      <c r="K234" s="66"/>
      <c r="L234" s="77"/>
      <c r="M234" s="143" t="s">
        <v>219</v>
      </c>
      <c r="N234" s="144"/>
      <c r="O234" s="169"/>
      <c r="P234" s="144" t="e" cm="1">
        <f t="array" ref="P234">_xlfn.ANCHORARRAY(P221)+_xlfn.ANCHORARRAY(P228)-_xlfn.ANCHORARRAY(P231)</f>
        <v>#REF!</v>
      </c>
    </row>
    <row r="235" spans="2:401" x14ac:dyDescent="0.3">
      <c r="D235" s="133"/>
      <c r="J235" s="76"/>
      <c r="K235" s="66"/>
      <c r="L235" s="66"/>
      <c r="M235" s="66"/>
      <c r="N235" s="66"/>
      <c r="O235" s="66"/>
      <c r="P235" s="66"/>
    </row>
    <row r="236" spans="2:401" x14ac:dyDescent="0.3">
      <c r="D236" s="133"/>
      <c r="J236" s="76"/>
      <c r="K236" s="66"/>
      <c r="L236" s="66"/>
      <c r="M236" s="66" t="s">
        <v>273</v>
      </c>
      <c r="N236" s="66"/>
      <c r="O236" s="66"/>
      <c r="P236" s="66"/>
    </row>
    <row r="237" spans="2:401" x14ac:dyDescent="0.3">
      <c r="D237" s="133"/>
      <c r="J237" s="76"/>
      <c r="K237" s="66"/>
      <c r="L237" s="66"/>
      <c r="M237" s="66" t="s">
        <v>272</v>
      </c>
      <c r="N237" s="66"/>
      <c r="O237" s="66"/>
      <c r="P237" s="66"/>
    </row>
    <row r="238" spans="2:401" x14ac:dyDescent="0.3">
      <c r="D238" s="133"/>
      <c r="J238" s="76"/>
      <c r="K238" s="66"/>
      <c r="L238" s="66"/>
      <c r="M238" s="66" t="s">
        <v>274</v>
      </c>
      <c r="N238" s="66"/>
      <c r="O238" s="66"/>
      <c r="P238" s="66"/>
    </row>
    <row r="239" spans="2:401" ht="14.4" thickBot="1" x14ac:dyDescent="0.35">
      <c r="D239" s="133"/>
      <c r="J239" s="157"/>
      <c r="K239" s="156"/>
      <c r="L239" s="155" t="s">
        <v>263</v>
      </c>
      <c r="M239" s="156"/>
      <c r="N239" s="156"/>
      <c r="O239" s="156"/>
      <c r="P239" s="156"/>
    </row>
    <row r="240" spans="2:401" x14ac:dyDescent="0.3">
      <c r="D240" s="133"/>
      <c r="J240" s="210"/>
      <c r="K240" s="211"/>
      <c r="L240" s="212" t="s">
        <v>333</v>
      </c>
      <c r="M240" s="211"/>
      <c r="N240" s="207"/>
      <c r="O240" s="207"/>
      <c r="P240" s="207"/>
    </row>
    <row r="241" spans="4:401" x14ac:dyDescent="0.3">
      <c r="D241" s="133"/>
      <c r="J241" s="118"/>
      <c r="K241" s="207"/>
      <c r="L241" s="207"/>
      <c r="M241" s="207"/>
      <c r="N241" s="207"/>
      <c r="O241" s="207"/>
      <c r="P241" s="207"/>
    </row>
    <row r="242" spans="4:401" x14ac:dyDescent="0.3">
      <c r="D242" s="133"/>
      <c r="J242" s="76"/>
      <c r="K242" s="66"/>
      <c r="L242" s="77"/>
      <c r="M242" s="237" t="s">
        <v>300</v>
      </c>
      <c r="N242" s="238"/>
      <c r="O242" s="239"/>
      <c r="P242" s="238"/>
    </row>
    <row r="243" spans="4:401" x14ac:dyDescent="0.3">
      <c r="D243" s="133"/>
      <c r="J243" s="76"/>
      <c r="K243" s="66"/>
      <c r="L243" s="77"/>
      <c r="M243" s="242" t="s">
        <v>305</v>
      </c>
      <c r="N243" s="245">
        <f>SUM(_xlfn.ANCHORARRAY(P243))</f>
        <v>-31714387.857752088</v>
      </c>
      <c r="O243" s="243" t="s">
        <v>81</v>
      </c>
      <c r="P243" s="246" cm="1">
        <f t="array" ref="P243:OK243">IF((E55&lt;=_xlfn.ANCHORARRAY(P2))*(_xlfn.ANCHORARRAY(P2)&lt;EDATE(E55,$E$112*12)),-_xlfn.ANCHORARRAY(P126)*E113,0%)</f>
        <v>0</v>
      </c>
      <c r="Q243" s="246">
        <v>0</v>
      </c>
      <c r="R243" s="246">
        <v>0</v>
      </c>
      <c r="S243" s="246">
        <v>0</v>
      </c>
      <c r="T243" s="246">
        <v>0</v>
      </c>
      <c r="U243" s="246">
        <v>0</v>
      </c>
      <c r="V243" s="246">
        <v>0</v>
      </c>
      <c r="W243" s="246">
        <v>0</v>
      </c>
      <c r="X243" s="246">
        <v>0</v>
      </c>
      <c r="Y243" s="246">
        <v>0</v>
      </c>
      <c r="Z243" s="246">
        <v>0</v>
      </c>
      <c r="AA243" s="246">
        <v>0</v>
      </c>
      <c r="AB243" s="246">
        <v>0</v>
      </c>
      <c r="AC243" s="246">
        <v>0</v>
      </c>
      <c r="AD243" s="246">
        <v>0</v>
      </c>
      <c r="AE243" s="246">
        <v>0</v>
      </c>
      <c r="AF243" s="246">
        <v>-508017.77022169129</v>
      </c>
      <c r="AG243" s="246">
        <v>-599537.83083494892</v>
      </c>
      <c r="AH243" s="246">
        <v>-699163.42842157977</v>
      </c>
      <c r="AI243" s="246">
        <v>-771750.95097509969</v>
      </c>
      <c r="AJ243" s="246">
        <v>-829673.23369527853</v>
      </c>
      <c r="AK243" s="246">
        <v>-768960.76615977904</v>
      </c>
      <c r="AL243" s="246">
        <v>-595623.22343499318</v>
      </c>
      <c r="AM243" s="246">
        <v>-479421.31478297658</v>
      </c>
      <c r="AN243" s="246">
        <v>-311623.38820519106</v>
      </c>
      <c r="AO243" s="246">
        <v>-224098.94107115519</v>
      </c>
      <c r="AP243" s="246">
        <v>-256592.19585276864</v>
      </c>
      <c r="AQ243" s="246">
        <v>-338337.84218254132</v>
      </c>
      <c r="AR243" s="246">
        <v>-507848.4309649507</v>
      </c>
      <c r="AS243" s="246">
        <v>-599138.20556304022</v>
      </c>
      <c r="AT243" s="246">
        <v>-698464.49802173942</v>
      </c>
      <c r="AU243" s="246">
        <v>-770722.46409344289</v>
      </c>
      <c r="AV243" s="246">
        <v>-828291.36652436655</v>
      </c>
      <c r="AW243" s="246">
        <v>-767424.12565927836</v>
      </c>
      <c r="AX243" s="246">
        <v>-594234.82492931944</v>
      </c>
      <c r="AY243" s="246">
        <v>-478144.3484825936</v>
      </c>
      <c r="AZ243" s="246">
        <v>-310689.76356511802</v>
      </c>
      <c r="BA243" s="246">
        <v>-223353.0641002089</v>
      </c>
      <c r="BB243" s="246">
        <v>-255652.92429770911</v>
      </c>
      <c r="BC243" s="246">
        <v>-336986.96920322691</v>
      </c>
      <c r="BD243" s="246">
        <v>-505820.75732799579</v>
      </c>
      <c r="BE243" s="246">
        <v>-596746.04154275497</v>
      </c>
      <c r="BF243" s="246">
        <v>-695675.75641571195</v>
      </c>
      <c r="BG243" s="246">
        <v>-767645.21992655273</v>
      </c>
      <c r="BH243" s="246">
        <v>-824984.26845097542</v>
      </c>
      <c r="BI243" s="246">
        <v>-764360.05068516475</v>
      </c>
      <c r="BJ243" s="246">
        <v>-591862.23851336795</v>
      </c>
      <c r="BK243" s="246">
        <v>-476235.27358748164</v>
      </c>
      <c r="BL243" s="246">
        <v>-309449.28037280851</v>
      </c>
      <c r="BM243" s="246">
        <v>-222461.28794772859</v>
      </c>
      <c r="BN243" s="246">
        <v>-254632.18530709346</v>
      </c>
      <c r="BO243" s="246">
        <v>-335641.4898204268</v>
      </c>
      <c r="BP243" s="246">
        <v>-503801.17953249137</v>
      </c>
      <c r="BQ243" s="246">
        <v>-594363.42865549179</v>
      </c>
      <c r="BR243" s="246">
        <v>-692898.14934804314</v>
      </c>
      <c r="BS243" s="246">
        <v>-764580.2621949279</v>
      </c>
      <c r="BT243" s="246">
        <v>-821690.37454475195</v>
      </c>
      <c r="BU243" s="246">
        <v>-761308.20956601249</v>
      </c>
      <c r="BV243" s="246">
        <v>-589499.12506343075</v>
      </c>
      <c r="BW243" s="246">
        <v>-474333.8210076114</v>
      </c>
      <c r="BX243" s="246">
        <v>-308213.75002649159</v>
      </c>
      <c r="BY243" s="246">
        <v>-221573.0723674272</v>
      </c>
      <c r="BZ243" s="246">
        <v>-253615.52179533191</v>
      </c>
      <c r="CA243" s="246">
        <v>-334301.38249926403</v>
      </c>
      <c r="CB243" s="246">
        <v>-501789.66525437532</v>
      </c>
      <c r="CC243" s="246">
        <v>-591990.32876668253</v>
      </c>
      <c r="CD243" s="246">
        <v>-690131.63236214162</v>
      </c>
      <c r="CE243" s="246">
        <v>-761527.54184282792</v>
      </c>
      <c r="CF243" s="246">
        <v>-818409.63208575035</v>
      </c>
      <c r="CG243" s="246">
        <v>-758268.5534560167</v>
      </c>
      <c r="CH243" s="246">
        <v>-587145.44675703545</v>
      </c>
      <c r="CI243" s="246">
        <v>-472439.9603095568</v>
      </c>
      <c r="CJ243" s="246">
        <v>-306983.15275106381</v>
      </c>
      <c r="CK243" s="246">
        <v>-220688.40314309808</v>
      </c>
      <c r="CL243" s="246">
        <v>-252602.91749036266</v>
      </c>
      <c r="CM243" s="246">
        <v>-332966.62579084339</v>
      </c>
      <c r="CN243" s="246">
        <v>0</v>
      </c>
      <c r="CO243" s="246">
        <v>0</v>
      </c>
      <c r="CP243" s="246">
        <v>0</v>
      </c>
      <c r="CQ243" s="246">
        <v>0</v>
      </c>
      <c r="CR243" s="246">
        <v>0</v>
      </c>
      <c r="CS243" s="246">
        <v>0</v>
      </c>
      <c r="CT243" s="246">
        <v>0</v>
      </c>
      <c r="CU243" s="246">
        <v>0</v>
      </c>
      <c r="CV243" s="246">
        <v>0</v>
      </c>
      <c r="CW243" s="246">
        <v>0</v>
      </c>
      <c r="CX243" s="246">
        <v>0</v>
      </c>
      <c r="CY243" s="246">
        <v>0</v>
      </c>
      <c r="CZ243" s="246">
        <v>0</v>
      </c>
      <c r="DA243" s="246">
        <v>0</v>
      </c>
      <c r="DB243" s="246">
        <v>0</v>
      </c>
      <c r="DC243" s="246">
        <v>0</v>
      </c>
      <c r="DD243" s="246">
        <v>0</v>
      </c>
      <c r="DE243" s="246">
        <v>0</v>
      </c>
      <c r="DF243" s="246">
        <v>0</v>
      </c>
      <c r="DG243" s="246">
        <v>0</v>
      </c>
      <c r="DH243" s="246">
        <v>0</v>
      </c>
      <c r="DI243" s="246">
        <v>0</v>
      </c>
      <c r="DJ243" s="246">
        <v>0</v>
      </c>
      <c r="DK243" s="246">
        <v>0</v>
      </c>
      <c r="DL243" s="246">
        <v>0</v>
      </c>
      <c r="DM243" s="246">
        <v>0</v>
      </c>
      <c r="DN243" s="246">
        <v>0</v>
      </c>
      <c r="DO243" s="246">
        <v>0</v>
      </c>
      <c r="DP243" s="246">
        <v>0</v>
      </c>
      <c r="DQ243" s="246">
        <v>0</v>
      </c>
      <c r="DR243" s="246">
        <v>0</v>
      </c>
      <c r="DS243" s="246">
        <v>0</v>
      </c>
      <c r="DT243" s="246">
        <v>0</v>
      </c>
      <c r="DU243" s="246">
        <v>0</v>
      </c>
      <c r="DV243" s="246">
        <v>0</v>
      </c>
      <c r="DW243" s="246">
        <v>0</v>
      </c>
      <c r="DX243" s="246">
        <v>0</v>
      </c>
      <c r="DY243" s="246">
        <v>0</v>
      </c>
      <c r="DZ243" s="246">
        <v>0</v>
      </c>
      <c r="EA243" s="246">
        <v>0</v>
      </c>
      <c r="EB243" s="246">
        <v>0</v>
      </c>
      <c r="EC243" s="246">
        <v>0</v>
      </c>
      <c r="ED243" s="246">
        <v>0</v>
      </c>
      <c r="EE243" s="246">
        <v>0</v>
      </c>
      <c r="EF243" s="246">
        <v>0</v>
      </c>
      <c r="EG243" s="246">
        <v>0</v>
      </c>
      <c r="EH243" s="246">
        <v>0</v>
      </c>
      <c r="EI243" s="246">
        <v>0</v>
      </c>
      <c r="EJ243" s="246">
        <v>0</v>
      </c>
      <c r="EK243" s="246">
        <v>0</v>
      </c>
      <c r="EL243" s="246">
        <v>0</v>
      </c>
      <c r="EM243" s="246">
        <v>0</v>
      </c>
      <c r="EN243" s="246">
        <v>0</v>
      </c>
      <c r="EO243" s="246">
        <v>0</v>
      </c>
      <c r="EP243" s="246">
        <v>0</v>
      </c>
      <c r="EQ243" s="246">
        <v>0</v>
      </c>
      <c r="ER243" s="246">
        <v>0</v>
      </c>
      <c r="ES243" s="246">
        <v>0</v>
      </c>
      <c r="ET243" s="246">
        <v>0</v>
      </c>
      <c r="EU243" s="246">
        <v>0</v>
      </c>
      <c r="EV243" s="246">
        <v>0</v>
      </c>
      <c r="EW243" s="246">
        <v>0</v>
      </c>
      <c r="EX243" s="246">
        <v>0</v>
      </c>
      <c r="EY243" s="246">
        <v>0</v>
      </c>
      <c r="EZ243" s="246">
        <v>0</v>
      </c>
      <c r="FA243" s="246">
        <v>0</v>
      </c>
      <c r="FB243" s="246">
        <v>0</v>
      </c>
      <c r="FC243" s="246">
        <v>0</v>
      </c>
      <c r="FD243" s="246">
        <v>0</v>
      </c>
      <c r="FE243" s="246">
        <v>0</v>
      </c>
      <c r="FF243" s="246">
        <v>0</v>
      </c>
      <c r="FG243" s="246">
        <v>0</v>
      </c>
      <c r="FH243" s="246">
        <v>0</v>
      </c>
      <c r="FI243" s="246">
        <v>0</v>
      </c>
      <c r="FJ243" s="246">
        <v>0</v>
      </c>
      <c r="FK243" s="246">
        <v>0</v>
      </c>
      <c r="FL243" s="246">
        <v>0</v>
      </c>
      <c r="FM243" s="246">
        <v>0</v>
      </c>
      <c r="FN243" s="246">
        <v>0</v>
      </c>
      <c r="FO243" s="246">
        <v>0</v>
      </c>
      <c r="FP243" s="246">
        <v>0</v>
      </c>
      <c r="FQ243" s="246">
        <v>0</v>
      </c>
      <c r="FR243" s="246">
        <v>0</v>
      </c>
      <c r="FS243" s="246">
        <v>0</v>
      </c>
      <c r="FT243" s="246">
        <v>0</v>
      </c>
      <c r="FU243" s="246">
        <v>0</v>
      </c>
      <c r="FV243" s="246">
        <v>0</v>
      </c>
      <c r="FW243" s="246">
        <v>0</v>
      </c>
      <c r="FX243" s="246">
        <v>0</v>
      </c>
      <c r="FY243" s="246">
        <v>0</v>
      </c>
      <c r="FZ243" s="246">
        <v>0</v>
      </c>
      <c r="GA243" s="246">
        <v>0</v>
      </c>
      <c r="GB243" s="246">
        <v>0</v>
      </c>
      <c r="GC243" s="246">
        <v>0</v>
      </c>
      <c r="GD243" s="246">
        <v>0</v>
      </c>
      <c r="GE243" s="246">
        <v>0</v>
      </c>
      <c r="GF243" s="246">
        <v>0</v>
      </c>
      <c r="GG243" s="246">
        <v>0</v>
      </c>
      <c r="GH243" s="246">
        <v>0</v>
      </c>
      <c r="GI243" s="246">
        <v>0</v>
      </c>
      <c r="GJ243" s="246">
        <v>0</v>
      </c>
      <c r="GK243" s="246">
        <v>0</v>
      </c>
      <c r="GL243" s="246">
        <v>0</v>
      </c>
      <c r="GM243" s="246">
        <v>0</v>
      </c>
      <c r="GN243" s="246">
        <v>0</v>
      </c>
      <c r="GO243" s="246">
        <v>0</v>
      </c>
      <c r="GP243" s="246">
        <v>0</v>
      </c>
      <c r="GQ243" s="246">
        <v>0</v>
      </c>
      <c r="GR243" s="246">
        <v>0</v>
      </c>
      <c r="GS243" s="246">
        <v>0</v>
      </c>
      <c r="GT243" s="246">
        <v>0</v>
      </c>
      <c r="GU243" s="246">
        <v>0</v>
      </c>
      <c r="GV243" s="246">
        <v>0</v>
      </c>
      <c r="GW243" s="246">
        <v>0</v>
      </c>
      <c r="GX243" s="246">
        <v>0</v>
      </c>
      <c r="GY243" s="246">
        <v>0</v>
      </c>
      <c r="GZ243" s="246">
        <v>0</v>
      </c>
      <c r="HA243" s="246">
        <v>0</v>
      </c>
      <c r="HB243" s="246">
        <v>0</v>
      </c>
      <c r="HC243" s="246">
        <v>0</v>
      </c>
      <c r="HD243" s="246">
        <v>0</v>
      </c>
      <c r="HE243" s="246">
        <v>0</v>
      </c>
      <c r="HF243" s="246">
        <v>0</v>
      </c>
      <c r="HG243" s="246">
        <v>0</v>
      </c>
      <c r="HH243" s="246">
        <v>0</v>
      </c>
      <c r="HI243" s="246">
        <v>0</v>
      </c>
      <c r="HJ243" s="246">
        <v>0</v>
      </c>
      <c r="HK243" s="246">
        <v>0</v>
      </c>
      <c r="HL243" s="246">
        <v>0</v>
      </c>
      <c r="HM243" s="246">
        <v>0</v>
      </c>
      <c r="HN243" s="246">
        <v>0</v>
      </c>
      <c r="HO243" s="246">
        <v>0</v>
      </c>
      <c r="HP243" s="246">
        <v>0</v>
      </c>
      <c r="HQ243" s="246">
        <v>0</v>
      </c>
      <c r="HR243" s="246">
        <v>0</v>
      </c>
      <c r="HS243" s="246">
        <v>0</v>
      </c>
      <c r="HT243" s="246">
        <v>0</v>
      </c>
      <c r="HU243" s="246">
        <v>0</v>
      </c>
      <c r="HV243" s="246">
        <v>0</v>
      </c>
      <c r="HW243" s="246">
        <v>0</v>
      </c>
      <c r="HX243" s="246">
        <v>0</v>
      </c>
      <c r="HY243" s="246">
        <v>0</v>
      </c>
      <c r="HZ243" s="246">
        <v>0</v>
      </c>
      <c r="IA243" s="246">
        <v>0</v>
      </c>
      <c r="IB243" s="246">
        <v>0</v>
      </c>
      <c r="IC243" s="246">
        <v>0</v>
      </c>
      <c r="ID243" s="246">
        <v>0</v>
      </c>
      <c r="IE243" s="246">
        <v>0</v>
      </c>
      <c r="IF243" s="246">
        <v>0</v>
      </c>
      <c r="IG243" s="246">
        <v>0</v>
      </c>
      <c r="IH243" s="246">
        <v>0</v>
      </c>
      <c r="II243" s="246">
        <v>0</v>
      </c>
      <c r="IJ243" s="246">
        <v>0</v>
      </c>
      <c r="IK243" s="246">
        <v>0</v>
      </c>
      <c r="IL243" s="246">
        <v>0</v>
      </c>
      <c r="IM243" s="246">
        <v>0</v>
      </c>
      <c r="IN243" s="246">
        <v>0</v>
      </c>
      <c r="IO243" s="246">
        <v>0</v>
      </c>
      <c r="IP243" s="246">
        <v>0</v>
      </c>
      <c r="IQ243" s="246">
        <v>0</v>
      </c>
      <c r="IR243" s="246">
        <v>0</v>
      </c>
      <c r="IS243" s="246">
        <v>0</v>
      </c>
      <c r="IT243" s="246">
        <v>0</v>
      </c>
      <c r="IU243" s="246">
        <v>0</v>
      </c>
      <c r="IV243" s="246">
        <v>0</v>
      </c>
      <c r="IW243" s="246">
        <v>0</v>
      </c>
      <c r="IX243" s="246">
        <v>0</v>
      </c>
      <c r="IY243" s="246">
        <v>0</v>
      </c>
      <c r="IZ243" s="246">
        <v>0</v>
      </c>
      <c r="JA243" s="246">
        <v>0</v>
      </c>
      <c r="JB243" s="246">
        <v>0</v>
      </c>
      <c r="JC243" s="246">
        <v>0</v>
      </c>
      <c r="JD243" s="246">
        <v>0</v>
      </c>
      <c r="JE243" s="246">
        <v>0</v>
      </c>
      <c r="JF243" s="246">
        <v>0</v>
      </c>
      <c r="JG243" s="246">
        <v>0</v>
      </c>
      <c r="JH243" s="246">
        <v>0</v>
      </c>
      <c r="JI243" s="246">
        <v>0</v>
      </c>
      <c r="JJ243" s="246">
        <v>0</v>
      </c>
      <c r="JK243" s="246">
        <v>0</v>
      </c>
      <c r="JL243" s="246">
        <v>0</v>
      </c>
      <c r="JM243" s="246">
        <v>0</v>
      </c>
      <c r="JN243" s="246">
        <v>0</v>
      </c>
      <c r="JO243" s="246">
        <v>0</v>
      </c>
      <c r="JP243" s="246">
        <v>0</v>
      </c>
      <c r="JQ243" s="246">
        <v>0</v>
      </c>
      <c r="JR243" s="246">
        <v>0</v>
      </c>
      <c r="JS243" s="246">
        <v>0</v>
      </c>
      <c r="JT243" s="246">
        <v>0</v>
      </c>
      <c r="JU243" s="246">
        <v>0</v>
      </c>
      <c r="JV243" s="246">
        <v>0</v>
      </c>
      <c r="JW243" s="246">
        <v>0</v>
      </c>
      <c r="JX243" s="246">
        <v>0</v>
      </c>
      <c r="JY243" s="246">
        <v>0</v>
      </c>
      <c r="JZ243" s="246">
        <v>0</v>
      </c>
      <c r="KA243" s="246">
        <v>0</v>
      </c>
      <c r="KB243" s="246">
        <v>0</v>
      </c>
      <c r="KC243" s="246">
        <v>0</v>
      </c>
      <c r="KD243" s="246">
        <v>0</v>
      </c>
      <c r="KE243" s="246">
        <v>0</v>
      </c>
      <c r="KF243" s="246">
        <v>0</v>
      </c>
      <c r="KG243" s="246">
        <v>0</v>
      </c>
      <c r="KH243" s="246">
        <v>0</v>
      </c>
      <c r="KI243" s="246">
        <v>0</v>
      </c>
      <c r="KJ243" s="246">
        <v>0</v>
      </c>
      <c r="KK243" s="246">
        <v>0</v>
      </c>
      <c r="KL243" s="246">
        <v>0</v>
      </c>
      <c r="KM243" s="246">
        <v>0</v>
      </c>
      <c r="KN243" s="246">
        <v>0</v>
      </c>
      <c r="KO243" s="246">
        <v>0</v>
      </c>
      <c r="KP243" s="246">
        <v>0</v>
      </c>
      <c r="KQ243" s="246">
        <v>0</v>
      </c>
      <c r="KR243" s="246">
        <v>0</v>
      </c>
      <c r="KS243" s="246">
        <v>0</v>
      </c>
      <c r="KT243" s="246">
        <v>0</v>
      </c>
      <c r="KU243" s="246">
        <v>0</v>
      </c>
      <c r="KV243" s="246">
        <v>0</v>
      </c>
      <c r="KW243" s="246">
        <v>0</v>
      </c>
      <c r="KX243" s="246">
        <v>0</v>
      </c>
      <c r="KY243" s="246">
        <v>0</v>
      </c>
      <c r="KZ243" s="246">
        <v>0</v>
      </c>
      <c r="LA243" s="246">
        <v>0</v>
      </c>
      <c r="LB243" s="246">
        <v>0</v>
      </c>
      <c r="LC243" s="246">
        <v>0</v>
      </c>
      <c r="LD243" s="246">
        <v>0</v>
      </c>
      <c r="LE243" s="246">
        <v>0</v>
      </c>
      <c r="LF243" s="246">
        <v>0</v>
      </c>
      <c r="LG243" s="246">
        <v>0</v>
      </c>
      <c r="LH243" s="246">
        <v>0</v>
      </c>
      <c r="LI243" s="246">
        <v>0</v>
      </c>
      <c r="LJ243" s="246">
        <v>0</v>
      </c>
      <c r="LK243" s="246">
        <v>0</v>
      </c>
      <c r="LL243" s="246">
        <v>0</v>
      </c>
      <c r="LM243" s="246">
        <v>0</v>
      </c>
      <c r="LN243" s="246">
        <v>0</v>
      </c>
      <c r="LO243" s="246">
        <v>0</v>
      </c>
      <c r="LP243" s="246">
        <v>0</v>
      </c>
      <c r="LQ243" s="246">
        <v>0</v>
      </c>
      <c r="LR243" s="246">
        <v>0</v>
      </c>
      <c r="LS243" s="246">
        <v>0</v>
      </c>
      <c r="LT243" s="246">
        <v>0</v>
      </c>
      <c r="LU243" s="246">
        <v>0</v>
      </c>
      <c r="LV243" s="246">
        <v>0</v>
      </c>
      <c r="LW243" s="246">
        <v>0</v>
      </c>
      <c r="LX243" s="246">
        <v>0</v>
      </c>
      <c r="LY243" s="246">
        <v>0</v>
      </c>
      <c r="LZ243" s="246">
        <v>0</v>
      </c>
      <c r="MA243" s="246">
        <v>0</v>
      </c>
      <c r="MB243" s="246">
        <v>0</v>
      </c>
      <c r="MC243" s="246">
        <v>0</v>
      </c>
      <c r="MD243" s="246">
        <v>0</v>
      </c>
      <c r="ME243" s="246">
        <v>0</v>
      </c>
      <c r="MF243" s="246">
        <v>0</v>
      </c>
      <c r="MG243" s="246">
        <v>0</v>
      </c>
      <c r="MH243" s="246">
        <v>0</v>
      </c>
      <c r="MI243" s="246">
        <v>0</v>
      </c>
      <c r="MJ243" s="246">
        <v>0</v>
      </c>
      <c r="MK243" s="246">
        <v>0</v>
      </c>
      <c r="ML243" s="246">
        <v>0</v>
      </c>
      <c r="MM243" s="246">
        <v>0</v>
      </c>
      <c r="MN243" s="246">
        <v>0</v>
      </c>
      <c r="MO243" s="246">
        <v>0</v>
      </c>
      <c r="MP243" s="246">
        <v>0</v>
      </c>
      <c r="MQ243" s="246">
        <v>0</v>
      </c>
      <c r="MR243" s="246">
        <v>0</v>
      </c>
      <c r="MS243" s="246">
        <v>0</v>
      </c>
      <c r="MT243" s="246">
        <v>0</v>
      </c>
      <c r="MU243" s="246">
        <v>0</v>
      </c>
      <c r="MV243" s="246">
        <v>0</v>
      </c>
      <c r="MW243" s="246">
        <v>0</v>
      </c>
      <c r="MX243" s="246">
        <v>0</v>
      </c>
      <c r="MY243" s="246">
        <v>0</v>
      </c>
      <c r="MZ243" s="246">
        <v>0</v>
      </c>
      <c r="NA243" s="246">
        <v>0</v>
      </c>
      <c r="NB243" s="246">
        <v>0</v>
      </c>
      <c r="NC243" s="246">
        <v>0</v>
      </c>
      <c r="ND243" s="246">
        <v>0</v>
      </c>
      <c r="NE243" s="246">
        <v>0</v>
      </c>
      <c r="NF243" s="246">
        <v>0</v>
      </c>
      <c r="NG243" s="246">
        <v>0</v>
      </c>
      <c r="NH243" s="246">
        <v>0</v>
      </c>
      <c r="NI243" s="246">
        <v>0</v>
      </c>
      <c r="NJ243" s="246">
        <v>0</v>
      </c>
      <c r="NK243" s="246">
        <v>0</v>
      </c>
      <c r="NL243" s="246">
        <v>0</v>
      </c>
      <c r="NM243" s="246">
        <v>0</v>
      </c>
      <c r="NN243" s="246">
        <v>0</v>
      </c>
      <c r="NO243" s="246">
        <v>0</v>
      </c>
      <c r="NP243" s="246">
        <v>0</v>
      </c>
      <c r="NQ243" s="246">
        <v>0</v>
      </c>
      <c r="NR243" s="246">
        <v>0</v>
      </c>
      <c r="NS243" s="246">
        <v>0</v>
      </c>
      <c r="NT243" s="246">
        <v>0</v>
      </c>
      <c r="NU243" s="246">
        <v>0</v>
      </c>
      <c r="NV243" s="246">
        <v>0</v>
      </c>
      <c r="NW243" s="246">
        <v>0</v>
      </c>
      <c r="NX243" s="246">
        <v>0</v>
      </c>
      <c r="NY243" s="246">
        <v>0</v>
      </c>
      <c r="NZ243" s="246">
        <v>0</v>
      </c>
      <c r="OA243" s="246">
        <v>0</v>
      </c>
      <c r="OB243" s="246">
        <v>0</v>
      </c>
      <c r="OC243" s="246">
        <v>0</v>
      </c>
      <c r="OD243" s="246">
        <v>0</v>
      </c>
      <c r="OE243" s="246">
        <v>0</v>
      </c>
      <c r="OF243" s="246">
        <v>0</v>
      </c>
      <c r="OG243" s="246">
        <v>0</v>
      </c>
      <c r="OH243" s="246">
        <v>0</v>
      </c>
      <c r="OI243" s="246">
        <v>0</v>
      </c>
      <c r="OJ243" s="246">
        <v>0</v>
      </c>
      <c r="OK243" s="246">
        <v>0</v>
      </c>
    </row>
    <row r="244" spans="4:401" x14ac:dyDescent="0.3">
      <c r="D244" s="133"/>
      <c r="J244" s="76"/>
      <c r="K244" s="66"/>
      <c r="L244" s="77"/>
      <c r="M244" s="242" t="s">
        <v>365</v>
      </c>
      <c r="N244" s="245">
        <f>SUM(_xlfn.ANCHORARRAY(P244))</f>
        <v>-6342877.5715504177</v>
      </c>
      <c r="O244" s="243" t="s">
        <v>81</v>
      </c>
      <c r="P244" s="246" cm="1">
        <f t="array" ref="P244:OK244">_xlfn.ANCHORARRAY(P243)*E114</f>
        <v>0</v>
      </c>
      <c r="Q244" s="246">
        <v>0</v>
      </c>
      <c r="R244" s="246">
        <v>0</v>
      </c>
      <c r="S244" s="246">
        <v>0</v>
      </c>
      <c r="T244" s="246">
        <v>0</v>
      </c>
      <c r="U244" s="246">
        <v>0</v>
      </c>
      <c r="V244" s="246">
        <v>0</v>
      </c>
      <c r="W244" s="246">
        <v>0</v>
      </c>
      <c r="X244" s="246">
        <v>0</v>
      </c>
      <c r="Y244" s="246">
        <v>0</v>
      </c>
      <c r="Z244" s="246">
        <v>0</v>
      </c>
      <c r="AA244" s="246">
        <v>0</v>
      </c>
      <c r="AB244" s="246">
        <v>0</v>
      </c>
      <c r="AC244" s="246">
        <v>0</v>
      </c>
      <c r="AD244" s="246">
        <v>0</v>
      </c>
      <c r="AE244" s="246">
        <v>0</v>
      </c>
      <c r="AF244" s="246">
        <v>-101603.55404433826</v>
      </c>
      <c r="AG244" s="246">
        <v>-119907.5661669898</v>
      </c>
      <c r="AH244" s="246">
        <v>-139832.68568431595</v>
      </c>
      <c r="AI244" s="246">
        <v>-154350.19019501994</v>
      </c>
      <c r="AJ244" s="246">
        <v>-165934.64673905572</v>
      </c>
      <c r="AK244" s="246">
        <v>-153792.1532319558</v>
      </c>
      <c r="AL244" s="246">
        <v>-119124.64468699864</v>
      </c>
      <c r="AM244" s="246">
        <v>-95884.262956595325</v>
      </c>
      <c r="AN244" s="246">
        <v>-62324.677641038215</v>
      </c>
      <c r="AO244" s="246">
        <v>-44819.788214231041</v>
      </c>
      <c r="AP244" s="246">
        <v>-51318.439170553727</v>
      </c>
      <c r="AQ244" s="246">
        <v>-67667.568436508271</v>
      </c>
      <c r="AR244" s="246">
        <v>-101569.68619299015</v>
      </c>
      <c r="AS244" s="246">
        <v>-119827.64111260805</v>
      </c>
      <c r="AT244" s="246">
        <v>-139692.89960434788</v>
      </c>
      <c r="AU244" s="246">
        <v>-154144.4928186886</v>
      </c>
      <c r="AV244" s="246">
        <v>-165658.27330487332</v>
      </c>
      <c r="AW244" s="246">
        <v>-153484.82513185567</v>
      </c>
      <c r="AX244" s="246">
        <v>-118846.96498586389</v>
      </c>
      <c r="AY244" s="246">
        <v>-95628.869696518726</v>
      </c>
      <c r="AZ244" s="246">
        <v>-62137.952713023609</v>
      </c>
      <c r="BA244" s="246">
        <v>-44670.612820041781</v>
      </c>
      <c r="BB244" s="246">
        <v>-51130.584859541821</v>
      </c>
      <c r="BC244" s="246">
        <v>-67397.393840645382</v>
      </c>
      <c r="BD244" s="246">
        <v>-101164.15146559916</v>
      </c>
      <c r="BE244" s="246">
        <v>-119349.20830855099</v>
      </c>
      <c r="BF244" s="246">
        <v>-139135.15128314239</v>
      </c>
      <c r="BG244" s="246">
        <v>-153529.04398531056</v>
      </c>
      <c r="BH244" s="246">
        <v>-164996.8536901951</v>
      </c>
      <c r="BI244" s="246">
        <v>-152872.01013703295</v>
      </c>
      <c r="BJ244" s="246">
        <v>-118372.4477026736</v>
      </c>
      <c r="BK244" s="246">
        <v>-95247.054717496329</v>
      </c>
      <c r="BL244" s="246">
        <v>-61889.856074561707</v>
      </c>
      <c r="BM244" s="246">
        <v>-44492.257589545719</v>
      </c>
      <c r="BN244" s="246">
        <v>-50926.437061418692</v>
      </c>
      <c r="BO244" s="246">
        <v>-67128.297964085359</v>
      </c>
      <c r="BP244" s="246">
        <v>-100760.23590649827</v>
      </c>
      <c r="BQ244" s="246">
        <v>-118872.68573109836</v>
      </c>
      <c r="BR244" s="246">
        <v>-138579.62986960865</v>
      </c>
      <c r="BS244" s="246">
        <v>-152916.05243898559</v>
      </c>
      <c r="BT244" s="246">
        <v>-164338.0749089504</v>
      </c>
      <c r="BU244" s="246">
        <v>-152261.6419132025</v>
      </c>
      <c r="BV244" s="246">
        <v>-117899.82501268615</v>
      </c>
      <c r="BW244" s="246">
        <v>-94866.764201522281</v>
      </c>
      <c r="BX244" s="246">
        <v>-61642.750005298323</v>
      </c>
      <c r="BY244" s="246">
        <v>-44314.614473485446</v>
      </c>
      <c r="BZ244" s="246">
        <v>-50723.104359066383</v>
      </c>
      <c r="CA244" s="246">
        <v>-66860.276499852815</v>
      </c>
      <c r="CB244" s="246">
        <v>-100357.93305087507</v>
      </c>
      <c r="CC244" s="246">
        <v>-118398.06575333652</v>
      </c>
      <c r="CD244" s="246">
        <v>-138026.32647242834</v>
      </c>
      <c r="CE244" s="246">
        <v>-152305.50836856558</v>
      </c>
      <c r="CF244" s="246">
        <v>-163681.92641715007</v>
      </c>
      <c r="CG244" s="246">
        <v>-151653.71069120333</v>
      </c>
      <c r="CH244" s="246">
        <v>-117429.08935140709</v>
      </c>
      <c r="CI244" s="246">
        <v>-94487.992061911369</v>
      </c>
      <c r="CJ244" s="246">
        <v>-61396.630550212765</v>
      </c>
      <c r="CK244" s="246">
        <v>-44137.680628619622</v>
      </c>
      <c r="CL244" s="246">
        <v>-50520.583498072534</v>
      </c>
      <c r="CM244" s="246">
        <v>-66593.325158168678</v>
      </c>
      <c r="CN244" s="246">
        <v>0</v>
      </c>
      <c r="CO244" s="246">
        <v>0</v>
      </c>
      <c r="CP244" s="246">
        <v>0</v>
      </c>
      <c r="CQ244" s="246">
        <v>0</v>
      </c>
      <c r="CR244" s="246">
        <v>0</v>
      </c>
      <c r="CS244" s="246">
        <v>0</v>
      </c>
      <c r="CT244" s="246">
        <v>0</v>
      </c>
      <c r="CU244" s="246">
        <v>0</v>
      </c>
      <c r="CV244" s="246">
        <v>0</v>
      </c>
      <c r="CW244" s="246">
        <v>0</v>
      </c>
      <c r="CX244" s="246">
        <v>0</v>
      </c>
      <c r="CY244" s="246">
        <v>0</v>
      </c>
      <c r="CZ244" s="246">
        <v>0</v>
      </c>
      <c r="DA244" s="246">
        <v>0</v>
      </c>
      <c r="DB244" s="246">
        <v>0</v>
      </c>
      <c r="DC244" s="246">
        <v>0</v>
      </c>
      <c r="DD244" s="246">
        <v>0</v>
      </c>
      <c r="DE244" s="246">
        <v>0</v>
      </c>
      <c r="DF244" s="246">
        <v>0</v>
      </c>
      <c r="DG244" s="246">
        <v>0</v>
      </c>
      <c r="DH244" s="246">
        <v>0</v>
      </c>
      <c r="DI244" s="246">
        <v>0</v>
      </c>
      <c r="DJ244" s="246">
        <v>0</v>
      </c>
      <c r="DK244" s="246">
        <v>0</v>
      </c>
      <c r="DL244" s="246">
        <v>0</v>
      </c>
      <c r="DM244" s="246">
        <v>0</v>
      </c>
      <c r="DN244" s="246">
        <v>0</v>
      </c>
      <c r="DO244" s="246">
        <v>0</v>
      </c>
      <c r="DP244" s="246">
        <v>0</v>
      </c>
      <c r="DQ244" s="246">
        <v>0</v>
      </c>
      <c r="DR244" s="246">
        <v>0</v>
      </c>
      <c r="DS244" s="246">
        <v>0</v>
      </c>
      <c r="DT244" s="246">
        <v>0</v>
      </c>
      <c r="DU244" s="246">
        <v>0</v>
      </c>
      <c r="DV244" s="246">
        <v>0</v>
      </c>
      <c r="DW244" s="246">
        <v>0</v>
      </c>
      <c r="DX244" s="246">
        <v>0</v>
      </c>
      <c r="DY244" s="246">
        <v>0</v>
      </c>
      <c r="DZ244" s="246">
        <v>0</v>
      </c>
      <c r="EA244" s="246">
        <v>0</v>
      </c>
      <c r="EB244" s="246">
        <v>0</v>
      </c>
      <c r="EC244" s="246">
        <v>0</v>
      </c>
      <c r="ED244" s="246">
        <v>0</v>
      </c>
      <c r="EE244" s="246">
        <v>0</v>
      </c>
      <c r="EF244" s="246">
        <v>0</v>
      </c>
      <c r="EG244" s="246">
        <v>0</v>
      </c>
      <c r="EH244" s="246">
        <v>0</v>
      </c>
      <c r="EI244" s="246">
        <v>0</v>
      </c>
      <c r="EJ244" s="246">
        <v>0</v>
      </c>
      <c r="EK244" s="246">
        <v>0</v>
      </c>
      <c r="EL244" s="246">
        <v>0</v>
      </c>
      <c r="EM244" s="246">
        <v>0</v>
      </c>
      <c r="EN244" s="246">
        <v>0</v>
      </c>
      <c r="EO244" s="246">
        <v>0</v>
      </c>
      <c r="EP244" s="246">
        <v>0</v>
      </c>
      <c r="EQ244" s="246">
        <v>0</v>
      </c>
      <c r="ER244" s="246">
        <v>0</v>
      </c>
      <c r="ES244" s="246">
        <v>0</v>
      </c>
      <c r="ET244" s="246">
        <v>0</v>
      </c>
      <c r="EU244" s="246">
        <v>0</v>
      </c>
      <c r="EV244" s="246">
        <v>0</v>
      </c>
      <c r="EW244" s="246">
        <v>0</v>
      </c>
      <c r="EX244" s="246">
        <v>0</v>
      </c>
      <c r="EY244" s="246">
        <v>0</v>
      </c>
      <c r="EZ244" s="246">
        <v>0</v>
      </c>
      <c r="FA244" s="246">
        <v>0</v>
      </c>
      <c r="FB244" s="246">
        <v>0</v>
      </c>
      <c r="FC244" s="246">
        <v>0</v>
      </c>
      <c r="FD244" s="246">
        <v>0</v>
      </c>
      <c r="FE244" s="246">
        <v>0</v>
      </c>
      <c r="FF244" s="246">
        <v>0</v>
      </c>
      <c r="FG244" s="246">
        <v>0</v>
      </c>
      <c r="FH244" s="246">
        <v>0</v>
      </c>
      <c r="FI244" s="246">
        <v>0</v>
      </c>
      <c r="FJ244" s="246">
        <v>0</v>
      </c>
      <c r="FK244" s="246">
        <v>0</v>
      </c>
      <c r="FL244" s="246">
        <v>0</v>
      </c>
      <c r="FM244" s="246">
        <v>0</v>
      </c>
      <c r="FN244" s="246">
        <v>0</v>
      </c>
      <c r="FO244" s="246">
        <v>0</v>
      </c>
      <c r="FP244" s="246">
        <v>0</v>
      </c>
      <c r="FQ244" s="246">
        <v>0</v>
      </c>
      <c r="FR244" s="246">
        <v>0</v>
      </c>
      <c r="FS244" s="246">
        <v>0</v>
      </c>
      <c r="FT244" s="246">
        <v>0</v>
      </c>
      <c r="FU244" s="246">
        <v>0</v>
      </c>
      <c r="FV244" s="246">
        <v>0</v>
      </c>
      <c r="FW244" s="246">
        <v>0</v>
      </c>
      <c r="FX244" s="246">
        <v>0</v>
      </c>
      <c r="FY244" s="246">
        <v>0</v>
      </c>
      <c r="FZ244" s="246">
        <v>0</v>
      </c>
      <c r="GA244" s="246">
        <v>0</v>
      </c>
      <c r="GB244" s="246">
        <v>0</v>
      </c>
      <c r="GC244" s="246">
        <v>0</v>
      </c>
      <c r="GD244" s="246">
        <v>0</v>
      </c>
      <c r="GE244" s="246">
        <v>0</v>
      </c>
      <c r="GF244" s="246">
        <v>0</v>
      </c>
      <c r="GG244" s="246">
        <v>0</v>
      </c>
      <c r="GH244" s="246">
        <v>0</v>
      </c>
      <c r="GI244" s="246">
        <v>0</v>
      </c>
      <c r="GJ244" s="246">
        <v>0</v>
      </c>
      <c r="GK244" s="246">
        <v>0</v>
      </c>
      <c r="GL244" s="246">
        <v>0</v>
      </c>
      <c r="GM244" s="246">
        <v>0</v>
      </c>
      <c r="GN244" s="246">
        <v>0</v>
      </c>
      <c r="GO244" s="246">
        <v>0</v>
      </c>
      <c r="GP244" s="246">
        <v>0</v>
      </c>
      <c r="GQ244" s="246">
        <v>0</v>
      </c>
      <c r="GR244" s="246">
        <v>0</v>
      </c>
      <c r="GS244" s="246">
        <v>0</v>
      </c>
      <c r="GT244" s="246">
        <v>0</v>
      </c>
      <c r="GU244" s="246">
        <v>0</v>
      </c>
      <c r="GV244" s="246">
        <v>0</v>
      </c>
      <c r="GW244" s="246">
        <v>0</v>
      </c>
      <c r="GX244" s="246">
        <v>0</v>
      </c>
      <c r="GY244" s="246">
        <v>0</v>
      </c>
      <c r="GZ244" s="246">
        <v>0</v>
      </c>
      <c r="HA244" s="246">
        <v>0</v>
      </c>
      <c r="HB244" s="246">
        <v>0</v>
      </c>
      <c r="HC244" s="246">
        <v>0</v>
      </c>
      <c r="HD244" s="246">
        <v>0</v>
      </c>
      <c r="HE244" s="246">
        <v>0</v>
      </c>
      <c r="HF244" s="246">
        <v>0</v>
      </c>
      <c r="HG244" s="246">
        <v>0</v>
      </c>
      <c r="HH244" s="246">
        <v>0</v>
      </c>
      <c r="HI244" s="246">
        <v>0</v>
      </c>
      <c r="HJ244" s="246">
        <v>0</v>
      </c>
      <c r="HK244" s="246">
        <v>0</v>
      </c>
      <c r="HL244" s="246">
        <v>0</v>
      </c>
      <c r="HM244" s="246">
        <v>0</v>
      </c>
      <c r="HN244" s="246">
        <v>0</v>
      </c>
      <c r="HO244" s="246">
        <v>0</v>
      </c>
      <c r="HP244" s="246">
        <v>0</v>
      </c>
      <c r="HQ244" s="246">
        <v>0</v>
      </c>
      <c r="HR244" s="246">
        <v>0</v>
      </c>
      <c r="HS244" s="246">
        <v>0</v>
      </c>
      <c r="HT244" s="246">
        <v>0</v>
      </c>
      <c r="HU244" s="246">
        <v>0</v>
      </c>
      <c r="HV244" s="246">
        <v>0</v>
      </c>
      <c r="HW244" s="246">
        <v>0</v>
      </c>
      <c r="HX244" s="246">
        <v>0</v>
      </c>
      <c r="HY244" s="246">
        <v>0</v>
      </c>
      <c r="HZ244" s="246">
        <v>0</v>
      </c>
      <c r="IA244" s="246">
        <v>0</v>
      </c>
      <c r="IB244" s="246">
        <v>0</v>
      </c>
      <c r="IC244" s="246">
        <v>0</v>
      </c>
      <c r="ID244" s="246">
        <v>0</v>
      </c>
      <c r="IE244" s="246">
        <v>0</v>
      </c>
      <c r="IF244" s="246">
        <v>0</v>
      </c>
      <c r="IG244" s="246">
        <v>0</v>
      </c>
      <c r="IH244" s="246">
        <v>0</v>
      </c>
      <c r="II244" s="246">
        <v>0</v>
      </c>
      <c r="IJ244" s="246">
        <v>0</v>
      </c>
      <c r="IK244" s="246">
        <v>0</v>
      </c>
      <c r="IL244" s="246">
        <v>0</v>
      </c>
      <c r="IM244" s="246">
        <v>0</v>
      </c>
      <c r="IN244" s="246">
        <v>0</v>
      </c>
      <c r="IO244" s="246">
        <v>0</v>
      </c>
      <c r="IP244" s="246">
        <v>0</v>
      </c>
      <c r="IQ244" s="246">
        <v>0</v>
      </c>
      <c r="IR244" s="246">
        <v>0</v>
      </c>
      <c r="IS244" s="246">
        <v>0</v>
      </c>
      <c r="IT244" s="246">
        <v>0</v>
      </c>
      <c r="IU244" s="246">
        <v>0</v>
      </c>
      <c r="IV244" s="246">
        <v>0</v>
      </c>
      <c r="IW244" s="246">
        <v>0</v>
      </c>
      <c r="IX244" s="246">
        <v>0</v>
      </c>
      <c r="IY244" s="246">
        <v>0</v>
      </c>
      <c r="IZ244" s="246">
        <v>0</v>
      </c>
      <c r="JA244" s="246">
        <v>0</v>
      </c>
      <c r="JB244" s="246">
        <v>0</v>
      </c>
      <c r="JC244" s="246">
        <v>0</v>
      </c>
      <c r="JD244" s="246">
        <v>0</v>
      </c>
      <c r="JE244" s="246">
        <v>0</v>
      </c>
      <c r="JF244" s="246">
        <v>0</v>
      </c>
      <c r="JG244" s="246">
        <v>0</v>
      </c>
      <c r="JH244" s="246">
        <v>0</v>
      </c>
      <c r="JI244" s="246">
        <v>0</v>
      </c>
      <c r="JJ244" s="246">
        <v>0</v>
      </c>
      <c r="JK244" s="246">
        <v>0</v>
      </c>
      <c r="JL244" s="246">
        <v>0</v>
      </c>
      <c r="JM244" s="246">
        <v>0</v>
      </c>
      <c r="JN244" s="246">
        <v>0</v>
      </c>
      <c r="JO244" s="246">
        <v>0</v>
      </c>
      <c r="JP244" s="246">
        <v>0</v>
      </c>
      <c r="JQ244" s="246">
        <v>0</v>
      </c>
      <c r="JR244" s="246">
        <v>0</v>
      </c>
      <c r="JS244" s="246">
        <v>0</v>
      </c>
      <c r="JT244" s="246">
        <v>0</v>
      </c>
      <c r="JU244" s="246">
        <v>0</v>
      </c>
      <c r="JV244" s="246">
        <v>0</v>
      </c>
      <c r="JW244" s="246">
        <v>0</v>
      </c>
      <c r="JX244" s="246">
        <v>0</v>
      </c>
      <c r="JY244" s="246">
        <v>0</v>
      </c>
      <c r="JZ244" s="246">
        <v>0</v>
      </c>
      <c r="KA244" s="246">
        <v>0</v>
      </c>
      <c r="KB244" s="246">
        <v>0</v>
      </c>
      <c r="KC244" s="246">
        <v>0</v>
      </c>
      <c r="KD244" s="246">
        <v>0</v>
      </c>
      <c r="KE244" s="246">
        <v>0</v>
      </c>
      <c r="KF244" s="246">
        <v>0</v>
      </c>
      <c r="KG244" s="246">
        <v>0</v>
      </c>
      <c r="KH244" s="246">
        <v>0</v>
      </c>
      <c r="KI244" s="246">
        <v>0</v>
      </c>
      <c r="KJ244" s="246">
        <v>0</v>
      </c>
      <c r="KK244" s="246">
        <v>0</v>
      </c>
      <c r="KL244" s="246">
        <v>0</v>
      </c>
      <c r="KM244" s="246">
        <v>0</v>
      </c>
      <c r="KN244" s="246">
        <v>0</v>
      </c>
      <c r="KO244" s="246">
        <v>0</v>
      </c>
      <c r="KP244" s="246">
        <v>0</v>
      </c>
      <c r="KQ244" s="246">
        <v>0</v>
      </c>
      <c r="KR244" s="246">
        <v>0</v>
      </c>
      <c r="KS244" s="246">
        <v>0</v>
      </c>
      <c r="KT244" s="246">
        <v>0</v>
      </c>
      <c r="KU244" s="246">
        <v>0</v>
      </c>
      <c r="KV244" s="246">
        <v>0</v>
      </c>
      <c r="KW244" s="246">
        <v>0</v>
      </c>
      <c r="KX244" s="246">
        <v>0</v>
      </c>
      <c r="KY244" s="246">
        <v>0</v>
      </c>
      <c r="KZ244" s="246">
        <v>0</v>
      </c>
      <c r="LA244" s="246">
        <v>0</v>
      </c>
      <c r="LB244" s="246">
        <v>0</v>
      </c>
      <c r="LC244" s="246">
        <v>0</v>
      </c>
      <c r="LD244" s="246">
        <v>0</v>
      </c>
      <c r="LE244" s="246">
        <v>0</v>
      </c>
      <c r="LF244" s="246">
        <v>0</v>
      </c>
      <c r="LG244" s="246">
        <v>0</v>
      </c>
      <c r="LH244" s="246">
        <v>0</v>
      </c>
      <c r="LI244" s="246">
        <v>0</v>
      </c>
      <c r="LJ244" s="246">
        <v>0</v>
      </c>
      <c r="LK244" s="246">
        <v>0</v>
      </c>
      <c r="LL244" s="246">
        <v>0</v>
      </c>
      <c r="LM244" s="246">
        <v>0</v>
      </c>
      <c r="LN244" s="246">
        <v>0</v>
      </c>
      <c r="LO244" s="246">
        <v>0</v>
      </c>
      <c r="LP244" s="246">
        <v>0</v>
      </c>
      <c r="LQ244" s="246">
        <v>0</v>
      </c>
      <c r="LR244" s="246">
        <v>0</v>
      </c>
      <c r="LS244" s="246">
        <v>0</v>
      </c>
      <c r="LT244" s="246">
        <v>0</v>
      </c>
      <c r="LU244" s="246">
        <v>0</v>
      </c>
      <c r="LV244" s="246">
        <v>0</v>
      </c>
      <c r="LW244" s="246">
        <v>0</v>
      </c>
      <c r="LX244" s="246">
        <v>0</v>
      </c>
      <c r="LY244" s="246">
        <v>0</v>
      </c>
      <c r="LZ244" s="246">
        <v>0</v>
      </c>
      <c r="MA244" s="246">
        <v>0</v>
      </c>
      <c r="MB244" s="246">
        <v>0</v>
      </c>
      <c r="MC244" s="246">
        <v>0</v>
      </c>
      <c r="MD244" s="246">
        <v>0</v>
      </c>
      <c r="ME244" s="246">
        <v>0</v>
      </c>
      <c r="MF244" s="246">
        <v>0</v>
      </c>
      <c r="MG244" s="246">
        <v>0</v>
      </c>
      <c r="MH244" s="246">
        <v>0</v>
      </c>
      <c r="MI244" s="246">
        <v>0</v>
      </c>
      <c r="MJ244" s="246">
        <v>0</v>
      </c>
      <c r="MK244" s="246">
        <v>0</v>
      </c>
      <c r="ML244" s="246">
        <v>0</v>
      </c>
      <c r="MM244" s="246">
        <v>0</v>
      </c>
      <c r="MN244" s="246">
        <v>0</v>
      </c>
      <c r="MO244" s="246">
        <v>0</v>
      </c>
      <c r="MP244" s="246">
        <v>0</v>
      </c>
      <c r="MQ244" s="246">
        <v>0</v>
      </c>
      <c r="MR244" s="246">
        <v>0</v>
      </c>
      <c r="MS244" s="246">
        <v>0</v>
      </c>
      <c r="MT244" s="246">
        <v>0</v>
      </c>
      <c r="MU244" s="246">
        <v>0</v>
      </c>
      <c r="MV244" s="246">
        <v>0</v>
      </c>
      <c r="MW244" s="246">
        <v>0</v>
      </c>
      <c r="MX244" s="246">
        <v>0</v>
      </c>
      <c r="MY244" s="246">
        <v>0</v>
      </c>
      <c r="MZ244" s="246">
        <v>0</v>
      </c>
      <c r="NA244" s="246">
        <v>0</v>
      </c>
      <c r="NB244" s="246">
        <v>0</v>
      </c>
      <c r="NC244" s="246">
        <v>0</v>
      </c>
      <c r="ND244" s="246">
        <v>0</v>
      </c>
      <c r="NE244" s="246">
        <v>0</v>
      </c>
      <c r="NF244" s="246">
        <v>0</v>
      </c>
      <c r="NG244" s="246">
        <v>0</v>
      </c>
      <c r="NH244" s="246">
        <v>0</v>
      </c>
      <c r="NI244" s="246">
        <v>0</v>
      </c>
      <c r="NJ244" s="246">
        <v>0</v>
      </c>
      <c r="NK244" s="246">
        <v>0</v>
      </c>
      <c r="NL244" s="246">
        <v>0</v>
      </c>
      <c r="NM244" s="246">
        <v>0</v>
      </c>
      <c r="NN244" s="246">
        <v>0</v>
      </c>
      <c r="NO244" s="246">
        <v>0</v>
      </c>
      <c r="NP244" s="246">
        <v>0</v>
      </c>
      <c r="NQ244" s="246">
        <v>0</v>
      </c>
      <c r="NR244" s="246">
        <v>0</v>
      </c>
      <c r="NS244" s="246">
        <v>0</v>
      </c>
      <c r="NT244" s="246">
        <v>0</v>
      </c>
      <c r="NU244" s="246">
        <v>0</v>
      </c>
      <c r="NV244" s="246">
        <v>0</v>
      </c>
      <c r="NW244" s="246">
        <v>0</v>
      </c>
      <c r="NX244" s="246">
        <v>0</v>
      </c>
      <c r="NY244" s="246">
        <v>0</v>
      </c>
      <c r="NZ244" s="246">
        <v>0</v>
      </c>
      <c r="OA244" s="246">
        <v>0</v>
      </c>
      <c r="OB244" s="246">
        <v>0</v>
      </c>
      <c r="OC244" s="246">
        <v>0</v>
      </c>
      <c r="OD244" s="246">
        <v>0</v>
      </c>
      <c r="OE244" s="246">
        <v>0</v>
      </c>
      <c r="OF244" s="246">
        <v>0</v>
      </c>
      <c r="OG244" s="246">
        <v>0</v>
      </c>
      <c r="OH244" s="246">
        <v>0</v>
      </c>
      <c r="OI244" s="246">
        <v>0</v>
      </c>
      <c r="OJ244" s="246">
        <v>0</v>
      </c>
      <c r="OK244" s="246">
        <v>0</v>
      </c>
    </row>
    <row r="245" spans="4:401" x14ac:dyDescent="0.3">
      <c r="D245" s="133"/>
      <c r="J245" s="76"/>
      <c r="K245" s="66"/>
      <c r="L245" s="77"/>
      <c r="M245" s="240" t="s">
        <v>366</v>
      </c>
      <c r="N245" s="244">
        <f>SUM(_xlfn.ANCHORARRAY(P245))</f>
        <v>-38057265.429302521</v>
      </c>
      <c r="O245" s="241" t="s">
        <v>81</v>
      </c>
      <c r="P245" s="244" cm="1">
        <f t="array" ref="P245:OK245">_xlfn.ANCHORARRAY(P243)+_xlfn.ANCHORARRAY(P244)</f>
        <v>0</v>
      </c>
      <c r="Q245" s="247">
        <v>0</v>
      </c>
      <c r="R245" s="247">
        <v>0</v>
      </c>
      <c r="S245" s="247">
        <v>0</v>
      </c>
      <c r="T245" s="247">
        <v>0</v>
      </c>
      <c r="U245" s="247">
        <v>0</v>
      </c>
      <c r="V245" s="247">
        <v>0</v>
      </c>
      <c r="W245" s="247">
        <v>0</v>
      </c>
      <c r="X245" s="247">
        <v>0</v>
      </c>
      <c r="Y245" s="247">
        <v>0</v>
      </c>
      <c r="Z245" s="247">
        <v>0</v>
      </c>
      <c r="AA245" s="247">
        <v>0</v>
      </c>
      <c r="AB245" s="247">
        <v>0</v>
      </c>
      <c r="AC245" s="247">
        <v>0</v>
      </c>
      <c r="AD245" s="247">
        <v>0</v>
      </c>
      <c r="AE245" s="247">
        <v>0</v>
      </c>
      <c r="AF245" s="247">
        <v>-609621.32426602952</v>
      </c>
      <c r="AG245" s="247">
        <v>-719445.39700193866</v>
      </c>
      <c r="AH245" s="247">
        <v>-838996.11410589574</v>
      </c>
      <c r="AI245" s="247">
        <v>-926101.14117011963</v>
      </c>
      <c r="AJ245" s="247">
        <v>-995607.88043433428</v>
      </c>
      <c r="AK245" s="247">
        <v>-922752.91939173487</v>
      </c>
      <c r="AL245" s="247">
        <v>-714747.86812199187</v>
      </c>
      <c r="AM245" s="247">
        <v>-575305.57773957192</v>
      </c>
      <c r="AN245" s="247">
        <v>-373948.06584622926</v>
      </c>
      <c r="AO245" s="247">
        <v>-268918.72928538622</v>
      </c>
      <c r="AP245" s="247">
        <v>-307910.63502332236</v>
      </c>
      <c r="AQ245" s="247">
        <v>-406005.41061904957</v>
      </c>
      <c r="AR245" s="247">
        <v>-609418.11715794087</v>
      </c>
      <c r="AS245" s="247">
        <v>-718965.84667564824</v>
      </c>
      <c r="AT245" s="247">
        <v>-838157.3976260873</v>
      </c>
      <c r="AU245" s="247">
        <v>-924866.95691213151</v>
      </c>
      <c r="AV245" s="247">
        <v>-993949.63982923981</v>
      </c>
      <c r="AW245" s="247">
        <v>-920908.95079113403</v>
      </c>
      <c r="AX245" s="247">
        <v>-713081.78991518333</v>
      </c>
      <c r="AY245" s="247">
        <v>-573773.2181791123</v>
      </c>
      <c r="AZ245" s="247">
        <v>-372827.7162781416</v>
      </c>
      <c r="BA245" s="247">
        <v>-268023.6769202507</v>
      </c>
      <c r="BB245" s="247">
        <v>-306783.50915725093</v>
      </c>
      <c r="BC245" s="247">
        <v>-404384.36304387229</v>
      </c>
      <c r="BD245" s="247">
        <v>-606984.90879359492</v>
      </c>
      <c r="BE245" s="247">
        <v>-716095.24985130597</v>
      </c>
      <c r="BF245" s="247">
        <v>-834810.90769885434</v>
      </c>
      <c r="BG245" s="247">
        <v>-921174.26391186332</v>
      </c>
      <c r="BH245" s="247">
        <v>-989981.12214117055</v>
      </c>
      <c r="BI245" s="247">
        <v>-917232.0608221977</v>
      </c>
      <c r="BJ245" s="247">
        <v>-710234.68621604156</v>
      </c>
      <c r="BK245" s="247">
        <v>-571482.32830497797</v>
      </c>
      <c r="BL245" s="247">
        <v>-371339.13644737023</v>
      </c>
      <c r="BM245" s="247">
        <v>-266953.54553727433</v>
      </c>
      <c r="BN245" s="247">
        <v>-305558.62236851215</v>
      </c>
      <c r="BO245" s="247">
        <v>-402769.78778451215</v>
      </c>
      <c r="BP245" s="247">
        <v>-604561.41543898964</v>
      </c>
      <c r="BQ245" s="247">
        <v>-713236.1143865902</v>
      </c>
      <c r="BR245" s="247">
        <v>-831477.77921765181</v>
      </c>
      <c r="BS245" s="247">
        <v>-917496.31463391345</v>
      </c>
      <c r="BT245" s="247">
        <v>-986028.44945370231</v>
      </c>
      <c r="BU245" s="247">
        <v>-913569.85147921497</v>
      </c>
      <c r="BV245" s="247">
        <v>-707398.95007611695</v>
      </c>
      <c r="BW245" s="247">
        <v>-569200.58520913369</v>
      </c>
      <c r="BX245" s="247">
        <v>-369856.50003178988</v>
      </c>
      <c r="BY245" s="247">
        <v>-265887.68684091268</v>
      </c>
      <c r="BZ245" s="247">
        <v>-304338.62615439831</v>
      </c>
      <c r="CA245" s="247">
        <v>-401161.65899911686</v>
      </c>
      <c r="CB245" s="247">
        <v>-602147.5983052504</v>
      </c>
      <c r="CC245" s="247">
        <v>-710388.39452001906</v>
      </c>
      <c r="CD245" s="247">
        <v>-828157.9588345699</v>
      </c>
      <c r="CE245" s="247">
        <v>-913833.05021139351</v>
      </c>
      <c r="CF245" s="247">
        <v>-982091.55850290041</v>
      </c>
      <c r="CG245" s="247">
        <v>-909922.26414722006</v>
      </c>
      <c r="CH245" s="247">
        <v>-704574.53610844258</v>
      </c>
      <c r="CI245" s="247">
        <v>-566927.95237146819</v>
      </c>
      <c r="CJ245" s="247">
        <v>-368379.78330127656</v>
      </c>
      <c r="CK245" s="247">
        <v>-264826.08377171773</v>
      </c>
      <c r="CL245" s="247">
        <v>-303123.50098843517</v>
      </c>
      <c r="CM245" s="247">
        <v>-399559.95094901207</v>
      </c>
      <c r="CN245" s="247">
        <v>0</v>
      </c>
      <c r="CO245" s="247">
        <v>0</v>
      </c>
      <c r="CP245" s="247">
        <v>0</v>
      </c>
      <c r="CQ245" s="247">
        <v>0</v>
      </c>
      <c r="CR245" s="247">
        <v>0</v>
      </c>
      <c r="CS245" s="247">
        <v>0</v>
      </c>
      <c r="CT245" s="247">
        <v>0</v>
      </c>
      <c r="CU245" s="247">
        <v>0</v>
      </c>
      <c r="CV245" s="247">
        <v>0</v>
      </c>
      <c r="CW245" s="247">
        <v>0</v>
      </c>
      <c r="CX245" s="247">
        <v>0</v>
      </c>
      <c r="CY245" s="247">
        <v>0</v>
      </c>
      <c r="CZ245" s="247">
        <v>0</v>
      </c>
      <c r="DA245" s="247">
        <v>0</v>
      </c>
      <c r="DB245" s="247">
        <v>0</v>
      </c>
      <c r="DC245" s="247">
        <v>0</v>
      </c>
      <c r="DD245" s="247">
        <v>0</v>
      </c>
      <c r="DE245" s="247">
        <v>0</v>
      </c>
      <c r="DF245" s="247">
        <v>0</v>
      </c>
      <c r="DG245" s="247">
        <v>0</v>
      </c>
      <c r="DH245" s="247">
        <v>0</v>
      </c>
      <c r="DI245" s="247">
        <v>0</v>
      </c>
      <c r="DJ245" s="247">
        <v>0</v>
      </c>
      <c r="DK245" s="247">
        <v>0</v>
      </c>
      <c r="DL245" s="247">
        <v>0</v>
      </c>
      <c r="DM245" s="247">
        <v>0</v>
      </c>
      <c r="DN245" s="247">
        <v>0</v>
      </c>
      <c r="DO245" s="247">
        <v>0</v>
      </c>
      <c r="DP245" s="247">
        <v>0</v>
      </c>
      <c r="DQ245" s="247">
        <v>0</v>
      </c>
      <c r="DR245" s="247">
        <v>0</v>
      </c>
      <c r="DS245" s="247">
        <v>0</v>
      </c>
      <c r="DT245" s="247">
        <v>0</v>
      </c>
      <c r="DU245" s="247">
        <v>0</v>
      </c>
      <c r="DV245" s="247">
        <v>0</v>
      </c>
      <c r="DW245" s="247">
        <v>0</v>
      </c>
      <c r="DX245" s="247">
        <v>0</v>
      </c>
      <c r="DY245" s="247">
        <v>0</v>
      </c>
      <c r="DZ245" s="247">
        <v>0</v>
      </c>
      <c r="EA245" s="247">
        <v>0</v>
      </c>
      <c r="EB245" s="247">
        <v>0</v>
      </c>
      <c r="EC245" s="247">
        <v>0</v>
      </c>
      <c r="ED245" s="247">
        <v>0</v>
      </c>
      <c r="EE245" s="247">
        <v>0</v>
      </c>
      <c r="EF245" s="247">
        <v>0</v>
      </c>
      <c r="EG245" s="247">
        <v>0</v>
      </c>
      <c r="EH245" s="247">
        <v>0</v>
      </c>
      <c r="EI245" s="247">
        <v>0</v>
      </c>
      <c r="EJ245" s="247">
        <v>0</v>
      </c>
      <c r="EK245" s="247">
        <v>0</v>
      </c>
      <c r="EL245" s="247">
        <v>0</v>
      </c>
      <c r="EM245" s="247">
        <v>0</v>
      </c>
      <c r="EN245" s="247">
        <v>0</v>
      </c>
      <c r="EO245" s="247">
        <v>0</v>
      </c>
      <c r="EP245" s="247">
        <v>0</v>
      </c>
      <c r="EQ245" s="247">
        <v>0</v>
      </c>
      <c r="ER245" s="247">
        <v>0</v>
      </c>
      <c r="ES245" s="247">
        <v>0</v>
      </c>
      <c r="ET245" s="247">
        <v>0</v>
      </c>
      <c r="EU245" s="247">
        <v>0</v>
      </c>
      <c r="EV245" s="247">
        <v>0</v>
      </c>
      <c r="EW245" s="247">
        <v>0</v>
      </c>
      <c r="EX245" s="247">
        <v>0</v>
      </c>
      <c r="EY245" s="247">
        <v>0</v>
      </c>
      <c r="EZ245" s="247">
        <v>0</v>
      </c>
      <c r="FA245" s="247">
        <v>0</v>
      </c>
      <c r="FB245" s="247">
        <v>0</v>
      </c>
      <c r="FC245" s="247">
        <v>0</v>
      </c>
      <c r="FD245" s="247">
        <v>0</v>
      </c>
      <c r="FE245" s="247">
        <v>0</v>
      </c>
      <c r="FF245" s="247">
        <v>0</v>
      </c>
      <c r="FG245" s="247">
        <v>0</v>
      </c>
      <c r="FH245" s="247">
        <v>0</v>
      </c>
      <c r="FI245" s="247">
        <v>0</v>
      </c>
      <c r="FJ245" s="247">
        <v>0</v>
      </c>
      <c r="FK245" s="247">
        <v>0</v>
      </c>
      <c r="FL245" s="247">
        <v>0</v>
      </c>
      <c r="FM245" s="247">
        <v>0</v>
      </c>
      <c r="FN245" s="247">
        <v>0</v>
      </c>
      <c r="FO245" s="247">
        <v>0</v>
      </c>
      <c r="FP245" s="247">
        <v>0</v>
      </c>
      <c r="FQ245" s="247">
        <v>0</v>
      </c>
      <c r="FR245" s="247">
        <v>0</v>
      </c>
      <c r="FS245" s="247">
        <v>0</v>
      </c>
      <c r="FT245" s="247">
        <v>0</v>
      </c>
      <c r="FU245" s="247">
        <v>0</v>
      </c>
      <c r="FV245" s="247">
        <v>0</v>
      </c>
      <c r="FW245" s="247">
        <v>0</v>
      </c>
      <c r="FX245" s="247">
        <v>0</v>
      </c>
      <c r="FY245" s="247">
        <v>0</v>
      </c>
      <c r="FZ245" s="247">
        <v>0</v>
      </c>
      <c r="GA245" s="247">
        <v>0</v>
      </c>
      <c r="GB245" s="247">
        <v>0</v>
      </c>
      <c r="GC245" s="247">
        <v>0</v>
      </c>
      <c r="GD245" s="247">
        <v>0</v>
      </c>
      <c r="GE245" s="247">
        <v>0</v>
      </c>
      <c r="GF245" s="247">
        <v>0</v>
      </c>
      <c r="GG245" s="247">
        <v>0</v>
      </c>
      <c r="GH245" s="247">
        <v>0</v>
      </c>
      <c r="GI245" s="247">
        <v>0</v>
      </c>
      <c r="GJ245" s="247">
        <v>0</v>
      </c>
      <c r="GK245" s="247">
        <v>0</v>
      </c>
      <c r="GL245" s="247">
        <v>0</v>
      </c>
      <c r="GM245" s="247">
        <v>0</v>
      </c>
      <c r="GN245" s="247">
        <v>0</v>
      </c>
      <c r="GO245" s="247">
        <v>0</v>
      </c>
      <c r="GP245" s="247">
        <v>0</v>
      </c>
      <c r="GQ245" s="247">
        <v>0</v>
      </c>
      <c r="GR245" s="247">
        <v>0</v>
      </c>
      <c r="GS245" s="247">
        <v>0</v>
      </c>
      <c r="GT245" s="247">
        <v>0</v>
      </c>
      <c r="GU245" s="247">
        <v>0</v>
      </c>
      <c r="GV245" s="247">
        <v>0</v>
      </c>
      <c r="GW245" s="247">
        <v>0</v>
      </c>
      <c r="GX245" s="247">
        <v>0</v>
      </c>
      <c r="GY245" s="247">
        <v>0</v>
      </c>
      <c r="GZ245" s="247">
        <v>0</v>
      </c>
      <c r="HA245" s="247">
        <v>0</v>
      </c>
      <c r="HB245" s="247">
        <v>0</v>
      </c>
      <c r="HC245" s="247">
        <v>0</v>
      </c>
      <c r="HD245" s="247">
        <v>0</v>
      </c>
      <c r="HE245" s="247">
        <v>0</v>
      </c>
      <c r="HF245" s="247">
        <v>0</v>
      </c>
      <c r="HG245" s="247">
        <v>0</v>
      </c>
      <c r="HH245" s="247">
        <v>0</v>
      </c>
      <c r="HI245" s="247">
        <v>0</v>
      </c>
      <c r="HJ245" s="247">
        <v>0</v>
      </c>
      <c r="HK245" s="247">
        <v>0</v>
      </c>
      <c r="HL245" s="247">
        <v>0</v>
      </c>
      <c r="HM245" s="247">
        <v>0</v>
      </c>
      <c r="HN245" s="247">
        <v>0</v>
      </c>
      <c r="HO245" s="247">
        <v>0</v>
      </c>
      <c r="HP245" s="247">
        <v>0</v>
      </c>
      <c r="HQ245" s="247">
        <v>0</v>
      </c>
      <c r="HR245" s="247">
        <v>0</v>
      </c>
      <c r="HS245" s="247">
        <v>0</v>
      </c>
      <c r="HT245" s="247">
        <v>0</v>
      </c>
      <c r="HU245" s="247">
        <v>0</v>
      </c>
      <c r="HV245" s="247">
        <v>0</v>
      </c>
      <c r="HW245" s="247">
        <v>0</v>
      </c>
      <c r="HX245" s="247">
        <v>0</v>
      </c>
      <c r="HY245" s="247">
        <v>0</v>
      </c>
      <c r="HZ245" s="247">
        <v>0</v>
      </c>
      <c r="IA245" s="247">
        <v>0</v>
      </c>
      <c r="IB245" s="247">
        <v>0</v>
      </c>
      <c r="IC245" s="247">
        <v>0</v>
      </c>
      <c r="ID245" s="247">
        <v>0</v>
      </c>
      <c r="IE245" s="247">
        <v>0</v>
      </c>
      <c r="IF245" s="247">
        <v>0</v>
      </c>
      <c r="IG245" s="247">
        <v>0</v>
      </c>
      <c r="IH245" s="247">
        <v>0</v>
      </c>
      <c r="II245" s="247">
        <v>0</v>
      </c>
      <c r="IJ245" s="247">
        <v>0</v>
      </c>
      <c r="IK245" s="247">
        <v>0</v>
      </c>
      <c r="IL245" s="247">
        <v>0</v>
      </c>
      <c r="IM245" s="247">
        <v>0</v>
      </c>
      <c r="IN245" s="247">
        <v>0</v>
      </c>
      <c r="IO245" s="247">
        <v>0</v>
      </c>
      <c r="IP245" s="247">
        <v>0</v>
      </c>
      <c r="IQ245" s="247">
        <v>0</v>
      </c>
      <c r="IR245" s="247">
        <v>0</v>
      </c>
      <c r="IS245" s="247">
        <v>0</v>
      </c>
      <c r="IT245" s="247">
        <v>0</v>
      </c>
      <c r="IU245" s="247">
        <v>0</v>
      </c>
      <c r="IV245" s="247">
        <v>0</v>
      </c>
      <c r="IW245" s="247">
        <v>0</v>
      </c>
      <c r="IX245" s="247">
        <v>0</v>
      </c>
      <c r="IY245" s="247">
        <v>0</v>
      </c>
      <c r="IZ245" s="247">
        <v>0</v>
      </c>
      <c r="JA245" s="247">
        <v>0</v>
      </c>
      <c r="JB245" s="247">
        <v>0</v>
      </c>
      <c r="JC245" s="247">
        <v>0</v>
      </c>
      <c r="JD245" s="247">
        <v>0</v>
      </c>
      <c r="JE245" s="247">
        <v>0</v>
      </c>
      <c r="JF245" s="247">
        <v>0</v>
      </c>
      <c r="JG245" s="247">
        <v>0</v>
      </c>
      <c r="JH245" s="247">
        <v>0</v>
      </c>
      <c r="JI245" s="247">
        <v>0</v>
      </c>
      <c r="JJ245" s="247">
        <v>0</v>
      </c>
      <c r="JK245" s="247">
        <v>0</v>
      </c>
      <c r="JL245" s="247">
        <v>0</v>
      </c>
      <c r="JM245" s="247">
        <v>0</v>
      </c>
      <c r="JN245" s="247">
        <v>0</v>
      </c>
      <c r="JO245" s="247">
        <v>0</v>
      </c>
      <c r="JP245" s="247">
        <v>0</v>
      </c>
      <c r="JQ245" s="247">
        <v>0</v>
      </c>
      <c r="JR245" s="247">
        <v>0</v>
      </c>
      <c r="JS245" s="247">
        <v>0</v>
      </c>
      <c r="JT245" s="247">
        <v>0</v>
      </c>
      <c r="JU245" s="247">
        <v>0</v>
      </c>
      <c r="JV245" s="247">
        <v>0</v>
      </c>
      <c r="JW245" s="247">
        <v>0</v>
      </c>
      <c r="JX245" s="247">
        <v>0</v>
      </c>
      <c r="JY245" s="247">
        <v>0</v>
      </c>
      <c r="JZ245" s="247">
        <v>0</v>
      </c>
      <c r="KA245" s="247">
        <v>0</v>
      </c>
      <c r="KB245" s="247">
        <v>0</v>
      </c>
      <c r="KC245" s="247">
        <v>0</v>
      </c>
      <c r="KD245" s="247">
        <v>0</v>
      </c>
      <c r="KE245" s="247">
        <v>0</v>
      </c>
      <c r="KF245" s="247">
        <v>0</v>
      </c>
      <c r="KG245" s="247">
        <v>0</v>
      </c>
      <c r="KH245" s="247">
        <v>0</v>
      </c>
      <c r="KI245" s="247">
        <v>0</v>
      </c>
      <c r="KJ245" s="247">
        <v>0</v>
      </c>
      <c r="KK245" s="247">
        <v>0</v>
      </c>
      <c r="KL245" s="247">
        <v>0</v>
      </c>
      <c r="KM245" s="247">
        <v>0</v>
      </c>
      <c r="KN245" s="247">
        <v>0</v>
      </c>
      <c r="KO245" s="247">
        <v>0</v>
      </c>
      <c r="KP245" s="247">
        <v>0</v>
      </c>
      <c r="KQ245" s="247">
        <v>0</v>
      </c>
      <c r="KR245" s="247">
        <v>0</v>
      </c>
      <c r="KS245" s="247">
        <v>0</v>
      </c>
      <c r="KT245" s="247">
        <v>0</v>
      </c>
      <c r="KU245" s="247">
        <v>0</v>
      </c>
      <c r="KV245" s="247">
        <v>0</v>
      </c>
      <c r="KW245" s="247">
        <v>0</v>
      </c>
      <c r="KX245" s="247">
        <v>0</v>
      </c>
      <c r="KY245" s="247">
        <v>0</v>
      </c>
      <c r="KZ245" s="247">
        <v>0</v>
      </c>
      <c r="LA245" s="247">
        <v>0</v>
      </c>
      <c r="LB245" s="247">
        <v>0</v>
      </c>
      <c r="LC245" s="247">
        <v>0</v>
      </c>
      <c r="LD245" s="247">
        <v>0</v>
      </c>
      <c r="LE245" s="247">
        <v>0</v>
      </c>
      <c r="LF245" s="247">
        <v>0</v>
      </c>
      <c r="LG245" s="247">
        <v>0</v>
      </c>
      <c r="LH245" s="247">
        <v>0</v>
      </c>
      <c r="LI245" s="247">
        <v>0</v>
      </c>
      <c r="LJ245" s="247">
        <v>0</v>
      </c>
      <c r="LK245" s="247">
        <v>0</v>
      </c>
      <c r="LL245" s="247">
        <v>0</v>
      </c>
      <c r="LM245" s="247">
        <v>0</v>
      </c>
      <c r="LN245" s="247">
        <v>0</v>
      </c>
      <c r="LO245" s="247">
        <v>0</v>
      </c>
      <c r="LP245" s="247">
        <v>0</v>
      </c>
      <c r="LQ245" s="247">
        <v>0</v>
      </c>
      <c r="LR245" s="247">
        <v>0</v>
      </c>
      <c r="LS245" s="247">
        <v>0</v>
      </c>
      <c r="LT245" s="247">
        <v>0</v>
      </c>
      <c r="LU245" s="247">
        <v>0</v>
      </c>
      <c r="LV245" s="247">
        <v>0</v>
      </c>
      <c r="LW245" s="247">
        <v>0</v>
      </c>
      <c r="LX245" s="247">
        <v>0</v>
      </c>
      <c r="LY245" s="247">
        <v>0</v>
      </c>
      <c r="LZ245" s="247">
        <v>0</v>
      </c>
      <c r="MA245" s="247">
        <v>0</v>
      </c>
      <c r="MB245" s="247">
        <v>0</v>
      </c>
      <c r="MC245" s="247">
        <v>0</v>
      </c>
      <c r="MD245" s="247">
        <v>0</v>
      </c>
      <c r="ME245" s="247">
        <v>0</v>
      </c>
      <c r="MF245" s="247">
        <v>0</v>
      </c>
      <c r="MG245" s="247">
        <v>0</v>
      </c>
      <c r="MH245" s="247">
        <v>0</v>
      </c>
      <c r="MI245" s="247">
        <v>0</v>
      </c>
      <c r="MJ245" s="247">
        <v>0</v>
      </c>
      <c r="MK245" s="247">
        <v>0</v>
      </c>
      <c r="ML245" s="247">
        <v>0</v>
      </c>
      <c r="MM245" s="247">
        <v>0</v>
      </c>
      <c r="MN245" s="247">
        <v>0</v>
      </c>
      <c r="MO245" s="247">
        <v>0</v>
      </c>
      <c r="MP245" s="247">
        <v>0</v>
      </c>
      <c r="MQ245" s="247">
        <v>0</v>
      </c>
      <c r="MR245" s="247">
        <v>0</v>
      </c>
      <c r="MS245" s="247">
        <v>0</v>
      </c>
      <c r="MT245" s="247">
        <v>0</v>
      </c>
      <c r="MU245" s="247">
        <v>0</v>
      </c>
      <c r="MV245" s="247">
        <v>0</v>
      </c>
      <c r="MW245" s="247">
        <v>0</v>
      </c>
      <c r="MX245" s="247">
        <v>0</v>
      </c>
      <c r="MY245" s="247">
        <v>0</v>
      </c>
      <c r="MZ245" s="247">
        <v>0</v>
      </c>
      <c r="NA245" s="247">
        <v>0</v>
      </c>
      <c r="NB245" s="247">
        <v>0</v>
      </c>
      <c r="NC245" s="247">
        <v>0</v>
      </c>
      <c r="ND245" s="247">
        <v>0</v>
      </c>
      <c r="NE245" s="247">
        <v>0</v>
      </c>
      <c r="NF245" s="247">
        <v>0</v>
      </c>
      <c r="NG245" s="247">
        <v>0</v>
      </c>
      <c r="NH245" s="247">
        <v>0</v>
      </c>
      <c r="NI245" s="247">
        <v>0</v>
      </c>
      <c r="NJ245" s="247">
        <v>0</v>
      </c>
      <c r="NK245" s="247">
        <v>0</v>
      </c>
      <c r="NL245" s="247">
        <v>0</v>
      </c>
      <c r="NM245" s="247">
        <v>0</v>
      </c>
      <c r="NN245" s="247">
        <v>0</v>
      </c>
      <c r="NO245" s="247">
        <v>0</v>
      </c>
      <c r="NP245" s="247">
        <v>0</v>
      </c>
      <c r="NQ245" s="247">
        <v>0</v>
      </c>
      <c r="NR245" s="247">
        <v>0</v>
      </c>
      <c r="NS245" s="247">
        <v>0</v>
      </c>
      <c r="NT245" s="247">
        <v>0</v>
      </c>
      <c r="NU245" s="247">
        <v>0</v>
      </c>
      <c r="NV245" s="247">
        <v>0</v>
      </c>
      <c r="NW245" s="247">
        <v>0</v>
      </c>
      <c r="NX245" s="247">
        <v>0</v>
      </c>
      <c r="NY245" s="247">
        <v>0</v>
      </c>
      <c r="NZ245" s="247">
        <v>0</v>
      </c>
      <c r="OA245" s="247">
        <v>0</v>
      </c>
      <c r="OB245" s="247">
        <v>0</v>
      </c>
      <c r="OC245" s="247">
        <v>0</v>
      </c>
      <c r="OD245" s="247">
        <v>0</v>
      </c>
      <c r="OE245" s="247">
        <v>0</v>
      </c>
      <c r="OF245" s="247">
        <v>0</v>
      </c>
      <c r="OG245" s="247">
        <v>0</v>
      </c>
      <c r="OH245" s="247">
        <v>0</v>
      </c>
      <c r="OI245" s="247">
        <v>0</v>
      </c>
      <c r="OJ245" s="247">
        <v>0</v>
      </c>
      <c r="OK245" s="247">
        <v>0</v>
      </c>
    </row>
    <row r="246" spans="4:401" x14ac:dyDescent="0.3">
      <c r="D246" s="133"/>
      <c r="J246" s="76"/>
      <c r="K246" s="66"/>
      <c r="L246" s="77"/>
      <c r="M246" s="182" t="s">
        <v>301</v>
      </c>
      <c r="N246" s="182"/>
      <c r="O246" s="233"/>
      <c r="P246" s="183"/>
    </row>
    <row r="247" spans="4:401" x14ac:dyDescent="0.3">
      <c r="D247" s="133"/>
      <c r="J247" s="76"/>
      <c r="K247" s="66"/>
      <c r="L247" s="77"/>
      <c r="M247" s="96" t="s">
        <v>302</v>
      </c>
      <c r="N247" s="96"/>
      <c r="O247" s="95"/>
      <c r="P247" s="96"/>
    </row>
    <row r="248" spans="4:401" x14ac:dyDescent="0.3">
      <c r="D248" s="133"/>
      <c r="J248" s="76"/>
      <c r="K248" s="66"/>
      <c r="L248" s="77"/>
      <c r="M248" s="209" t="s">
        <v>219</v>
      </c>
      <c r="N248" s="178"/>
      <c r="O248" s="179"/>
      <c r="P248" s="178"/>
    </row>
    <row r="249" spans="4:401" x14ac:dyDescent="0.3">
      <c r="D249" s="133"/>
      <c r="J249" s="76"/>
      <c r="K249" s="66"/>
      <c r="L249" s="207"/>
      <c r="M249" s="213"/>
      <c r="N249" s="207"/>
      <c r="O249" s="207"/>
      <c r="P249" s="207"/>
    </row>
    <row r="250" spans="4:401" x14ac:dyDescent="0.3">
      <c r="D250" s="133"/>
      <c r="J250" s="76"/>
      <c r="K250" s="66"/>
      <c r="L250" s="207"/>
      <c r="M250" s="214"/>
      <c r="N250" s="207"/>
      <c r="O250" s="207"/>
      <c r="P250" s="207"/>
    </row>
    <row r="251" spans="4:401" x14ac:dyDescent="0.3">
      <c r="D251" s="133"/>
      <c r="J251" s="76"/>
      <c r="K251" s="66"/>
      <c r="L251" s="77"/>
      <c r="M251" s="208" t="s">
        <v>306</v>
      </c>
      <c r="N251" s="176"/>
      <c r="O251" s="177"/>
      <c r="P251" s="176"/>
    </row>
    <row r="252" spans="4:401" x14ac:dyDescent="0.3">
      <c r="D252" s="133"/>
      <c r="J252" s="76"/>
      <c r="K252" s="66"/>
      <c r="L252" s="77"/>
      <c r="M252" t="s">
        <v>312</v>
      </c>
      <c r="N252" t="s">
        <v>351</v>
      </c>
      <c r="O252" s="8" t="s">
        <v>81</v>
      </c>
    </row>
    <row r="253" spans="4:401" x14ac:dyDescent="0.3">
      <c r="D253" s="133"/>
      <c r="J253" s="76"/>
      <c r="K253" s="66"/>
      <c r="L253" s="77"/>
      <c r="M253" s="184" t="s">
        <v>281</v>
      </c>
      <c r="N253" t="s">
        <v>351</v>
      </c>
      <c r="O253" s="8" t="s">
        <v>31</v>
      </c>
    </row>
    <row r="254" spans="4:401" x14ac:dyDescent="0.3">
      <c r="D254" s="133"/>
      <c r="J254" s="76"/>
      <c r="K254" s="66"/>
      <c r="L254" s="77"/>
      <c r="M254" t="s">
        <v>313</v>
      </c>
      <c r="N254" t="s">
        <v>351</v>
      </c>
      <c r="O254" s="8" t="s">
        <v>81</v>
      </c>
    </row>
    <row r="255" spans="4:401" x14ac:dyDescent="0.3">
      <c r="D255" s="133"/>
      <c r="J255" s="76"/>
      <c r="K255" s="66"/>
      <c r="L255" s="77"/>
      <c r="M255" t="s">
        <v>307</v>
      </c>
      <c r="N255" t="s">
        <v>351</v>
      </c>
      <c r="O255" s="8" t="s">
        <v>31</v>
      </c>
    </row>
    <row r="256" spans="4:401" x14ac:dyDescent="0.3">
      <c r="D256" s="133"/>
      <c r="J256" s="76"/>
      <c r="K256" s="66"/>
      <c r="L256" s="77"/>
      <c r="M256" t="s">
        <v>308</v>
      </c>
      <c r="N256" t="s">
        <v>351</v>
      </c>
      <c r="O256" s="8" t="s">
        <v>352</v>
      </c>
    </row>
    <row r="257" spans="4:16" x14ac:dyDescent="0.3">
      <c r="D257" s="133"/>
      <c r="J257" s="76"/>
      <c r="K257" s="66"/>
      <c r="L257" s="77"/>
      <c r="M257" t="s">
        <v>309</v>
      </c>
      <c r="N257" t="s">
        <v>351</v>
      </c>
      <c r="O257" s="8" t="s">
        <v>352</v>
      </c>
    </row>
    <row r="258" spans="4:16" x14ac:dyDescent="0.3">
      <c r="D258" s="133"/>
      <c r="J258" s="76"/>
      <c r="K258" s="66"/>
      <c r="L258" s="77"/>
      <c r="M258" t="s">
        <v>311</v>
      </c>
      <c r="N258" t="s">
        <v>351</v>
      </c>
      <c r="O258" s="8" t="s">
        <v>352</v>
      </c>
    </row>
    <row r="259" spans="4:16" x14ac:dyDescent="0.3">
      <c r="D259" s="133"/>
      <c r="J259" s="76"/>
      <c r="K259" s="66"/>
      <c r="L259" s="77"/>
      <c r="M259" s="87" t="s">
        <v>310</v>
      </c>
      <c r="N259" s="6" t="s">
        <v>351</v>
      </c>
      <c r="O259" s="33" t="s">
        <v>352</v>
      </c>
      <c r="P259" s="6"/>
    </row>
    <row r="260" spans="4:16" x14ac:dyDescent="0.3">
      <c r="D260" s="133"/>
      <c r="J260" s="76"/>
      <c r="K260" s="66"/>
      <c r="L260" s="66"/>
      <c r="M260" s="66"/>
      <c r="N260" s="66"/>
      <c r="O260" s="66"/>
      <c r="P260" s="66"/>
    </row>
    <row r="261" spans="4:16" ht="14.4" thickBot="1" x14ac:dyDescent="0.35">
      <c r="D261" s="133"/>
      <c r="J261" s="157"/>
      <c r="K261" s="156"/>
      <c r="L261" s="155" t="s">
        <v>334</v>
      </c>
      <c r="M261" s="156"/>
      <c r="N261" s="156"/>
      <c r="O261" s="156"/>
      <c r="P261" s="156"/>
    </row>
    <row r="262" spans="4:16" x14ac:dyDescent="0.3">
      <c r="D262" s="133"/>
    </row>
    <row r="263" spans="4:16" x14ac:dyDescent="0.3">
      <c r="D263" s="133"/>
    </row>
    <row r="264" spans="4:16" x14ac:dyDescent="0.3">
      <c r="D264" s="133"/>
    </row>
    <row r="265" spans="4:16" x14ac:dyDescent="0.3">
      <c r="D265" s="133"/>
    </row>
    <row r="266" spans="4:16" x14ac:dyDescent="0.3">
      <c r="D266" s="133"/>
    </row>
    <row r="267" spans="4:16" x14ac:dyDescent="0.3">
      <c r="D267" s="133"/>
    </row>
    <row r="268" spans="4:16" x14ac:dyDescent="0.3">
      <c r="D268" s="133"/>
    </row>
    <row r="269" spans="4:16" x14ac:dyDescent="0.3">
      <c r="D269" s="133"/>
    </row>
    <row r="270" spans="4:16" ht="13.8" customHeight="1" x14ac:dyDescent="0.3">
      <c r="J270" s="76"/>
      <c r="K270" s="66"/>
      <c r="L270" s="77"/>
    </row>
    <row r="271" spans="4:16" ht="13.8" customHeight="1" x14ac:dyDescent="0.3">
      <c r="J271" s="76"/>
      <c r="K271" s="66"/>
      <c r="L271" s="77"/>
    </row>
    <row r="272" spans="4:16" ht="13.8" customHeight="1" x14ac:dyDescent="0.3">
      <c r="J272" s="76"/>
      <c r="K272" s="66"/>
      <c r="L272" s="77"/>
    </row>
    <row r="273" spans="10:12" ht="13.8" customHeight="1" x14ac:dyDescent="0.3">
      <c r="J273" s="76"/>
      <c r="K273" s="66"/>
      <c r="L273" s="77"/>
    </row>
    <row r="274" spans="10:12" ht="13.8" customHeight="1" x14ac:dyDescent="0.3">
      <c r="J274" s="76"/>
      <c r="K274" s="66"/>
      <c r="L274" s="77"/>
    </row>
    <row r="275" spans="10:12" ht="13.8" customHeight="1" x14ac:dyDescent="0.3">
      <c r="J275" s="76"/>
      <c r="K275" s="66"/>
      <c r="L275" s="77"/>
    </row>
    <row r="276" spans="10:12" ht="13.8" customHeight="1" x14ac:dyDescent="0.3">
      <c r="J276" s="76"/>
      <c r="K276" s="66"/>
      <c r="L276" s="77"/>
    </row>
    <row r="277" spans="10:12" ht="13.8" customHeight="1" x14ac:dyDescent="0.3">
      <c r="J277" s="76"/>
      <c r="K277" s="66"/>
      <c r="L277" s="77"/>
    </row>
    <row r="278" spans="10:12" ht="13.8" customHeight="1" x14ac:dyDescent="0.3">
      <c r="J278" s="76"/>
      <c r="K278" s="66"/>
      <c r="L278" s="77"/>
    </row>
    <row r="279" spans="10:12" ht="13.8" customHeight="1" x14ac:dyDescent="0.3">
      <c r="J279" s="76"/>
      <c r="K279" s="66"/>
      <c r="L279" s="77"/>
    </row>
    <row r="280" spans="10:12" ht="13.8" customHeight="1" x14ac:dyDescent="0.3">
      <c r="J280" s="76"/>
      <c r="K280" s="66"/>
      <c r="L280" s="77"/>
    </row>
    <row r="281" spans="10:12" ht="13.8" customHeight="1" x14ac:dyDescent="0.3">
      <c r="J281" s="76"/>
      <c r="K281" s="66"/>
      <c r="L281" s="77"/>
    </row>
    <row r="282" spans="10:12" ht="13.8" customHeight="1" x14ac:dyDescent="0.3">
      <c r="J282" s="76"/>
      <c r="K282" s="66"/>
      <c r="L282" s="77"/>
    </row>
    <row r="283" spans="10:12" ht="13.8" customHeight="1" x14ac:dyDescent="0.3">
      <c r="J283" s="76"/>
      <c r="K283" s="66"/>
      <c r="L283" s="77"/>
    </row>
    <row r="284" spans="10:12" ht="13.8" customHeight="1" x14ac:dyDescent="0.3">
      <c r="J284" s="76"/>
      <c r="K284" s="66"/>
      <c r="L284" s="77"/>
    </row>
    <row r="285" spans="10:12" ht="13.8" customHeight="1" x14ac:dyDescent="0.3">
      <c r="J285" s="76"/>
      <c r="K285" s="66"/>
      <c r="L285" s="77"/>
    </row>
    <row r="286" spans="10:12" ht="13.8" customHeight="1" x14ac:dyDescent="0.3">
      <c r="J286" s="76"/>
      <c r="K286" s="66"/>
      <c r="L286" s="77"/>
    </row>
    <row r="287" spans="10:12" ht="13.8" customHeight="1" x14ac:dyDescent="0.3">
      <c r="J287" s="76"/>
      <c r="K287" s="66"/>
      <c r="L287" s="77"/>
    </row>
    <row r="288" spans="10:12" ht="13.8" customHeight="1" x14ac:dyDescent="0.3">
      <c r="J288" s="76"/>
      <c r="K288" s="66"/>
      <c r="L288" s="77"/>
    </row>
    <row r="289" spans="10:12" ht="13.8" customHeight="1" x14ac:dyDescent="0.3">
      <c r="J289" s="76"/>
      <c r="K289" s="66"/>
      <c r="L289" s="77"/>
    </row>
    <row r="290" spans="10:12" ht="13.8" customHeight="1" x14ac:dyDescent="0.3">
      <c r="J290" s="76"/>
      <c r="K290" s="66"/>
      <c r="L290" s="77"/>
    </row>
    <row r="291" spans="10:12" ht="13.8" customHeight="1" x14ac:dyDescent="0.3">
      <c r="J291" s="76"/>
      <c r="K291" s="66"/>
      <c r="L291" s="77"/>
    </row>
    <row r="292" spans="10:12" ht="13.8" customHeight="1" x14ac:dyDescent="0.3">
      <c r="J292" s="76"/>
      <c r="K292" s="66"/>
      <c r="L292" s="77"/>
    </row>
    <row r="293" spans="10:12" ht="13.8" customHeight="1" x14ac:dyDescent="0.3">
      <c r="J293" s="76"/>
      <c r="K293" s="66"/>
      <c r="L293" s="77"/>
    </row>
    <row r="294" spans="10:12" ht="13.8" customHeight="1" x14ac:dyDescent="0.3">
      <c r="J294" s="76"/>
      <c r="K294" s="66"/>
      <c r="L294" s="77"/>
    </row>
    <row r="295" spans="10:12" ht="13.8" customHeight="1" x14ac:dyDescent="0.3">
      <c r="J295" s="76"/>
      <c r="K295" s="66"/>
      <c r="L295" s="77"/>
    </row>
    <row r="296" spans="10:12" ht="13.8" customHeight="1" x14ac:dyDescent="0.3">
      <c r="J296" s="76"/>
      <c r="K296" s="66"/>
      <c r="L296" s="77"/>
    </row>
    <row r="297" spans="10:12" ht="13.8" customHeight="1" x14ac:dyDescent="0.3">
      <c r="J297" s="76"/>
      <c r="K297" s="66"/>
      <c r="L297" s="77"/>
    </row>
    <row r="298" spans="10:12" ht="13.8" customHeight="1" x14ac:dyDescent="0.3">
      <c r="J298" s="76"/>
      <c r="K298" s="66"/>
      <c r="L298" s="77"/>
    </row>
    <row r="299" spans="10:12" ht="13.8" customHeight="1" x14ac:dyDescent="0.3">
      <c r="J299" s="76"/>
      <c r="K299" s="66"/>
      <c r="L299" s="77"/>
    </row>
    <row r="300" spans="10:12" ht="13.8" customHeight="1" x14ac:dyDescent="0.3">
      <c r="J300" s="76"/>
      <c r="K300" s="66"/>
      <c r="L300" s="77"/>
    </row>
    <row r="301" spans="10:12" ht="13.8" customHeight="1" x14ac:dyDescent="0.3">
      <c r="J301" s="76"/>
      <c r="K301" s="66"/>
      <c r="L301" s="77"/>
    </row>
    <row r="302" spans="10:12" ht="13.8" customHeight="1" x14ac:dyDescent="0.3">
      <c r="J302" s="76"/>
      <c r="K302" s="66"/>
      <c r="L302" s="77"/>
    </row>
    <row r="303" spans="10:12" ht="13.8" customHeight="1" x14ac:dyDescent="0.3">
      <c r="J303" s="76"/>
      <c r="K303" s="66"/>
      <c r="L303" s="77"/>
    </row>
    <row r="304" spans="10:12" ht="13.8" customHeight="1" x14ac:dyDescent="0.3">
      <c r="J304" s="76"/>
      <c r="K304" s="66"/>
      <c r="L304" s="77"/>
    </row>
    <row r="305" spans="10:12" ht="13.8" customHeight="1" x14ac:dyDescent="0.3">
      <c r="J305" s="76"/>
      <c r="K305" s="66"/>
      <c r="L305" s="77"/>
    </row>
    <row r="306" spans="10:12" ht="13.8" customHeight="1" x14ac:dyDescent="0.3">
      <c r="J306" s="76"/>
      <c r="K306" s="66"/>
      <c r="L306" s="77"/>
    </row>
    <row r="307" spans="10:12" ht="13.8" customHeight="1" x14ac:dyDescent="0.3">
      <c r="J307" s="76"/>
      <c r="K307" s="66"/>
      <c r="L307" s="77"/>
    </row>
    <row r="308" spans="10:12" ht="13.8" customHeight="1" x14ac:dyDescent="0.3">
      <c r="J308" s="76"/>
      <c r="K308" s="66"/>
      <c r="L308" s="77"/>
    </row>
    <row r="309" spans="10:12" ht="13.8" customHeight="1" x14ac:dyDescent="0.3">
      <c r="J309" s="76"/>
      <c r="K309" s="66"/>
      <c r="L309" s="77"/>
    </row>
    <row r="310" spans="10:12" ht="13.8" customHeight="1" x14ac:dyDescent="0.3">
      <c r="J310" s="76"/>
      <c r="K310" s="66"/>
      <c r="L310" s="77"/>
    </row>
    <row r="311" spans="10:12" ht="13.8" customHeight="1" x14ac:dyDescent="0.3">
      <c r="J311" s="76"/>
      <c r="K311" s="66"/>
      <c r="L311" s="77"/>
    </row>
    <row r="312" spans="10:12" ht="13.8" customHeight="1" x14ac:dyDescent="0.3">
      <c r="J312" s="76"/>
      <c r="K312" s="66"/>
      <c r="L312" s="77"/>
    </row>
    <row r="313" spans="10:12" ht="13.8" customHeight="1" x14ac:dyDescent="0.3">
      <c r="J313" s="76"/>
      <c r="K313" s="66"/>
      <c r="L313" s="77"/>
    </row>
    <row r="314" spans="10:12" ht="13.8" customHeight="1" x14ac:dyDescent="0.3">
      <c r="J314" s="76"/>
      <c r="K314" s="66"/>
      <c r="L314" s="77"/>
    </row>
    <row r="315" spans="10:12" ht="13.8" customHeight="1" x14ac:dyDescent="0.3">
      <c r="J315" s="76"/>
      <c r="K315" s="66"/>
      <c r="L315" s="77"/>
    </row>
    <row r="316" spans="10:12" ht="13.8" customHeight="1" x14ac:dyDescent="0.3">
      <c r="J316" s="76"/>
      <c r="K316" s="66"/>
      <c r="L316" s="77"/>
    </row>
    <row r="317" spans="10:12" ht="13.8" customHeight="1" x14ac:dyDescent="0.3">
      <c r="J317" s="76"/>
      <c r="K317" s="66"/>
      <c r="L317" s="77"/>
    </row>
    <row r="318" spans="10:12" ht="13.8" customHeight="1" x14ac:dyDescent="0.3">
      <c r="J318" s="76"/>
      <c r="K318" s="66"/>
      <c r="L318" s="77"/>
    </row>
    <row r="319" spans="10:12" ht="13.8" customHeight="1" x14ac:dyDescent="0.3">
      <c r="J319" s="76"/>
      <c r="K319" s="66"/>
      <c r="L319" s="77"/>
    </row>
    <row r="320" spans="10:12" ht="13.8" customHeight="1" x14ac:dyDescent="0.3">
      <c r="J320" s="76"/>
      <c r="K320" s="66"/>
      <c r="L320" s="77"/>
    </row>
    <row r="321" spans="10:12" ht="13.8" customHeight="1" x14ac:dyDescent="0.3">
      <c r="J321" s="76"/>
      <c r="K321" s="66"/>
      <c r="L321" s="77"/>
    </row>
    <row r="322" spans="10:12" ht="13.8" customHeight="1" x14ac:dyDescent="0.3">
      <c r="J322" s="76"/>
      <c r="K322" s="66"/>
      <c r="L322" s="77"/>
    </row>
    <row r="323" spans="10:12" ht="13.8" customHeight="1" x14ac:dyDescent="0.3">
      <c r="J323" s="76"/>
      <c r="K323" s="66"/>
      <c r="L323" s="77"/>
    </row>
    <row r="324" spans="10:12" ht="13.8" customHeight="1" x14ac:dyDescent="0.3">
      <c r="J324" s="76"/>
      <c r="K324" s="66"/>
      <c r="L324" s="77"/>
    </row>
    <row r="325" spans="10:12" ht="13.8" customHeight="1" x14ac:dyDescent="0.3">
      <c r="J325" s="76"/>
      <c r="K325" s="66"/>
      <c r="L325" s="77"/>
    </row>
    <row r="326" spans="10:12" ht="13.8" customHeight="1" x14ac:dyDescent="0.3">
      <c r="J326" s="76"/>
      <c r="K326" s="66"/>
      <c r="L326" s="77"/>
    </row>
    <row r="327" spans="10:12" ht="13.8" customHeight="1" x14ac:dyDescent="0.3">
      <c r="J327" s="76"/>
      <c r="K327" s="66"/>
      <c r="L327" s="77"/>
    </row>
    <row r="328" spans="10:12" ht="13.8" customHeight="1" x14ac:dyDescent="0.3">
      <c r="J328" s="76"/>
      <c r="K328" s="66"/>
      <c r="L328" s="77"/>
    </row>
    <row r="329" spans="10:12" ht="13.8" customHeight="1" x14ac:dyDescent="0.3">
      <c r="J329" s="76"/>
      <c r="K329" s="66"/>
      <c r="L329" s="77"/>
    </row>
    <row r="330" spans="10:12" ht="13.8" customHeight="1" x14ac:dyDescent="0.3">
      <c r="J330" s="76"/>
      <c r="K330" s="66"/>
      <c r="L330" s="77"/>
    </row>
    <row r="331" spans="10:12" ht="13.8" customHeight="1" x14ac:dyDescent="0.3">
      <c r="J331" s="76"/>
      <c r="K331" s="66"/>
      <c r="L331" s="77"/>
    </row>
    <row r="332" spans="10:12" ht="13.8" customHeight="1" x14ac:dyDescent="0.3">
      <c r="J332" s="76"/>
      <c r="K332" s="66"/>
      <c r="L332" s="77"/>
    </row>
    <row r="333" spans="10:12" ht="13.8" customHeight="1" x14ac:dyDescent="0.3">
      <c r="J333" s="76"/>
      <c r="K333" s="66"/>
      <c r="L333" s="77"/>
    </row>
    <row r="334" spans="10:12" ht="13.8" customHeight="1" x14ac:dyDescent="0.3">
      <c r="J334" s="76"/>
      <c r="K334" s="66"/>
      <c r="L334" s="77"/>
    </row>
    <row r="335" spans="10:12" ht="13.8" customHeight="1" x14ac:dyDescent="0.3">
      <c r="J335" s="76"/>
      <c r="K335" s="66"/>
      <c r="L335" s="77"/>
    </row>
    <row r="336" spans="10:12" ht="13.8" customHeight="1" x14ac:dyDescent="0.3">
      <c r="J336" s="76"/>
      <c r="K336" s="66"/>
      <c r="L336" s="77"/>
    </row>
    <row r="337" spans="10:12" ht="13.8" customHeight="1" x14ac:dyDescent="0.3">
      <c r="J337" s="76"/>
      <c r="K337" s="66"/>
      <c r="L337" s="77"/>
    </row>
    <row r="338" spans="10:12" ht="13.8" customHeight="1" x14ac:dyDescent="0.3">
      <c r="J338" s="76"/>
      <c r="K338" s="66"/>
      <c r="L338" s="77"/>
    </row>
    <row r="339" spans="10:12" ht="13.8" customHeight="1" x14ac:dyDescent="0.3">
      <c r="J339" s="76"/>
      <c r="K339" s="66"/>
      <c r="L339" s="77"/>
    </row>
    <row r="340" spans="10:12" ht="13.8" customHeight="1" x14ac:dyDescent="0.3">
      <c r="J340" s="76"/>
      <c r="K340" s="66"/>
      <c r="L340" s="77"/>
    </row>
    <row r="341" spans="10:12" ht="13.8" customHeight="1" x14ac:dyDescent="0.3">
      <c r="J341" s="76"/>
      <c r="K341" s="66"/>
      <c r="L341" s="77"/>
    </row>
    <row r="342" spans="10:12" ht="13.8" customHeight="1" x14ac:dyDescent="0.3">
      <c r="J342" s="76"/>
      <c r="K342" s="66"/>
      <c r="L342" s="77"/>
    </row>
    <row r="343" spans="10:12" ht="13.8" customHeight="1" x14ac:dyDescent="0.3">
      <c r="J343" s="76"/>
      <c r="K343" s="66"/>
      <c r="L343" s="77"/>
    </row>
    <row r="344" spans="10:12" ht="13.8" customHeight="1" x14ac:dyDescent="0.3">
      <c r="J344" s="76"/>
      <c r="K344" s="66"/>
      <c r="L344" s="77"/>
    </row>
    <row r="345" spans="10:12" ht="13.8" customHeight="1" x14ac:dyDescent="0.3">
      <c r="J345" s="76"/>
      <c r="K345" s="66"/>
      <c r="L345" s="77"/>
    </row>
    <row r="346" spans="10:12" ht="13.8" customHeight="1" x14ac:dyDescent="0.3">
      <c r="J346" s="76"/>
      <c r="K346" s="66"/>
      <c r="L346" s="77"/>
    </row>
    <row r="347" spans="10:12" ht="13.8" customHeight="1" x14ac:dyDescent="0.3">
      <c r="J347" s="76"/>
      <c r="K347" s="66"/>
      <c r="L347" s="77"/>
    </row>
    <row r="348" spans="10:12" ht="13.8" customHeight="1" x14ac:dyDescent="0.3">
      <c r="J348" s="76"/>
      <c r="K348" s="66"/>
      <c r="L348" s="77"/>
    </row>
    <row r="349" spans="10:12" ht="13.8" customHeight="1" x14ac:dyDescent="0.3">
      <c r="J349" s="76"/>
      <c r="K349" s="66"/>
      <c r="L349" s="77"/>
    </row>
    <row r="350" spans="10:12" ht="13.8" customHeight="1" x14ac:dyDescent="0.3">
      <c r="J350" s="76"/>
      <c r="K350" s="66"/>
      <c r="L350" s="77"/>
    </row>
    <row r="351" spans="10:12" ht="13.8" customHeight="1" x14ac:dyDescent="0.3">
      <c r="J351" s="76"/>
      <c r="K351" s="66"/>
      <c r="L351" s="77"/>
    </row>
    <row r="352" spans="10:12" ht="13.8" customHeight="1" x14ac:dyDescent="0.3">
      <c r="J352" s="76"/>
      <c r="K352" s="66"/>
      <c r="L352" s="77"/>
    </row>
    <row r="353" spans="10:12" ht="13.8" customHeight="1" x14ac:dyDescent="0.3">
      <c r="J353" s="76"/>
      <c r="K353" s="66"/>
      <c r="L353" s="77"/>
    </row>
    <row r="354" spans="10:12" ht="13.8" customHeight="1" x14ac:dyDescent="0.3">
      <c r="J354" s="76"/>
      <c r="K354" s="66"/>
      <c r="L354" s="77"/>
    </row>
    <row r="355" spans="10:12" ht="13.8" customHeight="1" x14ac:dyDescent="0.3">
      <c r="J355" s="76"/>
      <c r="K355" s="66"/>
      <c r="L355" s="77"/>
    </row>
    <row r="356" spans="10:12" ht="13.8" customHeight="1" x14ac:dyDescent="0.3">
      <c r="J356" s="76"/>
      <c r="K356" s="66"/>
      <c r="L356" s="77"/>
    </row>
  </sheetData>
  <mergeCells count="1">
    <mergeCell ref="A8:D8"/>
  </mergeCells>
  <conditionalFormatting sqref="P13:OD13">
    <cfRule type="cellIs" dxfId="14" priority="15" operator="equal">
      <formula>" "</formula>
    </cfRule>
  </conditionalFormatting>
  <conditionalFormatting sqref="P12:OD12">
    <cfRule type="cellIs" dxfId="13" priority="14" operator="equal">
      <formula>" "</formula>
    </cfRule>
  </conditionalFormatting>
  <conditionalFormatting sqref="P14:OD14">
    <cfRule type="cellIs" dxfId="12" priority="13" operator="equal">
      <formula>" "</formula>
    </cfRule>
  </conditionalFormatting>
  <conditionalFormatting sqref="P15:OD15">
    <cfRule type="cellIs" dxfId="11" priority="12" operator="equal">
      <formula>" "</formula>
    </cfRule>
  </conditionalFormatting>
  <conditionalFormatting sqref="P16:OD16">
    <cfRule type="cellIs" dxfId="10" priority="11" operator="equal">
      <formula>" "</formula>
    </cfRule>
  </conditionalFormatting>
  <conditionalFormatting sqref="P17:OD17">
    <cfRule type="cellIs" dxfId="9" priority="10" operator="equal">
      <formula>" "</formula>
    </cfRule>
  </conditionalFormatting>
  <conditionalFormatting sqref="P18:OD18">
    <cfRule type="cellIs" dxfId="8" priority="9" operator="equal">
      <formula>" "</formula>
    </cfRule>
  </conditionalFormatting>
  <conditionalFormatting sqref="P19:OD19">
    <cfRule type="cellIs" dxfId="7" priority="8" operator="equal">
      <formula>" "</formula>
    </cfRule>
  </conditionalFormatting>
  <conditionalFormatting sqref="P20:OD20">
    <cfRule type="cellIs" dxfId="6" priority="7" operator="equal">
      <formula>" "</formula>
    </cfRule>
  </conditionalFormatting>
  <conditionalFormatting sqref="P21:OD21">
    <cfRule type="cellIs" dxfId="5" priority="6" operator="equal">
      <formula>" "</formula>
    </cfRule>
  </conditionalFormatting>
  <conditionalFormatting sqref="P22:OD22">
    <cfRule type="cellIs" dxfId="4" priority="5" operator="equal">
      <formula>" "</formula>
    </cfRule>
  </conditionalFormatting>
  <conditionalFormatting sqref="P23:OD23">
    <cfRule type="cellIs" dxfId="3" priority="4" operator="equal">
      <formula>" "</formula>
    </cfRule>
  </conditionalFormatting>
  <conditionalFormatting sqref="P24:OD24">
    <cfRule type="cellIs" dxfId="2" priority="3" operator="equal">
      <formula>" "</formula>
    </cfRule>
  </conditionalFormatting>
  <conditionalFormatting sqref="P25:OD25">
    <cfRule type="cellIs" dxfId="1" priority="2" operator="equal">
      <formula>" "</formula>
    </cfRule>
  </conditionalFormatting>
  <conditionalFormatting sqref="P26:OD26">
    <cfRule type="cellIs" dxfId="0" priority="1" operator="equal">
      <formula>" "</formula>
    </cfRule>
  </conditionalFormatting>
  <dataValidations disablePrompts="1" count="1">
    <dataValidation type="list" allowBlank="1" showInputMessage="1" showErrorMessage="1" sqref="E3:F3" xr:uid="{3EEC2524-2CB7-491A-AFE2-C7B5EC15DA4A}">
      <formula1>$H$2:$J$2</formula1>
    </dataValidation>
  </dataValidations>
  <hyperlinks>
    <hyperlink ref="H57" r:id="rId1" display="RES Master Model.xlsx" xr:uid="{ECC3FA5F-FCA0-442E-BC2F-7C5C0949DCED}"/>
    <hyperlink ref="F7" r:id="rId2" display="Sayı" xr:uid="{5CCB6E02-A7A5-49D5-B37C-F3541505D9E7}"/>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InsertScenarioColumn" altText="Add New Scenario Column">
                <anchor moveWithCells="1" sizeWithCells="1">
                  <from>
                    <xdr:col>9</xdr:col>
                    <xdr:colOff>15240</xdr:colOff>
                    <xdr:row>7</xdr:row>
                    <xdr:rowOff>7620</xdr:rowOff>
                  </from>
                  <to>
                    <xdr:col>9</xdr:col>
                    <xdr:colOff>167640</xdr:colOff>
                    <xdr:row>7</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C812-778A-4999-AEC6-3EEA42C496AB}">
  <sheetPr codeName="Sayfa1"/>
  <dimension ref="A1"/>
  <sheetViews>
    <sheetView workbookViewId="0"/>
  </sheetViews>
  <sheetFormatPr defaultRowHeight="13.8"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91-7668-4431-A86E-A8D7498DD145}">
  <sheetPr codeName="Sayfa2"/>
  <dimension ref="A1"/>
  <sheetViews>
    <sheetView workbookViewId="0"/>
  </sheetViews>
  <sheetFormatPr defaultRowHeight="13.8"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279FF-6936-457B-A562-842E00902EEB}">
  <sheetPr codeName="Sayfa9"/>
  <dimension ref="A1:J300"/>
  <sheetViews>
    <sheetView topLeftCell="A25" workbookViewId="0">
      <selection activeCell="I16" sqref="I16"/>
    </sheetView>
  </sheetViews>
  <sheetFormatPr defaultColWidth="9.33203125" defaultRowHeight="13.8" customHeight="1" x14ac:dyDescent="0.3"/>
  <cols>
    <col min="1" max="1" width="12.5546875" customWidth="1"/>
    <col min="2" max="2" width="8.88671875" customWidth="1"/>
    <col min="3" max="4" width="7.6640625" customWidth="1"/>
    <col min="5" max="8" width="8.88671875" customWidth="1"/>
    <col min="9" max="10" width="10.109375" customWidth="1"/>
  </cols>
  <sheetData>
    <row r="1" spans="1:10" x14ac:dyDescent="0.3">
      <c r="A1" s="293" t="s">
        <v>83</v>
      </c>
      <c r="B1" s="294"/>
      <c r="C1" s="294"/>
      <c r="D1" s="294"/>
      <c r="E1" s="294"/>
      <c r="F1" s="294"/>
      <c r="G1" s="294"/>
      <c r="H1" s="294"/>
      <c r="I1" s="294"/>
      <c r="J1" s="295"/>
    </row>
    <row r="2" spans="1:10" x14ac:dyDescent="0.3">
      <c r="A2" s="296" t="s">
        <v>84</v>
      </c>
      <c r="B2" s="296" t="s">
        <v>85</v>
      </c>
      <c r="C2" s="40" t="s">
        <v>86</v>
      </c>
      <c r="D2" s="40" t="s">
        <v>87</v>
      </c>
      <c r="E2" s="40" t="s">
        <v>86</v>
      </c>
      <c r="F2" s="40" t="s">
        <v>87</v>
      </c>
      <c r="G2" s="40" t="s">
        <v>86</v>
      </c>
      <c r="H2" s="40" t="s">
        <v>87</v>
      </c>
      <c r="I2" s="40" t="s">
        <v>86</v>
      </c>
      <c r="J2" s="40" t="s">
        <v>87</v>
      </c>
    </row>
    <row r="3" spans="1:10" x14ac:dyDescent="0.3">
      <c r="A3" s="297"/>
      <c r="B3" s="297"/>
      <c r="C3" s="46" t="s">
        <v>88</v>
      </c>
      <c r="D3" s="46" t="s">
        <v>88</v>
      </c>
      <c r="E3" s="46" t="s">
        <v>89</v>
      </c>
      <c r="F3" s="46" t="s">
        <v>89</v>
      </c>
      <c r="G3" s="46" t="s">
        <v>90</v>
      </c>
      <c r="H3" s="46" t="s">
        <v>90</v>
      </c>
      <c r="I3" s="46" t="s">
        <v>91</v>
      </c>
      <c r="J3" s="46" t="s">
        <v>91</v>
      </c>
    </row>
    <row r="4" spans="1:10" x14ac:dyDescent="0.3">
      <c r="A4" s="46" t="s">
        <v>92</v>
      </c>
      <c r="B4" s="46" t="s">
        <v>93</v>
      </c>
      <c r="C4" s="46" t="s">
        <v>94</v>
      </c>
      <c r="D4" s="46" t="s">
        <v>94</v>
      </c>
      <c r="E4" s="46" t="s">
        <v>95</v>
      </c>
      <c r="F4" s="46" t="s">
        <v>95</v>
      </c>
      <c r="G4" s="46" t="s">
        <v>96</v>
      </c>
      <c r="H4" s="46" t="s">
        <v>96</v>
      </c>
      <c r="I4" s="46" t="s">
        <v>96</v>
      </c>
      <c r="J4" s="46" t="s">
        <v>96</v>
      </c>
    </row>
    <row r="5" spans="1:10" x14ac:dyDescent="0.3">
      <c r="A5" s="40">
        <v>80</v>
      </c>
      <c r="B5" s="40">
        <v>0.47414000000000001</v>
      </c>
      <c r="C5" s="40">
        <v>971.77</v>
      </c>
      <c r="D5" s="40">
        <v>0.29366999999999999</v>
      </c>
      <c r="E5" s="40">
        <v>335.01</v>
      </c>
      <c r="F5" s="40">
        <v>2643</v>
      </c>
      <c r="G5" s="40">
        <v>1.0755999999999999</v>
      </c>
      <c r="H5" s="40">
        <v>7.6111000000000004</v>
      </c>
      <c r="I5" s="40">
        <v>4.1969000000000003</v>
      </c>
      <c r="J5" s="40">
        <v>2.012</v>
      </c>
    </row>
    <row r="6" spans="1:10" x14ac:dyDescent="0.3">
      <c r="A6" s="40">
        <v>81</v>
      </c>
      <c r="B6" s="40">
        <v>0.49367</v>
      </c>
      <c r="C6" s="40">
        <v>971.14</v>
      </c>
      <c r="D6" s="40">
        <v>0.30497999999999997</v>
      </c>
      <c r="E6" s="40">
        <v>339.21</v>
      </c>
      <c r="F6" s="40">
        <v>2644.7</v>
      </c>
      <c r="G6" s="40">
        <v>1.0873999999999999</v>
      </c>
      <c r="H6" s="40">
        <v>7.5972999999999997</v>
      </c>
      <c r="I6" s="40">
        <v>4.1976000000000004</v>
      </c>
      <c r="J6" s="40">
        <v>2.0148000000000001</v>
      </c>
    </row>
    <row r="7" spans="1:10" x14ac:dyDescent="0.3">
      <c r="A7" s="40">
        <v>82</v>
      </c>
      <c r="B7" s="40">
        <v>0.51387000000000005</v>
      </c>
      <c r="C7" s="40">
        <v>970.51</v>
      </c>
      <c r="D7" s="40">
        <v>0.31664999999999999</v>
      </c>
      <c r="E7" s="40">
        <v>343.41</v>
      </c>
      <c r="F7" s="40">
        <v>2646.4</v>
      </c>
      <c r="G7" s="40">
        <v>1.0992999999999999</v>
      </c>
      <c r="H7" s="40">
        <v>7.5837000000000003</v>
      </c>
      <c r="I7" s="40">
        <v>4.1984000000000004</v>
      </c>
      <c r="J7" s="40">
        <v>2.0177</v>
      </c>
    </row>
    <row r="8" spans="1:10" x14ac:dyDescent="0.3">
      <c r="A8" s="40">
        <v>83</v>
      </c>
      <c r="B8" s="40">
        <v>0.53476000000000001</v>
      </c>
      <c r="C8" s="40">
        <v>969.88</v>
      </c>
      <c r="D8" s="40">
        <v>0.32868000000000003</v>
      </c>
      <c r="E8" s="40">
        <v>347.61</v>
      </c>
      <c r="F8" s="40">
        <v>2648</v>
      </c>
      <c r="G8" s="40">
        <v>1.1111</v>
      </c>
      <c r="H8" s="40">
        <v>7.5701999999999998</v>
      </c>
      <c r="I8" s="40">
        <v>4.1992000000000003</v>
      </c>
      <c r="J8" s="40">
        <v>2.0207000000000002</v>
      </c>
    </row>
    <row r="9" spans="1:10" x14ac:dyDescent="0.3">
      <c r="A9" s="40">
        <v>84</v>
      </c>
      <c r="B9" s="40">
        <v>0.55635000000000001</v>
      </c>
      <c r="C9" s="40">
        <v>969.24</v>
      </c>
      <c r="D9" s="40">
        <v>0.34109</v>
      </c>
      <c r="E9" s="40">
        <v>351.81</v>
      </c>
      <c r="F9" s="40">
        <v>2649.7</v>
      </c>
      <c r="G9" s="40">
        <v>1.1229</v>
      </c>
      <c r="H9" s="40">
        <v>7.5567000000000002</v>
      </c>
      <c r="I9" s="40">
        <v>4.2</v>
      </c>
      <c r="J9" s="40">
        <v>2.0236999999999998</v>
      </c>
    </row>
    <row r="10" spans="1:10" x14ac:dyDescent="0.3">
      <c r="A10" s="40">
        <v>85</v>
      </c>
      <c r="B10" s="40">
        <v>0.57867000000000002</v>
      </c>
      <c r="C10" s="40">
        <v>968.59</v>
      </c>
      <c r="D10" s="40">
        <v>0.35387999999999997</v>
      </c>
      <c r="E10" s="40">
        <v>356.01</v>
      </c>
      <c r="F10" s="40">
        <v>2651.3</v>
      </c>
      <c r="G10" s="40">
        <v>1.1346000000000001</v>
      </c>
      <c r="H10" s="40">
        <v>7.5434000000000001</v>
      </c>
      <c r="I10" s="40">
        <v>4.2008000000000001</v>
      </c>
      <c r="J10" s="40">
        <v>2.0266999999999999</v>
      </c>
    </row>
    <row r="11" spans="1:10" x14ac:dyDescent="0.3">
      <c r="A11" s="40">
        <v>86</v>
      </c>
      <c r="B11" s="40">
        <v>0.60172999999999999</v>
      </c>
      <c r="C11" s="40">
        <v>967.94</v>
      </c>
      <c r="D11" s="40">
        <v>0.36706</v>
      </c>
      <c r="E11" s="40">
        <v>360.22</v>
      </c>
      <c r="F11" s="40">
        <v>2653</v>
      </c>
      <c r="G11" s="40">
        <v>1.1463000000000001</v>
      </c>
      <c r="H11" s="40">
        <v>7.5301999999999998</v>
      </c>
      <c r="I11" s="40">
        <v>4.2016999999999998</v>
      </c>
      <c r="J11" s="40">
        <v>2.0299</v>
      </c>
    </row>
    <row r="12" spans="1:10" x14ac:dyDescent="0.3">
      <c r="A12" s="40">
        <v>87</v>
      </c>
      <c r="B12" s="40">
        <v>0.62556</v>
      </c>
      <c r="C12" s="40">
        <v>967.29</v>
      </c>
      <c r="D12" s="40">
        <v>0.38063999999999998</v>
      </c>
      <c r="E12" s="40">
        <v>364.42</v>
      </c>
      <c r="F12" s="40">
        <v>2654.6</v>
      </c>
      <c r="G12" s="40">
        <v>1.1579999999999999</v>
      </c>
      <c r="H12" s="40">
        <v>7.5170000000000003</v>
      </c>
      <c r="I12" s="40">
        <v>4.2026000000000003</v>
      </c>
      <c r="J12" s="40">
        <v>2.0329999999999999</v>
      </c>
    </row>
    <row r="13" spans="1:10" x14ac:dyDescent="0.3">
      <c r="A13" s="40">
        <v>88</v>
      </c>
      <c r="B13" s="40">
        <v>0.65017000000000003</v>
      </c>
      <c r="C13" s="40">
        <v>966.63</v>
      </c>
      <c r="D13" s="40">
        <v>0.39463999999999999</v>
      </c>
      <c r="E13" s="40">
        <v>368.63</v>
      </c>
      <c r="F13" s="40">
        <v>2656.3</v>
      </c>
      <c r="G13" s="40">
        <v>1.1696</v>
      </c>
      <c r="H13" s="40">
        <v>7.5039999999999996</v>
      </c>
      <c r="I13" s="40">
        <v>4.2034000000000002</v>
      </c>
      <c r="J13" s="40">
        <v>2.0363000000000002</v>
      </c>
    </row>
    <row r="14" spans="1:10" x14ac:dyDescent="0.3">
      <c r="A14" s="40">
        <v>89</v>
      </c>
      <c r="B14" s="40">
        <v>0.67557999999999996</v>
      </c>
      <c r="C14" s="40">
        <v>965.96</v>
      </c>
      <c r="D14" s="40">
        <v>0.40905000000000002</v>
      </c>
      <c r="E14" s="40">
        <v>372.83</v>
      </c>
      <c r="F14" s="40">
        <v>2657.9</v>
      </c>
      <c r="G14" s="40">
        <v>1.1813</v>
      </c>
      <c r="H14" s="40">
        <v>7.4909999999999997</v>
      </c>
      <c r="I14" s="40">
        <v>4.2042999999999999</v>
      </c>
      <c r="J14" s="40">
        <v>2.0396000000000001</v>
      </c>
    </row>
    <row r="15" spans="1:10" x14ac:dyDescent="0.3">
      <c r="A15" s="40">
        <v>90</v>
      </c>
      <c r="B15" s="40">
        <v>0.70182</v>
      </c>
      <c r="C15" s="40">
        <v>965.3</v>
      </c>
      <c r="D15" s="40">
        <v>0.4239</v>
      </c>
      <c r="E15" s="40">
        <v>377.04</v>
      </c>
      <c r="F15" s="40">
        <v>2659.5</v>
      </c>
      <c r="G15" s="40">
        <v>1.1929000000000001</v>
      </c>
      <c r="H15" s="40">
        <v>7.4781000000000004</v>
      </c>
      <c r="I15" s="40">
        <v>4.2053000000000003</v>
      </c>
      <c r="J15" s="40">
        <v>2.0428999999999999</v>
      </c>
    </row>
    <row r="16" spans="1:10" x14ac:dyDescent="0.3">
      <c r="A16" s="40">
        <v>91</v>
      </c>
      <c r="B16" s="40">
        <v>0.72889999999999999</v>
      </c>
      <c r="C16" s="40">
        <v>964.62</v>
      </c>
      <c r="D16" s="40">
        <v>0.43918000000000001</v>
      </c>
      <c r="E16" s="40">
        <v>381.25</v>
      </c>
      <c r="F16" s="40">
        <v>2661.2</v>
      </c>
      <c r="G16" s="40">
        <v>1.2043999999999999</v>
      </c>
      <c r="H16" s="40">
        <v>7.4653</v>
      </c>
      <c r="I16" s="40">
        <v>4.2061999999999999</v>
      </c>
      <c r="J16" s="40">
        <v>2.0463</v>
      </c>
    </row>
    <row r="17" spans="1:10" x14ac:dyDescent="0.3">
      <c r="A17" s="40">
        <v>92</v>
      </c>
      <c r="B17" s="40">
        <v>0.75683999999999996</v>
      </c>
      <c r="C17" s="40">
        <v>963.94</v>
      </c>
      <c r="D17" s="40">
        <v>0.45490999999999998</v>
      </c>
      <c r="E17" s="40">
        <v>385.46</v>
      </c>
      <c r="F17" s="40">
        <v>2662.8</v>
      </c>
      <c r="G17" s="40">
        <v>1.216</v>
      </c>
      <c r="H17" s="40">
        <v>7.4526000000000003</v>
      </c>
      <c r="I17" s="40">
        <v>4.2072000000000003</v>
      </c>
      <c r="J17" s="40">
        <v>2.0497999999999998</v>
      </c>
    </row>
    <row r="18" spans="1:10" x14ac:dyDescent="0.3">
      <c r="A18" s="40">
        <v>93</v>
      </c>
      <c r="B18" s="40">
        <v>0.78568000000000005</v>
      </c>
      <c r="C18" s="40">
        <v>963.26</v>
      </c>
      <c r="D18" s="40">
        <v>0.47110999999999997</v>
      </c>
      <c r="E18" s="40">
        <v>389.67</v>
      </c>
      <c r="F18" s="40">
        <v>2664.4</v>
      </c>
      <c r="G18" s="40">
        <v>1.2275</v>
      </c>
      <c r="H18" s="40">
        <v>7.44</v>
      </c>
      <c r="I18" s="40">
        <v>4.2081999999999997</v>
      </c>
      <c r="J18" s="40">
        <v>2.0533999999999999</v>
      </c>
    </row>
    <row r="19" spans="1:10" x14ac:dyDescent="0.3">
      <c r="A19" s="40">
        <v>94</v>
      </c>
      <c r="B19" s="40">
        <v>0.81540999999999997</v>
      </c>
      <c r="C19" s="40">
        <v>962.57</v>
      </c>
      <c r="D19" s="40">
        <v>0.48776999999999998</v>
      </c>
      <c r="E19" s="40">
        <v>393.88</v>
      </c>
      <c r="F19" s="40">
        <v>2666</v>
      </c>
      <c r="G19" s="40">
        <v>1.2388999999999999</v>
      </c>
      <c r="H19" s="40">
        <v>7.4275000000000002</v>
      </c>
      <c r="I19" s="40">
        <v>4.2092000000000001</v>
      </c>
      <c r="J19" s="40">
        <v>2.0569999999999999</v>
      </c>
    </row>
    <row r="20" spans="1:10" x14ac:dyDescent="0.3">
      <c r="A20" s="40">
        <v>95</v>
      </c>
      <c r="B20" s="40">
        <v>0.84608000000000005</v>
      </c>
      <c r="C20" s="40">
        <v>961.88</v>
      </c>
      <c r="D20" s="40">
        <v>0.50490999999999997</v>
      </c>
      <c r="E20" s="40">
        <v>398.09</v>
      </c>
      <c r="F20" s="40">
        <v>2667.6</v>
      </c>
      <c r="G20" s="40">
        <v>1.2504</v>
      </c>
      <c r="H20" s="40">
        <v>7.4150999999999998</v>
      </c>
      <c r="I20" s="40">
        <v>4.2102000000000004</v>
      </c>
      <c r="J20" s="40">
        <v>2.0607000000000002</v>
      </c>
    </row>
    <row r="21" spans="1:10" x14ac:dyDescent="0.3">
      <c r="A21" s="40">
        <v>96</v>
      </c>
      <c r="B21" s="40">
        <v>0.87770999999999999</v>
      </c>
      <c r="C21" s="40">
        <v>961.18</v>
      </c>
      <c r="D21" s="40">
        <v>0.52254</v>
      </c>
      <c r="E21" s="40">
        <v>402.3</v>
      </c>
      <c r="F21" s="40">
        <v>2669.2</v>
      </c>
      <c r="G21" s="40">
        <v>1.2618</v>
      </c>
      <c r="H21" s="40">
        <v>7.4027000000000003</v>
      </c>
      <c r="I21" s="40">
        <v>4.2112999999999996</v>
      </c>
      <c r="J21" s="40">
        <v>2.0644</v>
      </c>
    </row>
    <row r="22" spans="1:10" x14ac:dyDescent="0.3">
      <c r="A22" s="40">
        <v>97</v>
      </c>
      <c r="B22" s="40">
        <v>0.9103</v>
      </c>
      <c r="C22" s="40">
        <v>960.48</v>
      </c>
      <c r="D22" s="40">
        <v>0.54066999999999998</v>
      </c>
      <c r="E22" s="40">
        <v>406.52</v>
      </c>
      <c r="F22" s="40">
        <v>2670.8</v>
      </c>
      <c r="G22" s="40">
        <v>1.2732000000000001</v>
      </c>
      <c r="H22" s="40">
        <v>7.3903999999999996</v>
      </c>
      <c r="I22" s="40">
        <v>4.2122999999999999</v>
      </c>
      <c r="J22" s="40">
        <v>2.0682</v>
      </c>
    </row>
    <row r="23" spans="1:10" x14ac:dyDescent="0.3">
      <c r="A23" s="40">
        <v>98</v>
      </c>
      <c r="B23" s="40">
        <v>0.94389999999999996</v>
      </c>
      <c r="C23" s="40">
        <v>959.78</v>
      </c>
      <c r="D23" s="40">
        <v>0.55930999999999997</v>
      </c>
      <c r="E23" s="40">
        <v>410.73</v>
      </c>
      <c r="F23" s="40">
        <v>2672.4</v>
      </c>
      <c r="G23" s="40">
        <v>1.2846</v>
      </c>
      <c r="H23" s="40">
        <v>7.3783000000000003</v>
      </c>
      <c r="I23" s="40">
        <v>4.2134</v>
      </c>
      <c r="J23" s="40">
        <v>2.0720999999999998</v>
      </c>
    </row>
    <row r="24" spans="1:10" x14ac:dyDescent="0.3">
      <c r="A24" s="40">
        <v>99</v>
      </c>
      <c r="B24" s="40">
        <v>0.97851999999999995</v>
      </c>
      <c r="C24" s="40">
        <v>959.06</v>
      </c>
      <c r="D24" s="40">
        <v>0.57847000000000004</v>
      </c>
      <c r="E24" s="40">
        <v>414.95</v>
      </c>
      <c r="F24" s="40">
        <v>2674</v>
      </c>
      <c r="G24" s="40">
        <v>1.2959000000000001</v>
      </c>
      <c r="H24" s="40">
        <v>7.3661000000000003</v>
      </c>
      <c r="I24" s="40">
        <v>4.2145000000000001</v>
      </c>
      <c r="J24" s="40">
        <v>2.0760000000000001</v>
      </c>
    </row>
    <row r="25" spans="1:10" x14ac:dyDescent="0.3">
      <c r="A25" s="40">
        <v>100</v>
      </c>
      <c r="B25" s="40">
        <v>1.0142</v>
      </c>
      <c r="C25" s="40">
        <v>958.35</v>
      </c>
      <c r="D25" s="40">
        <v>0.59816999999999998</v>
      </c>
      <c r="E25" s="40">
        <v>419.17</v>
      </c>
      <c r="F25" s="40">
        <v>2675.6</v>
      </c>
      <c r="G25" s="40">
        <v>1.3071999999999999</v>
      </c>
      <c r="H25" s="40">
        <v>7.3540999999999999</v>
      </c>
      <c r="I25" s="40">
        <v>4.2157</v>
      </c>
      <c r="J25" s="40">
        <v>2.08</v>
      </c>
    </row>
    <row r="26" spans="1:10" x14ac:dyDescent="0.3">
      <c r="A26" s="40">
        <v>101</v>
      </c>
      <c r="B26" s="40">
        <v>1.0508999999999999</v>
      </c>
      <c r="C26" s="40">
        <v>957.63</v>
      </c>
      <c r="D26" s="40">
        <v>0.61841000000000002</v>
      </c>
      <c r="E26" s="40">
        <v>423.39</v>
      </c>
      <c r="F26" s="40">
        <v>2677.1</v>
      </c>
      <c r="G26" s="40">
        <v>1.3185</v>
      </c>
      <c r="H26" s="40">
        <v>7.3422000000000001</v>
      </c>
      <c r="I26" s="40">
        <v>4.2168000000000001</v>
      </c>
      <c r="J26" s="40">
        <v>2.0840999999999998</v>
      </c>
    </row>
    <row r="27" spans="1:10" x14ac:dyDescent="0.3">
      <c r="A27" s="40">
        <v>102</v>
      </c>
      <c r="B27" s="40">
        <v>1.0887</v>
      </c>
      <c r="C27" s="40">
        <v>956.9</v>
      </c>
      <c r="D27" s="40">
        <v>0.63919999999999999</v>
      </c>
      <c r="E27" s="40">
        <v>427.61</v>
      </c>
      <c r="F27" s="40">
        <v>2678.7</v>
      </c>
      <c r="G27" s="40">
        <v>1.3297000000000001</v>
      </c>
      <c r="H27" s="40">
        <v>7.3303000000000003</v>
      </c>
      <c r="I27" s="40">
        <v>4.218</v>
      </c>
      <c r="J27" s="40">
        <v>2.0882999999999998</v>
      </c>
    </row>
    <row r="28" spans="1:10" x14ac:dyDescent="0.3">
      <c r="A28" s="40">
        <v>103</v>
      </c>
      <c r="B28" s="40">
        <v>1.1276999999999999</v>
      </c>
      <c r="C28" s="40">
        <v>956.18</v>
      </c>
      <c r="D28" s="40">
        <v>0.66056000000000004</v>
      </c>
      <c r="E28" s="40">
        <v>431.83</v>
      </c>
      <c r="F28" s="40">
        <v>2680.3</v>
      </c>
      <c r="G28" s="40">
        <v>1.341</v>
      </c>
      <c r="H28" s="40">
        <v>7.3185000000000002</v>
      </c>
      <c r="I28" s="40">
        <v>4.2191999999999998</v>
      </c>
      <c r="J28" s="40">
        <v>2.0924999999999998</v>
      </c>
    </row>
    <row r="29" spans="1:10" x14ac:dyDescent="0.3">
      <c r="A29" s="40">
        <v>104</v>
      </c>
      <c r="B29" s="40">
        <v>1.1677999999999999</v>
      </c>
      <c r="C29" s="40">
        <v>955.44</v>
      </c>
      <c r="D29" s="40">
        <v>0.6825</v>
      </c>
      <c r="E29" s="40">
        <v>436.05</v>
      </c>
      <c r="F29" s="40">
        <v>2681.8</v>
      </c>
      <c r="G29" s="40">
        <v>1.3522000000000001</v>
      </c>
      <c r="H29" s="40">
        <v>7.3068</v>
      </c>
      <c r="I29" s="40">
        <v>4.2203999999999997</v>
      </c>
      <c r="J29" s="40">
        <v>2.0968</v>
      </c>
    </row>
    <row r="30" spans="1:10" x14ac:dyDescent="0.3">
      <c r="A30" s="40">
        <v>105</v>
      </c>
      <c r="B30" s="40">
        <v>1.2090000000000001</v>
      </c>
      <c r="C30" s="40">
        <v>954.7</v>
      </c>
      <c r="D30" s="40">
        <v>0.70503000000000005</v>
      </c>
      <c r="E30" s="40">
        <v>440.27</v>
      </c>
      <c r="F30" s="40">
        <v>2683.4</v>
      </c>
      <c r="G30" s="40">
        <v>1.3633</v>
      </c>
      <c r="H30" s="40">
        <v>7.2952000000000004</v>
      </c>
      <c r="I30" s="40">
        <v>4.2217000000000002</v>
      </c>
      <c r="J30" s="40">
        <v>2.1012</v>
      </c>
    </row>
    <row r="31" spans="1:10" x14ac:dyDescent="0.3">
      <c r="A31" s="40">
        <v>106</v>
      </c>
      <c r="B31" s="40">
        <v>1.2515000000000001</v>
      </c>
      <c r="C31" s="40">
        <v>953.96</v>
      </c>
      <c r="D31" s="40">
        <v>0.72816000000000003</v>
      </c>
      <c r="E31" s="40">
        <v>444.5</v>
      </c>
      <c r="F31" s="40">
        <v>2684.9</v>
      </c>
      <c r="G31" s="40">
        <v>1.3745000000000001</v>
      </c>
      <c r="H31" s="40">
        <v>7.2835999999999999</v>
      </c>
      <c r="I31" s="40">
        <v>4.2229999999999999</v>
      </c>
      <c r="J31" s="40">
        <v>2.1057000000000001</v>
      </c>
    </row>
    <row r="32" spans="1:10" x14ac:dyDescent="0.3">
      <c r="A32" s="40">
        <v>107</v>
      </c>
      <c r="B32" s="40">
        <v>1.2951999999999999</v>
      </c>
      <c r="C32" s="40">
        <v>953.22</v>
      </c>
      <c r="D32" s="40">
        <v>0.75190000000000001</v>
      </c>
      <c r="E32" s="40">
        <v>448.73</v>
      </c>
      <c r="F32" s="40">
        <v>2686.5</v>
      </c>
      <c r="G32" s="40">
        <v>1.3855999999999999</v>
      </c>
      <c r="H32" s="40">
        <v>7.2721</v>
      </c>
      <c r="I32" s="40">
        <v>4.2243000000000004</v>
      </c>
      <c r="J32" s="40">
        <v>2.1101999999999999</v>
      </c>
    </row>
    <row r="33" spans="1:10" x14ac:dyDescent="0.3">
      <c r="A33" s="40">
        <v>108</v>
      </c>
      <c r="B33" s="40">
        <v>1.3401000000000001</v>
      </c>
      <c r="C33" s="40">
        <v>952.46</v>
      </c>
      <c r="D33" s="40">
        <v>0.77627000000000002</v>
      </c>
      <c r="E33" s="40">
        <v>452.95</v>
      </c>
      <c r="F33" s="40">
        <v>2688</v>
      </c>
      <c r="G33" s="40">
        <v>1.3967000000000001</v>
      </c>
      <c r="H33" s="40">
        <v>7.2606999999999999</v>
      </c>
      <c r="I33" s="40">
        <v>4.2256</v>
      </c>
      <c r="J33" s="40">
        <v>2.1149</v>
      </c>
    </row>
    <row r="34" spans="1:10" x14ac:dyDescent="0.3">
      <c r="A34" s="40">
        <v>109</v>
      </c>
      <c r="B34" s="40">
        <v>1.3863000000000001</v>
      </c>
      <c r="C34" s="40">
        <v>951.71</v>
      </c>
      <c r="D34" s="40">
        <v>0.80127000000000004</v>
      </c>
      <c r="E34" s="40">
        <v>457.18</v>
      </c>
      <c r="F34" s="40">
        <v>2689.5</v>
      </c>
      <c r="G34" s="40">
        <v>1.4077999999999999</v>
      </c>
      <c r="H34" s="40">
        <v>7.2492999999999999</v>
      </c>
      <c r="I34" s="40">
        <v>4.2270000000000003</v>
      </c>
      <c r="J34" s="40">
        <v>2.1196000000000002</v>
      </c>
    </row>
    <row r="35" spans="1:10" x14ac:dyDescent="0.3">
      <c r="A35" s="40">
        <v>110</v>
      </c>
      <c r="B35" s="40">
        <v>1.4338</v>
      </c>
      <c r="C35" s="40">
        <v>950.95</v>
      </c>
      <c r="D35" s="40">
        <v>0.82693000000000005</v>
      </c>
      <c r="E35" s="40">
        <v>461.42</v>
      </c>
      <c r="F35" s="40">
        <v>2691.1</v>
      </c>
      <c r="G35" s="40">
        <v>1.4188000000000001</v>
      </c>
      <c r="H35" s="40">
        <v>7.2381000000000002</v>
      </c>
      <c r="I35" s="40">
        <v>4.2282999999999999</v>
      </c>
      <c r="J35" s="40">
        <v>2.1244000000000001</v>
      </c>
    </row>
    <row r="36" spans="1:10" x14ac:dyDescent="0.3">
      <c r="A36" s="40">
        <v>111</v>
      </c>
      <c r="B36" s="40">
        <v>1.4825999999999999</v>
      </c>
      <c r="C36" s="40">
        <v>950.18</v>
      </c>
      <c r="D36" s="40">
        <v>0.85324999999999995</v>
      </c>
      <c r="E36" s="40">
        <v>465.65</v>
      </c>
      <c r="F36" s="40">
        <v>2692.6</v>
      </c>
      <c r="G36" s="40">
        <v>1.4298</v>
      </c>
      <c r="H36" s="40">
        <v>7.2268999999999997</v>
      </c>
      <c r="I36" s="40">
        <v>4.2297000000000002</v>
      </c>
      <c r="J36" s="40">
        <v>2.1292</v>
      </c>
    </row>
    <row r="37" spans="1:10" x14ac:dyDescent="0.3">
      <c r="A37" s="40">
        <v>112</v>
      </c>
      <c r="B37" s="40">
        <v>1.5327999999999999</v>
      </c>
      <c r="C37" s="40">
        <v>949.41</v>
      </c>
      <c r="D37" s="40">
        <v>0.88024000000000002</v>
      </c>
      <c r="E37" s="40">
        <v>469.88</v>
      </c>
      <c r="F37" s="40">
        <v>2694.1</v>
      </c>
      <c r="G37" s="40">
        <v>1.4408000000000001</v>
      </c>
      <c r="H37" s="40">
        <v>7.2157</v>
      </c>
      <c r="I37" s="40">
        <v>4.2312000000000003</v>
      </c>
      <c r="J37" s="40">
        <v>2.1341999999999999</v>
      </c>
    </row>
    <row r="38" spans="1:10" x14ac:dyDescent="0.3">
      <c r="A38" s="40">
        <v>113</v>
      </c>
      <c r="B38" s="40">
        <v>1.5844</v>
      </c>
      <c r="C38" s="40">
        <v>948.64</v>
      </c>
      <c r="D38" s="40">
        <v>0.90791999999999995</v>
      </c>
      <c r="E38" s="40">
        <v>474.12</v>
      </c>
      <c r="F38" s="40">
        <v>2695.6</v>
      </c>
      <c r="G38" s="40">
        <v>1.4518</v>
      </c>
      <c r="H38" s="40">
        <v>7.2046999999999999</v>
      </c>
      <c r="I38" s="40">
        <v>4.2325999999999997</v>
      </c>
      <c r="J38" s="40">
        <v>2.1392000000000002</v>
      </c>
    </row>
    <row r="39" spans="1:10" x14ac:dyDescent="0.3">
      <c r="A39" s="40">
        <v>114</v>
      </c>
      <c r="B39" s="40">
        <v>1.6374</v>
      </c>
      <c r="C39" s="40">
        <v>947.86</v>
      </c>
      <c r="D39" s="40">
        <v>0.93630000000000002</v>
      </c>
      <c r="E39" s="40">
        <v>478.35</v>
      </c>
      <c r="F39" s="40">
        <v>2697.1</v>
      </c>
      <c r="G39" s="40">
        <v>1.4628000000000001</v>
      </c>
      <c r="H39" s="40">
        <v>7.1936999999999998</v>
      </c>
      <c r="I39" s="40">
        <v>4.2340999999999998</v>
      </c>
      <c r="J39" s="40">
        <v>2.1442999999999999</v>
      </c>
    </row>
    <row r="40" spans="1:10" x14ac:dyDescent="0.3">
      <c r="A40" s="40">
        <v>115</v>
      </c>
      <c r="B40" s="40">
        <v>1.6918</v>
      </c>
      <c r="C40" s="40">
        <v>947.08</v>
      </c>
      <c r="D40" s="40">
        <v>0.96540000000000004</v>
      </c>
      <c r="E40" s="40">
        <v>482.59</v>
      </c>
      <c r="F40" s="40">
        <v>2698.6</v>
      </c>
      <c r="G40" s="40">
        <v>1.4737</v>
      </c>
      <c r="H40" s="40">
        <v>7.1828000000000003</v>
      </c>
      <c r="I40" s="40">
        <v>4.2355999999999998</v>
      </c>
      <c r="J40" s="40">
        <v>2.1496</v>
      </c>
    </row>
    <row r="41" spans="1:10" x14ac:dyDescent="0.3">
      <c r="A41" s="40">
        <v>116</v>
      </c>
      <c r="B41" s="40">
        <v>1.7477</v>
      </c>
      <c r="C41" s="40">
        <v>946.3</v>
      </c>
      <c r="D41" s="40">
        <v>0.99521999999999999</v>
      </c>
      <c r="E41" s="40">
        <v>486.83</v>
      </c>
      <c r="F41" s="40">
        <v>2700.1</v>
      </c>
      <c r="G41" s="40">
        <v>1.4845999999999999</v>
      </c>
      <c r="H41" s="40">
        <v>7.1718999999999999</v>
      </c>
      <c r="I41" s="40">
        <v>4.2370999999999999</v>
      </c>
      <c r="J41" s="40">
        <v>2.1549</v>
      </c>
    </row>
    <row r="42" spans="1:10" x14ac:dyDescent="0.3">
      <c r="A42" s="40">
        <v>117</v>
      </c>
      <c r="B42" s="40">
        <v>1.8051999999999999</v>
      </c>
      <c r="C42" s="40">
        <v>945.5</v>
      </c>
      <c r="D42" s="40">
        <v>1.0258</v>
      </c>
      <c r="E42" s="40">
        <v>491.08</v>
      </c>
      <c r="F42" s="40">
        <v>2701.5</v>
      </c>
      <c r="G42" s="40">
        <v>1.4954000000000001</v>
      </c>
      <c r="H42" s="40">
        <v>7.1611000000000002</v>
      </c>
      <c r="I42" s="40">
        <v>4.2386999999999997</v>
      </c>
      <c r="J42" s="40">
        <v>2.1602000000000001</v>
      </c>
    </row>
    <row r="43" spans="1:10" x14ac:dyDescent="0.3">
      <c r="A43" s="40">
        <v>118</v>
      </c>
      <c r="B43" s="40">
        <v>1.8641000000000001</v>
      </c>
      <c r="C43" s="40">
        <v>944.71</v>
      </c>
      <c r="D43" s="40">
        <v>1.0570999999999999</v>
      </c>
      <c r="E43" s="40">
        <v>495.32</v>
      </c>
      <c r="F43" s="40">
        <v>2703</v>
      </c>
      <c r="G43" s="40">
        <v>1.5063</v>
      </c>
      <c r="H43" s="40">
        <v>7.1504000000000003</v>
      </c>
      <c r="I43" s="40">
        <v>4.2403000000000004</v>
      </c>
      <c r="J43" s="40">
        <v>2.1657000000000002</v>
      </c>
    </row>
    <row r="44" spans="1:10" x14ac:dyDescent="0.3">
      <c r="A44" s="40">
        <v>119</v>
      </c>
      <c r="B44" s="40">
        <v>1.9246000000000001</v>
      </c>
      <c r="C44" s="40">
        <v>943.91</v>
      </c>
      <c r="D44" s="40">
        <v>1.0891999999999999</v>
      </c>
      <c r="E44" s="40">
        <v>499.56</v>
      </c>
      <c r="F44" s="40">
        <v>2704.5</v>
      </c>
      <c r="G44" s="40">
        <v>1.5170999999999999</v>
      </c>
      <c r="H44" s="40">
        <v>7.1397000000000004</v>
      </c>
      <c r="I44" s="40">
        <v>4.2419000000000002</v>
      </c>
      <c r="J44" s="40">
        <v>2.1713</v>
      </c>
    </row>
    <row r="45" spans="1:10" x14ac:dyDescent="0.3">
      <c r="A45" s="40">
        <v>120</v>
      </c>
      <c r="B45" s="40">
        <v>1.9866999999999999</v>
      </c>
      <c r="C45" s="40">
        <v>943.11</v>
      </c>
      <c r="D45" s="40">
        <v>1.1221000000000001</v>
      </c>
      <c r="E45" s="40">
        <v>503.81</v>
      </c>
      <c r="F45" s="40">
        <v>2705.9</v>
      </c>
      <c r="G45" s="40">
        <v>1.5279</v>
      </c>
      <c r="H45" s="40">
        <v>7.1291000000000002</v>
      </c>
      <c r="I45" s="40">
        <v>4.2435</v>
      </c>
      <c r="J45" s="40">
        <v>2.177</v>
      </c>
    </row>
    <row r="46" spans="1:10" x14ac:dyDescent="0.3">
      <c r="A46" s="40">
        <v>121</v>
      </c>
      <c r="B46" s="40">
        <v>2.0505</v>
      </c>
      <c r="C46" s="40">
        <v>942.3</v>
      </c>
      <c r="D46" s="40">
        <v>1.1556999999999999</v>
      </c>
      <c r="E46" s="40">
        <v>508.06</v>
      </c>
      <c r="F46" s="40">
        <v>2707.4</v>
      </c>
      <c r="G46" s="40">
        <v>1.5387</v>
      </c>
      <c r="H46" s="40">
        <v>7.1185999999999998</v>
      </c>
      <c r="I46" s="40">
        <v>4.2451999999999996</v>
      </c>
      <c r="J46" s="40">
        <v>2.1827000000000001</v>
      </c>
    </row>
    <row r="47" spans="1:10" x14ac:dyDescent="0.3">
      <c r="A47" s="40">
        <v>122</v>
      </c>
      <c r="B47" s="40">
        <v>2.1158999999999999</v>
      </c>
      <c r="C47" s="40">
        <v>941.49</v>
      </c>
      <c r="D47" s="40">
        <v>1.1901999999999999</v>
      </c>
      <c r="E47" s="40">
        <v>512.30999999999995</v>
      </c>
      <c r="F47" s="40">
        <v>2708.8</v>
      </c>
      <c r="G47" s="40">
        <v>1.5494000000000001</v>
      </c>
      <c r="H47" s="40">
        <v>7.1081000000000003</v>
      </c>
      <c r="I47" s="40">
        <v>4.2469000000000001</v>
      </c>
      <c r="J47" s="40">
        <v>2.1886000000000001</v>
      </c>
    </row>
    <row r="48" spans="1:10" x14ac:dyDescent="0.3">
      <c r="A48" s="40">
        <v>123</v>
      </c>
      <c r="B48" s="40">
        <v>2.1829999999999998</v>
      </c>
      <c r="C48" s="40">
        <v>940.67</v>
      </c>
      <c r="D48" s="40">
        <v>1.2255</v>
      </c>
      <c r="E48" s="40">
        <v>516.55999999999995</v>
      </c>
      <c r="F48" s="40">
        <v>2710.3</v>
      </c>
      <c r="G48" s="40">
        <v>1.5602</v>
      </c>
      <c r="H48" s="40">
        <v>7.0976999999999997</v>
      </c>
      <c r="I48" s="40">
        <v>4.2485999999999997</v>
      </c>
      <c r="J48" s="40">
        <v>2.1945000000000001</v>
      </c>
    </row>
    <row r="49" spans="1:10" x14ac:dyDescent="0.3">
      <c r="A49" s="40">
        <v>124</v>
      </c>
      <c r="B49" s="40">
        <v>2.2517999999999998</v>
      </c>
      <c r="C49" s="40">
        <v>939.85</v>
      </c>
      <c r="D49" s="40">
        <v>1.2617</v>
      </c>
      <c r="E49" s="40">
        <v>520.82000000000005</v>
      </c>
      <c r="F49" s="40">
        <v>2711.7</v>
      </c>
      <c r="G49" s="40">
        <v>1.5709</v>
      </c>
      <c r="H49" s="40">
        <v>7.0872999999999999</v>
      </c>
      <c r="I49" s="40">
        <v>4.2504</v>
      </c>
      <c r="J49" s="40">
        <v>2.2006000000000001</v>
      </c>
    </row>
    <row r="50" spans="1:10" x14ac:dyDescent="0.3">
      <c r="A50" s="40">
        <v>125</v>
      </c>
      <c r="B50" s="40">
        <v>2.3224</v>
      </c>
      <c r="C50" s="40">
        <v>939.02</v>
      </c>
      <c r="D50" s="40">
        <v>1.2987</v>
      </c>
      <c r="E50" s="40">
        <v>525.07000000000005</v>
      </c>
      <c r="F50" s="40">
        <v>2713.1</v>
      </c>
      <c r="G50" s="40">
        <v>1.5815999999999999</v>
      </c>
      <c r="H50" s="40">
        <v>7.077</v>
      </c>
      <c r="I50" s="40">
        <v>4.2521000000000004</v>
      </c>
      <c r="J50" s="40">
        <v>2.2067000000000001</v>
      </c>
    </row>
    <row r="51" spans="1:10" x14ac:dyDescent="0.3">
      <c r="A51" s="40">
        <v>126</v>
      </c>
      <c r="B51" s="40">
        <v>2.3946999999999998</v>
      </c>
      <c r="C51" s="40">
        <v>938.19</v>
      </c>
      <c r="D51" s="40">
        <v>1.3365</v>
      </c>
      <c r="E51" s="40">
        <v>529.33000000000004</v>
      </c>
      <c r="F51" s="40">
        <v>2714.5</v>
      </c>
      <c r="G51" s="40">
        <v>1.5922000000000001</v>
      </c>
      <c r="H51" s="40">
        <v>7.0667999999999997</v>
      </c>
      <c r="I51" s="40">
        <v>4.2538999999999998</v>
      </c>
      <c r="J51" s="40">
        <v>2.2128999999999999</v>
      </c>
    </row>
    <row r="52" spans="1:10" x14ac:dyDescent="0.3">
      <c r="A52" s="40">
        <v>127</v>
      </c>
      <c r="B52" s="40">
        <v>2.4689000000000001</v>
      </c>
      <c r="C52" s="40">
        <v>937.36</v>
      </c>
      <c r="D52" s="40">
        <v>1.3753</v>
      </c>
      <c r="E52" s="40">
        <v>533.59</v>
      </c>
      <c r="F52" s="40">
        <v>2715.9</v>
      </c>
      <c r="G52" s="40">
        <v>1.6029</v>
      </c>
      <c r="H52" s="40">
        <v>7.0566000000000004</v>
      </c>
      <c r="I52" s="40">
        <v>4.2557999999999998</v>
      </c>
      <c r="J52" s="40">
        <v>2.2193000000000001</v>
      </c>
    </row>
    <row r="53" spans="1:10" x14ac:dyDescent="0.3">
      <c r="A53" s="40">
        <v>128</v>
      </c>
      <c r="B53" s="40">
        <v>2.5449999999999999</v>
      </c>
      <c r="C53" s="40">
        <v>936.52</v>
      </c>
      <c r="D53" s="40">
        <v>1.4149</v>
      </c>
      <c r="E53" s="40">
        <v>537.85</v>
      </c>
      <c r="F53" s="40">
        <v>2717.3</v>
      </c>
      <c r="G53" s="40">
        <v>1.6134999999999999</v>
      </c>
      <c r="H53" s="40">
        <v>7.0465</v>
      </c>
      <c r="I53" s="40">
        <v>4.2576999999999998</v>
      </c>
      <c r="J53" s="40">
        <v>2.2256999999999998</v>
      </c>
    </row>
    <row r="54" spans="1:10" x14ac:dyDescent="0.3">
      <c r="A54" s="40">
        <v>129</v>
      </c>
      <c r="B54" s="40">
        <v>2.6229</v>
      </c>
      <c r="C54" s="40">
        <v>935.68</v>
      </c>
      <c r="D54" s="40">
        <v>1.4555</v>
      </c>
      <c r="E54" s="40">
        <v>542.12</v>
      </c>
      <c r="F54" s="40">
        <v>2718.7</v>
      </c>
      <c r="G54" s="40">
        <v>1.6241000000000001</v>
      </c>
      <c r="H54" s="40">
        <v>7.0364000000000004</v>
      </c>
      <c r="I54" s="40">
        <v>4.2595999999999998</v>
      </c>
      <c r="J54" s="40">
        <v>2.2322000000000002</v>
      </c>
    </row>
    <row r="55" spans="1:10" x14ac:dyDescent="0.3">
      <c r="A55" s="40">
        <v>130</v>
      </c>
      <c r="B55" s="40">
        <v>2.7027999999999999</v>
      </c>
      <c r="C55" s="40">
        <v>934.83</v>
      </c>
      <c r="D55" s="40">
        <v>1.4970000000000001</v>
      </c>
      <c r="E55" s="40">
        <v>546.38</v>
      </c>
      <c r="F55" s="40">
        <v>2720.1</v>
      </c>
      <c r="G55" s="40">
        <v>1.6346000000000001</v>
      </c>
      <c r="H55" s="40">
        <v>7.0263999999999998</v>
      </c>
      <c r="I55" s="40">
        <v>4.2614999999999998</v>
      </c>
      <c r="J55" s="40">
        <v>2.2389000000000001</v>
      </c>
    </row>
    <row r="56" spans="1:10" x14ac:dyDescent="0.3">
      <c r="A56" s="40">
        <v>131</v>
      </c>
      <c r="B56" s="40">
        <v>2.7846000000000002</v>
      </c>
      <c r="C56" s="40">
        <v>933.98</v>
      </c>
      <c r="D56" s="40">
        <v>1.5394000000000001</v>
      </c>
      <c r="E56" s="40">
        <v>550.65</v>
      </c>
      <c r="F56" s="40">
        <v>2721.5</v>
      </c>
      <c r="G56" s="40">
        <v>1.6452</v>
      </c>
      <c r="H56" s="40">
        <v>7.0164999999999997</v>
      </c>
      <c r="I56" s="40">
        <v>4.2634999999999996</v>
      </c>
      <c r="J56" s="40">
        <v>2.2456</v>
      </c>
    </row>
    <row r="57" spans="1:10" x14ac:dyDescent="0.3">
      <c r="A57" s="40">
        <v>132</v>
      </c>
      <c r="B57" s="40">
        <v>2.8685</v>
      </c>
      <c r="C57" s="40">
        <v>933.13</v>
      </c>
      <c r="D57" s="40">
        <v>1.5828</v>
      </c>
      <c r="E57" s="40">
        <v>554.91999999999996</v>
      </c>
      <c r="F57" s="40">
        <v>2722.8</v>
      </c>
      <c r="G57" s="40">
        <v>1.6556999999999999</v>
      </c>
      <c r="H57" s="40">
        <v>7.0065999999999997</v>
      </c>
      <c r="I57" s="40">
        <v>4.2655000000000003</v>
      </c>
      <c r="J57" s="40">
        <v>2.2524000000000002</v>
      </c>
    </row>
    <row r="58" spans="1:10" x14ac:dyDescent="0.3">
      <c r="A58" s="40">
        <v>133</v>
      </c>
      <c r="B58" s="40">
        <v>2.9542999999999999</v>
      </c>
      <c r="C58" s="40">
        <v>932.27</v>
      </c>
      <c r="D58" s="40">
        <v>1.6272</v>
      </c>
      <c r="E58" s="40">
        <v>559.19000000000005</v>
      </c>
      <c r="F58" s="40">
        <v>2724.2</v>
      </c>
      <c r="G58" s="40">
        <v>1.6661999999999999</v>
      </c>
      <c r="H58" s="40">
        <v>6.9966999999999997</v>
      </c>
      <c r="I58" s="40">
        <v>4.2675000000000001</v>
      </c>
      <c r="J58" s="40">
        <v>2.2593999999999999</v>
      </c>
    </row>
    <row r="59" spans="1:10" x14ac:dyDescent="0.3">
      <c r="A59" s="40">
        <v>134</v>
      </c>
      <c r="B59" s="40">
        <v>3.0423</v>
      </c>
      <c r="C59" s="40">
        <v>931.41</v>
      </c>
      <c r="D59" s="40">
        <v>1.6726000000000001</v>
      </c>
      <c r="E59" s="40">
        <v>563.47</v>
      </c>
      <c r="F59" s="40">
        <v>2725.5</v>
      </c>
      <c r="G59" s="40">
        <v>1.6767000000000001</v>
      </c>
      <c r="H59" s="40">
        <v>6.9869000000000003</v>
      </c>
      <c r="I59" s="40">
        <v>4.2694999999999999</v>
      </c>
      <c r="J59" s="40">
        <v>2.2664</v>
      </c>
    </row>
    <row r="60" spans="1:10" x14ac:dyDescent="0.3">
      <c r="A60" s="40">
        <v>135</v>
      </c>
      <c r="B60" s="40">
        <v>3.1322999999999999</v>
      </c>
      <c r="C60" s="40">
        <v>930.54</v>
      </c>
      <c r="D60" s="40">
        <v>1.7190000000000001</v>
      </c>
      <c r="E60" s="40">
        <v>567.74</v>
      </c>
      <c r="F60" s="40">
        <v>2726.9</v>
      </c>
      <c r="G60" s="40">
        <v>1.6872</v>
      </c>
      <c r="H60" s="40">
        <v>6.9771999999999998</v>
      </c>
      <c r="I60" s="40">
        <v>4.2716000000000003</v>
      </c>
      <c r="J60" s="40">
        <v>2.2736000000000001</v>
      </c>
    </row>
    <row r="61" spans="1:10" x14ac:dyDescent="0.3">
      <c r="A61" s="40">
        <v>136</v>
      </c>
      <c r="B61" s="40">
        <v>3.2244999999999999</v>
      </c>
      <c r="C61" s="40">
        <v>929.67</v>
      </c>
      <c r="D61" s="40">
        <v>1.7664</v>
      </c>
      <c r="E61" s="40">
        <v>572.02</v>
      </c>
      <c r="F61" s="40">
        <v>2728.2</v>
      </c>
      <c r="G61" s="40">
        <v>1.6976</v>
      </c>
      <c r="H61" s="40">
        <v>6.9675000000000002</v>
      </c>
      <c r="I61" s="40">
        <v>4.2737999999999996</v>
      </c>
      <c r="J61" s="40">
        <v>2.2808000000000002</v>
      </c>
    </row>
    <row r="62" spans="1:10" x14ac:dyDescent="0.3">
      <c r="A62" s="40">
        <v>137</v>
      </c>
      <c r="B62" s="40">
        <v>3.3188</v>
      </c>
      <c r="C62" s="40">
        <v>928.79</v>
      </c>
      <c r="D62" s="40">
        <v>1.8149</v>
      </c>
      <c r="E62" s="40">
        <v>576.29999999999995</v>
      </c>
      <c r="F62" s="40">
        <v>2729.5</v>
      </c>
      <c r="G62" s="40">
        <v>1.7081</v>
      </c>
      <c r="H62" s="40">
        <v>6.9579000000000004</v>
      </c>
      <c r="I62" s="40">
        <v>4.2759</v>
      </c>
      <c r="J62" s="40">
        <v>2.2881999999999998</v>
      </c>
    </row>
    <row r="63" spans="1:10" x14ac:dyDescent="0.3">
      <c r="A63" s="40">
        <v>138</v>
      </c>
      <c r="B63" s="40">
        <v>3.4154</v>
      </c>
      <c r="C63" s="40">
        <v>927.91</v>
      </c>
      <c r="D63" s="40">
        <v>1.8644000000000001</v>
      </c>
      <c r="E63" s="40">
        <v>580.59</v>
      </c>
      <c r="F63" s="40">
        <v>2730.8</v>
      </c>
      <c r="G63" s="40">
        <v>1.7184999999999999</v>
      </c>
      <c r="H63" s="40">
        <v>6.9482999999999997</v>
      </c>
      <c r="I63" s="40">
        <v>4.2781000000000002</v>
      </c>
      <c r="J63" s="40">
        <v>2.2957000000000001</v>
      </c>
    </row>
    <row r="64" spans="1:10" x14ac:dyDescent="0.3">
      <c r="A64" s="40">
        <v>139</v>
      </c>
      <c r="B64" s="40">
        <v>3.5143</v>
      </c>
      <c r="C64" s="40">
        <v>927.02</v>
      </c>
      <c r="D64" s="40">
        <v>1.915</v>
      </c>
      <c r="E64" s="40">
        <v>584.87</v>
      </c>
      <c r="F64" s="40">
        <v>2732.1</v>
      </c>
      <c r="G64" s="40">
        <v>1.7289000000000001</v>
      </c>
      <c r="H64" s="40">
        <v>6.9387999999999996</v>
      </c>
      <c r="I64" s="40">
        <v>4.2803000000000004</v>
      </c>
      <c r="J64" s="40">
        <v>2.3033000000000001</v>
      </c>
    </row>
    <row r="65" spans="1:10" x14ac:dyDescent="0.3">
      <c r="A65" s="40">
        <v>140</v>
      </c>
      <c r="B65" s="40">
        <v>3.6154000000000002</v>
      </c>
      <c r="C65" s="40">
        <v>926.13</v>
      </c>
      <c r="D65" s="40">
        <v>1.9666999999999999</v>
      </c>
      <c r="E65" s="40">
        <v>589.16</v>
      </c>
      <c r="F65" s="40">
        <v>2733.4</v>
      </c>
      <c r="G65" s="40">
        <v>1.7392000000000001</v>
      </c>
      <c r="H65" s="40">
        <v>6.9292999999999996</v>
      </c>
      <c r="I65" s="40">
        <v>4.2826000000000004</v>
      </c>
      <c r="J65" s="40">
        <v>2.3109000000000002</v>
      </c>
    </row>
    <row r="66" spans="1:10" x14ac:dyDescent="0.3">
      <c r="A66" s="40">
        <v>141</v>
      </c>
      <c r="B66" s="40">
        <v>3.7189000000000001</v>
      </c>
      <c r="C66" s="40">
        <v>925.24</v>
      </c>
      <c r="D66" s="40">
        <v>2.0196000000000001</v>
      </c>
      <c r="E66" s="40">
        <v>593.45000000000005</v>
      </c>
      <c r="F66" s="40">
        <v>2734.7</v>
      </c>
      <c r="G66" s="40">
        <v>1.7496</v>
      </c>
      <c r="H66" s="40">
        <v>6.9199000000000002</v>
      </c>
      <c r="I66" s="40">
        <v>4.2849000000000004</v>
      </c>
      <c r="J66" s="40">
        <v>2.3187000000000002</v>
      </c>
    </row>
    <row r="67" spans="1:10" x14ac:dyDescent="0.3">
      <c r="A67" s="40">
        <v>142</v>
      </c>
      <c r="B67" s="40">
        <v>3.8247</v>
      </c>
      <c r="C67" s="40">
        <v>924.34</v>
      </c>
      <c r="D67" s="40">
        <v>2.0735000000000001</v>
      </c>
      <c r="E67" s="40">
        <v>597.74</v>
      </c>
      <c r="F67" s="40">
        <v>2736</v>
      </c>
      <c r="G67" s="40">
        <v>1.7599</v>
      </c>
      <c r="H67" s="40">
        <v>6.9104999999999999</v>
      </c>
      <c r="I67" s="40">
        <v>4.2872000000000003</v>
      </c>
      <c r="J67" s="40">
        <v>2.3266</v>
      </c>
    </row>
    <row r="68" spans="1:10" x14ac:dyDescent="0.3">
      <c r="A68" s="40">
        <v>143</v>
      </c>
      <c r="B68" s="40">
        <v>3.9329000000000001</v>
      </c>
      <c r="C68" s="40">
        <v>923.44</v>
      </c>
      <c r="D68" s="40">
        <v>2.1286</v>
      </c>
      <c r="E68" s="40">
        <v>602.04</v>
      </c>
      <c r="F68" s="40">
        <v>2737.3</v>
      </c>
      <c r="G68" s="40">
        <v>1.7702</v>
      </c>
      <c r="H68" s="40">
        <v>6.9010999999999996</v>
      </c>
      <c r="I68" s="40">
        <v>4.2896000000000001</v>
      </c>
      <c r="J68" s="40">
        <v>2.3347000000000002</v>
      </c>
    </row>
    <row r="69" spans="1:10" x14ac:dyDescent="0.3">
      <c r="A69" s="40">
        <v>144</v>
      </c>
      <c r="B69" s="40">
        <v>4.0437000000000003</v>
      </c>
      <c r="C69" s="40">
        <v>922.54</v>
      </c>
      <c r="D69" s="40">
        <v>2.1848999999999998</v>
      </c>
      <c r="E69" s="40">
        <v>606.34</v>
      </c>
      <c r="F69" s="40">
        <v>2738.5</v>
      </c>
      <c r="G69" s="40">
        <v>1.7805</v>
      </c>
      <c r="H69" s="40">
        <v>6.8918999999999997</v>
      </c>
      <c r="I69" s="40">
        <v>4.2919999999999998</v>
      </c>
      <c r="J69" s="40">
        <v>2.3428</v>
      </c>
    </row>
    <row r="70" spans="1:10" x14ac:dyDescent="0.3">
      <c r="A70" s="40">
        <v>145</v>
      </c>
      <c r="B70" s="40">
        <v>4.1567999999999996</v>
      </c>
      <c r="C70" s="40">
        <v>921.62</v>
      </c>
      <c r="D70" s="40">
        <v>2.2423000000000002</v>
      </c>
      <c r="E70" s="40">
        <v>610.64</v>
      </c>
      <c r="F70" s="40">
        <v>2739.8</v>
      </c>
      <c r="G70" s="40">
        <v>1.7907</v>
      </c>
      <c r="H70" s="40">
        <v>6.8826000000000001</v>
      </c>
      <c r="I70" s="40">
        <v>4.2944000000000004</v>
      </c>
      <c r="J70" s="40">
        <v>2.351</v>
      </c>
    </row>
    <row r="71" spans="1:10" x14ac:dyDescent="0.3">
      <c r="A71" s="40">
        <v>146</v>
      </c>
      <c r="B71" s="40">
        <v>4.2725999999999997</v>
      </c>
      <c r="C71" s="40">
        <v>920.71</v>
      </c>
      <c r="D71" s="40">
        <v>2.3010000000000002</v>
      </c>
      <c r="E71" s="40">
        <v>614.94000000000005</v>
      </c>
      <c r="F71" s="40">
        <v>2741</v>
      </c>
      <c r="G71" s="40">
        <v>1.8009999999999999</v>
      </c>
      <c r="H71" s="40">
        <v>6.8734000000000002</v>
      </c>
      <c r="I71" s="40">
        <v>4.2968000000000002</v>
      </c>
      <c r="J71" s="40">
        <v>2.3593999999999999</v>
      </c>
    </row>
    <row r="72" spans="1:10" x14ac:dyDescent="0.3">
      <c r="A72" s="40">
        <v>147</v>
      </c>
      <c r="B72" s="40">
        <v>4.3909000000000002</v>
      </c>
      <c r="C72" s="40">
        <v>919.79</v>
      </c>
      <c r="D72" s="40">
        <v>2.3609</v>
      </c>
      <c r="E72" s="40">
        <v>619.25</v>
      </c>
      <c r="F72" s="40">
        <v>2742.3</v>
      </c>
      <c r="G72" s="40">
        <v>1.8111999999999999</v>
      </c>
      <c r="H72" s="40">
        <v>6.8643000000000001</v>
      </c>
      <c r="I72" s="40">
        <v>4.2994000000000003</v>
      </c>
      <c r="J72" s="40">
        <v>2.3677999999999999</v>
      </c>
    </row>
    <row r="73" spans="1:10" x14ac:dyDescent="0.3">
      <c r="A73" s="40">
        <v>148</v>
      </c>
      <c r="B73" s="40">
        <v>4.5118</v>
      </c>
      <c r="C73" s="40">
        <v>918.87</v>
      </c>
      <c r="D73" s="40">
        <v>2.4220000000000002</v>
      </c>
      <c r="E73" s="40">
        <v>623.55999999999995</v>
      </c>
      <c r="F73" s="40">
        <v>2743.5</v>
      </c>
      <c r="G73" s="40">
        <v>1.8213999999999999</v>
      </c>
      <c r="H73" s="40">
        <v>6.8552</v>
      </c>
      <c r="I73" s="40">
        <v>4.3018999999999998</v>
      </c>
      <c r="J73" s="40">
        <v>2.3763999999999998</v>
      </c>
    </row>
    <row r="74" spans="1:10" x14ac:dyDescent="0.3">
      <c r="A74" s="40">
        <v>149</v>
      </c>
      <c r="B74" s="40">
        <v>4.6353999999999997</v>
      </c>
      <c r="C74" s="40">
        <v>917.94</v>
      </c>
      <c r="D74" s="40">
        <v>2.4843999999999999</v>
      </c>
      <c r="E74" s="40">
        <v>627.87</v>
      </c>
      <c r="F74" s="40">
        <v>2744.7</v>
      </c>
      <c r="G74" s="40">
        <v>1.8315999999999999</v>
      </c>
      <c r="H74" s="40">
        <v>6.8460999999999999</v>
      </c>
      <c r="I74" s="40">
        <v>4.3045</v>
      </c>
      <c r="J74" s="40">
        <v>2.3851</v>
      </c>
    </row>
    <row r="75" spans="1:10" x14ac:dyDescent="0.3">
      <c r="A75" s="40">
        <v>150</v>
      </c>
      <c r="B75" s="40">
        <v>4.7615999999999996</v>
      </c>
      <c r="C75" s="40">
        <v>917.01</v>
      </c>
      <c r="D75" s="40">
        <v>2.5480999999999998</v>
      </c>
      <c r="E75" s="40">
        <v>632.17999999999995</v>
      </c>
      <c r="F75" s="40">
        <v>2745.9</v>
      </c>
      <c r="G75" s="40">
        <v>1.8418000000000001</v>
      </c>
      <c r="H75" s="40">
        <v>6.8371000000000004</v>
      </c>
      <c r="I75" s="40">
        <v>4.3071000000000002</v>
      </c>
      <c r="J75" s="40">
        <v>2.3938999999999999</v>
      </c>
    </row>
    <row r="76" spans="1:10" x14ac:dyDescent="0.3">
      <c r="A76" s="40">
        <v>151</v>
      </c>
      <c r="B76" s="40">
        <v>4.8906999999999998</v>
      </c>
      <c r="C76" s="40">
        <v>916.07</v>
      </c>
      <c r="D76" s="40">
        <v>2.613</v>
      </c>
      <c r="E76" s="40">
        <v>636.5</v>
      </c>
      <c r="F76" s="40">
        <v>2747.1</v>
      </c>
      <c r="G76" s="40">
        <v>1.8520000000000001</v>
      </c>
      <c r="H76" s="40">
        <v>6.8281000000000001</v>
      </c>
      <c r="I76" s="40">
        <v>4.3097000000000003</v>
      </c>
      <c r="J76" s="40">
        <v>2.4028</v>
      </c>
    </row>
    <row r="77" spans="1:10" x14ac:dyDescent="0.3">
      <c r="A77" s="40">
        <v>152</v>
      </c>
      <c r="B77" s="40">
        <v>5.0225</v>
      </c>
      <c r="C77" s="40">
        <v>915.13</v>
      </c>
      <c r="D77" s="40">
        <v>2.6793</v>
      </c>
      <c r="E77" s="40">
        <v>640.80999999999995</v>
      </c>
      <c r="F77" s="40">
        <v>2748.3</v>
      </c>
      <c r="G77" s="40">
        <v>1.8621000000000001</v>
      </c>
      <c r="H77" s="40">
        <v>6.8192000000000004</v>
      </c>
      <c r="I77" s="40">
        <v>4.3124000000000002</v>
      </c>
      <c r="J77" s="40">
        <v>2.4117999999999999</v>
      </c>
    </row>
    <row r="78" spans="1:10" x14ac:dyDescent="0.3">
      <c r="A78" s="40">
        <v>153</v>
      </c>
      <c r="B78" s="40">
        <v>5.1570999999999998</v>
      </c>
      <c r="C78" s="40">
        <v>914.19</v>
      </c>
      <c r="D78" s="40">
        <v>2.7469999999999999</v>
      </c>
      <c r="E78" s="40">
        <v>645.14</v>
      </c>
      <c r="F78" s="40">
        <v>2749.5</v>
      </c>
      <c r="G78" s="40">
        <v>1.8722000000000001</v>
      </c>
      <c r="H78" s="40">
        <v>6.8102999999999998</v>
      </c>
      <c r="I78" s="40">
        <v>4.3151000000000002</v>
      </c>
      <c r="J78" s="40">
        <v>2.4209999999999998</v>
      </c>
    </row>
    <row r="79" spans="1:10" x14ac:dyDescent="0.3">
      <c r="A79" s="40">
        <v>154</v>
      </c>
      <c r="B79" s="40">
        <v>5.2946</v>
      </c>
      <c r="C79" s="40">
        <v>913.24</v>
      </c>
      <c r="D79" s="40">
        <v>2.8159999999999998</v>
      </c>
      <c r="E79" s="40">
        <v>649.46</v>
      </c>
      <c r="F79" s="40">
        <v>2750.7</v>
      </c>
      <c r="G79" s="40">
        <v>1.8823000000000001</v>
      </c>
      <c r="H79" s="40">
        <v>6.8014000000000001</v>
      </c>
      <c r="I79" s="40">
        <v>4.3178999999999998</v>
      </c>
      <c r="J79" s="40">
        <v>2.4302000000000001</v>
      </c>
    </row>
    <row r="80" spans="1:10" x14ac:dyDescent="0.3">
      <c r="A80" s="40">
        <v>155</v>
      </c>
      <c r="B80" s="40">
        <v>5.4349999999999996</v>
      </c>
      <c r="C80" s="40">
        <v>912.28</v>
      </c>
      <c r="D80" s="40">
        <v>2.8862999999999999</v>
      </c>
      <c r="E80" s="40">
        <v>653.79</v>
      </c>
      <c r="F80" s="40">
        <v>2751.8</v>
      </c>
      <c r="G80" s="40">
        <v>1.8924000000000001</v>
      </c>
      <c r="H80" s="40">
        <v>6.7926000000000002</v>
      </c>
      <c r="I80" s="40">
        <v>4.3207000000000004</v>
      </c>
      <c r="J80" s="40">
        <v>2.4396</v>
      </c>
    </row>
    <row r="81" spans="1:10" x14ac:dyDescent="0.3">
      <c r="A81" s="40">
        <v>156</v>
      </c>
      <c r="B81" s="40">
        <v>5.5784000000000002</v>
      </c>
      <c r="C81" s="40">
        <v>911.33</v>
      </c>
      <c r="D81" s="40">
        <v>2.9581</v>
      </c>
      <c r="E81" s="40">
        <v>658.12</v>
      </c>
      <c r="F81" s="40">
        <v>2753</v>
      </c>
      <c r="G81" s="40">
        <v>1.9025000000000001</v>
      </c>
      <c r="H81" s="40">
        <v>6.7838000000000003</v>
      </c>
      <c r="I81" s="40">
        <v>4.3235999999999999</v>
      </c>
      <c r="J81" s="40">
        <v>2.4491000000000001</v>
      </c>
    </row>
    <row r="82" spans="1:10" x14ac:dyDescent="0.3">
      <c r="A82" s="40">
        <v>157</v>
      </c>
      <c r="B82" s="40">
        <v>5.7247000000000003</v>
      </c>
      <c r="C82" s="40">
        <v>910.36</v>
      </c>
      <c r="D82" s="40">
        <v>3.0312999999999999</v>
      </c>
      <c r="E82" s="40">
        <v>662.45</v>
      </c>
      <c r="F82" s="40">
        <v>2754.1</v>
      </c>
      <c r="G82" s="40">
        <v>1.9125000000000001</v>
      </c>
      <c r="H82" s="40">
        <v>6.7751000000000001</v>
      </c>
      <c r="I82" s="40">
        <v>4.3265000000000002</v>
      </c>
      <c r="J82" s="40">
        <v>2.4586999999999999</v>
      </c>
    </row>
    <row r="83" spans="1:10" x14ac:dyDescent="0.3">
      <c r="A83" s="40">
        <v>158</v>
      </c>
      <c r="B83" s="40">
        <v>5.8742000000000001</v>
      </c>
      <c r="C83" s="40">
        <v>909.4</v>
      </c>
      <c r="D83" s="40">
        <v>3.1059000000000001</v>
      </c>
      <c r="E83" s="40">
        <v>666.79</v>
      </c>
      <c r="F83" s="40">
        <v>2755.2</v>
      </c>
      <c r="G83" s="40">
        <v>1.9225000000000001</v>
      </c>
      <c r="H83" s="40">
        <v>6.7664</v>
      </c>
      <c r="I83" s="40">
        <v>4.3293999999999997</v>
      </c>
      <c r="J83" s="40">
        <v>2.4685000000000001</v>
      </c>
    </row>
    <row r="84" spans="1:10" x14ac:dyDescent="0.3">
      <c r="A84" s="40">
        <v>159</v>
      </c>
      <c r="B84" s="40">
        <v>6.0266999999999999</v>
      </c>
      <c r="C84" s="40">
        <v>908.42</v>
      </c>
      <c r="D84" s="40">
        <v>3.1821000000000002</v>
      </c>
      <c r="E84" s="40">
        <v>671.13</v>
      </c>
      <c r="F84" s="40">
        <v>2756.3</v>
      </c>
      <c r="G84" s="40">
        <v>1.9326000000000001</v>
      </c>
      <c r="H84" s="40">
        <v>6.7577999999999996</v>
      </c>
      <c r="I84" s="40">
        <v>4.3323</v>
      </c>
      <c r="J84" s="40">
        <v>2.4782999999999999</v>
      </c>
    </row>
    <row r="85" spans="1:10" x14ac:dyDescent="0.3">
      <c r="A85" s="40">
        <v>160</v>
      </c>
      <c r="B85" s="40">
        <v>6.1822999999999997</v>
      </c>
      <c r="C85" s="40">
        <v>907.45</v>
      </c>
      <c r="D85" s="40">
        <v>3.2595999999999998</v>
      </c>
      <c r="E85" s="40">
        <v>675.47</v>
      </c>
      <c r="F85" s="40">
        <v>2757.4</v>
      </c>
      <c r="G85" s="40">
        <v>1.9426000000000001</v>
      </c>
      <c r="H85" s="40">
        <v>6.7491000000000003</v>
      </c>
      <c r="I85" s="40">
        <v>4.3353999999999999</v>
      </c>
      <c r="J85" s="40">
        <v>2.4883000000000002</v>
      </c>
    </row>
    <row r="86" spans="1:10" x14ac:dyDescent="0.3">
      <c r="A86" s="40">
        <v>161</v>
      </c>
      <c r="B86" s="40">
        <v>6.3411999999999997</v>
      </c>
      <c r="C86" s="40">
        <v>906.47</v>
      </c>
      <c r="D86" s="40">
        <v>3.3386999999999998</v>
      </c>
      <c r="E86" s="40">
        <v>679.82</v>
      </c>
      <c r="F86" s="40">
        <v>2758.5</v>
      </c>
      <c r="G86" s="40">
        <v>1.9524999999999999</v>
      </c>
      <c r="H86" s="40">
        <v>6.7405999999999997</v>
      </c>
      <c r="I86" s="40">
        <v>4.3384</v>
      </c>
      <c r="J86" s="40">
        <v>2.4983</v>
      </c>
    </row>
    <row r="87" spans="1:10" x14ac:dyDescent="0.3">
      <c r="A87" s="40">
        <v>162</v>
      </c>
      <c r="B87" s="40">
        <v>6.5033000000000003</v>
      </c>
      <c r="C87" s="40">
        <v>905.49</v>
      </c>
      <c r="D87" s="40">
        <v>3.4194</v>
      </c>
      <c r="E87" s="40">
        <v>684.17</v>
      </c>
      <c r="F87" s="40">
        <v>2759.6</v>
      </c>
      <c r="G87" s="40">
        <v>1.9624999999999999</v>
      </c>
      <c r="H87" s="40">
        <v>6.7320000000000002</v>
      </c>
      <c r="I87" s="40">
        <v>4.3414999999999999</v>
      </c>
      <c r="J87" s="40">
        <v>2.5085000000000002</v>
      </c>
    </row>
    <row r="88" spans="1:10" x14ac:dyDescent="0.3">
      <c r="A88" s="40">
        <v>163</v>
      </c>
      <c r="B88" s="40">
        <v>6.6685999999999996</v>
      </c>
      <c r="C88" s="40">
        <v>904.5</v>
      </c>
      <c r="D88" s="40">
        <v>3.5015999999999998</v>
      </c>
      <c r="E88" s="40">
        <v>688.52</v>
      </c>
      <c r="F88" s="40">
        <v>2760.7</v>
      </c>
      <c r="G88" s="40">
        <v>1.9724999999999999</v>
      </c>
      <c r="H88" s="40">
        <v>6.7234999999999996</v>
      </c>
      <c r="I88" s="40">
        <v>4.3445999999999998</v>
      </c>
      <c r="J88" s="40">
        <v>2.5188999999999999</v>
      </c>
    </row>
    <row r="89" spans="1:10" x14ac:dyDescent="0.3">
      <c r="A89" s="40">
        <v>164</v>
      </c>
      <c r="B89" s="40">
        <v>6.8372999999999999</v>
      </c>
      <c r="C89" s="40">
        <v>903.5</v>
      </c>
      <c r="D89" s="40">
        <v>3.5853000000000002</v>
      </c>
      <c r="E89" s="40">
        <v>692.88</v>
      </c>
      <c r="F89" s="40">
        <v>2761.8</v>
      </c>
      <c r="G89" s="40">
        <v>1.9823999999999999</v>
      </c>
      <c r="H89" s="40">
        <v>6.7149999999999999</v>
      </c>
      <c r="I89" s="40">
        <v>4.3478000000000003</v>
      </c>
      <c r="J89" s="40">
        <v>2.5293000000000001</v>
      </c>
    </row>
    <row r="90" spans="1:10" x14ac:dyDescent="0.3">
      <c r="A90" s="40">
        <v>165</v>
      </c>
      <c r="B90" s="40">
        <v>7.0092999999999996</v>
      </c>
      <c r="C90" s="40">
        <v>902.51</v>
      </c>
      <c r="D90" s="40">
        <v>3.6707000000000001</v>
      </c>
      <c r="E90" s="40">
        <v>697.24</v>
      </c>
      <c r="F90" s="40">
        <v>2762.8</v>
      </c>
      <c r="G90" s="40">
        <v>1.9923</v>
      </c>
      <c r="H90" s="40">
        <v>6.7065999999999999</v>
      </c>
      <c r="I90" s="40">
        <v>4.351</v>
      </c>
      <c r="J90" s="40">
        <v>2.5398000000000001</v>
      </c>
    </row>
    <row r="91" spans="1:10" x14ac:dyDescent="0.3">
      <c r="A91" s="40">
        <v>166</v>
      </c>
      <c r="B91" s="40">
        <v>7.1848000000000001</v>
      </c>
      <c r="C91" s="40">
        <v>901.5</v>
      </c>
      <c r="D91" s="40">
        <v>3.7576000000000001</v>
      </c>
      <c r="E91" s="40">
        <v>701.6</v>
      </c>
      <c r="F91" s="40">
        <v>2763.9</v>
      </c>
      <c r="G91" s="40">
        <v>2.0022000000000002</v>
      </c>
      <c r="H91" s="40">
        <v>6.6981999999999999</v>
      </c>
      <c r="I91" s="40">
        <v>4.3543000000000003</v>
      </c>
      <c r="J91" s="40">
        <v>2.5505</v>
      </c>
    </row>
    <row r="92" spans="1:10" x14ac:dyDescent="0.3">
      <c r="A92" s="40">
        <v>167</v>
      </c>
      <c r="B92" s="40">
        <v>7.3638000000000003</v>
      </c>
      <c r="C92" s="40">
        <v>900.5</v>
      </c>
      <c r="D92" s="40">
        <v>3.8462000000000001</v>
      </c>
      <c r="E92" s="40">
        <v>705.96</v>
      </c>
      <c r="F92" s="40">
        <v>2764.9</v>
      </c>
      <c r="G92" s="40">
        <v>2.0121000000000002</v>
      </c>
      <c r="H92" s="40">
        <v>6.6898</v>
      </c>
      <c r="I92" s="40">
        <v>4.3575999999999997</v>
      </c>
      <c r="J92" s="40">
        <v>2.5613000000000001</v>
      </c>
    </row>
    <row r="93" spans="1:10" x14ac:dyDescent="0.3">
      <c r="A93" s="40">
        <v>168</v>
      </c>
      <c r="B93" s="40">
        <v>7.5461999999999998</v>
      </c>
      <c r="C93" s="40">
        <v>899.49</v>
      </c>
      <c r="D93" s="40">
        <v>3.9365000000000001</v>
      </c>
      <c r="E93" s="40">
        <v>710.33</v>
      </c>
      <c r="F93" s="40">
        <v>2765.9</v>
      </c>
      <c r="G93" s="40">
        <v>2.0219999999999998</v>
      </c>
      <c r="H93" s="40">
        <v>6.6814999999999998</v>
      </c>
      <c r="I93" s="40">
        <v>4.3609999999999998</v>
      </c>
      <c r="J93" s="40">
        <v>2.5722</v>
      </c>
    </row>
    <row r="94" spans="1:10" x14ac:dyDescent="0.3">
      <c r="A94" s="40">
        <v>169</v>
      </c>
      <c r="B94" s="40">
        <v>7.7321999999999997</v>
      </c>
      <c r="C94" s="40">
        <v>898.47</v>
      </c>
      <c r="D94" s="40">
        <v>4.0285000000000002</v>
      </c>
      <c r="E94" s="40">
        <v>714.71</v>
      </c>
      <c r="F94" s="40">
        <v>2766.9</v>
      </c>
      <c r="G94" s="40">
        <v>2.0318000000000001</v>
      </c>
      <c r="H94" s="40">
        <v>6.6731999999999996</v>
      </c>
      <c r="I94" s="40">
        <v>4.3643999999999998</v>
      </c>
      <c r="J94" s="40">
        <v>2.5832999999999999</v>
      </c>
    </row>
    <row r="95" spans="1:10" x14ac:dyDescent="0.3">
      <c r="A95" s="40">
        <v>170</v>
      </c>
      <c r="B95" s="40">
        <v>7.9218999999999999</v>
      </c>
      <c r="C95" s="40">
        <v>897.45</v>
      </c>
      <c r="D95" s="40">
        <v>4.1222000000000003</v>
      </c>
      <c r="E95" s="40">
        <v>719.08</v>
      </c>
      <c r="F95" s="40">
        <v>2767.9</v>
      </c>
      <c r="G95" s="40">
        <v>2.0417000000000001</v>
      </c>
      <c r="H95" s="40">
        <v>6.665</v>
      </c>
      <c r="I95" s="40">
        <v>4.3677999999999999</v>
      </c>
      <c r="J95" s="40">
        <v>2.5943999999999998</v>
      </c>
    </row>
    <row r="96" spans="1:10" x14ac:dyDescent="0.3">
      <c r="A96" s="40">
        <v>171</v>
      </c>
      <c r="B96" s="40">
        <v>8.1151999999999997</v>
      </c>
      <c r="C96" s="40">
        <v>896.43</v>
      </c>
      <c r="D96" s="40">
        <v>4.2176</v>
      </c>
      <c r="E96" s="40">
        <v>723.46</v>
      </c>
      <c r="F96" s="40">
        <v>2768.9</v>
      </c>
      <c r="G96" s="40">
        <v>2.0514999999999999</v>
      </c>
      <c r="H96" s="40">
        <v>6.6566999999999998</v>
      </c>
      <c r="I96" s="40">
        <v>4.3712999999999997</v>
      </c>
      <c r="J96" s="40">
        <v>2.6057000000000001</v>
      </c>
    </row>
    <row r="97" spans="1:10" x14ac:dyDescent="0.3">
      <c r="A97" s="40">
        <v>172</v>
      </c>
      <c r="B97" s="40">
        <v>8.3122000000000007</v>
      </c>
      <c r="C97" s="40">
        <v>895.4</v>
      </c>
      <c r="D97" s="40">
        <v>4.3148</v>
      </c>
      <c r="E97" s="40">
        <v>727.85</v>
      </c>
      <c r="F97" s="40">
        <v>2769.9</v>
      </c>
      <c r="G97" s="40">
        <v>2.0613000000000001</v>
      </c>
      <c r="H97" s="40">
        <v>6.6485000000000003</v>
      </c>
      <c r="I97" s="40">
        <v>4.3749000000000002</v>
      </c>
      <c r="J97" s="40">
        <v>2.6171000000000002</v>
      </c>
    </row>
    <row r="98" spans="1:10" x14ac:dyDescent="0.3">
      <c r="A98" s="40">
        <v>173</v>
      </c>
      <c r="B98" s="40">
        <v>8.5129999999999999</v>
      </c>
      <c r="C98" s="40">
        <v>894.36</v>
      </c>
      <c r="D98" s="40">
        <v>4.4138000000000002</v>
      </c>
      <c r="E98" s="40">
        <v>732.23</v>
      </c>
      <c r="F98" s="40">
        <v>2770.8</v>
      </c>
      <c r="G98" s="40">
        <v>2.0710999999999999</v>
      </c>
      <c r="H98" s="40">
        <v>6.6403999999999996</v>
      </c>
      <c r="I98" s="40">
        <v>4.3784000000000001</v>
      </c>
      <c r="J98" s="40">
        <v>2.6286999999999998</v>
      </c>
    </row>
    <row r="99" spans="1:10" x14ac:dyDescent="0.3">
      <c r="A99" s="40">
        <v>174</v>
      </c>
      <c r="B99" s="40">
        <v>8.7175999999999991</v>
      </c>
      <c r="C99" s="40">
        <v>893.33</v>
      </c>
      <c r="D99" s="40">
        <v>4.5145999999999997</v>
      </c>
      <c r="E99" s="40">
        <v>736.63</v>
      </c>
      <c r="F99" s="40">
        <v>2771.8</v>
      </c>
      <c r="G99" s="40">
        <v>2.0809000000000002</v>
      </c>
      <c r="H99" s="40">
        <v>6.6322000000000001</v>
      </c>
      <c r="I99" s="40">
        <v>4.3821000000000003</v>
      </c>
      <c r="J99" s="40">
        <v>2.6402999999999999</v>
      </c>
    </row>
    <row r="100" spans="1:10" x14ac:dyDescent="0.3">
      <c r="A100" s="40">
        <v>175</v>
      </c>
      <c r="B100" s="40">
        <v>8.9260000000000002</v>
      </c>
      <c r="C100" s="40">
        <v>892.28</v>
      </c>
      <c r="D100" s="40">
        <v>4.6172000000000004</v>
      </c>
      <c r="E100" s="40">
        <v>741.02</v>
      </c>
      <c r="F100" s="40">
        <v>2772.7</v>
      </c>
      <c r="G100" s="40">
        <v>2.0905999999999998</v>
      </c>
      <c r="H100" s="40">
        <v>6.6241000000000003</v>
      </c>
      <c r="I100" s="40">
        <v>4.3857999999999997</v>
      </c>
      <c r="J100" s="40">
        <v>2.6520999999999999</v>
      </c>
    </row>
    <row r="101" spans="1:10" x14ac:dyDescent="0.3">
      <c r="A101" s="40">
        <v>176</v>
      </c>
      <c r="B101" s="40">
        <v>9.1384000000000007</v>
      </c>
      <c r="C101" s="40">
        <v>891.24</v>
      </c>
      <c r="D101" s="40">
        <v>4.7217000000000002</v>
      </c>
      <c r="E101" s="40">
        <v>745.42</v>
      </c>
      <c r="F101" s="40">
        <v>2773.6</v>
      </c>
      <c r="G101" s="40">
        <v>2.1004</v>
      </c>
      <c r="H101" s="40">
        <v>6.6161000000000003</v>
      </c>
      <c r="I101" s="40">
        <v>4.3895</v>
      </c>
      <c r="J101" s="40">
        <v>2.6640000000000001</v>
      </c>
    </row>
    <row r="102" spans="1:10" x14ac:dyDescent="0.3">
      <c r="A102" s="40">
        <v>177</v>
      </c>
      <c r="B102" s="40">
        <v>9.3546999999999993</v>
      </c>
      <c r="C102" s="40">
        <v>890.18</v>
      </c>
      <c r="D102" s="40">
        <v>4.8281000000000001</v>
      </c>
      <c r="E102" s="40">
        <v>749.82</v>
      </c>
      <c r="F102" s="40">
        <v>2774.5</v>
      </c>
      <c r="G102" s="40">
        <v>2.1101000000000001</v>
      </c>
      <c r="H102" s="40">
        <v>6.6079999999999997</v>
      </c>
      <c r="I102" s="40">
        <v>4.3933</v>
      </c>
      <c r="J102" s="40">
        <v>2.6760000000000002</v>
      </c>
    </row>
    <row r="103" spans="1:10" x14ac:dyDescent="0.3">
      <c r="A103" s="40">
        <v>178</v>
      </c>
      <c r="B103" s="40">
        <v>9.5751000000000008</v>
      </c>
      <c r="C103" s="40">
        <v>889.13</v>
      </c>
      <c r="D103" s="40">
        <v>4.9363999999999999</v>
      </c>
      <c r="E103" s="40">
        <v>754.23</v>
      </c>
      <c r="F103" s="40">
        <v>2775.4</v>
      </c>
      <c r="G103" s="40">
        <v>2.1198000000000001</v>
      </c>
      <c r="H103" s="40">
        <v>6.6</v>
      </c>
      <c r="I103" s="40">
        <v>4.3971</v>
      </c>
      <c r="J103" s="40">
        <v>2.6882000000000001</v>
      </c>
    </row>
    <row r="104" spans="1:10" x14ac:dyDescent="0.3">
      <c r="A104" s="40">
        <v>179</v>
      </c>
      <c r="B104" s="40">
        <v>9.7995000000000001</v>
      </c>
      <c r="C104" s="40">
        <v>888.07</v>
      </c>
      <c r="D104" s="40">
        <v>5.0465999999999998</v>
      </c>
      <c r="E104" s="40">
        <v>758.64</v>
      </c>
      <c r="F104" s="40">
        <v>2776.3</v>
      </c>
      <c r="G104" s="40">
        <v>2.1295999999999999</v>
      </c>
      <c r="H104" s="40">
        <v>6.5919999999999996</v>
      </c>
      <c r="I104" s="40">
        <v>4.4009999999999998</v>
      </c>
      <c r="J104" s="40">
        <v>2.7004999999999999</v>
      </c>
    </row>
    <row r="105" spans="1:10" x14ac:dyDescent="0.3">
      <c r="A105" s="40">
        <v>180</v>
      </c>
      <c r="B105" s="40">
        <v>10.028</v>
      </c>
      <c r="C105" s="40">
        <v>887</v>
      </c>
      <c r="D105" s="40">
        <v>5.1588000000000003</v>
      </c>
      <c r="E105" s="40">
        <v>763.05</v>
      </c>
      <c r="F105" s="40">
        <v>2777.2</v>
      </c>
      <c r="G105" s="40">
        <v>2.1392000000000002</v>
      </c>
      <c r="H105" s="40">
        <v>6.5839999999999996</v>
      </c>
      <c r="I105" s="40">
        <v>4.4050000000000002</v>
      </c>
      <c r="J105" s="40">
        <v>2.7128999999999999</v>
      </c>
    </row>
    <row r="106" spans="1:10" x14ac:dyDescent="0.3">
      <c r="A106" s="40">
        <v>181</v>
      </c>
      <c r="B106" s="40">
        <v>10.260999999999999</v>
      </c>
      <c r="C106" s="40">
        <v>885.93</v>
      </c>
      <c r="D106" s="40">
        <v>5.2729999999999997</v>
      </c>
      <c r="E106" s="40">
        <v>767.47</v>
      </c>
      <c r="F106" s="40">
        <v>2778.1</v>
      </c>
      <c r="G106" s="40">
        <v>2.1488999999999998</v>
      </c>
      <c r="H106" s="40">
        <v>6.5761000000000003</v>
      </c>
      <c r="I106" s="40">
        <v>4.4089999999999998</v>
      </c>
      <c r="J106" s="40">
        <v>2.7254</v>
      </c>
    </row>
    <row r="107" spans="1:10" x14ac:dyDescent="0.3">
      <c r="A107" s="40">
        <v>182</v>
      </c>
      <c r="B107" s="40">
        <v>10.497999999999999</v>
      </c>
      <c r="C107" s="40">
        <v>884.85</v>
      </c>
      <c r="D107" s="40">
        <v>5.3893000000000004</v>
      </c>
      <c r="E107" s="40">
        <v>771.9</v>
      </c>
      <c r="F107" s="40">
        <v>2778.9</v>
      </c>
      <c r="G107" s="40">
        <v>2.1585999999999999</v>
      </c>
      <c r="H107" s="40">
        <v>6.5682</v>
      </c>
      <c r="I107" s="40">
        <v>4.4130000000000003</v>
      </c>
      <c r="J107" s="40">
        <v>2.7381000000000002</v>
      </c>
    </row>
    <row r="108" spans="1:10" x14ac:dyDescent="0.3">
      <c r="A108" s="40">
        <v>183</v>
      </c>
      <c r="B108" s="40">
        <v>10.739000000000001</v>
      </c>
      <c r="C108" s="40">
        <v>883.77</v>
      </c>
      <c r="D108" s="40">
        <v>5.5076000000000001</v>
      </c>
      <c r="E108" s="40">
        <v>776.32</v>
      </c>
      <c r="F108" s="40">
        <v>2779.8</v>
      </c>
      <c r="G108" s="40">
        <v>2.1682999999999999</v>
      </c>
      <c r="H108" s="40">
        <v>6.5602999999999998</v>
      </c>
      <c r="I108" s="40">
        <v>4.4170999999999996</v>
      </c>
      <c r="J108" s="40">
        <v>2.7509000000000001</v>
      </c>
    </row>
    <row r="109" spans="1:10" x14ac:dyDescent="0.3">
      <c r="A109" s="40">
        <v>184</v>
      </c>
      <c r="B109" s="40">
        <v>10.984999999999999</v>
      </c>
      <c r="C109" s="40">
        <v>882.69</v>
      </c>
      <c r="D109" s="40">
        <v>5.6279000000000003</v>
      </c>
      <c r="E109" s="40">
        <v>780.75</v>
      </c>
      <c r="F109" s="40">
        <v>2780.6</v>
      </c>
      <c r="G109" s="40">
        <v>2.1779000000000002</v>
      </c>
      <c r="H109" s="40">
        <v>6.5525000000000002</v>
      </c>
      <c r="I109" s="40">
        <v>4.4212999999999996</v>
      </c>
      <c r="J109" s="40">
        <v>2.7637999999999998</v>
      </c>
    </row>
    <row r="110" spans="1:10" x14ac:dyDescent="0.3">
      <c r="A110" s="40">
        <v>185</v>
      </c>
      <c r="B110" s="40">
        <v>11.234999999999999</v>
      </c>
      <c r="C110" s="40">
        <v>881.6</v>
      </c>
      <c r="D110" s="40">
        <v>5.7504</v>
      </c>
      <c r="E110" s="40">
        <v>785.19</v>
      </c>
      <c r="F110" s="40">
        <v>2781.4</v>
      </c>
      <c r="G110" s="40">
        <v>2.1875</v>
      </c>
      <c r="H110" s="40">
        <v>6.5446999999999997</v>
      </c>
      <c r="I110" s="40">
        <v>4.4255000000000004</v>
      </c>
      <c r="J110" s="40">
        <v>2.7768999999999999</v>
      </c>
    </row>
    <row r="111" spans="1:10" x14ac:dyDescent="0.3">
      <c r="A111" s="40">
        <v>186</v>
      </c>
      <c r="B111" s="40">
        <v>11.489000000000001</v>
      </c>
      <c r="C111" s="40">
        <v>880.5</v>
      </c>
      <c r="D111" s="40">
        <v>5.875</v>
      </c>
      <c r="E111" s="40">
        <v>789.63</v>
      </c>
      <c r="F111" s="40">
        <v>2782.2</v>
      </c>
      <c r="G111" s="40">
        <v>2.1970999999999998</v>
      </c>
      <c r="H111" s="40">
        <v>6.5369000000000002</v>
      </c>
      <c r="I111" s="40">
        <v>4.4297000000000004</v>
      </c>
      <c r="J111" s="40">
        <v>2.7900999999999998</v>
      </c>
    </row>
    <row r="112" spans="1:10" x14ac:dyDescent="0.3">
      <c r="A112" s="40">
        <v>187</v>
      </c>
      <c r="B112" s="40">
        <v>11.747999999999999</v>
      </c>
      <c r="C112" s="40">
        <v>879.4</v>
      </c>
      <c r="D112" s="40">
        <v>6.0018000000000002</v>
      </c>
      <c r="E112" s="40">
        <v>794.07</v>
      </c>
      <c r="F112" s="40">
        <v>2783</v>
      </c>
      <c r="G112" s="40">
        <v>2.2067000000000001</v>
      </c>
      <c r="H112" s="40">
        <v>6.5290999999999997</v>
      </c>
      <c r="I112" s="40">
        <v>4.4340999999999999</v>
      </c>
      <c r="J112" s="40">
        <v>2.8033999999999999</v>
      </c>
    </row>
    <row r="113" spans="1:10" x14ac:dyDescent="0.3">
      <c r="A113" s="40">
        <v>188</v>
      </c>
      <c r="B113" s="40">
        <v>12.010999999999999</v>
      </c>
      <c r="C113" s="40">
        <v>878.3</v>
      </c>
      <c r="D113" s="40">
        <v>6.1307999999999998</v>
      </c>
      <c r="E113" s="40">
        <v>798.52</v>
      </c>
      <c r="F113" s="40">
        <v>2783.8</v>
      </c>
      <c r="G113" s="40">
        <v>2.2162999999999999</v>
      </c>
      <c r="H113" s="40">
        <v>6.5213000000000001</v>
      </c>
      <c r="I113" s="40">
        <v>4.4385000000000003</v>
      </c>
      <c r="J113" s="40">
        <v>2.8169</v>
      </c>
    </row>
    <row r="114" spans="1:10" x14ac:dyDescent="0.3">
      <c r="A114" s="40">
        <v>189</v>
      </c>
      <c r="B114" s="40">
        <v>12.28</v>
      </c>
      <c r="C114" s="40">
        <v>877.19</v>
      </c>
      <c r="D114" s="40">
        <v>6.2619999999999996</v>
      </c>
      <c r="E114" s="40">
        <v>802.97</v>
      </c>
      <c r="F114" s="40">
        <v>2784.5</v>
      </c>
      <c r="G114" s="40">
        <v>2.2259000000000002</v>
      </c>
      <c r="H114" s="40">
        <v>6.5136000000000003</v>
      </c>
      <c r="I114" s="40">
        <v>4.4428999999999998</v>
      </c>
      <c r="J114" s="40">
        <v>2.8304999999999998</v>
      </c>
    </row>
    <row r="115" spans="1:10" x14ac:dyDescent="0.3">
      <c r="A115" s="40">
        <v>190</v>
      </c>
      <c r="B115" s="40">
        <v>12.552</v>
      </c>
      <c r="C115" s="40">
        <v>876.08</v>
      </c>
      <c r="D115" s="40">
        <v>6.3954000000000004</v>
      </c>
      <c r="E115" s="40">
        <v>807.43</v>
      </c>
      <c r="F115" s="40">
        <v>2785.3</v>
      </c>
      <c r="G115" s="40">
        <v>2.2355</v>
      </c>
      <c r="H115" s="40">
        <v>6.5058999999999996</v>
      </c>
      <c r="I115" s="40">
        <v>4.4474</v>
      </c>
      <c r="J115" s="40">
        <v>2.8443000000000001</v>
      </c>
    </row>
    <row r="116" spans="1:10" x14ac:dyDescent="0.3">
      <c r="A116" s="40">
        <v>191</v>
      </c>
      <c r="B116" s="40">
        <v>12.83</v>
      </c>
      <c r="C116" s="40">
        <v>874.96</v>
      </c>
      <c r="D116" s="40">
        <v>6.5312000000000001</v>
      </c>
      <c r="E116" s="40">
        <v>811.89</v>
      </c>
      <c r="F116" s="40">
        <v>2786</v>
      </c>
      <c r="G116" s="40">
        <v>2.2450000000000001</v>
      </c>
      <c r="H116" s="40">
        <v>6.4981999999999998</v>
      </c>
      <c r="I116" s="40">
        <v>4.452</v>
      </c>
      <c r="J116" s="40">
        <v>2.8580999999999999</v>
      </c>
    </row>
    <row r="117" spans="1:10" x14ac:dyDescent="0.3">
      <c r="A117" s="40">
        <v>192</v>
      </c>
      <c r="B117" s="40">
        <v>13.112</v>
      </c>
      <c r="C117" s="40">
        <v>873.83</v>
      </c>
      <c r="D117" s="40">
        <v>6.6692</v>
      </c>
      <c r="E117" s="40">
        <v>816.36</v>
      </c>
      <c r="F117" s="40">
        <v>2786.7</v>
      </c>
      <c r="G117" s="40">
        <v>2.2545999999999999</v>
      </c>
      <c r="H117" s="40">
        <v>6.4905999999999997</v>
      </c>
      <c r="I117" s="40">
        <v>4.4565999999999999</v>
      </c>
      <c r="J117" s="40">
        <v>2.8721999999999999</v>
      </c>
    </row>
    <row r="118" spans="1:10" x14ac:dyDescent="0.3">
      <c r="A118" s="40">
        <v>193</v>
      </c>
      <c r="B118" s="40">
        <v>13.398999999999999</v>
      </c>
      <c r="C118" s="40">
        <v>872.7</v>
      </c>
      <c r="D118" s="40">
        <v>6.8095999999999997</v>
      </c>
      <c r="E118" s="40">
        <v>820.83</v>
      </c>
      <c r="F118" s="40">
        <v>2787.4</v>
      </c>
      <c r="G118" s="40">
        <v>2.2641</v>
      </c>
      <c r="H118" s="40">
        <v>6.4829999999999997</v>
      </c>
      <c r="I118" s="40">
        <v>4.4612999999999996</v>
      </c>
      <c r="J118" s="40">
        <v>2.8862999999999999</v>
      </c>
    </row>
    <row r="119" spans="1:10" x14ac:dyDescent="0.3">
      <c r="A119" s="40">
        <v>194</v>
      </c>
      <c r="B119" s="40">
        <v>13.691000000000001</v>
      </c>
      <c r="C119" s="40">
        <v>871.57</v>
      </c>
      <c r="D119" s="40">
        <v>6.9523999999999999</v>
      </c>
      <c r="E119" s="40">
        <v>825.31</v>
      </c>
      <c r="F119" s="40">
        <v>2788.1</v>
      </c>
      <c r="G119" s="40">
        <v>2.2736000000000001</v>
      </c>
      <c r="H119" s="40">
        <v>6.4753999999999996</v>
      </c>
      <c r="I119" s="40">
        <v>4.4660000000000002</v>
      </c>
      <c r="J119" s="40">
        <v>2.9005999999999998</v>
      </c>
    </row>
    <row r="120" spans="1:10" x14ac:dyDescent="0.3">
      <c r="A120" s="40">
        <v>195</v>
      </c>
      <c r="B120" s="40">
        <v>13.988</v>
      </c>
      <c r="C120" s="40">
        <v>870.43</v>
      </c>
      <c r="D120" s="40">
        <v>7.0975999999999999</v>
      </c>
      <c r="E120" s="40">
        <v>829.79</v>
      </c>
      <c r="F120" s="40">
        <v>2788.8</v>
      </c>
      <c r="G120" s="40">
        <v>2.2831999999999999</v>
      </c>
      <c r="H120" s="40">
        <v>6.4678000000000004</v>
      </c>
      <c r="I120" s="40">
        <v>4.4707999999999997</v>
      </c>
      <c r="J120" s="40">
        <v>2.9150999999999998</v>
      </c>
    </row>
    <row r="121" spans="1:10" x14ac:dyDescent="0.3">
      <c r="A121" s="40">
        <v>196</v>
      </c>
      <c r="B121" s="40">
        <v>14.29</v>
      </c>
      <c r="C121" s="40">
        <v>869.29</v>
      </c>
      <c r="D121" s="40">
        <v>7.2453000000000003</v>
      </c>
      <c r="E121" s="40">
        <v>834.28</v>
      </c>
      <c r="F121" s="40">
        <v>2789.5</v>
      </c>
      <c r="G121" s="40">
        <v>2.2926000000000002</v>
      </c>
      <c r="H121" s="40">
        <v>6.4602000000000004</v>
      </c>
      <c r="I121" s="40">
        <v>4.4756999999999998</v>
      </c>
      <c r="J121" s="40">
        <v>2.9297</v>
      </c>
    </row>
    <row r="122" spans="1:10" x14ac:dyDescent="0.3">
      <c r="A122" s="40">
        <v>197</v>
      </c>
      <c r="B122" s="40">
        <v>14.597</v>
      </c>
      <c r="C122" s="40">
        <v>868.14</v>
      </c>
      <c r="D122" s="40">
        <v>7.3954000000000004</v>
      </c>
      <c r="E122" s="40">
        <v>838.77</v>
      </c>
      <c r="F122" s="40">
        <v>2790.1</v>
      </c>
      <c r="G122" s="40">
        <v>2.3020999999999998</v>
      </c>
      <c r="H122" s="40">
        <v>6.4527000000000001</v>
      </c>
      <c r="I122" s="40">
        <v>4.4805999999999999</v>
      </c>
      <c r="J122" s="40">
        <v>2.9443999999999999</v>
      </c>
    </row>
    <row r="123" spans="1:10" x14ac:dyDescent="0.3">
      <c r="A123" s="40">
        <v>198</v>
      </c>
      <c r="B123" s="40">
        <v>14.909000000000001</v>
      </c>
      <c r="C123" s="40">
        <v>866.98</v>
      </c>
      <c r="D123" s="40">
        <v>7.548</v>
      </c>
      <c r="E123" s="40">
        <v>843.26</v>
      </c>
      <c r="F123" s="40">
        <v>2790.8</v>
      </c>
      <c r="G123" s="40">
        <v>2.3115999999999999</v>
      </c>
      <c r="H123" s="40">
        <v>6.4451000000000001</v>
      </c>
      <c r="I123" s="40">
        <v>4.4855999999999998</v>
      </c>
      <c r="J123" s="40">
        <v>2.9592999999999998</v>
      </c>
    </row>
    <row r="124" spans="1:10" x14ac:dyDescent="0.3">
      <c r="A124" s="40">
        <v>199</v>
      </c>
      <c r="B124" s="40">
        <v>15.227</v>
      </c>
      <c r="C124" s="40">
        <v>865.82</v>
      </c>
      <c r="D124" s="40">
        <v>7.7031999999999998</v>
      </c>
      <c r="E124" s="40">
        <v>847.76</v>
      </c>
      <c r="F124" s="40">
        <v>2791.4</v>
      </c>
      <c r="G124" s="40">
        <v>2.3210999999999999</v>
      </c>
      <c r="H124" s="40">
        <v>6.4375999999999998</v>
      </c>
      <c r="I124" s="40">
        <v>4.4907000000000004</v>
      </c>
      <c r="J124" s="40">
        <v>2.9744000000000002</v>
      </c>
    </row>
    <row r="125" spans="1:10" x14ac:dyDescent="0.3">
      <c r="A125" s="40">
        <v>200</v>
      </c>
      <c r="B125" s="40">
        <v>15.548999999999999</v>
      </c>
      <c r="C125" s="40">
        <v>864.66</v>
      </c>
      <c r="D125" s="40">
        <v>7.8609999999999998</v>
      </c>
      <c r="E125" s="40">
        <v>852.27</v>
      </c>
      <c r="F125" s="40">
        <v>2792</v>
      </c>
      <c r="G125" s="40">
        <v>2.3304999999999998</v>
      </c>
      <c r="H125" s="40">
        <v>6.4302000000000001</v>
      </c>
      <c r="I125" s="40">
        <v>4.4958</v>
      </c>
      <c r="J125" s="40">
        <v>2.9895</v>
      </c>
    </row>
    <row r="126" spans="1:10" x14ac:dyDescent="0.3">
      <c r="A126" s="41">
        <v>201</v>
      </c>
      <c r="B126" s="43">
        <v>15.877000000000001</v>
      </c>
      <c r="C126" s="40">
        <v>863.48329159830757</v>
      </c>
      <c r="D126" s="40">
        <v>8.0256821829855536</v>
      </c>
      <c r="E126" s="42">
        <v>856.88</v>
      </c>
      <c r="F126" s="44">
        <v>2791.5</v>
      </c>
      <c r="G126" s="45">
        <v>2.3405</v>
      </c>
      <c r="H126" s="45">
        <v>6.4203000000000001</v>
      </c>
      <c r="I126" s="45">
        <v>4.4991005312327461</v>
      </c>
      <c r="J126" s="45">
        <v>3.0052247769680132</v>
      </c>
    </row>
    <row r="127" spans="1:10" x14ac:dyDescent="0.3">
      <c r="A127" s="41">
        <v>202</v>
      </c>
      <c r="B127" s="43">
        <v>16.21</v>
      </c>
      <c r="C127" s="40">
        <v>862.8127696289904</v>
      </c>
      <c r="D127" s="40">
        <v>8.1900081900081894</v>
      </c>
      <c r="E127" s="42">
        <v>861.4</v>
      </c>
      <c r="F127" s="44">
        <v>2792.1</v>
      </c>
      <c r="G127" s="45">
        <v>2.3496000000000001</v>
      </c>
      <c r="H127" s="45">
        <v>6.4127999999999998</v>
      </c>
      <c r="I127" s="45">
        <v>4.5042614700315067</v>
      </c>
      <c r="J127" s="45">
        <v>3.0205889926515574</v>
      </c>
    </row>
    <row r="128" spans="1:10" x14ac:dyDescent="0.3">
      <c r="A128" s="41">
        <v>203</v>
      </c>
      <c r="B128" s="43">
        <v>16.548999999999999</v>
      </c>
      <c r="C128" s="40">
        <v>861.17809162934896</v>
      </c>
      <c r="D128" s="40">
        <v>8.3542188805346704</v>
      </c>
      <c r="E128" s="42">
        <v>865.92</v>
      </c>
      <c r="F128" s="44">
        <v>2792.7</v>
      </c>
      <c r="G128" s="45">
        <v>2.3599000000000001</v>
      </c>
      <c r="H128" s="45">
        <v>6.4054000000000002</v>
      </c>
      <c r="I128" s="45">
        <v>4.5094945058100491</v>
      </c>
      <c r="J128" s="45">
        <v>3.0361175742700097</v>
      </c>
    </row>
    <row r="129" spans="1:10" x14ac:dyDescent="0.3">
      <c r="A129" s="41">
        <v>204</v>
      </c>
      <c r="B129" s="43">
        <v>16.893000000000001</v>
      </c>
      <c r="C129" s="40">
        <v>859.99312005503953</v>
      </c>
      <c r="D129" s="40">
        <v>8.5251491901108274</v>
      </c>
      <c r="E129" s="42">
        <v>870.45</v>
      </c>
      <c r="F129" s="44">
        <v>2793.2</v>
      </c>
      <c r="G129" s="45">
        <v>2.3683999999999998</v>
      </c>
      <c r="H129" s="45">
        <v>6.3979999999999997</v>
      </c>
      <c r="I129" s="45">
        <v>4.5148007942095019</v>
      </c>
      <c r="J129" s="45">
        <v>3.0518131734858049</v>
      </c>
    </row>
    <row r="130" spans="1:10" x14ac:dyDescent="0.3">
      <c r="A130" s="41">
        <v>205</v>
      </c>
      <c r="B130" s="43">
        <v>17.242999999999999</v>
      </c>
      <c r="C130" s="40">
        <v>858.81140501545872</v>
      </c>
      <c r="D130" s="40">
        <v>8.695652173913043</v>
      </c>
      <c r="E130" s="42">
        <v>874.9</v>
      </c>
      <c r="F130" s="44">
        <v>2793.8</v>
      </c>
      <c r="G130" s="45">
        <v>2.3778000000000001</v>
      </c>
      <c r="H130" s="45">
        <v>6.3906000000000001</v>
      </c>
      <c r="I130" s="45">
        <v>4.5201815148269757</v>
      </c>
      <c r="J130" s="45">
        <v>3.0676784880756185</v>
      </c>
    </row>
    <row r="131" spans="1:10" x14ac:dyDescent="0.3">
      <c r="A131" s="41">
        <v>206</v>
      </c>
      <c r="B131" s="43">
        <v>17.597999999999999</v>
      </c>
      <c r="C131" s="40">
        <v>857.63293310463132</v>
      </c>
      <c r="D131" s="40">
        <v>8.8652482269503547</v>
      </c>
      <c r="E131" s="42">
        <v>879.53</v>
      </c>
      <c r="F131" s="44">
        <v>2794.3</v>
      </c>
      <c r="G131" s="45">
        <v>2.3872</v>
      </c>
      <c r="H131" s="45">
        <v>6.3832000000000004</v>
      </c>
      <c r="I131" s="45">
        <v>4.5256378718993497</v>
      </c>
      <c r="J131" s="45">
        <v>3.0837162612257778</v>
      </c>
    </row>
    <row r="132" spans="1:10" x14ac:dyDescent="0.3">
      <c r="A132" s="41">
        <v>207</v>
      </c>
      <c r="B132" s="43">
        <v>17.959</v>
      </c>
      <c r="C132" s="40">
        <v>856.45769099006509</v>
      </c>
      <c r="D132" s="40">
        <v>9.0415913200723317</v>
      </c>
      <c r="E132" s="42">
        <v>884.07</v>
      </c>
      <c r="F132" s="44">
        <v>2794.8</v>
      </c>
      <c r="G132" s="45">
        <v>2.3965999999999998</v>
      </c>
      <c r="H132" s="45">
        <v>6.3758999999999997</v>
      </c>
      <c r="I132" s="45">
        <v>4.5311710950146606</v>
      </c>
      <c r="J132" s="45">
        <v>3.0999292809759358</v>
      </c>
    </row>
    <row r="133" spans="1:10" x14ac:dyDescent="0.3">
      <c r="A133" s="41">
        <v>208</v>
      </c>
      <c r="B133" s="43">
        <v>18.326000000000001</v>
      </c>
      <c r="C133" s="40">
        <v>855.21252031129734</v>
      </c>
      <c r="D133" s="40">
        <v>9.2250922509225095</v>
      </c>
      <c r="E133" s="42">
        <v>888.62</v>
      </c>
      <c r="F133" s="44">
        <v>2795.3</v>
      </c>
      <c r="G133" s="45">
        <v>2.4060000000000001</v>
      </c>
      <c r="H133" s="45">
        <v>6.3685999999999998</v>
      </c>
      <c r="I133" s="45">
        <v>4.5367824398524625</v>
      </c>
      <c r="J133" s="45">
        <v>3.1163203798233647</v>
      </c>
    </row>
    <row r="134" spans="1:10" x14ac:dyDescent="0.3">
      <c r="A134" s="41">
        <v>209</v>
      </c>
      <c r="B134" s="43">
        <v>18.699000000000002</v>
      </c>
      <c r="C134" s="40">
        <v>854.04389785634987</v>
      </c>
      <c r="D134" s="40">
        <v>9.4073377234242699</v>
      </c>
      <c r="E134" s="42">
        <v>893.17</v>
      </c>
      <c r="F134" s="44">
        <v>2795.7</v>
      </c>
      <c r="G134" s="45">
        <v>2.4152999999999998</v>
      </c>
      <c r="H134" s="45">
        <v>6.3612000000000002</v>
      </c>
      <c r="I134" s="45">
        <v>4.5424731889543972</v>
      </c>
      <c r="J134" s="45">
        <v>3.1328924345006763</v>
      </c>
    </row>
    <row r="135" spans="1:10" x14ac:dyDescent="0.3">
      <c r="A135" s="41">
        <v>210</v>
      </c>
      <c r="B135" s="43">
        <v>19.977</v>
      </c>
      <c r="C135" s="40">
        <v>852.80573085451135</v>
      </c>
      <c r="D135" s="40">
        <v>9.5969289827255277</v>
      </c>
      <c r="E135" s="42">
        <v>897.74</v>
      </c>
      <c r="F135" s="44">
        <v>2796.2</v>
      </c>
      <c r="G135" s="45">
        <v>2.4217</v>
      </c>
      <c r="H135" s="45">
        <v>6.3539000000000003</v>
      </c>
      <c r="I135" s="45">
        <v>4.5482446525264626</v>
      </c>
      <c r="J135" s="45">
        <v>3.1496483659393237</v>
      </c>
    </row>
    <row r="136" spans="1:10" x14ac:dyDescent="0.3">
      <c r="A136" s="41">
        <v>211</v>
      </c>
      <c r="B136" s="43">
        <v>19.462</v>
      </c>
      <c r="C136" s="40">
        <v>851.57114876947958</v>
      </c>
      <c r="D136" s="40">
        <v>9.7847358121330732</v>
      </c>
      <c r="E136" s="42">
        <v>902.3</v>
      </c>
      <c r="F136" s="44">
        <v>2796.6</v>
      </c>
      <c r="G136" s="45">
        <v>2.4319000000000002</v>
      </c>
      <c r="H136" s="45">
        <v>6.3464999999999998</v>
      </c>
      <c r="I136" s="45">
        <v>4.5540981692744413</v>
      </c>
      <c r="J136" s="45">
        <v>3.1665911394315418</v>
      </c>
    </row>
    <row r="137" spans="1:10" x14ac:dyDescent="0.3">
      <c r="A137" s="41">
        <v>212</v>
      </c>
      <c r="B137" s="43">
        <v>19.852</v>
      </c>
      <c r="C137" s="40">
        <v>850.34013605442181</v>
      </c>
      <c r="D137" s="40">
        <v>9.9700897308075778</v>
      </c>
      <c r="E137" s="42">
        <v>906.87</v>
      </c>
      <c r="F137" s="44">
        <v>2797.1</v>
      </c>
      <c r="G137" s="45">
        <v>2.4434</v>
      </c>
      <c r="H137" s="45">
        <v>6.3391000000000002</v>
      </c>
      <c r="I137" s="45">
        <v>4.5600351072740182</v>
      </c>
      <c r="J137" s="45">
        <v>3.1837237650037493</v>
      </c>
    </row>
    <row r="138" spans="1:10" x14ac:dyDescent="0.3">
      <c r="A138" s="41">
        <v>213</v>
      </c>
      <c r="B138" s="43">
        <v>20.248999999999999</v>
      </c>
      <c r="C138" s="40">
        <v>849.11267725227128</v>
      </c>
      <c r="D138" s="40">
        <v>10.168802115110839</v>
      </c>
      <c r="E138" s="42">
        <v>911.45</v>
      </c>
      <c r="F138" s="44">
        <v>2797.5</v>
      </c>
      <c r="G138" s="45">
        <v>2.4527000000000001</v>
      </c>
      <c r="H138" s="45">
        <v>6.3320999999999996</v>
      </c>
      <c r="I138" s="45">
        <v>4.5660568648773188</v>
      </c>
      <c r="J138" s="45">
        <v>3.2010492980141936</v>
      </c>
    </row>
    <row r="139" spans="1:10" x14ac:dyDescent="0.3">
      <c r="A139" s="41">
        <v>214</v>
      </c>
      <c r="B139" s="43">
        <v>20.651</v>
      </c>
      <c r="C139" s="40">
        <v>847.8887569950823</v>
      </c>
      <c r="D139" s="40">
        <v>10.36699149906697</v>
      </c>
      <c r="E139" s="42">
        <v>916.03</v>
      </c>
      <c r="F139" s="44">
        <v>2797.9</v>
      </c>
      <c r="G139" s="45">
        <v>2.4620000000000002</v>
      </c>
      <c r="H139" s="45">
        <v>6.3249000000000004</v>
      </c>
      <c r="I139" s="45">
        <v>4.5721648716574537</v>
      </c>
      <c r="J139" s="45">
        <v>3.2185708399883102</v>
      </c>
    </row>
    <row r="140" spans="1:10" x14ac:dyDescent="0.3">
      <c r="A140" s="41">
        <v>215</v>
      </c>
      <c r="B140" s="43">
        <v>21.06</v>
      </c>
      <c r="C140" s="40">
        <v>846.66836000338662</v>
      </c>
      <c r="D140" s="40">
        <v>10.567473317129874</v>
      </c>
      <c r="E140" s="42">
        <v>920.63</v>
      </c>
      <c r="F140" s="44">
        <v>2798.3</v>
      </c>
      <c r="G140" s="45">
        <v>2.4712999999999998</v>
      </c>
      <c r="H140" s="45">
        <v>6.3175999999999997</v>
      </c>
      <c r="I140" s="45">
        <v>4.5783605893929975</v>
      </c>
      <c r="J140" s="45">
        <v>3.2362915397053862</v>
      </c>
    </row>
    <row r="141" spans="1:10" x14ac:dyDescent="0.3">
      <c r="A141" s="41">
        <v>216</v>
      </c>
      <c r="B141" s="43">
        <v>21.175000000000001</v>
      </c>
      <c r="C141" s="40">
        <v>845.37999830924002</v>
      </c>
      <c r="D141" s="40">
        <v>10.766580534022394</v>
      </c>
      <c r="E141" s="42">
        <v>925.23</v>
      </c>
      <c r="F141" s="44">
        <v>2798.6</v>
      </c>
      <c r="G141" s="45">
        <v>2.4805999999999999</v>
      </c>
      <c r="H141" s="45">
        <v>6.3103999999999996</v>
      </c>
      <c r="I141" s="45">
        <v>4.5846455130942285</v>
      </c>
      <c r="J141" s="45">
        <v>3.2542145945503029</v>
      </c>
    </row>
    <row r="142" spans="1:10" x14ac:dyDescent="0.3">
      <c r="A142" s="41">
        <v>217</v>
      </c>
      <c r="B142" s="43">
        <v>21.896000000000001</v>
      </c>
      <c r="C142" s="40">
        <v>844.16680736113449</v>
      </c>
      <c r="D142" s="40">
        <v>10.980564401010213</v>
      </c>
      <c r="E142" s="42">
        <v>929.83</v>
      </c>
      <c r="F142" s="44">
        <v>2799</v>
      </c>
      <c r="G142" s="45">
        <v>2.4900000000000002</v>
      </c>
      <c r="H142" s="45">
        <v>6.3032000000000004</v>
      </c>
      <c r="I142" s="45">
        <v>4.5910211720731482</v>
      </c>
      <c r="J142" s="45">
        <v>3.2723432521451019</v>
      </c>
    </row>
    <row r="143" spans="1:10" x14ac:dyDescent="0.3">
      <c r="A143" s="41">
        <v>218</v>
      </c>
      <c r="B143" s="43">
        <v>22.324000000000002</v>
      </c>
      <c r="C143" s="40">
        <v>842.88604180714765</v>
      </c>
      <c r="D143" s="40">
        <v>11.190689346463742</v>
      </c>
      <c r="E143" s="42">
        <v>934.44</v>
      </c>
      <c r="F143" s="44">
        <v>2799.3</v>
      </c>
      <c r="G143" s="45">
        <v>2.4992000000000001</v>
      </c>
      <c r="H143" s="45">
        <v>6.2961</v>
      </c>
      <c r="I143" s="45">
        <v>4.5974891310593833</v>
      </c>
      <c r="J143" s="45">
        <v>3.2906808122747688</v>
      </c>
    </row>
    <row r="144" spans="1:10" x14ac:dyDescent="0.3">
      <c r="A144" s="41">
        <v>219</v>
      </c>
      <c r="B144" s="43">
        <v>22.757999999999999</v>
      </c>
      <c r="C144" s="40">
        <v>841.60915670762506</v>
      </c>
      <c r="D144" s="40">
        <v>11.405109489051096</v>
      </c>
      <c r="E144" s="42">
        <v>939</v>
      </c>
      <c r="F144" s="44">
        <v>2799.6</v>
      </c>
      <c r="G144" s="45">
        <v>2.5085000000000002</v>
      </c>
      <c r="H144" s="45">
        <v>6.2888999999999999</v>
      </c>
      <c r="I144" s="45">
        <v>4.6040509913641152</v>
      </c>
      <c r="J144" s="45">
        <v>3.3092306291229114</v>
      </c>
    </row>
    <row r="145" spans="1:10" x14ac:dyDescent="0.3">
      <c r="A145" s="41">
        <v>220</v>
      </c>
      <c r="B145" s="43">
        <v>23.498000000000001</v>
      </c>
      <c r="C145" s="40">
        <v>840.33613445378148</v>
      </c>
      <c r="D145" s="40">
        <v>11.622501162250115</v>
      </c>
      <c r="E145" s="42">
        <v>943.67</v>
      </c>
      <c r="F145" s="44">
        <v>2799.9</v>
      </c>
      <c r="G145" s="45">
        <v>2.5177999999999998</v>
      </c>
      <c r="H145" s="45">
        <v>6.2816999999999998</v>
      </c>
      <c r="I145" s="45">
        <v>4.6107083920944358</v>
      </c>
      <c r="J145" s="45">
        <v>3.3279961138328056</v>
      </c>
    </row>
    <row r="146" spans="1:10" x14ac:dyDescent="0.3">
      <c r="A146" s="41">
        <v>221</v>
      </c>
      <c r="B146" s="43">
        <v>23.614999999999998</v>
      </c>
      <c r="C146" s="40">
        <v>839.06695754321197</v>
      </c>
      <c r="D146" s="40">
        <v>11.837121212121213</v>
      </c>
      <c r="E146" s="42">
        <v>948.3</v>
      </c>
      <c r="F146" s="44">
        <v>2800.2</v>
      </c>
      <c r="G146" s="45">
        <v>2.5270999999999999</v>
      </c>
      <c r="H146" s="45">
        <v>6.2746000000000004</v>
      </c>
      <c r="I146" s="45">
        <v>4.6174630114204369</v>
      </c>
      <c r="J146" s="45">
        <v>3.3469807374103779</v>
      </c>
    </row>
    <row r="147" spans="1:10" x14ac:dyDescent="0.3">
      <c r="A147" s="41">
        <v>222</v>
      </c>
      <c r="B147" s="43">
        <v>24.099</v>
      </c>
      <c r="C147" s="40">
        <v>837.80160857908845</v>
      </c>
      <c r="D147" s="40">
        <v>12.068549360366884</v>
      </c>
      <c r="E147" s="42">
        <v>952.93</v>
      </c>
      <c r="F147" s="44">
        <v>2800.5</v>
      </c>
      <c r="G147" s="45">
        <v>2.5363000000000002</v>
      </c>
      <c r="H147" s="45">
        <v>6.2674000000000003</v>
      </c>
      <c r="I147" s="45">
        <v>4.6243165678977007</v>
      </c>
      <c r="J147" s="45">
        <v>3.3661880339856958</v>
      </c>
    </row>
    <row r="148" spans="1:10" x14ac:dyDescent="0.3">
      <c r="A148" s="41">
        <v>223</v>
      </c>
      <c r="B148" s="43">
        <v>24.56</v>
      </c>
      <c r="C148" s="40">
        <v>836.54007026936586</v>
      </c>
      <c r="D148" s="40">
        <v>12.297097884899163</v>
      </c>
      <c r="E148" s="42">
        <v>957.58</v>
      </c>
      <c r="F148" s="44">
        <v>2800.7</v>
      </c>
      <c r="G148" s="45">
        <v>2.5455999999999999</v>
      </c>
      <c r="H148" s="45">
        <v>6.2603</v>
      </c>
      <c r="I148" s="45">
        <v>4.631270821847763</v>
      </c>
      <c r="J148" s="45">
        <v>3.3856216044504071</v>
      </c>
    </row>
    <row r="149" spans="1:10" x14ac:dyDescent="0.3">
      <c r="A149" s="41">
        <v>224</v>
      </c>
      <c r="B149" s="43">
        <v>25.027000000000001</v>
      </c>
      <c r="C149" s="40">
        <v>835.21256159692632</v>
      </c>
      <c r="D149" s="40">
        <v>12.528188423953896</v>
      </c>
      <c r="E149" s="42">
        <v>962.22</v>
      </c>
      <c r="F149" s="44">
        <v>2800.9</v>
      </c>
      <c r="G149" s="45">
        <v>2.5548000000000002</v>
      </c>
      <c r="H149" s="45">
        <v>6.2531999999999996</v>
      </c>
      <c r="I149" s="45">
        <v>4.6383275767994236</v>
      </c>
      <c r="J149" s="45">
        <v>3.4052851204888892</v>
      </c>
    </row>
    <row r="150" spans="1:10" x14ac:dyDescent="0.3">
      <c r="A150" s="41">
        <v>225</v>
      </c>
      <c r="B150" s="43">
        <v>25.501000000000001</v>
      </c>
      <c r="C150" s="40">
        <v>833.88925950633745</v>
      </c>
      <c r="D150" s="40">
        <v>12.763241863433311</v>
      </c>
      <c r="E150" s="42">
        <v>966.89</v>
      </c>
      <c r="F150" s="44">
        <v>2801.2</v>
      </c>
      <c r="G150" s="45">
        <v>2.5640999999999998</v>
      </c>
      <c r="H150" s="45">
        <v>6.2461000000000002</v>
      </c>
      <c r="I150" s="45">
        <v>4.6454886809938172</v>
      </c>
      <c r="J150" s="45">
        <v>3.4251823290210992</v>
      </c>
    </row>
    <row r="151" spans="1:10" x14ac:dyDescent="0.3">
      <c r="A151" s="41">
        <v>226</v>
      </c>
      <c r="B151" s="43">
        <v>25.981999999999999</v>
      </c>
      <c r="C151" s="40">
        <v>832.63946711074107</v>
      </c>
      <c r="D151" s="40">
        <v>13.002210375763879</v>
      </c>
      <c r="E151" s="42">
        <v>971.55</v>
      </c>
      <c r="F151" s="44">
        <v>2801.4</v>
      </c>
      <c r="G151" s="45">
        <v>2.5733000000000001</v>
      </c>
      <c r="H151" s="45">
        <v>6.2389999999999999</v>
      </c>
      <c r="I151" s="45">
        <v>4.6527560289563814</v>
      </c>
      <c r="J151" s="45">
        <v>3.4453170570760143</v>
      </c>
    </row>
    <row r="152" spans="1:10" x14ac:dyDescent="0.3">
      <c r="A152" s="41">
        <v>227</v>
      </c>
      <c r="B152" s="43">
        <v>26.47</v>
      </c>
      <c r="C152" s="40">
        <v>831.32429960927755</v>
      </c>
      <c r="D152" s="40">
        <v>13.245033112582782</v>
      </c>
      <c r="E152" s="42">
        <v>976.21</v>
      </c>
      <c r="F152" s="44">
        <v>2801.5</v>
      </c>
      <c r="G152" s="45">
        <v>2.5825</v>
      </c>
      <c r="H152" s="45">
        <v>6.2319000000000004</v>
      </c>
      <c r="I152" s="45">
        <v>4.6601315631389486</v>
      </c>
      <c r="J152" s="45">
        <v>3.4656932171142287</v>
      </c>
    </row>
    <row r="153" spans="1:10" x14ac:dyDescent="0.3">
      <c r="A153" s="41">
        <v>228</v>
      </c>
      <c r="B153" s="43">
        <v>26.965</v>
      </c>
      <c r="C153" s="40">
        <v>830.01328021248344</v>
      </c>
      <c r="D153" s="40">
        <v>13.491635186184565</v>
      </c>
      <c r="E153" s="42">
        <v>980.88</v>
      </c>
      <c r="F153" s="44">
        <v>2801.7</v>
      </c>
      <c r="G153" s="45">
        <v>2.5918000000000001</v>
      </c>
      <c r="H153" s="45">
        <v>6.2248999999999999</v>
      </c>
      <c r="I153" s="45">
        <v>4.6676172756354006</v>
      </c>
      <c r="J153" s="45">
        <v>3.4863148128188097</v>
      </c>
    </row>
    <row r="154" spans="1:10" x14ac:dyDescent="0.3">
      <c r="A154" s="41">
        <v>229</v>
      </c>
      <c r="B154" s="43">
        <v>27.466999999999999</v>
      </c>
      <c r="C154" s="40">
        <v>828.63771958899565</v>
      </c>
      <c r="D154" s="40">
        <v>13.74192661811186</v>
      </c>
      <c r="E154" s="42">
        <v>985.57</v>
      </c>
      <c r="F154" s="44">
        <v>2801.8</v>
      </c>
      <c r="G154" s="45">
        <v>2.601</v>
      </c>
      <c r="H154" s="45">
        <v>6.2178000000000004</v>
      </c>
      <c r="I154" s="45">
        <v>4.675215209974521</v>
      </c>
      <c r="J154" s="45">
        <v>3.5071859453738203</v>
      </c>
    </row>
    <row r="155" spans="1:10" x14ac:dyDescent="0.3">
      <c r="A155" s="41">
        <v>230</v>
      </c>
      <c r="B155" s="43">
        <v>27.975999999999999</v>
      </c>
      <c r="C155" s="40">
        <v>827.33515347067089</v>
      </c>
      <c r="D155" s="40">
        <v>13.995801259622114</v>
      </c>
      <c r="E155" s="42">
        <v>990.26</v>
      </c>
      <c r="F155" s="44">
        <v>2802</v>
      </c>
      <c r="G155" s="45">
        <v>2.6101999999999999</v>
      </c>
      <c r="H155" s="45">
        <v>6.2107000000000001</v>
      </c>
      <c r="I155" s="45">
        <v>4.6829274629937858</v>
      </c>
      <c r="J155" s="45">
        <v>3.5283108202492302</v>
      </c>
    </row>
    <row r="156" spans="1:10" x14ac:dyDescent="0.3">
      <c r="A156" s="41">
        <v>231</v>
      </c>
      <c r="B156" s="43">
        <v>28.492999999999999</v>
      </c>
      <c r="C156" s="40">
        <v>825.96844800528618</v>
      </c>
      <c r="D156" s="40">
        <v>14.253135689851767</v>
      </c>
      <c r="E156" s="42">
        <v>994.96</v>
      </c>
      <c r="F156" s="44">
        <v>2802.1</v>
      </c>
      <c r="G156" s="45">
        <v>2.6194000000000002</v>
      </c>
      <c r="H156" s="45">
        <v>6.2037000000000004</v>
      </c>
      <c r="I156" s="45">
        <v>4.6907561867981142</v>
      </c>
      <c r="J156" s="45">
        <v>3.5496937545116474</v>
      </c>
    </row>
    <row r="157" spans="1:10" x14ac:dyDescent="0.3">
      <c r="A157" s="41">
        <v>232</v>
      </c>
      <c r="B157" s="43">
        <v>29.015999999999998</v>
      </c>
      <c r="C157" s="40">
        <v>824.60625051537897</v>
      </c>
      <c r="D157" s="40">
        <v>14.515894904920886</v>
      </c>
      <c r="E157" s="42">
        <v>999.68</v>
      </c>
      <c r="F157" s="44">
        <v>2802.2</v>
      </c>
      <c r="G157" s="45">
        <v>2.6286</v>
      </c>
      <c r="H157" s="45">
        <v>6.1966999999999999</v>
      </c>
      <c r="I157" s="45">
        <v>4.6987035908077788</v>
      </c>
      <c r="J157" s="45">
        <v>3.571339184679124</v>
      </c>
    </row>
    <row r="158" spans="1:10" x14ac:dyDescent="0.3">
      <c r="A158" s="41">
        <v>233</v>
      </c>
      <c r="B158" s="43">
        <v>29.547000000000001</v>
      </c>
      <c r="C158" s="40">
        <v>823.24853873384382</v>
      </c>
      <c r="D158" s="40">
        <v>14.781966001478196</v>
      </c>
      <c r="E158" s="42">
        <v>1004.4</v>
      </c>
      <c r="F158" s="44">
        <v>2802.2</v>
      </c>
      <c r="G158" s="45">
        <v>2.6377999999999999</v>
      </c>
      <c r="H158" s="45">
        <v>6.1896000000000004</v>
      </c>
      <c r="I158" s="45">
        <v>4.706771943899879</v>
      </c>
      <c r="J158" s="45">
        <v>3.5932516751386738</v>
      </c>
    </row>
    <row r="159" spans="1:10" x14ac:dyDescent="0.3">
      <c r="A159" s="41">
        <v>234</v>
      </c>
      <c r="B159" s="43">
        <v>30.085999999999999</v>
      </c>
      <c r="C159" s="40">
        <v>821.89529053998524</v>
      </c>
      <c r="D159" s="40">
        <v>15.053439710973956</v>
      </c>
      <c r="E159" s="42">
        <v>1009.1</v>
      </c>
      <c r="F159" s="44">
        <v>2802.3</v>
      </c>
      <c r="G159" s="45">
        <v>2.6469</v>
      </c>
      <c r="H159" s="45">
        <v>6.1825999999999999</v>
      </c>
      <c r="I159" s="45">
        <v>4.7149635766480378</v>
      </c>
      <c r="J159" s="45">
        <v>3.6154359271435226</v>
      </c>
    </row>
    <row r="160" spans="1:10" x14ac:dyDescent="0.3">
      <c r="A160" s="41">
        <v>235</v>
      </c>
      <c r="B160" s="43">
        <v>30.632000000000001</v>
      </c>
      <c r="C160" s="40">
        <v>820.54648395831623</v>
      </c>
      <c r="D160" s="40">
        <v>15.325670498084291</v>
      </c>
      <c r="E160" s="42">
        <v>1013.8</v>
      </c>
      <c r="F160" s="44">
        <v>2802.3</v>
      </c>
      <c r="G160" s="45">
        <v>2.6562000000000001</v>
      </c>
      <c r="H160" s="45">
        <v>6.1756000000000002</v>
      </c>
      <c r="I160" s="45">
        <v>4.723280883665228</v>
      </c>
      <c r="J160" s="45">
        <v>3.6378967884073226</v>
      </c>
    </row>
    <row r="161" spans="1:10" x14ac:dyDescent="0.3">
      <c r="A161" s="41">
        <v>236</v>
      </c>
      <c r="B161" s="43">
        <v>31.186</v>
      </c>
      <c r="C161" s="40">
        <v>819.20209715736883</v>
      </c>
      <c r="D161" s="40">
        <v>15.605493133583021</v>
      </c>
      <c r="E161" s="42">
        <v>1018.6</v>
      </c>
      <c r="F161" s="44">
        <v>2802.3</v>
      </c>
      <c r="G161" s="45">
        <v>2.6652999999999998</v>
      </c>
      <c r="H161" s="45">
        <v>6.1685999999999996</v>
      </c>
      <c r="I161" s="45">
        <v>4.731726326054881</v>
      </c>
      <c r="J161" s="45">
        <v>3.6606392633102338</v>
      </c>
    </row>
    <row r="162" spans="1:10" x14ac:dyDescent="0.3">
      <c r="A162" s="41">
        <v>237</v>
      </c>
      <c r="B162" s="43">
        <v>31.747</v>
      </c>
      <c r="C162" s="40">
        <v>817.79522407589138</v>
      </c>
      <c r="D162" s="40">
        <v>15.888147442008263</v>
      </c>
      <c r="E162" s="42">
        <v>1023.3</v>
      </c>
      <c r="F162" s="44">
        <v>2802.3</v>
      </c>
      <c r="G162" s="45">
        <v>2.6745000000000001</v>
      </c>
      <c r="H162" s="45">
        <v>6.1616</v>
      </c>
      <c r="I162" s="45">
        <v>4.7403024339757227</v>
      </c>
      <c r="J162" s="45">
        <v>3.6836685237319484</v>
      </c>
    </row>
    <row r="163" spans="1:10" x14ac:dyDescent="0.3">
      <c r="A163" s="41">
        <v>238</v>
      </c>
      <c r="B163" s="43">
        <v>32.317</v>
      </c>
      <c r="C163" s="40">
        <v>816.3931749530575</v>
      </c>
      <c r="D163" s="40">
        <v>16.175994823681656</v>
      </c>
      <c r="E163" s="42">
        <v>1028.0999999999999</v>
      </c>
      <c r="F163" s="44">
        <v>2802.3</v>
      </c>
      <c r="G163" s="45">
        <v>2.6837</v>
      </c>
      <c r="H163" s="45">
        <v>6.1546000000000003</v>
      </c>
      <c r="I163" s="45">
        <v>4.7490118093260616</v>
      </c>
      <c r="J163" s="45">
        <v>3.7069899205236445</v>
      </c>
    </row>
    <row r="164" spans="1:10" x14ac:dyDescent="0.3">
      <c r="A164" s="41">
        <v>239</v>
      </c>
      <c r="B164" s="43">
        <v>32.893000000000001</v>
      </c>
      <c r="C164" s="40">
        <v>814.9959250203749</v>
      </c>
      <c r="D164" s="40">
        <v>16.466326362588507</v>
      </c>
      <c r="E164" s="42">
        <v>1032.8</v>
      </c>
      <c r="F164" s="44">
        <v>2802.3</v>
      </c>
      <c r="G164" s="45">
        <v>2.6928000000000001</v>
      </c>
      <c r="H164" s="45">
        <v>6.1475999999999997</v>
      </c>
      <c r="I164" s="45">
        <v>4.7578571285535833</v>
      </c>
      <c r="J164" s="45">
        <v>3.7306089956303294</v>
      </c>
    </row>
    <row r="165" spans="1:10" x14ac:dyDescent="0.3">
      <c r="A165" s="41">
        <v>240</v>
      </c>
      <c r="B165" s="43">
        <v>33.478000000000002</v>
      </c>
      <c r="C165" s="40">
        <v>813.6034496786267</v>
      </c>
      <c r="D165" s="40">
        <v>16.764459346186086</v>
      </c>
      <c r="E165" s="42">
        <v>1037.5999999999999</v>
      </c>
      <c r="F165" s="44">
        <v>2802.2</v>
      </c>
      <c r="G165" s="45">
        <v>2.702</v>
      </c>
      <c r="H165" s="45">
        <v>6.1406000000000001</v>
      </c>
      <c r="I165" s="45">
        <v>4.7668411455970281</v>
      </c>
      <c r="J165" s="45">
        <v>3.7545314948723139</v>
      </c>
    </row>
    <row r="166" spans="1:10" x14ac:dyDescent="0.3">
      <c r="A166" s="41">
        <v>241</v>
      </c>
      <c r="B166" s="43">
        <v>34.070999999999998</v>
      </c>
      <c r="C166" s="40">
        <v>812.21572449642622</v>
      </c>
      <c r="D166" s="40">
        <v>17.064846416382252</v>
      </c>
      <c r="E166" s="42">
        <v>1042.4000000000001</v>
      </c>
      <c r="F166" s="44">
        <v>2802.1</v>
      </c>
      <c r="G166" s="45">
        <v>2.7111999999999998</v>
      </c>
      <c r="H166" s="45">
        <v>6.1336000000000004</v>
      </c>
      <c r="I166" s="45">
        <v>4.7759666949664199</v>
      </c>
      <c r="J166" s="45">
        <v>3.7787633813926877</v>
      </c>
    </row>
    <row r="167" spans="1:10" x14ac:dyDescent="0.3">
      <c r="A167" s="41">
        <v>242</v>
      </c>
      <c r="B167" s="43">
        <v>34.671999999999997</v>
      </c>
      <c r="C167" s="40">
        <v>810.76698556834765</v>
      </c>
      <c r="D167" s="40">
        <v>17.370158068438421</v>
      </c>
      <c r="E167" s="42">
        <v>1047.2</v>
      </c>
      <c r="F167" s="44">
        <v>2802</v>
      </c>
      <c r="G167" s="45">
        <v>2.7202999999999999</v>
      </c>
      <c r="H167" s="45">
        <v>6.1265999999999998</v>
      </c>
      <c r="I167" s="45">
        <v>4.785236694968992</v>
      </c>
      <c r="J167" s="45">
        <v>3.8033108497745132</v>
      </c>
    </row>
    <row r="168" spans="1:10" x14ac:dyDescent="0.3">
      <c r="A168" s="41">
        <v>243</v>
      </c>
      <c r="B168" s="43">
        <v>35.280999999999999</v>
      </c>
      <c r="C168" s="40">
        <v>809.38891137191422</v>
      </c>
      <c r="D168" s="40">
        <v>17.680339462517679</v>
      </c>
      <c r="E168" s="42">
        <v>1052</v>
      </c>
      <c r="F168" s="44">
        <v>2801.9</v>
      </c>
      <c r="G168" s="45">
        <v>2.7294999999999998</v>
      </c>
      <c r="H168" s="45">
        <v>6.1196000000000002</v>
      </c>
      <c r="I168" s="45">
        <v>4.7946541510882499</v>
      </c>
      <c r="J168" s="45">
        <v>3.8281803408296318</v>
      </c>
    </row>
    <row r="169" spans="1:10" x14ac:dyDescent="0.3">
      <c r="A169" s="41">
        <v>244</v>
      </c>
      <c r="B169" s="43">
        <v>35.898000000000003</v>
      </c>
      <c r="C169" s="40">
        <v>807.95023026581566</v>
      </c>
      <c r="D169" s="40">
        <v>17.992083483267365</v>
      </c>
      <c r="E169" s="42">
        <v>1056.8</v>
      </c>
      <c r="F169" s="44">
        <v>2801.8</v>
      </c>
      <c r="G169" s="45">
        <v>2.7385999999999999</v>
      </c>
      <c r="H169" s="45">
        <v>6.1127000000000002</v>
      </c>
      <c r="I169" s="45">
        <v>4.8042221595240457</v>
      </c>
      <c r="J169" s="45">
        <v>3.8533785570570918</v>
      </c>
    </row>
    <row r="170" spans="1:10" x14ac:dyDescent="0.3">
      <c r="A170" s="41">
        <v>245</v>
      </c>
      <c r="B170" s="43">
        <v>36.523000000000003</v>
      </c>
      <c r="C170" s="40">
        <v>806.51665456891692</v>
      </c>
      <c r="D170" s="40">
        <v>18.311664530305805</v>
      </c>
      <c r="E170" s="42">
        <v>1061.5999999999999</v>
      </c>
      <c r="F170" s="44">
        <v>2801.6</v>
      </c>
      <c r="G170" s="45">
        <v>2.7477999999999998</v>
      </c>
      <c r="H170" s="45">
        <v>6.1056999999999997</v>
      </c>
      <c r="I170" s="45">
        <v>4.8139439109019415</v>
      </c>
      <c r="J170" s="45">
        <v>3.8789124787661247</v>
      </c>
    </row>
    <row r="171" spans="1:10" x14ac:dyDescent="0.3">
      <c r="A171" s="41">
        <v>246</v>
      </c>
      <c r="B171" s="43">
        <v>37.156999999999996</v>
      </c>
      <c r="C171" s="40">
        <v>805.02334567702462</v>
      </c>
      <c r="D171" s="40">
        <v>18.635855385762206</v>
      </c>
      <c r="E171" s="42">
        <v>1066.4000000000001</v>
      </c>
      <c r="F171" s="44">
        <v>2801.4</v>
      </c>
      <c r="G171" s="45">
        <v>2.7568999999999999</v>
      </c>
      <c r="H171" s="45">
        <v>6.0987</v>
      </c>
      <c r="I171" s="45">
        <v>4.8238226941606781</v>
      </c>
      <c r="J171" s="45">
        <v>3.9047893808556711</v>
      </c>
    </row>
    <row r="172" spans="1:10" x14ac:dyDescent="0.3">
      <c r="A172" s="41">
        <v>247</v>
      </c>
      <c r="B172" s="43">
        <v>37.798999999999999</v>
      </c>
      <c r="C172" s="40">
        <v>803.60012857602055</v>
      </c>
      <c r="D172" s="40">
        <v>18.96813353566009</v>
      </c>
      <c r="E172" s="42">
        <v>1071.2</v>
      </c>
      <c r="F172" s="44">
        <v>2801.2</v>
      </c>
      <c r="G172" s="45">
        <v>2.7660999999999998</v>
      </c>
      <c r="H172" s="45">
        <v>6.0917000000000003</v>
      </c>
      <c r="I172" s="45">
        <v>4.8338619006269177</v>
      </c>
      <c r="J172" s="45">
        <v>3.9310168502378255</v>
      </c>
    </row>
    <row r="173" spans="1:10" x14ac:dyDescent="0.3">
      <c r="A173" s="41">
        <v>248</v>
      </c>
      <c r="B173" s="43">
        <v>38.448999999999998</v>
      </c>
      <c r="C173" s="40">
        <v>802.11759043875838</v>
      </c>
      <c r="D173" s="40">
        <v>19.301293186643505</v>
      </c>
      <c r="E173" s="42">
        <v>1076.0999999999999</v>
      </c>
      <c r="F173" s="44">
        <v>2801</v>
      </c>
      <c r="G173" s="45">
        <v>2.7751999999999999</v>
      </c>
      <c r="H173" s="45">
        <v>6.0848000000000004</v>
      </c>
      <c r="I173" s="45">
        <v>4.8440650282870115</v>
      </c>
      <c r="J173" s="45">
        <v>3.9576028038892774</v>
      </c>
    </row>
    <row r="174" spans="1:10" x14ac:dyDescent="0.3">
      <c r="A174" s="41">
        <v>249</v>
      </c>
      <c r="B174" s="43">
        <v>39.107999999999997</v>
      </c>
      <c r="C174" s="40">
        <v>800.64051240992796</v>
      </c>
      <c r="D174" s="40">
        <v>19.638648860958366</v>
      </c>
      <c r="E174" s="42">
        <v>1080.9000000000001</v>
      </c>
      <c r="F174" s="44">
        <v>2800.7</v>
      </c>
      <c r="G174" s="45">
        <v>2.7843</v>
      </c>
      <c r="H174" s="45">
        <v>6.0777999999999999</v>
      </c>
      <c r="I174" s="45">
        <v>4.854435686266017</v>
      </c>
      <c r="J174" s="45">
        <v>3.9845555075104793</v>
      </c>
    </row>
    <row r="175" spans="1:10" x14ac:dyDescent="0.3">
      <c r="A175" s="41">
        <v>250</v>
      </c>
      <c r="B175" s="43">
        <v>39.776000000000003</v>
      </c>
      <c r="C175" s="40">
        <v>799.16886438104382</v>
      </c>
      <c r="D175" s="40">
        <v>19.984012789768187</v>
      </c>
      <c r="E175" s="42">
        <v>1085.8</v>
      </c>
      <c r="F175" s="44">
        <v>2800.4</v>
      </c>
      <c r="G175" s="45">
        <v>2.7934999999999999</v>
      </c>
      <c r="H175" s="45">
        <v>6.0708000000000002</v>
      </c>
      <c r="I175" s="45">
        <v>4.8649775995247939</v>
      </c>
      <c r="J175" s="45">
        <v>4.0118835947680758</v>
      </c>
    </row>
    <row r="176" spans="1:10" x14ac:dyDescent="0.3">
      <c r="A176" s="41">
        <v>251</v>
      </c>
      <c r="B176" s="43">
        <v>40.451999999999998</v>
      </c>
      <c r="C176" s="40">
        <v>797.70261646458209</v>
      </c>
      <c r="D176" s="40">
        <v>20.333468889792599</v>
      </c>
      <c r="E176" s="42">
        <v>1090.7</v>
      </c>
      <c r="F176" s="44">
        <v>2800.1</v>
      </c>
      <c r="G176" s="45">
        <v>2.8026</v>
      </c>
      <c r="H176" s="45">
        <v>6.0639000000000003</v>
      </c>
      <c r="I176" s="45">
        <v>4.8756946137864405</v>
      </c>
      <c r="J176" s="45">
        <v>4.0395960870916152</v>
      </c>
    </row>
    <row r="177" spans="1:10" x14ac:dyDescent="0.3">
      <c r="A177" s="41">
        <v>252</v>
      </c>
      <c r="B177" s="43">
        <v>41.137</v>
      </c>
      <c r="C177" s="40">
        <v>796.17834394904457</v>
      </c>
      <c r="D177" s="40">
        <v>20.691082143596113</v>
      </c>
      <c r="E177" s="42">
        <v>1095.5</v>
      </c>
      <c r="F177" s="44">
        <v>2799.8</v>
      </c>
      <c r="G177" s="45">
        <v>2.8117999999999999</v>
      </c>
      <c r="H177" s="45">
        <v>6.0568999999999997</v>
      </c>
      <c r="I177" s="45">
        <v>4.8865907007041276</v>
      </c>
      <c r="J177" s="45">
        <v>4.0677024139911762</v>
      </c>
    </row>
    <row r="178" spans="1:10" x14ac:dyDescent="0.3">
      <c r="A178" s="41">
        <v>253</v>
      </c>
      <c r="B178" s="43">
        <v>41.831000000000003</v>
      </c>
      <c r="C178" s="40">
        <v>794.65988556897651</v>
      </c>
      <c r="D178" s="40">
        <v>21.05263157894737</v>
      </c>
      <c r="E178" s="42">
        <v>1100.4000000000001</v>
      </c>
      <c r="F178" s="44">
        <v>2799.5</v>
      </c>
      <c r="G178" s="45">
        <v>2.8209</v>
      </c>
      <c r="H178" s="45">
        <v>6.0499000000000001</v>
      </c>
      <c r="I178" s="45">
        <v>4.8976699632827829</v>
      </c>
      <c r="J178" s="45">
        <v>4.0962124338581187</v>
      </c>
    </row>
    <row r="179" spans="1:10" x14ac:dyDescent="0.3">
      <c r="A179" s="41">
        <v>254</v>
      </c>
      <c r="B179" s="43">
        <v>42.533999999999999</v>
      </c>
      <c r="C179" s="40">
        <v>793.14720812182736</v>
      </c>
      <c r="D179" s="40">
        <v>21.417862497322766</v>
      </c>
      <c r="E179" s="42">
        <v>1105.3</v>
      </c>
      <c r="F179" s="44">
        <v>2799.1</v>
      </c>
      <c r="G179" s="45">
        <v>2.83</v>
      </c>
      <c r="H179" s="45">
        <v>6.0429000000000004</v>
      </c>
      <c r="I179" s="45">
        <v>4.9089366415678715</v>
      </c>
      <c r="J179" s="45">
        <v>4.125136455206035</v>
      </c>
    </row>
    <row r="180" spans="1:10" x14ac:dyDescent="0.3">
      <c r="A180" s="41">
        <v>255</v>
      </c>
      <c r="B180" s="43">
        <v>43.246000000000002</v>
      </c>
      <c r="C180" s="40">
        <v>791.64027865737819</v>
      </c>
      <c r="D180" s="40">
        <v>21.786492374727668</v>
      </c>
      <c r="E180" s="42">
        <v>1110.2</v>
      </c>
      <c r="F180" s="44">
        <v>2798.7</v>
      </c>
      <c r="G180" s="45">
        <v>2.8391999999999999</v>
      </c>
      <c r="H180" s="45">
        <v>6.0358999999999998</v>
      </c>
      <c r="I180" s="45">
        <v>4.9203951186151142</v>
      </c>
      <c r="J180" s="45">
        <v>4.1544852583056704</v>
      </c>
    </row>
    <row r="181" spans="1:10" x14ac:dyDescent="0.3">
      <c r="A181" s="41">
        <v>256</v>
      </c>
      <c r="B181" s="43">
        <v>43.966999999999999</v>
      </c>
      <c r="C181" s="40">
        <v>790.13906447534771</v>
      </c>
      <c r="D181" s="40">
        <v>22.168033695411218</v>
      </c>
      <c r="E181" s="42">
        <v>1115.0999999999999</v>
      </c>
      <c r="F181" s="44">
        <v>2798.3</v>
      </c>
      <c r="G181" s="45">
        <v>2.8492999999999999</v>
      </c>
      <c r="H181" s="45">
        <v>6.0289999999999999</v>
      </c>
      <c r="I181" s="45">
        <v>4.9320499267556226</v>
      </c>
      <c r="J181" s="45">
        <v>4.184270117161943</v>
      </c>
    </row>
    <row r="182" spans="1:10" x14ac:dyDescent="0.3">
      <c r="A182" s="41">
        <v>257</v>
      </c>
      <c r="B182" s="43">
        <v>44.697000000000003</v>
      </c>
      <c r="C182" s="40">
        <v>788.58134216544431</v>
      </c>
      <c r="D182" s="40">
        <v>22.547914317925592</v>
      </c>
      <c r="E182" s="42">
        <v>1120.0999999999999</v>
      </c>
      <c r="F182" s="44">
        <v>2797.9</v>
      </c>
      <c r="G182" s="45">
        <v>2.8574000000000002</v>
      </c>
      <c r="H182" s="45">
        <v>6.0220000000000002</v>
      </c>
      <c r="I182" s="45">
        <v>4.9439057541717704</v>
      </c>
      <c r="J182" s="45">
        <v>4.2145028217776286</v>
      </c>
    </row>
    <row r="183" spans="1:10" x14ac:dyDescent="0.3">
      <c r="A183" s="41">
        <v>258</v>
      </c>
      <c r="B183" s="43">
        <v>45.436999999999998</v>
      </c>
      <c r="C183" s="40">
        <v>787.02974972453956</v>
      </c>
      <c r="D183" s="40">
        <v>22.935779816513762</v>
      </c>
      <c r="E183" s="42">
        <v>1125</v>
      </c>
      <c r="F183" s="44">
        <v>2797.4</v>
      </c>
      <c r="G183" s="45">
        <v>2.8666</v>
      </c>
      <c r="H183" s="45">
        <v>6.0149999999999997</v>
      </c>
      <c r="I183" s="45">
        <v>4.9559674517996184</v>
      </c>
      <c r="J183" s="45">
        <v>4.2451957006447714</v>
      </c>
    </row>
    <row r="184" spans="1:10" x14ac:dyDescent="0.3">
      <c r="A184" s="41">
        <v>259</v>
      </c>
      <c r="B184" s="43">
        <v>46.185000000000002</v>
      </c>
      <c r="C184" s="40">
        <v>785.48425104076659</v>
      </c>
      <c r="D184" s="40">
        <v>23.331777881474569</v>
      </c>
      <c r="E184" s="42">
        <v>1130</v>
      </c>
      <c r="F184" s="44">
        <v>2796.9</v>
      </c>
      <c r="G184" s="45">
        <v>2.8757000000000001</v>
      </c>
      <c r="H184" s="45">
        <v>6.008</v>
      </c>
      <c r="I184" s="45">
        <v>4.9682400405747122</v>
      </c>
      <c r="J184" s="45">
        <v>4.2763616434004712</v>
      </c>
    </row>
    <row r="185" spans="1:10" x14ac:dyDescent="0.3">
      <c r="A185" s="41">
        <v>260</v>
      </c>
      <c r="B185" s="43">
        <v>46.942999999999998</v>
      </c>
      <c r="C185" s="40">
        <v>783.94481028535586</v>
      </c>
      <c r="D185" s="40">
        <v>23.736055067647758</v>
      </c>
      <c r="E185" s="42">
        <v>1134.9000000000001</v>
      </c>
      <c r="F185" s="44">
        <v>2796.4</v>
      </c>
      <c r="G185" s="45">
        <v>2.8847999999999998</v>
      </c>
      <c r="H185" s="45">
        <v>6.0010000000000003</v>
      </c>
      <c r="I185" s="45">
        <v>4.9807287190385852</v>
      </c>
      <c r="J185" s="45">
        <v>4.3080141235813194</v>
      </c>
    </row>
    <row r="186" spans="1:10" x14ac:dyDescent="0.3">
      <c r="A186" s="41">
        <v>261</v>
      </c>
      <c r="B186" s="43">
        <v>47.710999999999999</v>
      </c>
      <c r="C186" s="40">
        <v>782.35017994054147</v>
      </c>
      <c r="D186" s="40">
        <v>24.142926122646067</v>
      </c>
      <c r="E186" s="42">
        <v>1139.9000000000001</v>
      </c>
      <c r="F186" s="44">
        <v>2795.9</v>
      </c>
      <c r="G186" s="45">
        <v>2.8940000000000001</v>
      </c>
      <c r="H186" s="45">
        <v>5.9939999999999998</v>
      </c>
      <c r="I186" s="45">
        <v>4.9934388713242273</v>
      </c>
      <c r="J186" s="45">
        <v>4.3401672214082305</v>
      </c>
    </row>
    <row r="187" spans="1:10" x14ac:dyDescent="0.3">
      <c r="A187" s="41">
        <v>262</v>
      </c>
      <c r="B187" s="43">
        <v>48.488</v>
      </c>
      <c r="C187" s="40">
        <v>780.7620237351656</v>
      </c>
      <c r="D187" s="40">
        <v>24.551927326295115</v>
      </c>
      <c r="E187" s="42">
        <v>1144.9000000000001</v>
      </c>
      <c r="F187" s="44">
        <v>2795.3</v>
      </c>
      <c r="G187" s="45">
        <v>2.9030999999999998</v>
      </c>
      <c r="H187" s="45">
        <v>5.9869000000000003</v>
      </c>
      <c r="I187" s="45">
        <v>5.0063760755395901</v>
      </c>
      <c r="J187" s="45">
        <v>4.3728356465314873</v>
      </c>
    </row>
    <row r="188" spans="1:10" x14ac:dyDescent="0.3">
      <c r="A188" s="41">
        <v>263</v>
      </c>
      <c r="B188" s="43">
        <v>49.274999999999999</v>
      </c>
      <c r="C188" s="40">
        <v>779.18030232195724</v>
      </c>
      <c r="D188" s="40">
        <v>24.975024975024976</v>
      </c>
      <c r="E188" s="42">
        <v>1149.9000000000001</v>
      </c>
      <c r="F188" s="44">
        <v>2794.7</v>
      </c>
      <c r="G188" s="45">
        <v>2.9123000000000001</v>
      </c>
      <c r="H188" s="45">
        <v>5.9798999999999998</v>
      </c>
      <c r="I188" s="45">
        <v>5.0195461125688468</v>
      </c>
      <c r="J188" s="45">
        <v>4.4060347606648307</v>
      </c>
    </row>
    <row r="189" spans="1:10" x14ac:dyDescent="0.3">
      <c r="A189" s="41">
        <v>264</v>
      </c>
      <c r="B189" s="43">
        <v>50.070999999999998</v>
      </c>
      <c r="C189" s="40">
        <v>777.54451442345066</v>
      </c>
      <c r="D189" s="40">
        <v>25.400050800101599</v>
      </c>
      <c r="E189" s="42">
        <v>1154.9000000000001</v>
      </c>
      <c r="F189" s="44">
        <v>2794.1</v>
      </c>
      <c r="G189" s="45">
        <v>2.9214000000000002</v>
      </c>
      <c r="H189" s="45">
        <v>5.9729000000000001</v>
      </c>
      <c r="I189" s="45">
        <v>5.0329549753121734</v>
      </c>
      <c r="J189" s="45">
        <v>4.4397806000382474</v>
      </c>
    </row>
    <row r="190" spans="1:10" x14ac:dyDescent="0.3">
      <c r="A190" s="41">
        <v>265</v>
      </c>
      <c r="B190" s="43">
        <v>50.877000000000002</v>
      </c>
      <c r="C190" s="40">
        <v>775.97578955536585</v>
      </c>
      <c r="D190" s="40">
        <v>25.83311805734952</v>
      </c>
      <c r="E190" s="42">
        <v>1159.9000000000001</v>
      </c>
      <c r="F190" s="44">
        <v>2793.5</v>
      </c>
      <c r="G190" s="45">
        <v>2.9306000000000001</v>
      </c>
      <c r="H190" s="45">
        <v>5.9657999999999998</v>
      </c>
      <c r="I190" s="45">
        <v>5.0466088783855563</v>
      </c>
      <c r="J190" s="45">
        <v>4.4740898976001375</v>
      </c>
    </row>
    <row r="191" spans="1:10" x14ac:dyDescent="0.3">
      <c r="A191" s="41">
        <v>266</v>
      </c>
      <c r="B191" s="43">
        <v>51.692999999999998</v>
      </c>
      <c r="C191" s="40">
        <v>774.35341489855966</v>
      </c>
      <c r="D191" s="40">
        <v>26.274303730951132</v>
      </c>
      <c r="E191" s="42">
        <v>1165</v>
      </c>
      <c r="F191" s="44">
        <v>2792.8</v>
      </c>
      <c r="G191" s="45">
        <v>2.9397000000000002</v>
      </c>
      <c r="H191" s="45">
        <v>5.9588000000000001</v>
      </c>
      <c r="I191" s="45">
        <v>5.0605142683030673</v>
      </c>
      <c r="J191" s="45">
        <v>4.5089801049018803</v>
      </c>
    </row>
    <row r="192" spans="1:10" x14ac:dyDescent="0.3">
      <c r="A192" s="41">
        <v>267</v>
      </c>
      <c r="B192" s="43">
        <v>52.518999999999998</v>
      </c>
      <c r="C192" s="40">
        <v>772.67810230258078</v>
      </c>
      <c r="D192" s="40">
        <v>26.716537536735242</v>
      </c>
      <c r="E192" s="42">
        <v>1170</v>
      </c>
      <c r="F192" s="44">
        <v>2792.1</v>
      </c>
      <c r="G192" s="45">
        <v>2.9489000000000001</v>
      </c>
      <c r="H192" s="45">
        <v>5.9516999999999998</v>
      </c>
      <c r="I192" s="45">
        <v>5.074677834164949</v>
      </c>
      <c r="J192" s="45">
        <v>4.5444694136029105</v>
      </c>
    </row>
    <row r="193" spans="1:10" x14ac:dyDescent="0.3">
      <c r="A193" s="41">
        <v>268</v>
      </c>
      <c r="B193" s="43">
        <v>53.354999999999997</v>
      </c>
      <c r="C193" s="40">
        <v>771.06947335954976</v>
      </c>
      <c r="D193" s="40">
        <v>27.716186252771617</v>
      </c>
      <c r="E193" s="42">
        <v>1175.0999999999999</v>
      </c>
      <c r="F193" s="44">
        <v>2791.4</v>
      </c>
      <c r="G193" s="45">
        <v>2.9580000000000002</v>
      </c>
      <c r="H193" s="45">
        <v>5.9446000000000003</v>
      </c>
      <c r="I193" s="45">
        <v>5.0891065188759086</v>
      </c>
      <c r="J193" s="45">
        <v>4.5805767765415366</v>
      </c>
    </row>
    <row r="194" spans="1:10" x14ac:dyDescent="0.3">
      <c r="A194" s="41">
        <v>269</v>
      </c>
      <c r="B194" s="43">
        <v>54.201999999999998</v>
      </c>
      <c r="C194" s="40">
        <v>769.40832499807652</v>
      </c>
      <c r="D194" s="40">
        <v>27.631942525559548</v>
      </c>
      <c r="E194" s="42">
        <v>1180.0999999999999</v>
      </c>
      <c r="F194" s="44">
        <v>2790.6</v>
      </c>
      <c r="G194" s="45">
        <v>2.9672000000000001</v>
      </c>
      <c r="H194" s="45">
        <v>5.9375</v>
      </c>
      <c r="I194" s="45">
        <v>5.103807530919001</v>
      </c>
      <c r="J194" s="45">
        <v>4.6173219283222311</v>
      </c>
    </row>
    <row r="195" spans="1:10" x14ac:dyDescent="0.3">
      <c r="A195" s="41">
        <v>270</v>
      </c>
      <c r="B195" s="43">
        <v>55.058</v>
      </c>
      <c r="C195" s="40">
        <v>767.75431861804225</v>
      </c>
      <c r="D195" s="40">
        <v>28.09778027535825</v>
      </c>
      <c r="E195" s="41">
        <v>1185.2</v>
      </c>
      <c r="F195" s="44">
        <v>2789.9</v>
      </c>
      <c r="G195" s="45">
        <v>2.9763000000000002</v>
      </c>
      <c r="H195" s="45">
        <v>5.9303999999999997</v>
      </c>
      <c r="I195" s="45">
        <v>5.1187883567115708</v>
      </c>
      <c r="J195" s="45">
        <v>4.6547254053854825</v>
      </c>
    </row>
    <row r="196" spans="1:10" x14ac:dyDescent="0.3">
      <c r="A196" s="41">
        <v>271</v>
      </c>
      <c r="B196" s="43">
        <v>55.924999999999997</v>
      </c>
      <c r="C196" s="40">
        <v>766.10740825863786</v>
      </c>
      <c r="D196" s="40">
        <v>28.571428571428569</v>
      </c>
      <c r="E196" s="41">
        <v>1190.3</v>
      </c>
      <c r="F196" s="44">
        <v>2789.1</v>
      </c>
      <c r="G196" s="45">
        <v>2.9855</v>
      </c>
      <c r="H196" s="45">
        <v>5.9233000000000002</v>
      </c>
      <c r="I196" s="45">
        <v>5.1340567735711096</v>
      </c>
      <c r="J196" s="45">
        <v>4.6928085655350307</v>
      </c>
    </row>
    <row r="197" spans="1:10" x14ac:dyDescent="0.3">
      <c r="A197" s="41">
        <v>272</v>
      </c>
      <c r="B197" s="43">
        <v>56.802</v>
      </c>
      <c r="C197" s="40">
        <v>764.40911175661211</v>
      </c>
      <c r="D197" s="40">
        <v>29.052876234747242</v>
      </c>
      <c r="E197" s="41">
        <v>1195.4000000000001</v>
      </c>
      <c r="F197" s="44">
        <v>2788.2</v>
      </c>
      <c r="G197" s="45">
        <v>2.9946999999999999</v>
      </c>
      <c r="H197" s="45">
        <v>5.9161999999999999</v>
      </c>
      <c r="I197" s="45">
        <v>5.1496208633200196</v>
      </c>
      <c r="J197" s="45">
        <v>4.731593606918028</v>
      </c>
    </row>
    <row r="198" spans="1:10" x14ac:dyDescent="0.3">
      <c r="A198" s="41">
        <v>273</v>
      </c>
      <c r="B198" s="43">
        <v>57.689</v>
      </c>
      <c r="C198" s="40">
        <v>762.71832812142475</v>
      </c>
      <c r="D198" s="40">
        <v>29.542097488921716</v>
      </c>
      <c r="E198" s="41">
        <v>1200.5999999999999</v>
      </c>
      <c r="F198" s="44">
        <v>2787.4</v>
      </c>
      <c r="G198" s="45">
        <v>3.0038999999999998</v>
      </c>
      <c r="H198" s="45">
        <v>5.9090999999999996</v>
      </c>
      <c r="I198" s="45">
        <v>5.1654890265599658</v>
      </c>
      <c r="J198" s="45">
        <v>4.7711035864708995</v>
      </c>
    </row>
    <row r="199" spans="1:10" x14ac:dyDescent="0.3">
      <c r="A199" s="41">
        <v>274</v>
      </c>
      <c r="B199" s="43">
        <v>58.587000000000003</v>
      </c>
      <c r="C199" s="40">
        <v>760.97709458945292</v>
      </c>
      <c r="D199" s="40">
        <v>30.039050765995796</v>
      </c>
      <c r="E199" s="41">
        <v>1205.7</v>
      </c>
      <c r="F199" s="44">
        <v>2780.5</v>
      </c>
      <c r="G199" s="45">
        <v>3.0131000000000001</v>
      </c>
      <c r="H199" s="45">
        <v>5.9019000000000004</v>
      </c>
      <c r="I199" s="45">
        <v>5.1816699976481564</v>
      </c>
      <c r="J199" s="45">
        <v>4.8113624378681967</v>
      </c>
    </row>
    <row r="200" spans="1:10" x14ac:dyDescent="0.3">
      <c r="A200" s="41">
        <v>275</v>
      </c>
      <c r="B200" s="43">
        <v>59.496000000000002</v>
      </c>
      <c r="C200" s="40">
        <v>759.30144267274102</v>
      </c>
      <c r="D200" s="40">
        <v>30.543677458766037</v>
      </c>
      <c r="E200" s="41">
        <v>1210.9000000000001</v>
      </c>
      <c r="F200" s="44">
        <v>2785.5</v>
      </c>
      <c r="G200" s="45">
        <v>3.0223</v>
      </c>
      <c r="H200" s="45">
        <v>5.8947000000000003</v>
      </c>
      <c r="I200" s="45">
        <v>5.1981728604098913</v>
      </c>
      <c r="J200" s="45">
        <v>4.8523949890401141</v>
      </c>
    </row>
    <row r="201" spans="1:10" x14ac:dyDescent="0.3">
      <c r="A201" s="41">
        <v>276</v>
      </c>
      <c r="B201" s="43">
        <v>60.414999999999999</v>
      </c>
      <c r="C201" s="40">
        <v>757.57575757575762</v>
      </c>
      <c r="D201" s="40">
        <v>31.055900621118013</v>
      </c>
      <c r="E201" s="41">
        <v>1216</v>
      </c>
      <c r="F201" s="44">
        <v>2784.6</v>
      </c>
      <c r="G201" s="45">
        <v>3.0314999999999999</v>
      </c>
      <c r="H201" s="45">
        <v>5.8875999999999999</v>
      </c>
      <c r="I201" s="45">
        <v>5.2150070646240447</v>
      </c>
      <c r="J201" s="45">
        <v>4.8942269793550048</v>
      </c>
    </row>
    <row r="202" spans="1:10" x14ac:dyDescent="0.3">
      <c r="A202" s="41">
        <v>277</v>
      </c>
      <c r="B202" s="43">
        <v>61.345999999999997</v>
      </c>
      <c r="C202" s="40">
        <v>755.80077091678629</v>
      </c>
      <c r="D202" s="40">
        <v>31.585596967782692</v>
      </c>
      <c r="E202" s="41">
        <v>1221.2</v>
      </c>
      <c r="F202" s="44">
        <v>2783.6</v>
      </c>
      <c r="G202" s="45">
        <v>3.0406</v>
      </c>
      <c r="H202" s="45">
        <v>5.8803999999999998</v>
      </c>
      <c r="I202" s="45">
        <v>5.2321824433209025</v>
      </c>
      <c r="J202" s="45">
        <v>4.9368850766021808</v>
      </c>
    </row>
    <row r="203" spans="1:10" x14ac:dyDescent="0.3">
      <c r="A203" s="41">
        <v>278</v>
      </c>
      <c r="B203" s="43">
        <v>62.286999999999999</v>
      </c>
      <c r="C203" s="40">
        <v>754.09094336777014</v>
      </c>
      <c r="D203" s="40">
        <v>32.113037893384714</v>
      </c>
      <c r="E203" s="41">
        <v>1226.4000000000001</v>
      </c>
      <c r="F203" s="44">
        <v>2782.6</v>
      </c>
      <c r="G203" s="45">
        <v>3.0499000000000001</v>
      </c>
      <c r="H203" s="45">
        <v>5.8731</v>
      </c>
      <c r="I203" s="45">
        <v>5.2497092309349291</v>
      </c>
      <c r="J203" s="45">
        <v>4.9803968939500942</v>
      </c>
    </row>
    <row r="204" spans="1:10" x14ac:dyDescent="0.3">
      <c r="A204" s="41">
        <v>279</v>
      </c>
      <c r="B204" s="43">
        <v>63.238999999999997</v>
      </c>
      <c r="C204" s="40">
        <v>752.33222991272942</v>
      </c>
      <c r="D204" s="40">
        <v>32.6477309826967</v>
      </c>
      <c r="E204" s="41">
        <v>1231.5999999999999</v>
      </c>
      <c r="F204" s="44">
        <v>2781.5</v>
      </c>
      <c r="G204" s="45">
        <v>3.0590999999999999</v>
      </c>
      <c r="H204" s="45">
        <v>5.8658999999999999</v>
      </c>
      <c r="I204" s="45">
        <v>5.2675980823590347</v>
      </c>
      <c r="J204" s="45">
        <v>5.0247910071056712</v>
      </c>
    </row>
    <row r="205" spans="1:10" x14ac:dyDescent="0.3">
      <c r="A205" s="41">
        <v>280</v>
      </c>
      <c r="B205" s="43">
        <v>64.201999999999998</v>
      </c>
      <c r="C205" s="40">
        <v>750.5253677574301</v>
      </c>
      <c r="D205" s="40">
        <v>33.189512114171919</v>
      </c>
      <c r="E205" s="41">
        <v>1236.8</v>
      </c>
      <c r="F205" s="44">
        <v>2780.4</v>
      </c>
      <c r="G205" s="45">
        <v>3.0682999999999998</v>
      </c>
      <c r="H205" s="45">
        <v>5.8586</v>
      </c>
      <c r="I205" s="45">
        <v>5.2858600929513733</v>
      </c>
      <c r="J205" s="45">
        <v>5.0700969719522639</v>
      </c>
    </row>
    <row r="206" spans="1:10" x14ac:dyDescent="0.3">
      <c r="A206" s="41">
        <v>281</v>
      </c>
      <c r="B206" s="43">
        <v>65.176000000000002</v>
      </c>
      <c r="C206" s="40">
        <v>748.7271638215035</v>
      </c>
      <c r="D206" s="40">
        <v>33.74957813027337</v>
      </c>
      <c r="E206" s="41">
        <v>1242.0999999999999</v>
      </c>
      <c r="F206" s="44">
        <v>2779.3</v>
      </c>
      <c r="G206" s="45">
        <v>3.0775000000000001</v>
      </c>
      <c r="H206" s="45">
        <v>5.8513000000000002</v>
      </c>
      <c r="I206" s="45">
        <v>5.3045068195513174</v>
      </c>
      <c r="J206" s="45">
        <v>5.1163453430051504</v>
      </c>
    </row>
    <row r="207" spans="1:10" x14ac:dyDescent="0.3">
      <c r="A207" s="41">
        <v>282</v>
      </c>
      <c r="B207" s="43">
        <v>66.162000000000006</v>
      </c>
      <c r="C207" s="40">
        <v>746.93755602031672</v>
      </c>
      <c r="D207" s="40">
        <v>34.317089910775564</v>
      </c>
      <c r="E207" s="41">
        <v>1247.3</v>
      </c>
      <c r="F207" s="44">
        <v>2778.1</v>
      </c>
      <c r="G207" s="45">
        <v>3.0868000000000002</v>
      </c>
      <c r="H207" s="45">
        <v>5.8440000000000003</v>
      </c>
      <c r="I207" s="45">
        <v>5.3235503025677646</v>
      </c>
      <c r="J207" s="45">
        <v>5.1635676930907399</v>
      </c>
    </row>
    <row r="208" spans="1:10" x14ac:dyDescent="0.3">
      <c r="A208" s="41">
        <v>283</v>
      </c>
      <c r="B208" s="43">
        <v>67.158000000000001</v>
      </c>
      <c r="C208" s="40">
        <v>745.15648286140083</v>
      </c>
      <c r="D208" s="40">
        <v>34.879665155214511</v>
      </c>
      <c r="E208" s="41">
        <v>1252.5999999999999</v>
      </c>
      <c r="F208" s="44">
        <v>2777</v>
      </c>
      <c r="G208" s="45">
        <v>3.0960000000000001</v>
      </c>
      <c r="H208" s="45">
        <v>5.8367000000000004</v>
      </c>
      <c r="I208" s="45">
        <v>5.3430030892109768</v>
      </c>
      <c r="J208" s="45">
        <v>5.2117966347294891</v>
      </c>
    </row>
    <row r="209" spans="1:10" x14ac:dyDescent="0.3">
      <c r="A209" s="41">
        <v>284</v>
      </c>
      <c r="B209" s="43">
        <v>68.167000000000002</v>
      </c>
      <c r="C209" s="40">
        <v>743.32862558537124</v>
      </c>
      <c r="D209" s="40">
        <v>35.460992907801419</v>
      </c>
      <c r="E209" s="41">
        <v>1257.9000000000001</v>
      </c>
      <c r="F209" s="44">
        <v>2775.7</v>
      </c>
      <c r="G209" s="45">
        <v>3.1053000000000002</v>
      </c>
      <c r="H209" s="45">
        <v>5.8293999999999997</v>
      </c>
      <c r="I209" s="45">
        <v>5.3628782579485241</v>
      </c>
      <c r="J209" s="45">
        <v>5.26106584378525</v>
      </c>
    </row>
    <row r="210" spans="1:10" x14ac:dyDescent="0.3">
      <c r="A210" s="41">
        <v>285</v>
      </c>
      <c r="B210" s="43">
        <v>69.186000000000007</v>
      </c>
      <c r="C210" s="40">
        <v>741.4547341884778</v>
      </c>
      <c r="D210" s="40">
        <v>36.062026685899745</v>
      </c>
      <c r="E210" s="41">
        <v>1263.2</v>
      </c>
      <c r="F210" s="44">
        <v>2774.5</v>
      </c>
      <c r="G210" s="45">
        <v>3.1145999999999998</v>
      </c>
      <c r="H210" s="45">
        <v>5.8220000000000001</v>
      </c>
      <c r="I210" s="45">
        <v>5.3831894442772628</v>
      </c>
      <c r="J210" s="45">
        <v>5.3114100860326179</v>
      </c>
    </row>
    <row r="211" spans="1:10" x14ac:dyDescent="0.3">
      <c r="A211" s="41">
        <v>286</v>
      </c>
      <c r="B211" s="43">
        <v>70.218000000000004</v>
      </c>
      <c r="C211" s="40">
        <v>739.64497041420123</v>
      </c>
      <c r="D211" s="40">
        <v>36.656891495601172</v>
      </c>
      <c r="E211" s="41">
        <v>1268.5</v>
      </c>
      <c r="F211" s="44">
        <v>2773.2</v>
      </c>
      <c r="G211" s="45">
        <v>3.1238999999999999</v>
      </c>
      <c r="H211" s="45">
        <v>5.8146000000000004</v>
      </c>
      <c r="I211" s="45">
        <v>5.4039508679166737</v>
      </c>
      <c r="J211" s="45">
        <v>5.3628652473922367</v>
      </c>
    </row>
    <row r="212" spans="1:10" x14ac:dyDescent="0.3">
      <c r="A212" s="41">
        <v>287</v>
      </c>
      <c r="B212" s="43">
        <v>71.260999999999996</v>
      </c>
      <c r="C212" s="40">
        <v>737.78958241109626</v>
      </c>
      <c r="D212" s="40">
        <v>37.271710771524411</v>
      </c>
      <c r="E212" s="41">
        <v>1273.9000000000001</v>
      </c>
      <c r="F212" s="44">
        <v>2771.8</v>
      </c>
      <c r="G212" s="45">
        <v>3.1331000000000002</v>
      </c>
      <c r="H212" s="45">
        <v>5.8071999999999999</v>
      </c>
      <c r="I212" s="45">
        <v>5.4251773615451802</v>
      </c>
      <c r="J212" s="45">
        <v>5.4154683686896892</v>
      </c>
    </row>
    <row r="213" spans="1:10" x14ac:dyDescent="0.3">
      <c r="A213" s="41">
        <v>288</v>
      </c>
      <c r="B213" s="43">
        <v>72.314999999999998</v>
      </c>
      <c r="C213" s="40">
        <v>735.8893222459343</v>
      </c>
      <c r="D213" s="40">
        <v>37.893141341417206</v>
      </c>
      <c r="E213" s="41">
        <v>1279.2</v>
      </c>
      <c r="F213" s="44">
        <v>2770.5</v>
      </c>
      <c r="G213" s="45">
        <v>3.1423999999999999</v>
      </c>
      <c r="H213" s="45">
        <v>5.7996999999999996</v>
      </c>
      <c r="I213" s="45">
        <v>5.4468844012196556</v>
      </c>
      <c r="J213" s="45">
        <v>5.4692576859088309</v>
      </c>
    </row>
    <row r="214" spans="1:10" x14ac:dyDescent="0.3">
      <c r="A214" s="41">
        <v>289</v>
      </c>
      <c r="B214" s="43">
        <v>73.382000000000005</v>
      </c>
      <c r="C214" s="40">
        <v>733.99882560187905</v>
      </c>
      <c r="D214" s="40">
        <v>38.52080123266564</v>
      </c>
      <c r="E214" s="41">
        <v>1284.5999999999999</v>
      </c>
      <c r="F214" s="44">
        <v>2769.1</v>
      </c>
      <c r="G214" s="45">
        <v>3.1518000000000002</v>
      </c>
      <c r="H214" s="45">
        <v>5.7923</v>
      </c>
      <c r="I214" s="45">
        <v>5.469088138641216</v>
      </c>
      <c r="J214" s="45">
        <v>5.5242726770314903</v>
      </c>
    </row>
    <row r="215" spans="1:10" x14ac:dyDescent="0.3">
      <c r="A215" s="41">
        <v>290</v>
      </c>
      <c r="B215" s="43">
        <v>74.460999999999999</v>
      </c>
      <c r="C215" s="40">
        <v>732.11801742440878</v>
      </c>
      <c r="D215" s="40">
        <v>39.200313602508821</v>
      </c>
      <c r="E215" s="41">
        <v>1290</v>
      </c>
      <c r="F215" s="44">
        <v>2767.6</v>
      </c>
      <c r="G215" s="45">
        <v>3.1610999999999998</v>
      </c>
      <c r="H215" s="45">
        <v>5.7847999999999997</v>
      </c>
      <c r="I215" s="45">
        <v>5.4918054354564108</v>
      </c>
      <c r="J215" s="45">
        <v>5.5805541166888561</v>
      </c>
    </row>
    <row r="216" spans="1:10" x14ac:dyDescent="0.3">
      <c r="A216" s="41">
        <v>291</v>
      </c>
      <c r="B216" s="43">
        <v>75.551000000000002</v>
      </c>
      <c r="C216" s="40">
        <v>730.19350127783855</v>
      </c>
      <c r="D216" s="40">
        <v>39.808917197452232</v>
      </c>
      <c r="E216" s="41">
        <v>1295.4000000000001</v>
      </c>
      <c r="F216" s="44">
        <v>2766.2</v>
      </c>
      <c r="G216" s="45">
        <v>3.1703999999999999</v>
      </c>
      <c r="H216" s="45">
        <v>5.7773000000000003</v>
      </c>
      <c r="I216" s="45">
        <v>5.5150538998143848</v>
      </c>
      <c r="J216" s="45">
        <v>5.6381441399885146</v>
      </c>
    </row>
    <row r="217" spans="1:10" x14ac:dyDescent="0.3">
      <c r="A217" s="41">
        <v>292</v>
      </c>
      <c r="B217" s="43">
        <v>76.653999999999996</v>
      </c>
      <c r="C217" s="40">
        <v>728.22604136323912</v>
      </c>
      <c r="D217" s="40">
        <v>40.46944556859571</v>
      </c>
      <c r="E217" s="41">
        <v>1300.9000000000001</v>
      </c>
      <c r="F217" s="44">
        <v>2764.6</v>
      </c>
      <c r="G217" s="45">
        <v>3.1798000000000002</v>
      </c>
      <c r="H217" s="45">
        <v>5.7697000000000003</v>
      </c>
      <c r="I217" s="45">
        <v>5.5388519254363624</v>
      </c>
      <c r="J217" s="45">
        <v>5.6970863170286439</v>
      </c>
    </row>
    <row r="218" spans="1:10" x14ac:dyDescent="0.3">
      <c r="A218" s="41">
        <v>293</v>
      </c>
      <c r="B218" s="43">
        <v>77.769000000000005</v>
      </c>
      <c r="C218" s="40">
        <v>726.26915534897239</v>
      </c>
      <c r="D218" s="40">
        <v>41.000410004100047</v>
      </c>
      <c r="E218" s="41">
        <v>1306.3</v>
      </c>
      <c r="F218" s="44">
        <v>2763.1</v>
      </c>
      <c r="G218" s="45">
        <v>3.1890999999999998</v>
      </c>
      <c r="H218" s="45">
        <v>5.7621000000000002</v>
      </c>
      <c r="I218" s="45">
        <v>5.5632187334967034</v>
      </c>
      <c r="J218" s="45">
        <v>5.7574257397663695</v>
      </c>
    </row>
    <row r="219" spans="1:10" x14ac:dyDescent="0.3">
      <c r="A219" s="41">
        <v>294</v>
      </c>
      <c r="B219" s="43">
        <v>78.897000000000006</v>
      </c>
      <c r="C219" s="40">
        <v>724.32275822106328</v>
      </c>
      <c r="D219" s="40">
        <v>41.841004184100413</v>
      </c>
      <c r="E219" s="41">
        <v>1311.8</v>
      </c>
      <c r="F219" s="44">
        <v>2761.5</v>
      </c>
      <c r="G219" s="45">
        <v>3.1985000000000001</v>
      </c>
      <c r="H219" s="45">
        <v>5.7545000000000002</v>
      </c>
      <c r="I219" s="45">
        <v>5.5881744176631232</v>
      </c>
      <c r="J219" s="45">
        <v>5.8192091230716887</v>
      </c>
    </row>
    <row r="220" spans="1:10" x14ac:dyDescent="0.3">
      <c r="A220" s="41">
        <v>295</v>
      </c>
      <c r="B220" s="43">
        <v>80.037000000000006</v>
      </c>
      <c r="C220" s="40">
        <v>722.33458537994795</v>
      </c>
      <c r="D220" s="40">
        <v>42.535091450446622</v>
      </c>
      <c r="E220" s="41">
        <v>1317.3</v>
      </c>
      <c r="F220" s="44">
        <v>2759.8</v>
      </c>
      <c r="G220" s="45">
        <v>3.2079</v>
      </c>
      <c r="H220" s="45">
        <v>5.7469000000000001</v>
      </c>
      <c r="I220" s="45">
        <v>5.6137399927016309</v>
      </c>
      <c r="J220" s="45">
        <v>5.8824849219657338</v>
      </c>
    </row>
    <row r="221" spans="1:10" x14ac:dyDescent="0.3">
      <c r="A221" s="41">
        <v>296</v>
      </c>
      <c r="B221" s="43">
        <v>81.188999999999993</v>
      </c>
      <c r="C221" s="40">
        <v>720.35729721942084</v>
      </c>
      <c r="D221" s="40">
        <v>43.233895373973191</v>
      </c>
      <c r="E221" s="41">
        <v>1322.8</v>
      </c>
      <c r="F221" s="44">
        <v>2758.2</v>
      </c>
      <c r="G221" s="45">
        <v>3.2172999999999998</v>
      </c>
      <c r="H221" s="45">
        <v>5.7392000000000003</v>
      </c>
      <c r="I221" s="45">
        <v>5.6399374471158286</v>
      </c>
      <c r="J221" s="45">
        <v>5.9473034672191787</v>
      </c>
    </row>
    <row r="222" spans="1:10" x14ac:dyDescent="0.3">
      <c r="A222" s="41">
        <v>297</v>
      </c>
      <c r="B222" s="43">
        <v>82.355000000000004</v>
      </c>
      <c r="C222" s="40">
        <v>718.33919977013147</v>
      </c>
      <c r="D222" s="40">
        <v>43.956043956043956</v>
      </c>
      <c r="E222" s="41">
        <v>1328.3</v>
      </c>
      <c r="F222" s="44">
        <v>2756.4</v>
      </c>
      <c r="G222" s="45">
        <v>3.2267999999999999</v>
      </c>
      <c r="H222" s="45">
        <v>5.7314999999999996</v>
      </c>
      <c r="I222" s="45">
        <v>5.6667898003669706</v>
      </c>
      <c r="J222" s="45">
        <v>6.0137171216690231</v>
      </c>
    </row>
    <row r="223" spans="1:10" x14ac:dyDescent="0.3">
      <c r="A223" s="41">
        <v>298</v>
      </c>
      <c r="B223" s="43">
        <v>83.531999999999996</v>
      </c>
      <c r="C223" s="40">
        <v>716.33237822349565</v>
      </c>
      <c r="D223" s="40">
        <v>44.682752457551381</v>
      </c>
      <c r="E223" s="41">
        <v>1333.9</v>
      </c>
      <c r="F223" s="44">
        <v>2754.7</v>
      </c>
      <c r="G223" s="45">
        <v>3.2362000000000002</v>
      </c>
      <c r="H223" s="45">
        <v>5.7237</v>
      </c>
      <c r="I223" s="45">
        <v>5.6943211653064649</v>
      </c>
      <c r="J223" s="45">
        <v>6.0817804597941683</v>
      </c>
    </row>
    <row r="224" spans="1:10" x14ac:dyDescent="0.3">
      <c r="A224" s="41">
        <v>299</v>
      </c>
      <c r="B224" s="43">
        <v>84.722999999999999</v>
      </c>
      <c r="C224" s="40">
        <v>714.28571428571433</v>
      </c>
      <c r="D224" s="40">
        <v>45.433893684688783</v>
      </c>
      <c r="E224" s="41">
        <v>1339.4</v>
      </c>
      <c r="F224" s="44">
        <v>2752.9</v>
      </c>
      <c r="G224" s="45">
        <v>3.2456999999999998</v>
      </c>
      <c r="H224" s="45">
        <v>5.7159000000000004</v>
      </c>
      <c r="I224" s="45">
        <v>5.7225568165513554</v>
      </c>
      <c r="J224" s="45">
        <v>6.1515504732812198</v>
      </c>
    </row>
    <row r="225" spans="1:10" x14ac:dyDescent="0.3">
      <c r="A225" s="41">
        <v>300</v>
      </c>
      <c r="B225" s="43">
        <v>85.927000000000007</v>
      </c>
      <c r="C225" s="40">
        <v>712.19998575600027</v>
      </c>
      <c r="D225" s="40">
        <v>46.189376443418013</v>
      </c>
      <c r="E225" s="41">
        <v>1345</v>
      </c>
      <c r="F225" s="44">
        <v>2751</v>
      </c>
      <c r="G225" s="45">
        <v>3.2551999999999999</v>
      </c>
      <c r="H225" s="45">
        <v>5.7081</v>
      </c>
      <c r="I225" s="45">
        <v>5.7515232656451269</v>
      </c>
      <c r="J225" s="45">
        <v>6.2230868055026756</v>
      </c>
    </row>
    <row r="226" spans="1:10" x14ac:dyDescent="0.3">
      <c r="A226" s="41">
        <v>301</v>
      </c>
      <c r="B226" s="43">
        <v>87.144000000000005</v>
      </c>
      <c r="C226" s="40">
        <v>710.12640249964488</v>
      </c>
      <c r="D226" s="40">
        <v>46.970408642555192</v>
      </c>
      <c r="E226" s="41">
        <v>1350.7</v>
      </c>
      <c r="F226" s="44">
        <v>2749.1</v>
      </c>
      <c r="G226" s="45">
        <v>3.2646999999999999</v>
      </c>
      <c r="H226" s="45">
        <v>5.7003000000000004</v>
      </c>
      <c r="I226" s="45">
        <v>5.7812483439722104</v>
      </c>
      <c r="J226" s="45">
        <v>6.2964520180188588</v>
      </c>
    </row>
    <row r="227" spans="1:10" x14ac:dyDescent="0.3">
      <c r="A227" s="41">
        <v>302</v>
      </c>
      <c r="B227" s="43">
        <v>88.373999999999995</v>
      </c>
      <c r="C227" s="40">
        <v>708.06485874106068</v>
      </c>
      <c r="D227" s="40">
        <v>47.755491881566378</v>
      </c>
      <c r="E227" s="41">
        <v>1356.3</v>
      </c>
      <c r="F227" s="44">
        <v>2747.2</v>
      </c>
      <c r="G227" s="45">
        <v>3.2742</v>
      </c>
      <c r="H227" s="45">
        <v>5.6924000000000001</v>
      </c>
      <c r="I227" s="45">
        <v>5.8117612945392416</v>
      </c>
      <c r="J227" s="45">
        <v>6.3717118924071148</v>
      </c>
    </row>
    <row r="228" spans="1:10" x14ac:dyDescent="0.3">
      <c r="A228" s="41">
        <v>303</v>
      </c>
      <c r="B228" s="43">
        <v>89.617000000000004</v>
      </c>
      <c r="C228" s="40">
        <v>705.9155724975293</v>
      </c>
      <c r="D228" s="40">
        <v>48.543689320388346</v>
      </c>
      <c r="E228" s="41">
        <v>1362</v>
      </c>
      <c r="F228" s="44">
        <v>2745.2</v>
      </c>
      <c r="G228" s="45">
        <v>3.2837000000000001</v>
      </c>
      <c r="H228" s="45">
        <v>5.6844000000000001</v>
      </c>
      <c r="I228" s="45">
        <v>5.843092873893962</v>
      </c>
      <c r="J228" s="45">
        <v>6.4489357709073154</v>
      </c>
    </row>
    <row r="229" spans="1:10" x14ac:dyDescent="0.3">
      <c r="A229" s="41">
        <v>304</v>
      </c>
      <c r="B229" s="43">
        <v>90.873000000000005</v>
      </c>
      <c r="C229" s="40">
        <v>703.82882882882882</v>
      </c>
      <c r="D229" s="40">
        <v>49.358341559723591</v>
      </c>
      <c r="E229" s="41">
        <v>1367.7</v>
      </c>
      <c r="F229" s="44">
        <v>2743.2</v>
      </c>
      <c r="G229" s="45">
        <v>3.2932999999999999</v>
      </c>
      <c r="H229" s="45">
        <v>5.6764999999999999</v>
      </c>
      <c r="I229" s="45">
        <v>5.8752754656360615</v>
      </c>
      <c r="J229" s="45">
        <v>6.5281969395592849</v>
      </c>
    </row>
    <row r="230" spans="1:10" x14ac:dyDescent="0.3">
      <c r="A230" s="41">
        <v>305</v>
      </c>
      <c r="B230" s="43">
        <v>92.144000000000005</v>
      </c>
      <c r="C230" s="40">
        <v>701.65590794274488</v>
      </c>
      <c r="D230" s="40">
        <v>50.175614651279481</v>
      </c>
      <c r="E230" s="41">
        <v>1373.4</v>
      </c>
      <c r="F230" s="44">
        <v>2741.1</v>
      </c>
      <c r="G230" s="45">
        <v>3.3029000000000002</v>
      </c>
      <c r="H230" s="45">
        <v>5.6684999999999999</v>
      </c>
      <c r="I230" s="45">
        <v>5.9083432071713622</v>
      </c>
      <c r="J230" s="45">
        <v>6.6095730576802234</v>
      </c>
    </row>
    <row r="231" spans="1:10" x14ac:dyDescent="0.3">
      <c r="A231" s="41">
        <v>306</v>
      </c>
      <c r="B231" s="43">
        <v>93.427000000000007</v>
      </c>
      <c r="C231" s="40">
        <v>699.4963626189143</v>
      </c>
      <c r="D231" s="40">
        <v>51.020408163265309</v>
      </c>
      <c r="E231" s="41">
        <v>1379.1</v>
      </c>
      <c r="F231" s="44">
        <v>2739</v>
      </c>
      <c r="G231" s="45">
        <v>3.3125</v>
      </c>
      <c r="H231" s="45">
        <v>5.6604000000000001</v>
      </c>
      <c r="I231" s="45">
        <v>5.9423321315878415</v>
      </c>
      <c r="J231" s="45">
        <v>6.6931466377044337</v>
      </c>
    </row>
    <row r="232" spans="1:10" x14ac:dyDescent="0.3">
      <c r="A232" s="41">
        <v>307</v>
      </c>
      <c r="B232" s="43">
        <v>94.724999999999994</v>
      </c>
      <c r="C232" s="40">
        <v>697.30144341398784</v>
      </c>
      <c r="D232" s="40">
        <v>51.867219917012449</v>
      </c>
      <c r="E232" s="41">
        <v>1384.9</v>
      </c>
      <c r="F232" s="44">
        <v>2736.8</v>
      </c>
      <c r="G232" s="45">
        <v>3.3220999999999998</v>
      </c>
      <c r="H232" s="45">
        <v>5.6523000000000003</v>
      </c>
      <c r="I232" s="45">
        <v>5.9772803267740375</v>
      </c>
      <c r="J232" s="45">
        <v>6.7790055795631368</v>
      </c>
    </row>
    <row r="233" spans="1:10" x14ac:dyDescent="0.3">
      <c r="A233" s="41">
        <v>308</v>
      </c>
      <c r="B233" s="43">
        <v>96.036000000000001</v>
      </c>
      <c r="C233" s="40">
        <v>695.07193994578438</v>
      </c>
      <c r="D233" s="40">
        <v>52.742616033755269</v>
      </c>
      <c r="E233" s="41">
        <v>1390.7</v>
      </c>
      <c r="F233" s="44">
        <v>2734.6</v>
      </c>
      <c r="G233" s="45">
        <v>3.3317999999999999</v>
      </c>
      <c r="H233" s="45">
        <v>5.6441999999999997</v>
      </c>
      <c r="I233" s="45">
        <v>6.0132281141770685</v>
      </c>
      <c r="J233" s="45">
        <v>6.8672437639301238</v>
      </c>
    </row>
    <row r="234" spans="1:10" x14ac:dyDescent="0.3">
      <c r="A234" s="41">
        <v>309</v>
      </c>
      <c r="B234" s="43">
        <v>97.361000000000004</v>
      </c>
      <c r="C234" s="40">
        <v>692.85664795953721</v>
      </c>
      <c r="D234" s="40">
        <v>53.648068669527895</v>
      </c>
      <c r="E234" s="41">
        <v>1396.5</v>
      </c>
      <c r="F234" s="44">
        <v>2732.3</v>
      </c>
      <c r="G234" s="45">
        <v>3.3414999999999999</v>
      </c>
      <c r="H234" s="45">
        <v>5.6360000000000001</v>
      </c>
      <c r="I234" s="45">
        <v>6.0502182498925405</v>
      </c>
      <c r="J234" s="45">
        <v>6.9579617087932899</v>
      </c>
    </row>
    <row r="235" spans="1:10" x14ac:dyDescent="0.3">
      <c r="A235" s="41">
        <v>310</v>
      </c>
      <c r="B235" s="43">
        <v>98.7</v>
      </c>
      <c r="C235" s="40">
        <v>690.60773480662976</v>
      </c>
      <c r="D235" s="40">
        <v>54.555373704309879</v>
      </c>
      <c r="E235" s="41">
        <v>1402.4</v>
      </c>
      <c r="F235" s="44">
        <v>2730</v>
      </c>
      <c r="G235" s="45">
        <v>3.3512</v>
      </c>
      <c r="H235" s="45">
        <v>5.6277999999999997</v>
      </c>
      <c r="I235" s="45">
        <v>6.0882961511063813</v>
      </c>
      <c r="J235" s="45">
        <v>7.0512672939289187</v>
      </c>
    </row>
    <row r="236" spans="1:10" x14ac:dyDescent="0.3">
      <c r="A236" s="41">
        <v>311</v>
      </c>
      <c r="B236" s="43">
        <v>100.05</v>
      </c>
      <c r="C236" s="40">
        <v>688.37337371790466</v>
      </c>
      <c r="D236" s="40">
        <v>55.463117027176928</v>
      </c>
      <c r="E236" s="41">
        <v>1408.3</v>
      </c>
      <c r="F236" s="44">
        <v>2727.6</v>
      </c>
      <c r="G236" s="45">
        <v>3.3609</v>
      </c>
      <c r="H236" s="45">
        <v>5.6195000000000004</v>
      </c>
      <c r="I236" s="45">
        <v>6.1275101512615082</v>
      </c>
      <c r="J236" s="45">
        <v>7.1472765579528863</v>
      </c>
    </row>
    <row r="237" spans="1:10" x14ac:dyDescent="0.3">
      <c r="A237" s="41">
        <v>312</v>
      </c>
      <c r="B237" s="43">
        <v>101.42</v>
      </c>
      <c r="C237" s="40">
        <v>686.05927552140497</v>
      </c>
      <c r="D237" s="40">
        <v>56.401579244218837</v>
      </c>
      <c r="E237" s="41">
        <v>1414.2</v>
      </c>
      <c r="F237" s="44">
        <v>2725.2</v>
      </c>
      <c r="G237" s="45">
        <v>3.3706999999999998</v>
      </c>
      <c r="H237" s="45">
        <v>5.6111000000000004</v>
      </c>
      <c r="I237" s="45">
        <v>6.1679117877048695</v>
      </c>
      <c r="J237" s="45">
        <v>7.2461145727086214</v>
      </c>
    </row>
    <row r="238" spans="1:10" x14ac:dyDescent="0.3">
      <c r="A238" s="41">
        <v>313</v>
      </c>
      <c r="B238" s="43">
        <v>102.8</v>
      </c>
      <c r="C238" s="40">
        <v>683.76068376068372</v>
      </c>
      <c r="D238" s="40">
        <v>57.372346528973033</v>
      </c>
      <c r="E238" s="41">
        <v>1420.1</v>
      </c>
      <c r="F238" s="44">
        <v>2722.7</v>
      </c>
      <c r="G238" s="45">
        <v>3.3803000000000001</v>
      </c>
      <c r="H238" s="45">
        <v>5.6028000000000002</v>
      </c>
      <c r="I238" s="45">
        <v>6.2095561259840197</v>
      </c>
      <c r="J238" s="45">
        <v>7.3479163998034727</v>
      </c>
    </row>
    <row r="239" spans="1:10" x14ac:dyDescent="0.3">
      <c r="A239" s="41">
        <v>314</v>
      </c>
      <c r="B239" s="43">
        <v>104.2</v>
      </c>
      <c r="C239" s="40">
        <v>681.43100511073249</v>
      </c>
      <c r="D239" s="40">
        <v>58.343057176196034</v>
      </c>
      <c r="E239" s="41">
        <v>1426.1</v>
      </c>
      <c r="F239" s="44">
        <v>2720.2</v>
      </c>
      <c r="G239" s="45">
        <v>3.3902999999999999</v>
      </c>
      <c r="H239" s="45">
        <v>5.5942999999999996</v>
      </c>
      <c r="I239" s="45">
        <v>6.2525021254010049</v>
      </c>
      <c r="J239" s="45">
        <v>7.4528281341484535</v>
      </c>
    </row>
    <row r="240" spans="1:10" x14ac:dyDescent="0.3">
      <c r="A240" s="41">
        <v>315</v>
      </c>
      <c r="B240" s="43">
        <v>105.61</v>
      </c>
      <c r="C240" s="40">
        <v>679.07103082982485</v>
      </c>
      <c r="D240" s="40">
        <v>59.311981020166073</v>
      </c>
      <c r="E240" s="41">
        <v>1432.1</v>
      </c>
      <c r="F240" s="44">
        <v>2717.6</v>
      </c>
      <c r="G240" s="45">
        <v>3.4001999999999999</v>
      </c>
      <c r="H240" s="45">
        <v>5.5857999999999999</v>
      </c>
      <c r="I240" s="45">
        <v>6.296813050896481</v>
      </c>
      <c r="J240" s="45">
        <v>7.5610080393663148</v>
      </c>
    </row>
    <row r="241" spans="1:10" x14ac:dyDescent="0.3">
      <c r="A241" s="41">
        <v>316</v>
      </c>
      <c r="B241" s="43">
        <v>107.04</v>
      </c>
      <c r="C241" s="40">
        <v>676.68155366084716</v>
      </c>
      <c r="D241" s="40">
        <v>60.350030175015085</v>
      </c>
      <c r="E241" s="41">
        <v>1438.1</v>
      </c>
      <c r="F241" s="44">
        <v>2714.9</v>
      </c>
      <c r="G241" s="45">
        <v>3.4100999999999999</v>
      </c>
      <c r="H241" s="45">
        <v>5.5772000000000004</v>
      </c>
      <c r="I241" s="45">
        <v>6.3425569368371244</v>
      </c>
      <c r="J241" s="45">
        <v>7.6726277799233626</v>
      </c>
    </row>
    <row r="242" spans="1:10" x14ac:dyDescent="0.3">
      <c r="A242" s="41">
        <v>317</v>
      </c>
      <c r="B242" s="43">
        <v>108.48</v>
      </c>
      <c r="C242" s="40">
        <v>674.26336727125613</v>
      </c>
      <c r="D242" s="40">
        <v>61.728395061728399</v>
      </c>
      <c r="E242" s="41">
        <v>1444.2</v>
      </c>
      <c r="F242" s="44">
        <v>2712.2</v>
      </c>
      <c r="G242" s="45">
        <v>3.42</v>
      </c>
      <c r="H242" s="45">
        <v>5.5686</v>
      </c>
      <c r="I242" s="45">
        <v>6.3898071087842023</v>
      </c>
      <c r="J242" s="45">
        <v>7.7878737548042398</v>
      </c>
    </row>
    <row r="243" spans="1:10" x14ac:dyDescent="0.3">
      <c r="A243" s="41">
        <v>318</v>
      </c>
      <c r="B243" s="43">
        <v>109.93</v>
      </c>
      <c r="C243" s="40">
        <v>671.81726570372859</v>
      </c>
      <c r="D243" s="40">
        <v>62.421972534332085</v>
      </c>
      <c r="E243" s="41">
        <v>1450.3</v>
      </c>
      <c r="F243" s="44">
        <v>2709.4</v>
      </c>
      <c r="G243" s="45">
        <v>3.43</v>
      </c>
      <c r="H243" s="45">
        <v>5.5598999999999998</v>
      </c>
      <c r="I243" s="45">
        <v>6.4386427698690349</v>
      </c>
      <c r="J243" s="45">
        <v>7.9069485374935464</v>
      </c>
    </row>
    <row r="244" spans="1:10" x14ac:dyDescent="0.3">
      <c r="A244" s="41">
        <v>319</v>
      </c>
      <c r="B244" s="43">
        <v>111.4</v>
      </c>
      <c r="C244" s="40">
        <v>669.38884798179265</v>
      </c>
      <c r="D244" s="40">
        <v>63.492063492063494</v>
      </c>
      <c r="E244" s="41">
        <v>1450.4</v>
      </c>
      <c r="F244" s="44">
        <v>2706.6</v>
      </c>
      <c r="G244" s="45">
        <v>3.44</v>
      </c>
      <c r="H244" s="45">
        <v>5.5511999999999997</v>
      </c>
      <c r="I244" s="45">
        <v>6.489149658940879</v>
      </c>
      <c r="J244" s="45">
        <v>8.0300724269414285</v>
      </c>
    </row>
    <row r="245" spans="1:10" x14ac:dyDescent="0.3">
      <c r="A245" s="41">
        <v>320</v>
      </c>
      <c r="B245" s="43">
        <v>112.89</v>
      </c>
      <c r="C245" s="40">
        <v>666.88896298766258</v>
      </c>
      <c r="D245" s="40">
        <v>64.599483204134359</v>
      </c>
      <c r="E245" s="41">
        <v>1462.6</v>
      </c>
      <c r="F245" s="44">
        <v>2703.7</v>
      </c>
      <c r="G245" s="45">
        <v>3.45</v>
      </c>
      <c r="H245" s="45">
        <v>5.5423</v>
      </c>
      <c r="I245" s="45">
        <v>6.5414207882139994</v>
      </c>
      <c r="J245" s="45">
        <v>8.1574851140863682</v>
      </c>
    </row>
    <row r="246" spans="1:10" x14ac:dyDescent="0.3">
      <c r="A246" s="41">
        <v>321</v>
      </c>
      <c r="B246" s="43">
        <v>114.39</v>
      </c>
      <c r="C246" s="40">
        <v>664.36353972893971</v>
      </c>
      <c r="D246" s="40">
        <v>65.703022339027598</v>
      </c>
      <c r="E246" s="41">
        <v>1468.8</v>
      </c>
      <c r="F246" s="44">
        <v>2700.7</v>
      </c>
      <c r="G246" s="45">
        <v>3.4601000000000002</v>
      </c>
      <c r="H246" s="45">
        <v>5.5334000000000003</v>
      </c>
      <c r="I246" s="45">
        <v>6.5955572687038355</v>
      </c>
      <c r="J246" s="45">
        <v>8.2894474683896604</v>
      </c>
    </row>
    <row r="247" spans="1:10" x14ac:dyDescent="0.3">
      <c r="A247" s="41">
        <v>322</v>
      </c>
      <c r="B247" s="43">
        <v>115.91</v>
      </c>
      <c r="C247" s="40">
        <v>661.85717122245023</v>
      </c>
      <c r="D247" s="40">
        <v>66.844919786096256</v>
      </c>
      <c r="E247" s="41">
        <v>1475.4</v>
      </c>
      <c r="F247" s="44">
        <v>2697.6</v>
      </c>
      <c r="G247" s="45">
        <v>3.4702000000000002</v>
      </c>
      <c r="H247" s="45">
        <v>5.5244</v>
      </c>
      <c r="I247" s="45">
        <v>6.6516692322860802</v>
      </c>
      <c r="J247" s="45">
        <v>8.4262434486845557</v>
      </c>
    </row>
    <row r="248" spans="1:10" x14ac:dyDescent="0.3">
      <c r="A248" s="41">
        <v>323</v>
      </c>
      <c r="B248" s="43">
        <v>117.44</v>
      </c>
      <c r="C248" s="40">
        <v>659.28270042194094</v>
      </c>
      <c r="D248" s="40">
        <v>68.02721088435375</v>
      </c>
      <c r="E248" s="41">
        <v>1481.3</v>
      </c>
      <c r="F248" s="44">
        <v>2694.5</v>
      </c>
      <c r="G248" s="45">
        <v>3.4803999999999999</v>
      </c>
      <c r="H248" s="45">
        <v>5.5153999999999996</v>
      </c>
      <c r="I248" s="45">
        <v>6.7098768597408407</v>
      </c>
      <c r="J248" s="45">
        <v>8.5681821424979354</v>
      </c>
    </row>
    <row r="249" spans="1:10" x14ac:dyDescent="0.3">
      <c r="A249" s="41">
        <v>324</v>
      </c>
      <c r="B249" s="43">
        <v>118.99</v>
      </c>
      <c r="C249" s="40">
        <v>656.68505384817445</v>
      </c>
      <c r="D249" s="40">
        <v>69.20415224913495</v>
      </c>
      <c r="E249" s="41">
        <v>1487.7</v>
      </c>
      <c r="F249" s="44">
        <v>2691.3</v>
      </c>
      <c r="G249" s="45">
        <v>3.49</v>
      </c>
      <c r="H249" s="45">
        <v>5.5061999999999998</v>
      </c>
      <c r="I249" s="45">
        <v>6.7703115246521595</v>
      </c>
      <c r="J249" s="45">
        <v>8.7155999378322413</v>
      </c>
    </row>
    <row r="250" spans="1:10" x14ac:dyDescent="0.3">
      <c r="A250" s="41">
        <v>325</v>
      </c>
      <c r="B250" s="43">
        <v>120.56</v>
      </c>
      <c r="C250" s="40">
        <v>654.06501406239784</v>
      </c>
      <c r="D250" s="40">
        <v>70.472163495419309</v>
      </c>
      <c r="E250" s="41">
        <v>1494</v>
      </c>
      <c r="F250" s="44">
        <v>2688</v>
      </c>
      <c r="G250" s="45">
        <v>3.5007999999999999</v>
      </c>
      <c r="H250" s="45">
        <v>5.4969000000000001</v>
      </c>
      <c r="I250" s="45">
        <v>6.8331170634665321</v>
      </c>
      <c r="J250" s="45">
        <v>8.8688628312320876</v>
      </c>
    </row>
    <row r="251" spans="1:10" x14ac:dyDescent="0.3">
      <c r="A251" s="41">
        <v>326</v>
      </c>
      <c r="B251" s="43">
        <v>122.14</v>
      </c>
      <c r="C251" s="40">
        <v>651.38092756644085</v>
      </c>
      <c r="D251" s="40">
        <v>71.68458781362007</v>
      </c>
      <c r="E251" s="41">
        <v>1500.4</v>
      </c>
      <c r="F251" s="44">
        <v>2684.6</v>
      </c>
      <c r="G251" s="45">
        <v>3.5110999999999999</v>
      </c>
      <c r="H251" s="45">
        <v>5.4875999999999996</v>
      </c>
      <c r="I251" s="45">
        <v>6.8984511823918098</v>
      </c>
      <c r="J251" s="45">
        <v>9.028368875796664</v>
      </c>
    </row>
    <row r="252" spans="1:10" x14ac:dyDescent="0.3">
      <c r="A252" s="41">
        <v>327</v>
      </c>
      <c r="B252" s="43">
        <v>123.73</v>
      </c>
      <c r="C252" s="40">
        <v>648.67669953295274</v>
      </c>
      <c r="D252" s="40">
        <v>72.516316171138499</v>
      </c>
      <c r="E252" s="41">
        <v>1506.9</v>
      </c>
      <c r="F252" s="44">
        <v>2681.1</v>
      </c>
      <c r="G252" s="45">
        <v>3.5215000000000001</v>
      </c>
      <c r="H252" s="45">
        <v>5.4781000000000004</v>
      </c>
      <c r="I252" s="45">
        <v>6.9664870121278408</v>
      </c>
      <c r="J252" s="45">
        <v>9.1945507726500733</v>
      </c>
    </row>
    <row r="253" spans="1:10" x14ac:dyDescent="0.3">
      <c r="A253" s="41">
        <v>328</v>
      </c>
      <c r="B253" s="43">
        <v>125.35</v>
      </c>
      <c r="C253" s="40">
        <v>645.95310380466378</v>
      </c>
      <c r="D253" s="40">
        <v>74.29420505200595</v>
      </c>
      <c r="E253" s="41">
        <v>1513.4</v>
      </c>
      <c r="F253" s="44">
        <v>2677.6</v>
      </c>
      <c r="G253" s="45">
        <v>3.5318999999999998</v>
      </c>
      <c r="H253" s="45">
        <v>5.4684999999999997</v>
      </c>
      <c r="I253" s="45">
        <v>7.0374148215713452</v>
      </c>
      <c r="J253" s="45">
        <v>9.3678786092551434</v>
      </c>
    </row>
    <row r="254" spans="1:10" x14ac:dyDescent="0.3">
      <c r="A254" s="41">
        <v>329</v>
      </c>
      <c r="B254" s="43">
        <v>126.98</v>
      </c>
      <c r="C254" s="40">
        <v>643.21090885701426</v>
      </c>
      <c r="D254" s="40">
        <v>75.642965204236006</v>
      </c>
      <c r="E254" s="41">
        <v>1519.9</v>
      </c>
      <c r="F254" s="44">
        <v>2673.9</v>
      </c>
      <c r="G254" s="45">
        <v>3.5423</v>
      </c>
      <c r="H254" s="45">
        <v>5.4588000000000001</v>
      </c>
      <c r="I254" s="45">
        <v>7.1114439016682605</v>
      </c>
      <c r="J254" s="45">
        <v>9.5488627478599657</v>
      </c>
    </row>
    <row r="255" spans="1:10" x14ac:dyDescent="0.3">
      <c r="A255" s="41">
        <v>330</v>
      </c>
      <c r="B255" s="43">
        <v>128.63</v>
      </c>
      <c r="C255" s="40">
        <v>640.40986231187958</v>
      </c>
      <c r="D255" s="40">
        <v>76.982294072363359</v>
      </c>
      <c r="E255" s="41">
        <v>1520.5</v>
      </c>
      <c r="F255" s="44">
        <v>2670.2</v>
      </c>
      <c r="G255" s="45">
        <v>3.5528</v>
      </c>
      <c r="H255" s="45">
        <v>5.4489999999999998</v>
      </c>
      <c r="I255" s="45">
        <v>7.1888046304871587</v>
      </c>
      <c r="J255" s="45">
        <v>9.7380568673236034</v>
      </c>
    </row>
    <row r="256" spans="1:10" x14ac:dyDescent="0.3">
      <c r="A256" s="41">
        <v>331</v>
      </c>
      <c r="B256" s="43">
        <v>130.29</v>
      </c>
      <c r="C256" s="40">
        <v>637.59245090538127</v>
      </c>
      <c r="D256" s="40">
        <v>78.369905956112845</v>
      </c>
      <c r="E256" s="41">
        <v>1533.2</v>
      </c>
      <c r="F256" s="44">
        <v>2666.3</v>
      </c>
      <c r="G256" s="45">
        <v>3.5634000000000001</v>
      </c>
      <c r="H256" s="45">
        <v>5.4390999999999998</v>
      </c>
      <c r="I256" s="45">
        <v>7.2697507301873436</v>
      </c>
      <c r="J256" s="45">
        <v>9.9360611615800334</v>
      </c>
    </row>
    <row r="257" spans="1:10" x14ac:dyDescent="0.3">
      <c r="A257" s="41">
        <v>332</v>
      </c>
      <c r="B257" s="43">
        <v>131.97</v>
      </c>
      <c r="C257" s="40">
        <v>634.71913678197393</v>
      </c>
      <c r="D257" s="40">
        <v>79.808459696727851</v>
      </c>
      <c r="E257" s="41">
        <v>1539.9</v>
      </c>
      <c r="F257" s="44">
        <v>2662.3</v>
      </c>
      <c r="G257" s="45">
        <v>3.5739999999999998</v>
      </c>
      <c r="H257" s="45">
        <v>5.4290000000000003</v>
      </c>
      <c r="I257" s="45">
        <v>7.3545617260059588</v>
      </c>
      <c r="J257" s="45">
        <v>10.143525698098584</v>
      </c>
    </row>
    <row r="258" spans="1:10" x14ac:dyDescent="0.3">
      <c r="A258" s="41">
        <v>333</v>
      </c>
      <c r="B258" s="43">
        <v>133.66999999999999</v>
      </c>
      <c r="C258" s="40">
        <v>631.83168004043716</v>
      </c>
      <c r="D258" s="40">
        <v>80.710250201775622</v>
      </c>
      <c r="E258" s="41">
        <v>1546.6</v>
      </c>
      <c r="F258" s="44">
        <v>2658.3</v>
      </c>
      <c r="G258" s="45">
        <v>3.5847000000000002</v>
      </c>
      <c r="H258" s="45">
        <v>5.4188000000000001</v>
      </c>
      <c r="I258" s="45">
        <v>7.4435456164810967</v>
      </c>
      <c r="J258" s="45">
        <v>10.361153939883902</v>
      </c>
    </row>
    <row r="259" spans="1:10" x14ac:dyDescent="0.3">
      <c r="A259" s="41">
        <v>334</v>
      </c>
      <c r="B259" s="43">
        <v>135.38</v>
      </c>
      <c r="C259" s="40">
        <v>628.85171676518678</v>
      </c>
      <c r="D259" s="40">
        <v>82.781456953642376</v>
      </c>
      <c r="E259" s="41">
        <v>1553.4</v>
      </c>
      <c r="F259" s="44">
        <v>2654.1</v>
      </c>
      <c r="G259" s="45">
        <v>3.5954999999999999</v>
      </c>
      <c r="H259" s="45">
        <v>5.4084000000000003</v>
      </c>
      <c r="I259" s="45">
        <v>7.5370417629175677</v>
      </c>
      <c r="J259" s="45">
        <v>10.58970643489544</v>
      </c>
    </row>
    <row r="260" spans="1:10" x14ac:dyDescent="0.3">
      <c r="A260" s="41">
        <v>335</v>
      </c>
      <c r="B260" s="43">
        <v>137.12</v>
      </c>
      <c r="C260" s="40">
        <v>625.86055826761799</v>
      </c>
      <c r="D260" s="40">
        <v>84.388185654008439</v>
      </c>
      <c r="E260" s="41">
        <v>1560.3</v>
      </c>
      <c r="F260" s="44">
        <v>2649.7</v>
      </c>
      <c r="G260" s="45">
        <v>3.6063000000000001</v>
      </c>
      <c r="H260" s="45">
        <v>5.3978999999999999</v>
      </c>
      <c r="I260" s="45">
        <v>7.6354240045120019</v>
      </c>
      <c r="J260" s="45">
        <v>10.83000467720087</v>
      </c>
    </row>
    <row r="261" spans="1:10" x14ac:dyDescent="0.3">
      <c r="A261" s="41">
        <v>336</v>
      </c>
      <c r="B261" s="43">
        <v>138.87</v>
      </c>
      <c r="C261" s="40">
        <v>622.85892245406421</v>
      </c>
      <c r="D261" s="40">
        <v>85.984522785898534</v>
      </c>
      <c r="E261" s="41">
        <v>1567.2</v>
      </c>
      <c r="F261" s="44">
        <v>2645.3</v>
      </c>
      <c r="G261" s="45">
        <v>3.6172</v>
      </c>
      <c r="H261" s="45">
        <v>5.3872</v>
      </c>
      <c r="I261" s="45">
        <v>7.7391040035152541</v>
      </c>
      <c r="J261" s="45">
        <v>11.082935144856879</v>
      </c>
    </row>
    <row r="262" spans="1:10" x14ac:dyDescent="0.3">
      <c r="A262" s="41">
        <v>337</v>
      </c>
      <c r="B262" s="43">
        <v>140.63999999999999</v>
      </c>
      <c r="C262" s="40">
        <v>619.77068484660674</v>
      </c>
      <c r="D262" s="40">
        <v>87.565674255691775</v>
      </c>
      <c r="E262" s="41">
        <v>1574.2</v>
      </c>
      <c r="F262" s="44">
        <v>2640.7</v>
      </c>
      <c r="G262" s="45">
        <v>3.6282000000000001</v>
      </c>
      <c r="H262" s="45">
        <v>5.3764000000000003</v>
      </c>
      <c r="I262" s="45">
        <v>7.84853482223438</v>
      </c>
      <c r="J262" s="45">
        <v>11.349453520334862</v>
      </c>
    </row>
    <row r="263" spans="1:10" x14ac:dyDescent="0.3">
      <c r="A263" s="41">
        <v>338</v>
      </c>
      <c r="B263" s="43">
        <v>142.41999999999999</v>
      </c>
      <c r="C263" s="40">
        <v>616.63686255164339</v>
      </c>
      <c r="D263" s="40">
        <v>89.285714285714292</v>
      </c>
      <c r="E263" s="41">
        <v>1581.2</v>
      </c>
      <c r="F263" s="44">
        <v>2636</v>
      </c>
      <c r="G263" s="45">
        <v>3.6392000000000002</v>
      </c>
      <c r="H263" s="45">
        <v>5.3653000000000004</v>
      </c>
      <c r="I263" s="45">
        <v>7.9642147306558417</v>
      </c>
      <c r="J263" s="45">
        <v>11.63058910043193</v>
      </c>
    </row>
    <row r="264" spans="1:10" x14ac:dyDescent="0.3">
      <c r="A264" s="41">
        <v>339</v>
      </c>
      <c r="B264" s="43">
        <v>144.22999999999999</v>
      </c>
      <c r="C264" s="40">
        <v>613.45929697564566</v>
      </c>
      <c r="D264" s="40">
        <v>99.108027750247771</v>
      </c>
      <c r="E264" s="41">
        <v>1588.3</v>
      </c>
      <c r="F264" s="44">
        <v>2631.2</v>
      </c>
      <c r="G264" s="45">
        <v>3.6503999999999999</v>
      </c>
      <c r="H264" s="45">
        <v>5.3540999999999999</v>
      </c>
      <c r="I264" s="45">
        <v>8.0866912396772435</v>
      </c>
      <c r="J264" s="45">
        <v>11.927449404013871</v>
      </c>
    </row>
    <row r="265" spans="1:10" x14ac:dyDescent="0.3">
      <c r="A265" s="41">
        <v>340</v>
      </c>
      <c r="B265" s="43">
        <v>146.05000000000001</v>
      </c>
      <c r="C265" s="40">
        <v>610.23982425093061</v>
      </c>
      <c r="D265" s="40">
        <v>92.764378478664199</v>
      </c>
      <c r="E265" s="41">
        <v>1595.5</v>
      </c>
      <c r="F265" s="44">
        <v>2626.2</v>
      </c>
      <c r="G265" s="45">
        <v>3.6616</v>
      </c>
      <c r="H265" s="45">
        <v>5.3426999999999998</v>
      </c>
      <c r="I265" s="45">
        <v>8.2165653506162588</v>
      </c>
      <c r="J265" s="45">
        <v>12.24122498768374</v>
      </c>
    </row>
    <row r="266" spans="1:10" x14ac:dyDescent="0.3">
      <c r="A266" s="41">
        <v>341</v>
      </c>
      <c r="B266" s="43">
        <v>147.88999999999999</v>
      </c>
      <c r="C266" s="40">
        <v>606.94343287205641</v>
      </c>
      <c r="D266" s="40">
        <v>94.607379375591307</v>
      </c>
      <c r="E266" s="41">
        <v>1602.7</v>
      </c>
      <c r="F266" s="44">
        <v>2621</v>
      </c>
      <c r="G266" s="45">
        <v>3.6728999999999998</v>
      </c>
      <c r="H266" s="45">
        <v>5.3311999999999999</v>
      </c>
      <c r="I266" s="45">
        <v>8.3544960064456735</v>
      </c>
      <c r="J266" s="45">
        <v>12.573194481640289</v>
      </c>
    </row>
    <row r="267" spans="1:10" x14ac:dyDescent="0.3">
      <c r="A267" s="41">
        <v>342</v>
      </c>
      <c r="B267" s="43">
        <v>149.76</v>
      </c>
      <c r="C267" s="40">
        <v>603.60958532021482</v>
      </c>
      <c r="D267" s="40">
        <v>96.432015429122458</v>
      </c>
      <c r="E267" s="41">
        <v>1610</v>
      </c>
      <c r="F267" s="44">
        <v>2615.6999999999998</v>
      </c>
      <c r="G267" s="45">
        <v>3.6844000000000001</v>
      </c>
      <c r="H267" s="45">
        <v>5.3190999999999997</v>
      </c>
      <c r="I267" s="45">
        <v>8.5012047242660547</v>
      </c>
      <c r="J267" s="45">
        <v>12.924729860671926</v>
      </c>
    </row>
    <row r="268" spans="1:10" x14ac:dyDescent="0.3">
      <c r="A268" s="41">
        <v>343</v>
      </c>
      <c r="B268" s="43">
        <v>151.63999999999999</v>
      </c>
      <c r="C268" s="40">
        <v>600.20406938359042</v>
      </c>
      <c r="D268" s="40">
        <v>98.425196850393689</v>
      </c>
      <c r="E268" s="41">
        <v>1617.5</v>
      </c>
      <c r="F268" s="44">
        <v>2610.3000000000002</v>
      </c>
      <c r="G268" s="45">
        <v>3.6959</v>
      </c>
      <c r="H268" s="45">
        <v>5.3074000000000003</v>
      </c>
      <c r="I268" s="45">
        <v>8.6574803816502559</v>
      </c>
      <c r="J268" s="45">
        <v>13.297301968436363</v>
      </c>
    </row>
    <row r="269" spans="1:10" x14ac:dyDescent="0.3">
      <c r="A269" s="41">
        <v>344</v>
      </c>
      <c r="B269" s="43">
        <v>153.54</v>
      </c>
      <c r="C269" s="40">
        <v>596.7299200381907</v>
      </c>
      <c r="D269" s="40">
        <v>100.3814495081309</v>
      </c>
      <c r="E269" s="41">
        <v>1624.9</v>
      </c>
      <c r="F269" s="44">
        <v>2604.6999999999998</v>
      </c>
      <c r="G269" s="45">
        <v>3.7075</v>
      </c>
      <c r="H269" s="45">
        <v>5.2952000000000004</v>
      </c>
      <c r="I269" s="45">
        <v>8.8241841217247199</v>
      </c>
      <c r="J269" s="45">
        <v>13.692486317147333</v>
      </c>
    </row>
    <row r="270" spans="1:10" x14ac:dyDescent="0.3">
      <c r="A270" s="41">
        <v>345</v>
      </c>
      <c r="B270" s="43">
        <v>155.44999999999999</v>
      </c>
      <c r="C270" s="40">
        <v>593.19017677067268</v>
      </c>
      <c r="D270" s="40">
        <v>102.42753252074156</v>
      </c>
      <c r="E270" s="41">
        <v>1632.5</v>
      </c>
      <c r="F270" s="44">
        <v>2598.9</v>
      </c>
      <c r="G270" s="45">
        <v>3.7193000000000001</v>
      </c>
      <c r="H270" s="45">
        <v>5.2827999999999999</v>
      </c>
      <c r="I270" s="45">
        <v>9.0022543329019733</v>
      </c>
      <c r="J270" s="45">
        <v>14.111969189529656</v>
      </c>
    </row>
    <row r="271" spans="1:10" x14ac:dyDescent="0.3">
      <c r="A271" s="41">
        <v>346</v>
      </c>
      <c r="B271" s="43">
        <v>157.38999999999999</v>
      </c>
      <c r="C271" s="40">
        <v>589.58787807322676</v>
      </c>
      <c r="D271" s="40">
        <v>104.53690152623876</v>
      </c>
      <c r="E271" s="41">
        <v>1640.2</v>
      </c>
      <c r="F271" s="44">
        <v>2593</v>
      </c>
      <c r="G271" s="45">
        <v>3.7311000000000001</v>
      </c>
      <c r="H271" s="45">
        <v>5.2702</v>
      </c>
      <c r="I271" s="45">
        <v>9.1927116493878778</v>
      </c>
      <c r="J271" s="45">
        <v>14.557554075686827</v>
      </c>
    </row>
    <row r="272" spans="1:10" x14ac:dyDescent="0.3">
      <c r="A272" s="41">
        <v>347</v>
      </c>
      <c r="B272" s="43">
        <v>159.35</v>
      </c>
      <c r="C272" s="40">
        <v>585.92605613171622</v>
      </c>
      <c r="D272" s="40">
        <v>106.71219720414042</v>
      </c>
      <c r="E272" s="41">
        <v>1648</v>
      </c>
      <c r="F272" s="44">
        <v>2586.9</v>
      </c>
      <c r="G272" s="45">
        <v>3.7431000000000001</v>
      </c>
      <c r="H272" s="45">
        <v>5.2573999999999996</v>
      </c>
      <c r="I272" s="45">
        <v>9.3966639074630027</v>
      </c>
      <c r="J272" s="45">
        <v>15.031168484497618</v>
      </c>
    </row>
    <row r="273" spans="1:10" x14ac:dyDescent="0.3">
      <c r="A273" s="41">
        <v>348</v>
      </c>
      <c r="B273" s="43">
        <v>161.33000000000001</v>
      </c>
      <c r="C273" s="40">
        <v>582.13994644312493</v>
      </c>
      <c r="D273" s="40">
        <v>108.95619960775768</v>
      </c>
      <c r="E273" s="41">
        <v>1655.8</v>
      </c>
      <c r="F273" s="44">
        <v>2580.6999999999998</v>
      </c>
      <c r="G273" s="45">
        <v>3.7553000000000001</v>
      </c>
      <c r="H273" s="45">
        <v>5.2443999999999997</v>
      </c>
      <c r="I273" s="45">
        <v>9.6153109802439616</v>
      </c>
      <c r="J273" s="45">
        <v>15.534871177675006</v>
      </c>
    </row>
    <row r="274" spans="1:10" x14ac:dyDescent="0.3">
      <c r="A274" s="41">
        <v>349</v>
      </c>
      <c r="B274" s="43">
        <v>163.33000000000001</v>
      </c>
      <c r="C274" s="40">
        <v>578.30210501966224</v>
      </c>
      <c r="D274" s="40">
        <v>111.25945705384959</v>
      </c>
      <c r="E274" s="41">
        <v>1663.8</v>
      </c>
      <c r="F274" s="44">
        <v>2574.1999999999998</v>
      </c>
      <c r="G274" s="45">
        <v>3.7675999999999998</v>
      </c>
      <c r="H274" s="45">
        <v>5.2310999999999996</v>
      </c>
      <c r="I274" s="45">
        <v>9.8499494002307824</v>
      </c>
      <c r="J274" s="45">
        <v>16.070859884981388</v>
      </c>
    </row>
    <row r="275" spans="1:10" x14ac:dyDescent="0.3">
      <c r="A275" s="41">
        <v>350</v>
      </c>
      <c r="B275" s="43">
        <v>165.35</v>
      </c>
      <c r="C275" s="40">
        <v>574.34954913560398</v>
      </c>
      <c r="D275" s="40">
        <v>113.64927832708263</v>
      </c>
      <c r="E275" s="41">
        <v>1671.9</v>
      </c>
      <c r="F275" s="44">
        <v>2567.6999999999998</v>
      </c>
      <c r="G275" s="45">
        <v>3.78</v>
      </c>
      <c r="H275" s="45">
        <v>5.2176999999999998</v>
      </c>
      <c r="I275" s="45">
        <v>10.101976664058501</v>
      </c>
      <c r="J275" s="45">
        <v>16.641479571884936</v>
      </c>
    </row>
    <row r="276" spans="1:10" x14ac:dyDescent="0.3">
      <c r="A276" s="41">
        <v>351</v>
      </c>
      <c r="B276" s="43">
        <v>167.39</v>
      </c>
      <c r="C276" s="40">
        <v>570.38558065252118</v>
      </c>
      <c r="D276" s="40">
        <v>116.15750958299454</v>
      </c>
      <c r="E276" s="41">
        <v>1680.4</v>
      </c>
      <c r="F276" s="44">
        <v>2560.6999999999998</v>
      </c>
      <c r="G276" s="45">
        <v>3.7932999999999999</v>
      </c>
      <c r="H276" s="45">
        <v>5.2035999999999998</v>
      </c>
      <c r="I276" s="45">
        <v>10.407748312875432</v>
      </c>
      <c r="J276" s="45">
        <v>17.35837448384132</v>
      </c>
    </row>
    <row r="277" spans="1:10" x14ac:dyDescent="0.3">
      <c r="A277" s="41">
        <v>352</v>
      </c>
      <c r="B277" s="43">
        <v>169.45</v>
      </c>
      <c r="C277" s="40">
        <v>566.21935337749846</v>
      </c>
      <c r="D277" s="40">
        <v>118.76484560570071</v>
      </c>
      <c r="E277" s="41">
        <v>1689.3</v>
      </c>
      <c r="F277" s="44">
        <v>2553.5</v>
      </c>
      <c r="G277" s="45">
        <v>3.8071000000000002</v>
      </c>
      <c r="H277" s="45">
        <v>5.1893000000000002</v>
      </c>
      <c r="I277" s="45">
        <v>10.720205404650397</v>
      </c>
      <c r="J277" s="45">
        <v>18.08420578908736</v>
      </c>
    </row>
    <row r="278" spans="1:10" x14ac:dyDescent="0.3">
      <c r="A278" s="41">
        <v>353</v>
      </c>
      <c r="B278" s="43">
        <v>171.54</v>
      </c>
      <c r="C278" s="40">
        <v>561.9240278714318</v>
      </c>
      <c r="D278" s="40">
        <v>121.47716229348883</v>
      </c>
      <c r="E278" s="41">
        <v>1698.4</v>
      </c>
      <c r="F278" s="44">
        <v>2546.1</v>
      </c>
      <c r="G278" s="45">
        <v>3.8209</v>
      </c>
      <c r="H278" s="45">
        <v>5.1745999999999999</v>
      </c>
      <c r="I278" s="45">
        <v>11.06287812560606</v>
      </c>
      <c r="J278" s="45">
        <v>18.878215983999507</v>
      </c>
    </row>
    <row r="279" spans="1:10" x14ac:dyDescent="0.3">
      <c r="A279" s="41">
        <v>354</v>
      </c>
      <c r="B279" s="43">
        <v>173.64</v>
      </c>
      <c r="C279" s="40">
        <v>557.50682945866083</v>
      </c>
      <c r="D279" s="40">
        <v>124.30080795525171</v>
      </c>
      <c r="E279" s="41">
        <v>1707.5</v>
      </c>
      <c r="F279" s="44">
        <v>2538.4</v>
      </c>
      <c r="G279" s="45">
        <v>3.8349000000000002</v>
      </c>
      <c r="H279" s="45">
        <v>5.1596000000000002</v>
      </c>
      <c r="I279" s="45">
        <v>11.440360053117372</v>
      </c>
      <c r="J279" s="45">
        <v>19.750578788096671</v>
      </c>
    </row>
    <row r="280" spans="1:10" x14ac:dyDescent="0.3">
      <c r="A280" s="41">
        <v>355</v>
      </c>
      <c r="B280" s="43">
        <v>175.77</v>
      </c>
      <c r="C280" s="40">
        <v>552.94442908487702</v>
      </c>
      <c r="D280" s="40">
        <v>127.2426517368622</v>
      </c>
      <c r="E280" s="41">
        <v>1716.6</v>
      </c>
      <c r="F280" s="44">
        <v>2530.4</v>
      </c>
      <c r="G280" s="45">
        <v>3.8489</v>
      </c>
      <c r="H280" s="45">
        <v>5.1441999999999997</v>
      </c>
      <c r="I280" s="45">
        <v>11.858406810493163</v>
      </c>
      <c r="J280" s="45">
        <v>20.713635986778389</v>
      </c>
    </row>
    <row r="281" spans="1:10" x14ac:dyDescent="0.3">
      <c r="A281" s="41">
        <v>356</v>
      </c>
      <c r="B281" s="43">
        <v>177.92</v>
      </c>
      <c r="C281" s="40">
        <v>548.21555835754623</v>
      </c>
      <c r="D281" s="40">
        <v>130.31013812874642</v>
      </c>
      <c r="E281" s="41">
        <v>1725.9</v>
      </c>
      <c r="F281" s="44">
        <v>2522.1</v>
      </c>
      <c r="G281" s="45">
        <v>3.8628999999999998</v>
      </c>
      <c r="H281" s="45">
        <v>5.1283000000000003</v>
      </c>
      <c r="I281" s="45">
        <v>12.323868627734699</v>
      </c>
      <c r="J281" s="45">
        <v>21.782465653883676</v>
      </c>
    </row>
    <row r="282" spans="1:10" x14ac:dyDescent="0.3">
      <c r="A282" s="41">
        <v>357</v>
      </c>
      <c r="B282" s="43">
        <v>180.09</v>
      </c>
      <c r="C282" s="40">
        <v>543.30109746821688</v>
      </c>
      <c r="D282" s="40">
        <v>133.51134846461949</v>
      </c>
      <c r="E282" s="41">
        <v>1735.2</v>
      </c>
      <c r="F282" s="44">
        <v>2513.5</v>
      </c>
      <c r="G282" s="45">
        <v>3.8772000000000002</v>
      </c>
      <c r="H282" s="45">
        <v>5.1120999999999999</v>
      </c>
      <c r="I282" s="45">
        <v>12.845456167794792</v>
      </c>
      <c r="J282" s="45">
        <v>22.975730989179496</v>
      </c>
    </row>
    <row r="283" spans="1:10" x14ac:dyDescent="0.3">
      <c r="A283" s="41">
        <v>358</v>
      </c>
      <c r="B283" s="43">
        <v>182.29</v>
      </c>
      <c r="C283" s="40">
        <v>538.2131324004306</v>
      </c>
      <c r="D283" s="40">
        <v>136.87380235422941</v>
      </c>
      <c r="E283" s="41">
        <v>1744.7</v>
      </c>
      <c r="F283" s="44">
        <v>2504.6</v>
      </c>
      <c r="G283" s="45">
        <v>3.8915000000000002</v>
      </c>
      <c r="H283" s="45">
        <v>5.0952999999999999</v>
      </c>
      <c r="I283" s="45">
        <v>13.434313765949955</v>
      </c>
      <c r="J283" s="45">
        <v>24.316773796905178</v>
      </c>
    </row>
    <row r="284" spans="1:10" x14ac:dyDescent="0.3">
      <c r="A284" s="41">
        <v>359</v>
      </c>
      <c r="B284" s="43">
        <v>184.51</v>
      </c>
      <c r="C284" s="40">
        <v>532.93540822852265</v>
      </c>
      <c r="D284" s="40">
        <v>140.39028499227854</v>
      </c>
      <c r="E284" s="41">
        <v>1754.3</v>
      </c>
      <c r="F284" s="44">
        <v>2495.1999999999998</v>
      </c>
      <c r="G284" s="45">
        <v>3.9060999999999999</v>
      </c>
      <c r="H284" s="45">
        <v>5.0780000000000003</v>
      </c>
      <c r="I284" s="45">
        <v>14.104479385825984</v>
      </c>
      <c r="J284" s="45">
        <v>25.835193033970999</v>
      </c>
    </row>
    <row r="285" spans="1:10" x14ac:dyDescent="0.3">
      <c r="A285" s="41">
        <v>360</v>
      </c>
      <c r="B285" s="43">
        <v>186.75</v>
      </c>
      <c r="C285" s="40">
        <v>527.45397964027632</v>
      </c>
      <c r="D285" s="40">
        <v>144.09221902017291</v>
      </c>
      <c r="E285" s="41">
        <v>1764.2</v>
      </c>
      <c r="F285" s="44">
        <v>2485.4</v>
      </c>
      <c r="G285" s="45">
        <v>3.9209999999999998</v>
      </c>
      <c r="H285" s="45">
        <v>5.0599999999999996</v>
      </c>
      <c r="I285" s="45">
        <v>14.874373336264895</v>
      </c>
      <c r="J285" s="45">
        <v>27.56912930654104</v>
      </c>
    </row>
    <row r="286" spans="1:10" x14ac:dyDescent="0.3">
      <c r="A286" s="41">
        <v>361</v>
      </c>
      <c r="B286" s="43">
        <v>189.02</v>
      </c>
      <c r="C286" s="40">
        <v>521.73005686857618</v>
      </c>
      <c r="D286" s="40">
        <v>147.9946721918011</v>
      </c>
      <c r="E286" s="41">
        <v>1774.2</v>
      </c>
      <c r="F286" s="44">
        <v>2475.1999999999998</v>
      </c>
      <c r="G286" s="45">
        <v>3.9361999999999999</v>
      </c>
      <c r="H286" s="45">
        <v>5.0414000000000003</v>
      </c>
      <c r="I286" s="45">
        <v>15.768251096031932</v>
      </c>
      <c r="J286" s="45">
        <v>29.568596488580162</v>
      </c>
    </row>
    <row r="287" spans="1:10" x14ac:dyDescent="0.3">
      <c r="A287" s="41">
        <v>362</v>
      </c>
      <c r="B287" s="43">
        <v>191.31</v>
      </c>
      <c r="C287" s="40">
        <v>515.7829585310501</v>
      </c>
      <c r="D287" s="40">
        <v>152.13753232922562</v>
      </c>
      <c r="E287" s="41">
        <v>1784.6</v>
      </c>
      <c r="F287" s="44">
        <v>2464.4</v>
      </c>
      <c r="G287" s="45">
        <v>3.9518</v>
      </c>
      <c r="H287" s="45">
        <v>5.0220000000000002</v>
      </c>
      <c r="I287" s="45">
        <v>16.818847572579482</v>
      </c>
      <c r="J287" s="45">
        <v>31.900477371654002</v>
      </c>
    </row>
    <row r="288" spans="1:10" x14ac:dyDescent="0.3">
      <c r="A288" s="41">
        <v>363</v>
      </c>
      <c r="B288" s="43">
        <v>193.62</v>
      </c>
      <c r="C288" s="40">
        <v>509.52817690818301</v>
      </c>
      <c r="D288" s="40">
        <v>156.54351909830933</v>
      </c>
      <c r="E288" s="41">
        <v>1795.3</v>
      </c>
      <c r="F288" s="44">
        <v>2453</v>
      </c>
      <c r="G288" s="45">
        <v>3.9679000000000002</v>
      </c>
      <c r="H288" s="45">
        <v>5.0016999999999996</v>
      </c>
      <c r="I288" s="45">
        <v>18.071941888603124</v>
      </c>
      <c r="J288" s="45">
        <v>34.656371431061686</v>
      </c>
    </row>
    <row r="289" spans="1:10" x14ac:dyDescent="0.3">
      <c r="A289" s="41">
        <v>364</v>
      </c>
      <c r="B289" s="43">
        <v>195.96</v>
      </c>
      <c r="C289" s="40">
        <v>502.96750829896393</v>
      </c>
      <c r="D289" s="40">
        <v>161.26431220770843</v>
      </c>
      <c r="E289" s="41">
        <v>1806.4</v>
      </c>
      <c r="F289" s="44">
        <v>2440.9</v>
      </c>
      <c r="G289" s="45">
        <v>3.9845999999999999</v>
      </c>
      <c r="H289" s="45">
        <v>4.9804000000000004</v>
      </c>
      <c r="I289" s="45">
        <v>19.592034234675623</v>
      </c>
      <c r="J289" s="45">
        <v>37.965055210904858</v>
      </c>
    </row>
    <row r="290" spans="1:10" x14ac:dyDescent="0.3">
      <c r="A290" s="41">
        <v>365</v>
      </c>
      <c r="B290" s="43">
        <v>198.33</v>
      </c>
      <c r="C290" s="40">
        <v>496.03174603174602</v>
      </c>
      <c r="D290" s="40">
        <v>166.33399866932803</v>
      </c>
      <c r="E290" s="41">
        <v>1818</v>
      </c>
      <c r="F290" s="44">
        <v>2428</v>
      </c>
      <c r="G290" s="45">
        <v>4.0021000000000004</v>
      </c>
      <c r="H290" s="45">
        <v>4.9579000000000004</v>
      </c>
      <c r="I290" s="45">
        <v>21.474448650998315</v>
      </c>
      <c r="J290" s="45">
        <v>42.013536893632313</v>
      </c>
    </row>
    <row r="291" spans="1:10" x14ac:dyDescent="0.3">
      <c r="A291" s="41">
        <v>366</v>
      </c>
      <c r="B291" s="43">
        <v>200.72</v>
      </c>
      <c r="C291" s="40">
        <v>488.66301798279909</v>
      </c>
      <c r="D291" s="40">
        <v>171.85083347654236</v>
      </c>
      <c r="E291" s="41">
        <v>1830.2</v>
      </c>
      <c r="F291" s="44">
        <v>2414.1</v>
      </c>
      <c r="G291" s="45">
        <v>4.0205000000000002</v>
      </c>
      <c r="H291" s="45">
        <v>4.9339000000000004</v>
      </c>
      <c r="I291" s="45">
        <v>23.86491706520842</v>
      </c>
      <c r="J291" s="45">
        <v>47.083929040404101</v>
      </c>
    </row>
    <row r="292" spans="1:10" x14ac:dyDescent="0.3">
      <c r="A292" s="41">
        <v>367</v>
      </c>
      <c r="B292" s="43">
        <v>203.13</v>
      </c>
      <c r="C292" s="40">
        <v>480.72300740313432</v>
      </c>
      <c r="D292" s="40">
        <v>177.90428749332858</v>
      </c>
      <c r="E292" s="41">
        <v>1843.2</v>
      </c>
      <c r="F292" s="44">
        <v>2399</v>
      </c>
      <c r="G292" s="45">
        <v>4.0400999999999998</v>
      </c>
      <c r="H292" s="45">
        <v>4.9081000000000001</v>
      </c>
      <c r="I292" s="45">
        <v>26.998197856687025</v>
      </c>
      <c r="J292" s="45">
        <v>53.622431136083719</v>
      </c>
    </row>
    <row r="293" spans="1:10" x14ac:dyDescent="0.3">
      <c r="A293" s="41">
        <v>368</v>
      </c>
      <c r="B293" s="43">
        <v>205.57</v>
      </c>
      <c r="C293" s="40">
        <v>472.12124073462064</v>
      </c>
      <c r="D293" s="40">
        <v>184.63810930576071</v>
      </c>
      <c r="E293" s="41">
        <v>1857.3</v>
      </c>
      <c r="F293" s="44">
        <v>2382.4</v>
      </c>
      <c r="G293" s="45">
        <v>4.0613000000000001</v>
      </c>
      <c r="H293" s="45">
        <v>4.8800999999999997</v>
      </c>
      <c r="I293" s="45">
        <v>31.277360987260931</v>
      </c>
      <c r="J293" s="45">
        <v>62.378791757763601</v>
      </c>
    </row>
    <row r="294" spans="1:10" x14ac:dyDescent="0.3">
      <c r="A294" s="41">
        <v>369</v>
      </c>
      <c r="B294" s="43">
        <v>208.04</v>
      </c>
      <c r="C294" s="40">
        <v>462.57748172818941</v>
      </c>
      <c r="D294" s="40">
        <v>192.27071716977505</v>
      </c>
      <c r="E294" s="41">
        <v>1872.8</v>
      </c>
      <c r="F294" s="44">
        <v>2363.9</v>
      </c>
      <c r="G294" s="45">
        <v>4.0846</v>
      </c>
      <c r="H294" s="45">
        <v>4.8491999999999997</v>
      </c>
      <c r="I294" s="45">
        <v>37.454782120537416</v>
      </c>
      <c r="J294" s="45">
        <v>74.716932857538666</v>
      </c>
    </row>
    <row r="295" spans="1:10" x14ac:dyDescent="0.3">
      <c r="A295" s="41">
        <v>370</v>
      </c>
      <c r="B295" s="43">
        <v>210.54</v>
      </c>
      <c r="C295" s="40">
        <v>451.75280086736535</v>
      </c>
      <c r="D295" s="40">
        <v>201.08586366378444</v>
      </c>
      <c r="E295" s="41">
        <v>1890.2</v>
      </c>
      <c r="F295" s="44">
        <v>2342.8000000000002</v>
      </c>
      <c r="G295" s="45">
        <v>4.1108000000000002</v>
      </c>
      <c r="H295" s="45">
        <v>4.8144</v>
      </c>
      <c r="I295" s="45">
        <v>47.100121990116932</v>
      </c>
      <c r="J295" s="45">
        <v>93.406516210068006</v>
      </c>
    </row>
    <row r="296" spans="1:10" x14ac:dyDescent="0.3">
      <c r="A296" s="41">
        <v>371</v>
      </c>
      <c r="B296" s="43">
        <v>213.06</v>
      </c>
      <c r="C296" s="40">
        <v>439.02010712090612</v>
      </c>
      <c r="D296" s="40">
        <v>211.72983273343215</v>
      </c>
      <c r="E296" s="41">
        <v>1910.5</v>
      </c>
      <c r="F296" s="44">
        <v>2317.9</v>
      </c>
      <c r="G296" s="45">
        <v>4.1414</v>
      </c>
      <c r="H296" s="45">
        <v>4.7737999999999996</v>
      </c>
      <c r="I296" s="45">
        <v>64.102763862943277</v>
      </c>
      <c r="J296" s="45">
        <v>125.06270498737815</v>
      </c>
    </row>
    <row r="297" spans="1:10" x14ac:dyDescent="0.3">
      <c r="A297" s="41">
        <v>372</v>
      </c>
      <c r="B297" s="43">
        <v>215.62</v>
      </c>
      <c r="C297" s="40">
        <v>423.08343205280079</v>
      </c>
      <c r="D297" s="40">
        <v>225.27596305474205</v>
      </c>
      <c r="E297" s="41">
        <v>1935.6</v>
      </c>
      <c r="F297" s="44">
        <v>2286.9</v>
      </c>
      <c r="G297" s="45">
        <v>4.1794000000000002</v>
      </c>
      <c r="H297" s="45">
        <v>4.7240000000000002</v>
      </c>
      <c r="I297" s="45">
        <v>101.15566477459963</v>
      </c>
      <c r="J297" s="45">
        <v>190.32272588317258</v>
      </c>
    </row>
    <row r="298" spans="1:10" x14ac:dyDescent="0.3">
      <c r="A298" s="41">
        <v>373</v>
      </c>
      <c r="B298" s="43">
        <v>218.2</v>
      </c>
      <c r="C298" s="40">
        <v>400.59287745863878</v>
      </c>
      <c r="D298" s="40">
        <v>244.85798237022527</v>
      </c>
      <c r="E298" s="41">
        <v>1970.5</v>
      </c>
      <c r="F298" s="44">
        <v>2244</v>
      </c>
      <c r="G298" s="45">
        <v>4.2324999999999999</v>
      </c>
      <c r="H298" s="45">
        <v>4.6558999999999999</v>
      </c>
      <c r="I298" s="45">
        <v>231.90238061693833</v>
      </c>
      <c r="J298" s="45">
        <v>401.15602935794044</v>
      </c>
    </row>
    <row r="299" spans="1:10" x14ac:dyDescent="0.3">
      <c r="A299" s="41">
        <v>374</v>
      </c>
      <c r="B299" s="43">
        <v>220.81</v>
      </c>
      <c r="C299" s="40">
        <v>352.02590910691026</v>
      </c>
      <c r="D299" s="40">
        <v>289.18449971081549</v>
      </c>
      <c r="E299" s="41">
        <v>2046.3</v>
      </c>
      <c r="F299" s="44">
        <v>2155</v>
      </c>
      <c r="G299" s="45">
        <v>4.3487</v>
      </c>
      <c r="H299" s="45">
        <v>4.5166000000000004</v>
      </c>
      <c r="I299" s="45"/>
      <c r="J299" s="47"/>
    </row>
    <row r="300" spans="1:10" x14ac:dyDescent="0.3">
      <c r="A300" s="50">
        <v>374.15</v>
      </c>
      <c r="B300" s="51">
        <v>221.2</v>
      </c>
      <c r="C300" s="52">
        <v>315.45741324921136</v>
      </c>
      <c r="D300" s="52">
        <v>315.45741324921136</v>
      </c>
      <c r="E300" s="53">
        <v>2107.4</v>
      </c>
      <c r="F300" s="54">
        <v>2107.4</v>
      </c>
      <c r="G300" s="55">
        <v>4.4428999999999998</v>
      </c>
      <c r="H300" s="55">
        <v>4.4428999999999998</v>
      </c>
      <c r="I300" s="49"/>
      <c r="J300" s="48"/>
    </row>
  </sheetData>
  <mergeCells count="3">
    <mergeCell ref="A1:J1"/>
    <mergeCell ref="A2:A3"/>
    <mergeCell ref="B2:B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A139-B533-49BD-8BA6-FC74F1F263C7}">
  <sheetPr codeName="Sayfa5"/>
  <dimension ref="A1:BB13"/>
  <sheetViews>
    <sheetView workbookViewId="0">
      <selection activeCell="I30" sqref="I30"/>
    </sheetView>
  </sheetViews>
  <sheetFormatPr defaultRowHeight="13.8" x14ac:dyDescent="0.3"/>
  <cols>
    <col min="1" max="1" width="19.6640625" customWidth="1"/>
    <col min="2" max="2" width="22" customWidth="1"/>
  </cols>
  <sheetData>
    <row r="1" spans="1:54" x14ac:dyDescent="0.3">
      <c r="C1">
        <v>2015</v>
      </c>
      <c r="D1">
        <v>2016</v>
      </c>
      <c r="E1">
        <v>2017</v>
      </c>
      <c r="F1">
        <v>2018</v>
      </c>
      <c r="G1">
        <v>2019</v>
      </c>
      <c r="H1">
        <v>2020</v>
      </c>
      <c r="I1">
        <v>2021</v>
      </c>
      <c r="J1">
        <v>2022</v>
      </c>
      <c r="K1">
        <v>2023</v>
      </c>
      <c r="L1">
        <v>2024</v>
      </c>
      <c r="M1" t="s">
        <v>147</v>
      </c>
      <c r="N1" t="s">
        <v>148</v>
      </c>
      <c r="O1" t="s">
        <v>149</v>
      </c>
      <c r="P1" t="s">
        <v>150</v>
      </c>
      <c r="Q1" t="s">
        <v>151</v>
      </c>
      <c r="R1" t="s">
        <v>152</v>
      </c>
      <c r="S1" t="s">
        <v>153</v>
      </c>
      <c r="T1" t="s">
        <v>154</v>
      </c>
      <c r="U1" t="s">
        <v>155</v>
      </c>
      <c r="V1" t="s">
        <v>156</v>
      </c>
      <c r="W1" t="s">
        <v>157</v>
      </c>
      <c r="X1" t="s">
        <v>158</v>
      </c>
      <c r="Y1" t="s">
        <v>159</v>
      </c>
      <c r="Z1" t="s">
        <v>160</v>
      </c>
      <c r="AA1" t="s">
        <v>161</v>
      </c>
      <c r="AB1" t="s">
        <v>162</v>
      </c>
      <c r="AC1" t="s">
        <v>163</v>
      </c>
      <c r="AD1" t="s">
        <v>164</v>
      </c>
      <c r="AE1" t="s">
        <v>165</v>
      </c>
      <c r="AF1" t="s">
        <v>166</v>
      </c>
      <c r="AG1" t="s">
        <v>167</v>
      </c>
      <c r="AH1" t="s">
        <v>168</v>
      </c>
      <c r="AI1" t="s">
        <v>169</v>
      </c>
      <c r="AJ1" t="s">
        <v>170</v>
      </c>
      <c r="AK1" t="s">
        <v>171</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row>
    <row r="2" spans="1:54" x14ac:dyDescent="0.3">
      <c r="A2" t="s">
        <v>189</v>
      </c>
      <c r="B2" t="s">
        <v>201</v>
      </c>
      <c r="C2">
        <v>5.23</v>
      </c>
      <c r="D2">
        <v>3.75</v>
      </c>
      <c r="E2">
        <v>5.92</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row>
    <row r="3" spans="1:54" x14ac:dyDescent="0.3">
      <c r="A3" t="s">
        <v>190</v>
      </c>
      <c r="B3" t="s">
        <v>202</v>
      </c>
      <c r="C3">
        <v>3.24</v>
      </c>
      <c r="D3">
        <v>-1.74</v>
      </c>
      <c r="E3">
        <v>12.41</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row>
    <row r="4" spans="1:54" x14ac:dyDescent="0.3">
      <c r="A4" t="s">
        <v>191</v>
      </c>
      <c r="B4" t="s">
        <v>203</v>
      </c>
      <c r="C4">
        <v>8.81</v>
      </c>
      <c r="D4">
        <v>8.5299999999999994</v>
      </c>
      <c r="E4">
        <v>11.92</v>
      </c>
      <c r="F4">
        <v>20.3</v>
      </c>
      <c r="G4">
        <v>11.84</v>
      </c>
      <c r="H4">
        <v>14.6</v>
      </c>
      <c r="I4">
        <v>36.1</v>
      </c>
      <c r="J4">
        <v>64.269597496178761</v>
      </c>
      <c r="K4">
        <v>64.77</v>
      </c>
      <c r="L4">
        <v>44.38</v>
      </c>
      <c r="M4">
        <v>30</v>
      </c>
      <c r="N4">
        <v>19.5</v>
      </c>
      <c r="O4">
        <v>17</v>
      </c>
      <c r="P4">
        <v>17</v>
      </c>
      <c r="Q4">
        <v>15</v>
      </c>
      <c r="R4">
        <v>15</v>
      </c>
      <c r="S4">
        <v>14</v>
      </c>
      <c r="T4">
        <v>13</v>
      </c>
      <c r="U4">
        <v>12</v>
      </c>
      <c r="V4">
        <v>12</v>
      </c>
      <c r="W4">
        <v>11</v>
      </c>
      <c r="X4">
        <v>11</v>
      </c>
      <c r="Y4">
        <v>10</v>
      </c>
      <c r="Z4">
        <v>10</v>
      </c>
      <c r="AA4">
        <v>10</v>
      </c>
      <c r="AB4">
        <v>10</v>
      </c>
      <c r="AC4">
        <v>10</v>
      </c>
      <c r="AD4">
        <v>10</v>
      </c>
      <c r="AE4">
        <v>10</v>
      </c>
      <c r="AF4">
        <v>10</v>
      </c>
      <c r="AG4">
        <v>10</v>
      </c>
      <c r="AH4">
        <v>10</v>
      </c>
      <c r="AI4">
        <v>10</v>
      </c>
      <c r="AJ4">
        <v>10</v>
      </c>
      <c r="AK4">
        <v>10</v>
      </c>
      <c r="AL4">
        <v>10</v>
      </c>
      <c r="AM4">
        <v>10</v>
      </c>
      <c r="AN4">
        <v>10</v>
      </c>
      <c r="AO4">
        <v>10</v>
      </c>
      <c r="AP4">
        <v>10</v>
      </c>
      <c r="AQ4">
        <v>10</v>
      </c>
      <c r="AR4">
        <v>10</v>
      </c>
      <c r="AS4">
        <v>10</v>
      </c>
      <c r="AT4">
        <v>10</v>
      </c>
      <c r="AU4">
        <v>10</v>
      </c>
      <c r="AV4">
        <v>10</v>
      </c>
      <c r="AW4">
        <v>10</v>
      </c>
      <c r="AX4">
        <v>10</v>
      </c>
      <c r="AY4">
        <v>10</v>
      </c>
      <c r="AZ4">
        <v>10</v>
      </c>
      <c r="BA4">
        <v>10</v>
      </c>
      <c r="BB4">
        <v>10</v>
      </c>
    </row>
    <row r="5" spans="1:54" x14ac:dyDescent="0.3">
      <c r="A5" t="s">
        <v>192</v>
      </c>
      <c r="B5" t="s">
        <v>204</v>
      </c>
      <c r="C5">
        <v>7.67</v>
      </c>
      <c r="D5">
        <v>7.78</v>
      </c>
      <c r="E5">
        <v>11.14</v>
      </c>
      <c r="F5">
        <v>16.329999999999998</v>
      </c>
      <c r="G5">
        <v>15.2</v>
      </c>
      <c r="H5">
        <v>12.28</v>
      </c>
      <c r="I5">
        <v>19.600000000000001</v>
      </c>
      <c r="J5">
        <v>72.3</v>
      </c>
      <c r="K5">
        <v>53.86</v>
      </c>
      <c r="L5">
        <v>58.51</v>
      </c>
      <c r="M5">
        <v>34.6</v>
      </c>
      <c r="N5">
        <v>22.8</v>
      </c>
      <c r="O5">
        <v>18.25</v>
      </c>
      <c r="P5">
        <v>17</v>
      </c>
      <c r="Q5">
        <v>16</v>
      </c>
      <c r="R5">
        <v>15</v>
      </c>
      <c r="S5">
        <v>14.5</v>
      </c>
      <c r="T5">
        <v>13.5</v>
      </c>
      <c r="U5">
        <v>12.5</v>
      </c>
      <c r="V5">
        <v>12</v>
      </c>
      <c r="W5">
        <v>11.5</v>
      </c>
      <c r="X5">
        <v>11</v>
      </c>
      <c r="Y5">
        <v>10.5</v>
      </c>
      <c r="Z5">
        <v>10</v>
      </c>
      <c r="AA5">
        <v>10</v>
      </c>
      <c r="AB5">
        <v>10</v>
      </c>
      <c r="AC5">
        <v>10</v>
      </c>
      <c r="AD5">
        <v>10</v>
      </c>
      <c r="AE5">
        <v>10</v>
      </c>
      <c r="AF5">
        <v>10</v>
      </c>
      <c r="AG5">
        <v>10</v>
      </c>
      <c r="AH5">
        <v>10</v>
      </c>
      <c r="AI5">
        <v>10</v>
      </c>
      <c r="AJ5">
        <v>10</v>
      </c>
      <c r="AK5">
        <v>10</v>
      </c>
      <c r="AL5">
        <v>10</v>
      </c>
      <c r="AM5">
        <v>10</v>
      </c>
      <c r="AN5">
        <v>10</v>
      </c>
      <c r="AO5">
        <v>10</v>
      </c>
      <c r="AP5">
        <v>10</v>
      </c>
      <c r="AQ5">
        <v>10</v>
      </c>
      <c r="AR5">
        <v>10</v>
      </c>
      <c r="AS5">
        <v>10</v>
      </c>
      <c r="AT5">
        <v>10</v>
      </c>
      <c r="AU5">
        <v>10</v>
      </c>
      <c r="AV5">
        <v>10</v>
      </c>
      <c r="AW5">
        <v>10</v>
      </c>
      <c r="AX5">
        <v>10</v>
      </c>
      <c r="AY5">
        <v>10</v>
      </c>
      <c r="AZ5">
        <v>10</v>
      </c>
      <c r="BA5">
        <v>10</v>
      </c>
      <c r="BB5">
        <v>10</v>
      </c>
    </row>
    <row r="6" spans="1:54" x14ac:dyDescent="0.3">
      <c r="A6" t="s">
        <v>193</v>
      </c>
      <c r="B6" t="s">
        <v>205</v>
      </c>
      <c r="C6">
        <v>-2.4680781601212334</v>
      </c>
      <c r="D6">
        <v>-2.5539534923185299</v>
      </c>
      <c r="E6">
        <v>-4.0858837335221239</v>
      </c>
      <c r="F6">
        <v>-1.8315849101783128</v>
      </c>
      <c r="G6">
        <v>1.9716647316485283</v>
      </c>
      <c r="H6">
        <v>-4.3366646168605616</v>
      </c>
      <c r="I6">
        <v>-0.79215371742886709</v>
      </c>
      <c r="J6">
        <v>-5.1445440233866995</v>
      </c>
      <c r="K6">
        <v>-3.5309453287540182</v>
      </c>
      <c r="L6">
        <v>-0.75534696698328763</v>
      </c>
      <c r="M6">
        <v>-1.17</v>
      </c>
      <c r="N6">
        <v>-2</v>
      </c>
      <c r="O6">
        <v>-2</v>
      </c>
      <c r="P6">
        <v>-2</v>
      </c>
      <c r="Q6">
        <v>-2</v>
      </c>
      <c r="R6">
        <v>-2</v>
      </c>
      <c r="S6">
        <v>-2</v>
      </c>
      <c r="T6">
        <v>-2</v>
      </c>
      <c r="U6">
        <v>-2</v>
      </c>
      <c r="V6">
        <v>-2</v>
      </c>
      <c r="W6">
        <v>-2</v>
      </c>
      <c r="X6">
        <v>-2</v>
      </c>
      <c r="Y6">
        <v>-2</v>
      </c>
      <c r="Z6">
        <v>-2</v>
      </c>
      <c r="AA6">
        <v>-2</v>
      </c>
      <c r="AB6">
        <v>-2</v>
      </c>
      <c r="AC6">
        <v>-2</v>
      </c>
      <c r="AD6">
        <v>-2</v>
      </c>
      <c r="AE6">
        <v>-2</v>
      </c>
      <c r="AF6">
        <v>-2</v>
      </c>
      <c r="AG6">
        <v>-2</v>
      </c>
      <c r="AH6">
        <v>-2</v>
      </c>
      <c r="AI6">
        <v>-2</v>
      </c>
      <c r="AJ6">
        <v>-2</v>
      </c>
      <c r="AK6">
        <v>-2</v>
      </c>
      <c r="AL6">
        <v>-2</v>
      </c>
      <c r="AM6">
        <v>-2</v>
      </c>
      <c r="AN6">
        <v>-2</v>
      </c>
      <c r="AO6">
        <v>-2</v>
      </c>
      <c r="AP6">
        <v>-2</v>
      </c>
      <c r="AQ6">
        <v>-2</v>
      </c>
      <c r="AR6">
        <v>-2</v>
      </c>
      <c r="AS6">
        <v>-2</v>
      </c>
      <c r="AT6">
        <v>-2</v>
      </c>
      <c r="AU6">
        <v>-2</v>
      </c>
      <c r="AV6">
        <v>-2</v>
      </c>
      <c r="AW6">
        <v>-2</v>
      </c>
      <c r="AX6">
        <v>-2</v>
      </c>
      <c r="AY6">
        <v>-2</v>
      </c>
      <c r="AZ6">
        <v>-2</v>
      </c>
      <c r="BA6">
        <v>-2</v>
      </c>
      <c r="BB6">
        <v>-2</v>
      </c>
    </row>
    <row r="7" spans="1:54" x14ac:dyDescent="0.3">
      <c r="A7" t="s">
        <v>194</v>
      </c>
      <c r="B7" t="s">
        <v>206</v>
      </c>
      <c r="C7">
        <v>10.28</v>
      </c>
      <c r="D7">
        <v>8.32</v>
      </c>
      <c r="E7">
        <v>12.03</v>
      </c>
      <c r="F7">
        <v>24</v>
      </c>
      <c r="G7">
        <v>12</v>
      </c>
      <c r="H7">
        <v>17</v>
      </c>
      <c r="I7">
        <v>14</v>
      </c>
      <c r="J7">
        <v>9</v>
      </c>
      <c r="K7">
        <v>42.5</v>
      </c>
      <c r="L7">
        <v>47.5</v>
      </c>
      <c r="M7">
        <v>35</v>
      </c>
      <c r="N7">
        <v>23</v>
      </c>
      <c r="O7">
        <v>17</v>
      </c>
      <c r="P7">
        <v>17</v>
      </c>
      <c r="Q7">
        <v>16</v>
      </c>
      <c r="R7">
        <v>15</v>
      </c>
      <c r="S7">
        <v>14</v>
      </c>
      <c r="T7">
        <v>13</v>
      </c>
      <c r="U7">
        <v>12</v>
      </c>
      <c r="V7">
        <v>12</v>
      </c>
      <c r="W7">
        <v>11</v>
      </c>
      <c r="X7">
        <v>11</v>
      </c>
      <c r="Y7">
        <v>10</v>
      </c>
      <c r="Z7">
        <v>10</v>
      </c>
      <c r="AA7">
        <v>10</v>
      </c>
      <c r="AB7">
        <v>10</v>
      </c>
      <c r="AC7">
        <v>10</v>
      </c>
      <c r="AD7">
        <v>10</v>
      </c>
      <c r="AE7">
        <v>10</v>
      </c>
      <c r="AF7">
        <v>10</v>
      </c>
      <c r="AG7">
        <v>10</v>
      </c>
      <c r="AH7">
        <v>10</v>
      </c>
      <c r="AI7">
        <v>10</v>
      </c>
      <c r="AJ7">
        <v>10</v>
      </c>
      <c r="AK7">
        <v>10</v>
      </c>
      <c r="AL7">
        <v>10</v>
      </c>
      <c r="AM7">
        <v>10</v>
      </c>
      <c r="AN7">
        <v>10</v>
      </c>
      <c r="AO7">
        <v>10</v>
      </c>
      <c r="AP7">
        <v>10</v>
      </c>
      <c r="AQ7">
        <v>10</v>
      </c>
      <c r="AR7">
        <v>10</v>
      </c>
      <c r="AS7">
        <v>10</v>
      </c>
      <c r="AT7">
        <v>10</v>
      </c>
      <c r="AU7">
        <v>10</v>
      </c>
      <c r="AV7">
        <v>10</v>
      </c>
      <c r="AW7">
        <v>10</v>
      </c>
      <c r="AX7">
        <v>10</v>
      </c>
      <c r="AY7">
        <v>10</v>
      </c>
      <c r="AZ7">
        <v>10</v>
      </c>
      <c r="BA7">
        <v>10</v>
      </c>
      <c r="BB7">
        <v>10</v>
      </c>
    </row>
    <row r="8" spans="1:54" x14ac:dyDescent="0.3">
      <c r="A8" t="s">
        <v>195</v>
      </c>
      <c r="B8" t="s">
        <v>207</v>
      </c>
      <c r="C8">
        <v>10.74</v>
      </c>
      <c r="D8">
        <v>11.42</v>
      </c>
      <c r="E8">
        <v>11.74</v>
      </c>
      <c r="F8">
        <v>16.48</v>
      </c>
      <c r="G8">
        <v>12.21</v>
      </c>
      <c r="H8">
        <v>12.94</v>
      </c>
      <c r="I8">
        <v>22.7</v>
      </c>
      <c r="J8">
        <v>8.86</v>
      </c>
      <c r="K8">
        <v>24.98</v>
      </c>
      <c r="L8">
        <v>29.5</v>
      </c>
      <c r="M8">
        <v>29</v>
      </c>
      <c r="N8">
        <v>24</v>
      </c>
      <c r="O8">
        <v>19</v>
      </c>
      <c r="P8">
        <v>17</v>
      </c>
      <c r="Q8">
        <v>16</v>
      </c>
      <c r="R8">
        <v>16</v>
      </c>
      <c r="S8">
        <v>15</v>
      </c>
      <c r="T8">
        <v>14</v>
      </c>
      <c r="U8">
        <v>13</v>
      </c>
      <c r="V8">
        <v>12</v>
      </c>
      <c r="W8">
        <v>12</v>
      </c>
      <c r="X8">
        <v>12</v>
      </c>
      <c r="Y8">
        <v>11</v>
      </c>
      <c r="Z8">
        <v>11</v>
      </c>
      <c r="AA8">
        <v>11</v>
      </c>
      <c r="AB8">
        <v>11</v>
      </c>
      <c r="AC8">
        <v>11</v>
      </c>
      <c r="AD8">
        <v>11</v>
      </c>
      <c r="AE8">
        <v>11</v>
      </c>
      <c r="AF8">
        <v>11</v>
      </c>
      <c r="AG8">
        <v>11</v>
      </c>
      <c r="AH8">
        <v>11</v>
      </c>
      <c r="AI8">
        <v>11</v>
      </c>
      <c r="AJ8">
        <v>11</v>
      </c>
      <c r="AK8">
        <v>11</v>
      </c>
      <c r="AL8">
        <v>11</v>
      </c>
      <c r="AM8">
        <v>11</v>
      </c>
      <c r="AN8">
        <v>11</v>
      </c>
      <c r="AO8">
        <v>11</v>
      </c>
      <c r="AP8">
        <v>11</v>
      </c>
      <c r="AQ8">
        <v>11</v>
      </c>
      <c r="AR8">
        <v>11</v>
      </c>
      <c r="AS8">
        <v>11</v>
      </c>
      <c r="AT8">
        <v>11</v>
      </c>
      <c r="AU8">
        <v>11</v>
      </c>
      <c r="AV8">
        <v>11</v>
      </c>
      <c r="AW8">
        <v>11</v>
      </c>
      <c r="AX8">
        <v>11</v>
      </c>
      <c r="AY8">
        <v>11</v>
      </c>
      <c r="AZ8">
        <v>11</v>
      </c>
      <c r="BA8">
        <v>11</v>
      </c>
      <c r="BB8">
        <v>11</v>
      </c>
    </row>
    <row r="9" spans="1:54" x14ac:dyDescent="0.3">
      <c r="A9" t="s">
        <v>196</v>
      </c>
      <c r="B9" t="s">
        <v>208</v>
      </c>
      <c r="C9">
        <v>5.7</v>
      </c>
      <c r="D9">
        <v>6.6668000000000003</v>
      </c>
      <c r="E9">
        <v>5.9260000000000002</v>
      </c>
      <c r="F9">
        <v>7.3250000000000002</v>
      </c>
      <c r="G9">
        <v>6.6820000000000004</v>
      </c>
      <c r="H9">
        <v>6.25</v>
      </c>
      <c r="I9">
        <v>7.36</v>
      </c>
      <c r="J9">
        <v>8.5</v>
      </c>
      <c r="K9">
        <v>7.69</v>
      </c>
      <c r="L9">
        <v>8.2200000000000006</v>
      </c>
      <c r="M9">
        <v>8</v>
      </c>
      <c r="N9">
        <v>7.7</v>
      </c>
      <c r="O9">
        <v>7.6</v>
      </c>
      <c r="P9">
        <v>7.5</v>
      </c>
      <c r="Q9">
        <v>7.4</v>
      </c>
      <c r="R9">
        <v>7.3</v>
      </c>
      <c r="S9">
        <v>7.2</v>
      </c>
      <c r="T9">
        <v>7.1</v>
      </c>
      <c r="U9">
        <v>7.1</v>
      </c>
      <c r="V9">
        <v>7.1</v>
      </c>
      <c r="W9">
        <v>7.1</v>
      </c>
      <c r="X9">
        <v>7.1</v>
      </c>
      <c r="Y9">
        <v>7</v>
      </c>
      <c r="Z9">
        <v>7</v>
      </c>
      <c r="AA9">
        <v>6.9</v>
      </c>
      <c r="AB9">
        <v>6.9</v>
      </c>
      <c r="AC9">
        <v>6.9</v>
      </c>
      <c r="AD9">
        <v>6.9</v>
      </c>
      <c r="AE9">
        <v>6.9</v>
      </c>
      <c r="AF9">
        <v>6.9</v>
      </c>
      <c r="AG9">
        <v>6.9</v>
      </c>
      <c r="AH9">
        <v>6.9</v>
      </c>
      <c r="AI9">
        <v>6.9</v>
      </c>
      <c r="AJ9">
        <v>6.9</v>
      </c>
      <c r="AK9">
        <v>6.9</v>
      </c>
      <c r="AL9">
        <v>6.9</v>
      </c>
      <c r="AM9">
        <v>6.9</v>
      </c>
      <c r="AN9">
        <v>6.9</v>
      </c>
      <c r="AO9">
        <v>6.9</v>
      </c>
      <c r="AP9">
        <v>6.9</v>
      </c>
      <c r="AQ9">
        <v>6.9</v>
      </c>
      <c r="AR9">
        <v>6.9</v>
      </c>
      <c r="AS9">
        <v>6.9</v>
      </c>
      <c r="AT9">
        <v>6.9</v>
      </c>
      <c r="AU9">
        <v>6.9</v>
      </c>
      <c r="AV9">
        <v>6.9</v>
      </c>
      <c r="AW9">
        <v>6.9</v>
      </c>
      <c r="AX9">
        <v>6.9</v>
      </c>
      <c r="AY9">
        <v>6.9</v>
      </c>
      <c r="AZ9">
        <v>6.9</v>
      </c>
      <c r="BA9">
        <v>6.9</v>
      </c>
      <c r="BB9">
        <v>6.9</v>
      </c>
    </row>
    <row r="10" spans="1:54" x14ac:dyDescent="0.3">
      <c r="A10" t="s">
        <v>197</v>
      </c>
      <c r="B10" t="s">
        <v>209</v>
      </c>
      <c r="C10">
        <v>2.7200199999999999</v>
      </c>
      <c r="D10">
        <v>3.0212500000000002</v>
      </c>
      <c r="E10">
        <v>3.6476799999999998</v>
      </c>
      <c r="F10">
        <v>4.8134499999999996</v>
      </c>
      <c r="G10">
        <v>5.6708299999999996</v>
      </c>
      <c r="H10">
        <v>7.0090300000000001</v>
      </c>
      <c r="I10">
        <v>8.88537</v>
      </c>
      <c r="J10">
        <v>16.563770000000002</v>
      </c>
      <c r="K10">
        <v>23.74</v>
      </c>
      <c r="L10">
        <v>32.79</v>
      </c>
      <c r="M10">
        <v>39.619999999999997</v>
      </c>
      <c r="N10">
        <v>47.6</v>
      </c>
      <c r="O10">
        <v>55.409447115384616</v>
      </c>
      <c r="P10">
        <v>63.891098926978813</v>
      </c>
      <c r="Q10">
        <v>73.01117457074055</v>
      </c>
      <c r="R10">
        <v>82.512735863185995</v>
      </c>
      <c r="S10">
        <v>92.389995715043852</v>
      </c>
      <c r="T10">
        <v>102.52777739616387</v>
      </c>
      <c r="U10">
        <v>113.02408904883529</v>
      </c>
      <c r="V10">
        <v>124.32649795371884</v>
      </c>
      <c r="W10">
        <v>136.10791371219028</v>
      </c>
      <c r="X10">
        <v>148.35762594628744</v>
      </c>
      <c r="Y10">
        <v>160.9360811222119</v>
      </c>
      <c r="Z10">
        <v>173.81096761198887</v>
      </c>
      <c r="AA10">
        <v>187.715845020948</v>
      </c>
      <c r="AB10">
        <v>202.73311262262388</v>
      </c>
      <c r="AC10">
        <v>218.95176163243377</v>
      </c>
      <c r="AD10">
        <v>236.46790256302847</v>
      </c>
      <c r="AE10">
        <v>255.38533476807078</v>
      </c>
      <c r="AF10">
        <v>275.81616154951644</v>
      </c>
      <c r="AG10">
        <v>297.88145447347779</v>
      </c>
      <c r="AH10">
        <v>321.7119708313561</v>
      </c>
      <c r="AI10">
        <v>347.44892849786459</v>
      </c>
      <c r="AJ10">
        <v>375.2448427776938</v>
      </c>
      <c r="AK10">
        <v>405.26443019990938</v>
      </c>
      <c r="AL10">
        <v>437.68558461590214</v>
      </c>
      <c r="AM10">
        <v>472.70043138517434</v>
      </c>
      <c r="AN10">
        <v>510.51646589598829</v>
      </c>
      <c r="AO10">
        <v>551.35778316766732</v>
      </c>
      <c r="AP10">
        <v>595.4664058210808</v>
      </c>
      <c r="AQ10">
        <v>643.10371828676739</v>
      </c>
      <c r="AR10">
        <v>694.55201574970886</v>
      </c>
      <c r="AS10">
        <v>750.11617700968566</v>
      </c>
      <c r="AT10">
        <v>810.12547117046051</v>
      </c>
      <c r="AU10">
        <v>874.93550886409753</v>
      </c>
      <c r="AV10">
        <v>944.93034957322539</v>
      </c>
      <c r="AW10">
        <v>1020.5247775390834</v>
      </c>
      <c r="AX10">
        <v>1102.1667597422102</v>
      </c>
      <c r="AY10">
        <v>1190.3401005215869</v>
      </c>
      <c r="AZ10">
        <v>1285.5673085633139</v>
      </c>
      <c r="BA10">
        <v>1388.4126932483791</v>
      </c>
      <c r="BB10">
        <v>1499.4857087082496</v>
      </c>
    </row>
    <row r="11" spans="1:54" x14ac:dyDescent="0.3">
      <c r="A11" t="s">
        <v>198</v>
      </c>
      <c r="B11" t="s">
        <v>210</v>
      </c>
      <c r="C11">
        <v>2.9076</v>
      </c>
      <c r="D11">
        <v>3.5318000000000001</v>
      </c>
      <c r="E11">
        <v>3.8104</v>
      </c>
      <c r="F11">
        <v>5.2609000000000004</v>
      </c>
      <c r="G11">
        <v>5.9401999999999999</v>
      </c>
      <c r="H11">
        <v>7.3404999999999996</v>
      </c>
      <c r="I11">
        <v>12.977499999999999</v>
      </c>
      <c r="J11">
        <v>18.6966</v>
      </c>
      <c r="K11">
        <v>29.4</v>
      </c>
      <c r="L11">
        <v>35.222999999999999</v>
      </c>
      <c r="M11">
        <v>44</v>
      </c>
      <c r="N11">
        <v>51.4</v>
      </c>
      <c r="O11">
        <v>59.418894230769233</v>
      </c>
      <c r="P11">
        <v>68.363303623188401</v>
      </c>
      <c r="Q11">
        <v>77.6590455182927</v>
      </c>
      <c r="R11">
        <v>87.366426208079289</v>
      </c>
      <c r="S11">
        <v>97.41356522200843</v>
      </c>
      <c r="T11">
        <v>107.64198957031931</v>
      </c>
      <c r="U11">
        <v>118.40618852735126</v>
      </c>
      <c r="V11">
        <v>130.24680738008641</v>
      </c>
      <c r="W11">
        <v>141.96902004429418</v>
      </c>
      <c r="X11">
        <v>154.74623184828067</v>
      </c>
      <c r="Y11">
        <v>167.12593039614313</v>
      </c>
      <c r="Z11">
        <v>180.49600482783461</v>
      </c>
      <c r="AA11">
        <v>194.93568521406141</v>
      </c>
      <c r="AB11">
        <v>210.53054003118632</v>
      </c>
      <c r="AC11">
        <v>227.37298323368123</v>
      </c>
      <c r="AD11">
        <v>245.56282189237575</v>
      </c>
      <c r="AE11">
        <v>265.20784764376583</v>
      </c>
      <c r="AF11">
        <v>286.4244754552671</v>
      </c>
      <c r="AG11">
        <v>309.33843349168853</v>
      </c>
      <c r="AH11">
        <v>334.08550817102366</v>
      </c>
      <c r="AI11">
        <v>360.81234882470557</v>
      </c>
      <c r="AJ11">
        <v>389.67733673068204</v>
      </c>
      <c r="AK11">
        <v>420.85152366913667</v>
      </c>
      <c r="AL11">
        <v>454.51964556266762</v>
      </c>
      <c r="AM11">
        <v>490.88121720768106</v>
      </c>
      <c r="AN11">
        <v>530.15171458429552</v>
      </c>
      <c r="AO11">
        <v>572.56385175103924</v>
      </c>
      <c r="AP11">
        <v>618.36895989112236</v>
      </c>
      <c r="AQ11">
        <v>667.83847668241231</v>
      </c>
      <c r="AR11">
        <v>721.26555481700541</v>
      </c>
      <c r="AS11">
        <v>778.96679920236591</v>
      </c>
      <c r="AT11">
        <v>841.28414313855524</v>
      </c>
      <c r="AU11">
        <v>908.58687458963971</v>
      </c>
      <c r="AV11">
        <v>981.27382455681095</v>
      </c>
      <c r="AW11">
        <v>1059.7757305213559</v>
      </c>
      <c r="AX11">
        <v>1144.5577889630645</v>
      </c>
      <c r="AY11">
        <v>1236.1224120801096</v>
      </c>
      <c r="AZ11">
        <v>1335.0122050465184</v>
      </c>
      <c r="BA11">
        <v>1441.8131814502399</v>
      </c>
      <c r="BB11">
        <v>1557.1582359662591</v>
      </c>
    </row>
    <row r="12" spans="1:54" x14ac:dyDescent="0.3">
      <c r="A12" t="s">
        <v>199</v>
      </c>
      <c r="B12" t="s">
        <v>211</v>
      </c>
      <c r="C12">
        <v>3.0196999999999998</v>
      </c>
      <c r="D12">
        <v>3.3412999999999999</v>
      </c>
      <c r="E12">
        <v>4.1196000000000002</v>
      </c>
      <c r="F12">
        <v>5.6688000000000001</v>
      </c>
      <c r="G12">
        <v>6.3476999999999997</v>
      </c>
      <c r="H12">
        <v>8.0299999999999994</v>
      </c>
      <c r="I12">
        <v>10.47</v>
      </c>
      <c r="J12">
        <v>17.38</v>
      </c>
      <c r="K12">
        <v>25.68</v>
      </c>
      <c r="L12">
        <v>35.49</v>
      </c>
      <c r="M12">
        <v>43.010000000000005</v>
      </c>
      <c r="N12">
        <v>52.910000000000004</v>
      </c>
      <c r="O12">
        <v>60.356202884615392</v>
      </c>
      <c r="P12">
        <v>68.660570323021176</v>
      </c>
      <c r="Q12">
        <v>77.345366335509453</v>
      </c>
      <c r="R12">
        <v>86.638372656345297</v>
      </c>
      <c r="S12">
        <v>97.009495500796049</v>
      </c>
      <c r="T12">
        <v>107.65416626597207</v>
      </c>
      <c r="U12">
        <v>118.67529350127705</v>
      </c>
      <c r="V12">
        <v>130.54282285140479</v>
      </c>
      <c r="W12">
        <v>142.91330939779982</v>
      </c>
      <c r="X12">
        <v>155.77550724360179</v>
      </c>
      <c r="Y12">
        <v>168.9828851783225</v>
      </c>
      <c r="Z12">
        <v>182.50151599258834</v>
      </c>
      <c r="AA12">
        <v>197.1016372719954</v>
      </c>
      <c r="AB12">
        <v>212.86976825375507</v>
      </c>
      <c r="AC12">
        <v>229.89934971405546</v>
      </c>
      <c r="AD12">
        <v>248.29129769117992</v>
      </c>
      <c r="AE12">
        <v>268.15460150647436</v>
      </c>
      <c r="AF12">
        <v>289.60696962699228</v>
      </c>
      <c r="AG12">
        <v>312.77552719715175</v>
      </c>
      <c r="AH12">
        <v>337.79756937292393</v>
      </c>
      <c r="AI12">
        <v>364.82137492275785</v>
      </c>
      <c r="AJ12">
        <v>394.00708491657849</v>
      </c>
      <c r="AK12">
        <v>425.52765170990483</v>
      </c>
      <c r="AL12">
        <v>459.56986384669727</v>
      </c>
      <c r="AM12">
        <v>496.33545295443309</v>
      </c>
      <c r="AN12">
        <v>536.04228919078776</v>
      </c>
      <c r="AO12">
        <v>578.92567232605074</v>
      </c>
      <c r="AP12">
        <v>625.2397261121348</v>
      </c>
      <c r="AQ12">
        <v>675.25890420110568</v>
      </c>
      <c r="AR12">
        <v>729.27961653719433</v>
      </c>
      <c r="AS12">
        <v>787.62198586016996</v>
      </c>
      <c r="AT12">
        <v>850.63174472898368</v>
      </c>
      <c r="AU12">
        <v>918.68228430730233</v>
      </c>
      <c r="AV12">
        <v>992.17686705188657</v>
      </c>
      <c r="AW12">
        <v>1071.5510164160376</v>
      </c>
      <c r="AX12">
        <v>1157.2750977293208</v>
      </c>
      <c r="AY12">
        <v>1249.8571055476664</v>
      </c>
      <c r="AZ12">
        <v>1349.8456739914798</v>
      </c>
      <c r="BA12">
        <v>1457.8333279107983</v>
      </c>
      <c r="BB12">
        <v>1574.4599941436622</v>
      </c>
    </row>
    <row r="13" spans="1:54" x14ac:dyDescent="0.3">
      <c r="A13" t="s">
        <v>200</v>
      </c>
      <c r="B13" t="s">
        <v>212</v>
      </c>
      <c r="C13">
        <v>3.1776</v>
      </c>
      <c r="D13">
        <v>3.6939000000000002</v>
      </c>
      <c r="E13">
        <v>4.5477999999999996</v>
      </c>
      <c r="F13">
        <v>6.0279999999999996</v>
      </c>
      <c r="G13">
        <v>6.6505999999999998</v>
      </c>
      <c r="H13">
        <v>9.0078999999999994</v>
      </c>
      <c r="I13">
        <v>14.6823</v>
      </c>
      <c r="J13">
        <v>19.881599999999999</v>
      </c>
      <c r="K13">
        <v>32.69</v>
      </c>
      <c r="L13">
        <v>36.74</v>
      </c>
      <c r="M13">
        <v>49.28</v>
      </c>
      <c r="N13">
        <v>56.540000000000006</v>
      </c>
      <c r="O13">
        <v>64.172405769230778</v>
      </c>
      <c r="P13">
        <v>73.148734876811588</v>
      </c>
      <c r="Q13">
        <v>81.541997794207333</v>
      </c>
      <c r="R13">
        <v>91.73474751848326</v>
      </c>
      <c r="S13">
        <v>102.28424348310885</v>
      </c>
      <c r="T13">
        <v>113.02408904883528</v>
      </c>
      <c r="U13">
        <v>124.32649795371883</v>
      </c>
      <c r="V13">
        <v>136.75914774909074</v>
      </c>
      <c r="W13">
        <v>149.0674710465089</v>
      </c>
      <c r="X13">
        <v>162.48354344069472</v>
      </c>
      <c r="Y13">
        <v>175.48222691595029</v>
      </c>
      <c r="Z13">
        <v>189.52080506922636</v>
      </c>
      <c r="AA13">
        <v>204.68246947476447</v>
      </c>
      <c r="AB13">
        <v>221.05706703274564</v>
      </c>
      <c r="AC13">
        <v>238.74163239536529</v>
      </c>
      <c r="AD13">
        <v>257.84096298699455</v>
      </c>
      <c r="AE13">
        <v>278.46824002595412</v>
      </c>
      <c r="AF13">
        <v>300.74569922803045</v>
      </c>
      <c r="AG13">
        <v>324.80535516627299</v>
      </c>
      <c r="AH13">
        <v>350.78978357957487</v>
      </c>
      <c r="AI13">
        <v>378.85296626594084</v>
      </c>
      <c r="AJ13">
        <v>409.16120356721615</v>
      </c>
      <c r="AK13">
        <v>441.89409985259351</v>
      </c>
      <c r="AL13">
        <v>477.24562784080103</v>
      </c>
      <c r="AM13">
        <v>515.42527806806515</v>
      </c>
      <c r="AN13">
        <v>556.65930031351036</v>
      </c>
      <c r="AO13">
        <v>601.19204433859124</v>
      </c>
      <c r="AP13">
        <v>649.28740788567848</v>
      </c>
      <c r="AQ13">
        <v>701.230400516533</v>
      </c>
      <c r="AR13">
        <v>757.32883255785566</v>
      </c>
      <c r="AS13">
        <v>817.91513916248425</v>
      </c>
      <c r="AT13">
        <v>883.34835029548299</v>
      </c>
      <c r="AU13">
        <v>954.01621831912178</v>
      </c>
      <c r="AV13">
        <v>1030.3375157846515</v>
      </c>
      <c r="AW13">
        <v>1112.7645170474236</v>
      </c>
      <c r="AX13">
        <v>1201.7856784112178</v>
      </c>
      <c r="AY13">
        <v>1297.9285326841152</v>
      </c>
      <c r="AZ13">
        <v>1401.7628152988443</v>
      </c>
      <c r="BA13">
        <v>1513.903840522752</v>
      </c>
      <c r="BB13">
        <v>1635.0161477645722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A8662B-198F-441A-94E3-0B06E7C31A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6</vt:i4>
      </vt:variant>
    </vt:vector>
  </HeadingPairs>
  <TitlesOfParts>
    <vt:vector size="6" baseType="lpstr">
      <vt:lpstr>INPUT</vt:lpstr>
      <vt:lpstr>GES</vt:lpstr>
      <vt:lpstr>DATA-&gt;&gt;&gt;</vt:lpstr>
      <vt:lpstr>TEİAŞ</vt:lpstr>
      <vt:lpstr>Water Properties</vt:lpstr>
      <vt:lpstr>Sayfa2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Çağatay Sipahioğlu</dc:creator>
  <cp:lastModifiedBy>Mustafa Çağatay Sipahioğlu</cp:lastModifiedBy>
  <dcterms:created xsi:type="dcterms:W3CDTF">2015-06-05T18:19:34Z</dcterms:created>
  <dcterms:modified xsi:type="dcterms:W3CDTF">2025-11-25T12:42:03Z</dcterms:modified>
</cp:coreProperties>
</file>