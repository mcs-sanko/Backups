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BuÇalışmaKitabı"/>
  <mc:AlternateContent xmlns:mc="http://schemas.openxmlformats.org/markup-compatibility/2006">
    <mc:Choice Requires="x15">
      <x15ac:absPath xmlns:x15ac="http://schemas.microsoft.com/office/spreadsheetml/2010/11/ac" url="C:\Users\cagatay.sipahioglu\Backups\Obsidian Vault\Strategy &amp; Projects\1. Business Development (Strategy)\4. Run a Feasability Analysis\"/>
    </mc:Choice>
  </mc:AlternateContent>
  <xr:revisionPtr revIDLastSave="0" documentId="13_ncr:1_{7039D0F1-9313-4A86-A8D3-558DB3E28D77}" xr6:coauthVersionLast="47" xr6:coauthVersionMax="47" xr10:uidLastSave="{00000000-0000-0000-0000-000000000000}"/>
  <bookViews>
    <workbookView xWindow="28680" yWindow="-120" windowWidth="29040" windowHeight="15720" activeTab="6" xr2:uid="{B4200D8C-E6CF-4715-A999-5355D3EB3C98}"/>
  </bookViews>
  <sheets>
    <sheet name="Fizibilite" sheetId="8" r:id="rId1"/>
    <sheet name="GES" sheetId="14" r:id="rId2"/>
    <sheet name="DATA-&gt;&gt;&gt;" sheetId="15" r:id="rId3"/>
    <sheet name="TEİAŞ" sheetId="16" r:id="rId4"/>
    <sheet name="Water Properties" sheetId="11" r:id="rId5"/>
    <sheet name="Sorgu1" sheetId="17" r:id="rId6"/>
    <sheet name="Macro Data Predictions" sheetId="12" r:id="rId7"/>
  </sheets>
  <definedNames>
    <definedName name="_xleta.DATE" hidden="1" xlm="1">#NAME?</definedName>
    <definedName name="_xleta.EDATE" hidden="1" xlm="1">#NAME?</definedName>
    <definedName name="_xleta.EOMONTH" hidden="1" xlm="1">#NAME?</definedName>
    <definedName name="_xleta.IF" hidden="1" xlm="1">#NAME?</definedName>
    <definedName name="_xleta.SUM" hidden="1" xlm="1">#NAME?</definedName>
    <definedName name="_xleta.T" hidden="1" xlm="1">#NAME?</definedName>
    <definedName name="_xleta.TODAY" hidden="1" xlm="1">#NAME?</definedName>
    <definedName name="_xleta.TRANSPOSE" hidden="1" xlm="1">#NAME?</definedName>
    <definedName name="_xleta.VALUETOTEXT" hidden="1" xlm="1">#NAME?</definedName>
    <definedName name="_xleta.YEAR" hidden="1" xlm="1">#NAME?</definedName>
    <definedName name="_xlpm.a" hidden="1" xlm="1">#NAME?</definedName>
    <definedName name="_xlpm.Aylar" hidden="1" xlm="1">#NAME?</definedName>
    <definedName name="_xlpm.Aylik" hidden="1" xlm="1">#NAME?</definedName>
    <definedName name="_xlpm.Ceyrekler" hidden="1" xlm="1">#NAME?</definedName>
    <definedName name="_xlpm.Ceyreklik" hidden="1" xlm="1">#NAME?</definedName>
    <definedName name="_xlpm.D" hidden="1" xlm="1">#NAME?</definedName>
    <definedName name="_xlpm.De" hidden="1" xlm="1">#NAME?</definedName>
    <definedName name="_xlpm.Değ" hidden="1" xlm="1">#NAME?</definedName>
    <definedName name="_xlpm.Değe" hidden="1" xlm="1">#NAME?</definedName>
    <definedName name="_xlpm.Değer" hidden="1" xlm="1">#NAME?</definedName>
    <definedName name="_xlpm.Değerl" hidden="1" xlm="1">#NAME?</definedName>
    <definedName name="_xlpm.Değerle" hidden="1" xlm="1">#NAME?</definedName>
    <definedName name="_xlpm.Değerler" hidden="1" xlm="1">#NAME?</definedName>
    <definedName name="_xlpm.DeğerlerA" hidden="1" xlm="1">#NAME?</definedName>
    <definedName name="_xlpm.DeğerlerAy" hidden="1" xlm="1">#NAME?</definedName>
    <definedName name="_xlpm.DeğerlerAyl" hidden="1" xlm="1">#NAME?</definedName>
    <definedName name="_xlpm.DeğerlerAylı" hidden="1" xlm="1">#NAME?</definedName>
    <definedName name="_xlpm.DeğerlerAylık" hidden="1" xlm="1">#NAME?</definedName>
    <definedName name="_xlpm.EndIndex" hidden="1" xlm="1">#NAME?</definedName>
    <definedName name="_xlpm.ETRYPredictions" hidden="1" xlm="1">#NAME?</definedName>
    <definedName name="_xlpm.EURTRYPredictions" hidden="1" xlm="1">#NAME?</definedName>
    <definedName name="_xlpm.EUTRYPredictions" hidden="1" xlm="1">#NAME?</definedName>
    <definedName name="_xlpm.KarDizisi" hidden="1" xlm="1">#NAME?</definedName>
    <definedName name="_xlpm.m" hidden="1" xlm="1">#NAME?</definedName>
    <definedName name="_xlpm.Ma" hidden="1" xlm="1">#NAME?</definedName>
    <definedName name="_xlpm.Mac" hidden="1" xlm="1">#NAME?</definedName>
    <definedName name="_xlpm.Macr" hidden="1" xlm="1">#NAME?</definedName>
    <definedName name="_xlpm.Macro" hidden="1" xlm="1">#NAME?</definedName>
    <definedName name="_xlpm.MacroD" hidden="1" xlm="1">#NAME?</definedName>
    <definedName name="_xlpm.MacroDa" hidden="1" xlm="1">#NAME?</definedName>
    <definedName name="_xlpm.MacroDat" hidden="1" xlm="1">#NAME?</definedName>
    <definedName name="_xlpm.MacroData" hidden="1" xlm="1">#NAME?</definedName>
    <definedName name="_xlpm.MacroDataP" hidden="1" xlm="1">#NAME?</definedName>
    <definedName name="_xlpm.MacroDataPr" hidden="1" xlm="1">#NAME?</definedName>
    <definedName name="_xlpm.MacroDataPre" hidden="1" xlm="1">#NAME?</definedName>
    <definedName name="_xlpm.MacroDataPred" hidden="1" xlm="1">#NAME?</definedName>
    <definedName name="_xlpm.MacroDataPredi" hidden="1" xlm="1">#NAME?</definedName>
    <definedName name="_xlpm.MacroDataPredic" hidden="1" xlm="1">#NAME?</definedName>
    <definedName name="_xlpm.MacroDataPredici" hidden="1" xlm="1">#NAME?</definedName>
    <definedName name="_xlpm.MacroDataPredict" hidden="1" xlm="1">#NAME?</definedName>
    <definedName name="_xlpm.MacroDataPredicti" hidden="1" xlm="1">#NAME?</definedName>
    <definedName name="_xlpm.MacroDataPredictio" hidden="1" xlm="1">#NAME?</definedName>
    <definedName name="_xlpm.MacroDataPrediction" hidden="1" xlm="1">#NAME?</definedName>
    <definedName name="_xlpm.MacroDataPredictions" hidden="1" xlm="1">#NAME?</definedName>
    <definedName name="_xlpm.MacroDataPredictionT" hidden="1" xlm="1">#NAME?</definedName>
    <definedName name="_xlpm.MacroDataPredictionTi" hidden="1" xlm="1">#NAME?</definedName>
    <definedName name="_xlpm.MacroDataPredictionTim" hidden="1" xlm="1">#NAME?</definedName>
    <definedName name="_xlpm.MacroDataPredictionTime" hidden="1" xlm="1">#NAME?</definedName>
    <definedName name="_xlpm.MacroDataPredictionTimeR" hidden="1" xlm="1">#NAME?</definedName>
    <definedName name="_xlpm.MacroDataPredictionTimeRu" hidden="1" xlm="1">#NAME?</definedName>
    <definedName name="_xlpm.MacroDataPredictionTimeRul" hidden="1" xlm="1">#NAME?</definedName>
    <definedName name="_xlpm.MacroDataPredictionTimeRule" hidden="1" xlm="1">#NAME?</definedName>
    <definedName name="_xlpm.MacroDataPredictionTimeRuler" hidden="1" xlm="1">#NAME?</definedName>
    <definedName name="_xlpm.Mo" hidden="1" xlm="1">#NAME?</definedName>
    <definedName name="_xlpm.Mon" hidden="1" xlm="1">#NAME?</definedName>
    <definedName name="_xlpm.Mont" hidden="1" xlm="1">#NAME?</definedName>
    <definedName name="_xlpm.Month" hidden="1" xlm="1">#NAME?</definedName>
    <definedName name="_xlpm.Monthl" hidden="1" xlm="1">#NAME?</definedName>
    <definedName name="_xlpm.Monthly" hidden="1" xlm="1">#NAME?</definedName>
    <definedName name="_xlpm.MonthlyProfit" hidden="1" xlm="1">#NAME?</definedName>
    <definedName name="_xlpm.MonthlyV" hidden="1" xlm="1">#NAME?</definedName>
    <definedName name="_xlpm.MonthlyVa" hidden="1" xlm="1">#NAME?</definedName>
    <definedName name="_xlpm.MonthlyVal" hidden="1" xlm="1">#NAME?</definedName>
    <definedName name="_xlpm.MonthlyValu" hidden="1" xlm="1">#NAME?</definedName>
    <definedName name="_xlpm.MonthlyValue" hidden="1" xlm="1">#NAME?</definedName>
    <definedName name="_xlpm.MonthlyValues" hidden="1" xlm="1">#NAME?</definedName>
    <definedName name="_xlpm.Months" hidden="1" xlm="1">#NAME?</definedName>
    <definedName name="_xlpm.onthlyValues" hidden="1" xlm="1">#NAME?</definedName>
    <definedName name="_xlpm.q" hidden="1" xlm="1">#NAME?</definedName>
    <definedName name="_xlpm.Qu" hidden="1" xlm="1">#NAME?</definedName>
    <definedName name="_xlpm.Qua" hidden="1" xlm="1">#NAME?</definedName>
    <definedName name="_xlpm.Quar" hidden="1" xlm="1">#NAME?</definedName>
    <definedName name="_xlpm.Quart" hidden="1" xlm="1">#NAME?</definedName>
    <definedName name="_xlpm.Quarte" hidden="1" xlm="1">#NAME?</definedName>
    <definedName name="_xlpm.Quarter" hidden="1" xlm="1">#NAME?</definedName>
    <definedName name="_xlpm.Quarters" hidden="1" xlm="1">#NAME?</definedName>
    <definedName name="_xlpm.QuartersO" hidden="1" xlm="1">#NAME?</definedName>
    <definedName name="_xlpm.QuartersOf" hidden="1" xlm="1">#NAME?</definedName>
    <definedName name="_xlpm.QuartersOfM" hidden="1" xlm="1">#NAME?</definedName>
    <definedName name="_xlpm.QuartersOfMo" hidden="1" xlm="1">#NAME?</definedName>
    <definedName name="_xlpm.QuartersOfMon" hidden="1" xlm="1">#NAME?</definedName>
    <definedName name="_xlpm.QuartersOfMont" hidden="1" xlm="1">#NAME?</definedName>
    <definedName name="_xlpm.QuartersOfMonth" hidden="1" xlm="1">#NAME?</definedName>
    <definedName name="_xlpm.QuartersOfMonths" hidden="1" xlm="1">#NAME?</definedName>
    <definedName name="_xlpm.Secim" hidden="1" xlm="1">#NAME?</definedName>
    <definedName name="_xlpm.StartIndex" hidden="1" xlm="1">#NAME?</definedName>
    <definedName name="_xlpm.t" hidden="1" xlm="1">#NAME?</definedName>
    <definedName name="_xlpm.Ti" hidden="1" xlm="1">#NAME?</definedName>
    <definedName name="_xlpm.Tim" hidden="1" xlm="1">#NAME?</definedName>
    <definedName name="_xlpm.Time" hidden="1" xlm="1">#NAME?</definedName>
    <definedName name="_xlpm.TimeR" hidden="1" xlm="1">#NAME?</definedName>
    <definedName name="_xlpm.TimeRu" hidden="1" xlm="1">#NAME?</definedName>
    <definedName name="_xlpm.TimeRuı" hidden="1" xlm="1">#NAME?</definedName>
    <definedName name="_xlpm.TimeRul" hidden="1" xlm="1">#NAME?</definedName>
    <definedName name="_xlpm.TimeRule" hidden="1" xlm="1">#NAME?</definedName>
    <definedName name="_xlpm.TimeRuler" hidden="1" xlm="1">#NAME?</definedName>
    <definedName name="_xlpm.TimeRulerC" hidden="1" xlm="1">#NAME?</definedName>
    <definedName name="_xlpm.TimeRulerCh" hidden="1" xlm="1">#NAME?</definedName>
    <definedName name="_xlpm.TimeRulerCho" hidden="1" xlm="1">#NAME?</definedName>
    <definedName name="_xlpm.TimeRulerChoi" hidden="1" xlm="1">#NAME?</definedName>
    <definedName name="_xlpm.TimeRulerChoic" hidden="1" xlm="1">#NAME?</definedName>
    <definedName name="_xlpm.TimeRulerChoice" hidden="1" xlm="1">#NAME?</definedName>
    <definedName name="_xlpm.TimeRulerM" hidden="1" xlm="1">#NAME?</definedName>
    <definedName name="_xlpm.TimeRulerMo" hidden="1" xlm="1">#NAME?</definedName>
    <definedName name="_xlpm.TimeRulerMon" hidden="1" xlm="1">#NAME?</definedName>
    <definedName name="_xlpm.TimeRulerMont" hidden="1" xlm="1">#NAME?</definedName>
    <definedName name="_xlpm.TimeRulerMonth" hidden="1" xlm="1">#NAME?</definedName>
    <definedName name="_xlpm.TimeRulerMonthl" hidden="1" xlm="1">#NAME?</definedName>
    <definedName name="_xlpm.TimeRulerMonthly" hidden="1" xlm="1">#NAME?</definedName>
    <definedName name="_xlpm.TimeRulerQ" hidden="1" xlm="1">#NAME?</definedName>
    <definedName name="_xlpm.TimeRulerQu" hidden="1" xlm="1">#NAME?</definedName>
    <definedName name="_xlpm.TimeRulerQua" hidden="1" xlm="1">#NAME?</definedName>
    <definedName name="_xlpm.TimeRulerQuar" hidden="1" xlm="1">#NAME?</definedName>
    <definedName name="_xlpm.TimeRulerQuart" hidden="1" xlm="1">#NAME?</definedName>
    <definedName name="_xlpm.TimeRulerQuarte" hidden="1" xlm="1">#NAME?</definedName>
    <definedName name="_xlpm.TimeRulerQuarter" hidden="1" xlm="1">#NAME?</definedName>
    <definedName name="_xlpm.TimeRulerQuarterl" hidden="1" xlm="1">#NAME?</definedName>
    <definedName name="_xlpm.TimeRulerQuarterly" hidden="1" xlm="1">#NAME?</definedName>
    <definedName name="_xlpm.TimeRulerY" hidden="1" xlm="1">#NAME?</definedName>
    <definedName name="_xlpm.TimeRulerYe" hidden="1" xlm="1">#NAME?</definedName>
    <definedName name="_xlpm.TimeRulerYea" hidden="1" xlm="1">#NAME?</definedName>
    <definedName name="_xlpm.TimeRulerYear" hidden="1" xlm="1">#NAME?</definedName>
    <definedName name="_xlpm.TimeRulerYearl" hidden="1" xlm="1">#NAME?</definedName>
    <definedName name="_xlpm.TimeRulerYearly" hidden="1" xlm="1">#NAME?</definedName>
    <definedName name="_xlpm.U" hidden="1" xlm="1">#NAME?</definedName>
    <definedName name="_xlpm.US" hidden="1" xlm="1">#NAME?</definedName>
    <definedName name="_xlpm.USD" hidden="1" xlm="1">#NAME?</definedName>
    <definedName name="_xlpm.USDT" hidden="1" xlm="1">#NAME?</definedName>
    <definedName name="_xlpm.USDTR" hidden="1" xlm="1">#NAME?</definedName>
    <definedName name="_xlpm.USDTRY" hidden="1" xlm="1">#NAME?</definedName>
    <definedName name="_xlpm.USDTRYP" hidden="1" xlm="1">#NAME?</definedName>
    <definedName name="_xlpm.USDTRYPR" hidden="1" xlm="1">#NAME?</definedName>
    <definedName name="_xlpm.USDTRYPRe" hidden="1" xlm="1">#NAME?</definedName>
    <definedName name="_xlpm.USDTRYPRed" hidden="1" xlm="1">#NAME?</definedName>
    <definedName name="_xlpm.USDTRYPRedi" hidden="1" xlm="1">#NAME?</definedName>
    <definedName name="_xlpm.USDTRYPredic" hidden="1" xlm="1">#NAME?</definedName>
    <definedName name="_xlpm.USDTRYPredici" hidden="1" xlm="1">#NAME?</definedName>
    <definedName name="_xlpm.USDTRYPredicit" hidden="1" xlm="1">#NAME?</definedName>
    <definedName name="_xlpm.USDTRYPredict" hidden="1" xlm="1">#NAME?</definedName>
    <definedName name="_xlpm.USDTRYPredicti" hidden="1" xlm="1">#NAME?</definedName>
    <definedName name="_xlpm.USDTRYPredictiı" hidden="1" xlm="1">#NAME?</definedName>
    <definedName name="_xlpm.USDTRYPredictiın" hidden="1" xlm="1">#NAME?</definedName>
    <definedName name="_xlpm.USDTRYPredictiıns" hidden="1" xlm="1">#NAME?</definedName>
    <definedName name="_xlpm.USDTRYPredictions" hidden="1" xlm="1">#NAME?</definedName>
    <definedName name="_xlpm.y" hidden="1" xlm="1">#NAME?</definedName>
    <definedName name="_xlpm.Ye" hidden="1" xlm="1">#NAME?</definedName>
    <definedName name="_xlpm.Yea" hidden="1" xlm="1">#NAME?</definedName>
    <definedName name="_xlpm.Year" hidden="1" xlm="1">#NAME?</definedName>
    <definedName name="_xlpm.YearO" hidden="1" xlm="1">#NAME?</definedName>
    <definedName name="_xlpm.YearOf" hidden="1" xlm="1">#NAME?</definedName>
    <definedName name="_xlpm.YearOfM" hidden="1" xlm="1">#NAME?</definedName>
    <definedName name="_xlpm.YearOfMo" hidden="1" xlm="1">#NAME?</definedName>
    <definedName name="_xlpm.YearOfMon" hidden="1" xlm="1">#NAME?</definedName>
    <definedName name="_xlpm.YearOfMont" hidden="1" xlm="1">#NAME?</definedName>
    <definedName name="_xlpm.YearOfMonth" hidden="1" xlm="1">#NAME?</definedName>
    <definedName name="_xlpm.YearOfMonths" hidden="1" xlm="1">#NAME?</definedName>
    <definedName name="_xlpm.Years" hidden="1" xlm="1">#NAME?</definedName>
    <definedName name="_xlpm.YearsI" hidden="1" xlm="1">#NAME?</definedName>
    <definedName name="_xlpm.YearsIf" hidden="1" xlm="1">#NAME?</definedName>
    <definedName name="_xlpm.YearsO" hidden="1" xlm="1">#NAME?</definedName>
    <definedName name="_xlpm.YearsOf" hidden="1" xlm="1">#NAME?</definedName>
    <definedName name="_xlpm.YearsOfM" hidden="1" xlm="1">#NAME?</definedName>
    <definedName name="_xlpm.YearsOfMo" hidden="1" xlm="1">#NAME?</definedName>
    <definedName name="_xlpm.YearsOfMon" hidden="1" xlm="1">#NAME?</definedName>
    <definedName name="_xlpm.YearsOfMont" hidden="1" xlm="1">#NAME?</definedName>
    <definedName name="_xlpm.YearsOfMonth" hidden="1" xlm="1">#NAME?</definedName>
    <definedName name="_xlpm.YearsOfMonths" hidden="1" xlm="1">#NAME?</definedName>
    <definedName name="_xlpm.Yillar" hidden="1" xlm="1">#NAME?</definedName>
    <definedName name="_xlpm.Yillik" hidden="1" xlm="1">#NAME?</definedName>
    <definedName name="DışVeri_1" localSheetId="6" hidden="1">'Macro Data Predictions'!$H$63:$H$65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49" i="12" l="1"/>
  <c r="J75" i="12" l="1"/>
  <c r="K75" i="12" s="1"/>
  <c r="E144" i="8" a="1"/>
  <c r="E144" i="8" s="1"/>
  <c r="E143" i="8" a="1"/>
  <c r="E143" i="8" s="1"/>
  <c r="Q2" i="8" a="1"/>
  <c r="Q2" i="8" s="1"/>
  <c r="B34" i="12"/>
  <c r="B33" i="12" a="1"/>
  <c r="B33" i="12" s="1"/>
  <c r="E106" i="8"/>
  <c r="E105" i="8"/>
  <c r="E103" i="8"/>
  <c r="E104" i="8"/>
  <c r="C1" i="12" a="1"/>
  <c r="B20" i="12"/>
  <c r="B19" i="12" a="1"/>
  <c r="B19" i="12" s="1"/>
  <c r="E9" i="8"/>
  <c r="T19" i="16"/>
  <c r="S19" i="16"/>
  <c r="R19" i="16"/>
  <c r="Q19" i="16"/>
  <c r="P19" i="16"/>
  <c r="O19" i="16"/>
  <c r="N19" i="16"/>
  <c r="M19" i="16"/>
  <c r="T18" i="16"/>
  <c r="S18" i="16"/>
  <c r="R18" i="16"/>
  <c r="Q18" i="16"/>
  <c r="P18" i="16"/>
  <c r="O18" i="16"/>
  <c r="N18" i="16"/>
  <c r="M18" i="16"/>
  <c r="T17" i="16"/>
  <c r="S17" i="16"/>
  <c r="R17" i="16"/>
  <c r="Q17" i="16"/>
  <c r="P17" i="16"/>
  <c r="O17" i="16"/>
  <c r="N17" i="16"/>
  <c r="M17" i="16"/>
  <c r="T16" i="16"/>
  <c r="S16" i="16"/>
  <c r="R16" i="16"/>
  <c r="Q16" i="16"/>
  <c r="P16" i="16"/>
  <c r="O16" i="16"/>
  <c r="N16" i="16"/>
  <c r="M16" i="16"/>
  <c r="T15" i="16"/>
  <c r="S15" i="16"/>
  <c r="R15" i="16"/>
  <c r="Q15" i="16"/>
  <c r="P15" i="16"/>
  <c r="O15" i="16"/>
  <c r="N15" i="16"/>
  <c r="M15" i="16"/>
  <c r="T14" i="16"/>
  <c r="S14" i="16"/>
  <c r="R14" i="16"/>
  <c r="Q14" i="16"/>
  <c r="P14" i="16"/>
  <c r="O14" i="16"/>
  <c r="N14" i="16"/>
  <c r="M14" i="16"/>
  <c r="T13" i="16"/>
  <c r="S13" i="16"/>
  <c r="R13" i="16"/>
  <c r="Q13" i="16"/>
  <c r="P13" i="16"/>
  <c r="O13" i="16"/>
  <c r="N13" i="16"/>
  <c r="M13" i="16"/>
  <c r="T12" i="16"/>
  <c r="S12" i="16"/>
  <c r="R12" i="16"/>
  <c r="Q12" i="16"/>
  <c r="P12" i="16"/>
  <c r="O12" i="16"/>
  <c r="N12" i="16"/>
  <c r="M12" i="16"/>
  <c r="T11" i="16"/>
  <c r="S11" i="16"/>
  <c r="R11" i="16"/>
  <c r="Q11" i="16"/>
  <c r="P11" i="16"/>
  <c r="O11" i="16"/>
  <c r="N11" i="16"/>
  <c r="M11" i="16"/>
  <c r="T10" i="16"/>
  <c r="S10" i="16"/>
  <c r="R10" i="16"/>
  <c r="Q10" i="16"/>
  <c r="P10" i="16"/>
  <c r="O10" i="16"/>
  <c r="N10" i="16"/>
  <c r="M10" i="16"/>
  <c r="T9" i="16"/>
  <c r="S9" i="16"/>
  <c r="R9" i="16"/>
  <c r="Q9" i="16"/>
  <c r="P9" i="16"/>
  <c r="O9" i="16"/>
  <c r="N9" i="16"/>
  <c r="M9" i="16"/>
  <c r="T8" i="16"/>
  <c r="S8" i="16"/>
  <c r="R8" i="16"/>
  <c r="Q8" i="16"/>
  <c r="P8" i="16"/>
  <c r="O8" i="16"/>
  <c r="N8" i="16"/>
  <c r="M8" i="16"/>
  <c r="T7" i="16"/>
  <c r="S7" i="16"/>
  <c r="R7" i="16"/>
  <c r="Q7" i="16"/>
  <c r="P7" i="16"/>
  <c r="O7" i="16"/>
  <c r="N7" i="16"/>
  <c r="M7" i="16"/>
  <c r="T6" i="16"/>
  <c r="S6" i="16"/>
  <c r="R6" i="16"/>
  <c r="Q6" i="16"/>
  <c r="P6" i="16"/>
  <c r="O6" i="16"/>
  <c r="N6" i="16"/>
  <c r="M6" i="16"/>
  <c r="T5" i="16"/>
  <c r="S5" i="16"/>
  <c r="R5" i="16"/>
  <c r="Q5" i="16"/>
  <c r="P5" i="16"/>
  <c r="O5" i="16"/>
  <c r="N5" i="16"/>
  <c r="M5" i="16"/>
  <c r="C1" i="12" l="1"/>
  <c r="B50" i="12"/>
  <c r="B51" i="12" s="1" a="1"/>
  <c r="B35" i="12"/>
  <c r="B36" i="12" s="1" a="1"/>
  <c r="B36" i="12" s="1"/>
  <c r="Q139" i="8" a="1"/>
  <c r="Q139" i="8" s="1"/>
  <c r="B21" i="12"/>
  <c r="B22" i="12" s="1" a="1"/>
  <c r="B22" i="12" s="1"/>
  <c r="E67" i="8"/>
  <c r="E73" i="8" s="1"/>
  <c r="P33" i="8"/>
  <c r="H314" i="8"/>
  <c r="G314" i="8"/>
  <c r="F314" i="8"/>
  <c r="P128" i="14" a="1"/>
  <c r="P128" i="14" s="1"/>
  <c r="B51" i="12" l="1"/>
  <c r="B52" i="12" s="1" a="1"/>
  <c r="B52" i="12" s="1"/>
  <c r="B37" i="12" a="1"/>
  <c r="B37" i="12" s="1"/>
  <c r="B39" i="12" s="1" a="1"/>
  <c r="B39" i="12" s="1"/>
  <c r="B23" i="12" a="1"/>
  <c r="B23" i="12" s="1"/>
  <c r="B26" i="12" a="1"/>
  <c r="B26" i="12" s="1"/>
  <c r="E75" i="14"/>
  <c r="E76" i="14" s="1"/>
  <c r="P231" i="14" a="1"/>
  <c r="P231" i="14" s="1"/>
  <c r="P228" i="14" a="1"/>
  <c r="P228" i="14" s="1"/>
  <c r="E117" i="14"/>
  <c r="E11" i="14"/>
  <c r="N12" i="14" s="1"/>
  <c r="P2" i="14" a="1"/>
  <c r="B53" i="12" l="1" a="1"/>
  <c r="B53" i="12" s="1"/>
  <c r="B40" i="12" a="1"/>
  <c r="B40" i="12" s="1"/>
  <c r="B41" i="12" a="1"/>
  <c r="B41" i="12" s="1"/>
  <c r="B24" i="12" a="1"/>
  <c r="B24" i="12" s="1"/>
  <c r="B38" i="12" a="1"/>
  <c r="B38" i="12" s="1"/>
  <c r="B27" i="12" a="1"/>
  <c r="B27" i="12" s="1"/>
  <c r="E59" i="14"/>
  <c r="P234" i="14" a="1"/>
  <c r="P234" i="14" s="1"/>
  <c r="P2" i="14"/>
  <c r="P26" i="14" s="1" a="1"/>
  <c r="P26" i="14" s="1"/>
  <c r="N13" i="14"/>
  <c r="B42" i="12" l="1" a="1"/>
  <c r="B42" i="12" s="1"/>
  <c r="B43" i="12" a="1"/>
  <c r="B43" i="12" s="1"/>
  <c r="B25" i="12" a="1"/>
  <c r="B25" i="12" s="1"/>
  <c r="P125" i="14" a="1"/>
  <c r="P125" i="14" s="1"/>
  <c r="P119" i="14" a="1"/>
  <c r="P119" i="14" s="1"/>
  <c r="P226" i="14" a="1"/>
  <c r="P226" i="14" s="1"/>
  <c r="P124" i="14" a="1"/>
  <c r="P17" i="14" a="1"/>
  <c r="P17" i="14" s="1"/>
  <c r="P14" i="14" a="1"/>
  <c r="P14" i="14" s="1"/>
  <c r="P25" i="14" a="1"/>
  <c r="P25" i="14" s="1"/>
  <c r="P23" i="14" a="1"/>
  <c r="P23" i="14" s="1"/>
  <c r="P3" i="14" a="1"/>
  <c r="P19" i="14" a="1"/>
  <c r="P19" i="14" s="1"/>
  <c r="P22" i="14" a="1"/>
  <c r="P22" i="14" s="1"/>
  <c r="P15" i="14" a="1"/>
  <c r="P15" i="14" s="1"/>
  <c r="P11" i="14" a="1"/>
  <c r="P11" i="14" s="1"/>
  <c r="P18" i="14" a="1"/>
  <c r="P18" i="14" s="1"/>
  <c r="P24" i="14" a="1"/>
  <c r="P24" i="14" s="1"/>
  <c r="P20" i="14" a="1"/>
  <c r="P20" i="14" s="1"/>
  <c r="P16" i="14" a="1"/>
  <c r="P16" i="14" s="1"/>
  <c r="P6" i="14" a="1"/>
  <c r="P6" i="14" s="1"/>
  <c r="P5" i="14" a="1"/>
  <c r="P5" i="14" s="1"/>
  <c r="P1" i="14" a="1"/>
  <c r="P1" i="14" s="1"/>
  <c r="P21" i="14" a="1"/>
  <c r="P21" i="14" s="1"/>
  <c r="O13" i="14"/>
  <c r="O12" i="14" s="1"/>
  <c r="P12" i="14" s="1" a="1"/>
  <c r="P12" i="14" s="1"/>
  <c r="P13" i="14" a="1"/>
  <c r="P13" i="14" s="1"/>
  <c r="B44" i="12" l="1" a="1"/>
  <c r="Q144" i="8" s="1" a="1"/>
  <c r="Q144" i="8" s="1"/>
  <c r="B29" i="12" a="1"/>
  <c r="B29" i="12" s="1"/>
  <c r="B28" i="12" a="1"/>
  <c r="B28" i="12" s="1"/>
  <c r="P3" i="14"/>
  <c r="P4" i="14" s="1" a="1"/>
  <c r="P4" i="14" s="1"/>
  <c r="P124" i="14"/>
  <c r="P232" i="14" a="1"/>
  <c r="P232" i="14" s="1"/>
  <c r="P127" i="14" a="1"/>
  <c r="B44" i="12" l="1"/>
  <c r="B30" i="12" a="1"/>
  <c r="Q143" i="8" s="1" a="1"/>
  <c r="Q143" i="8" s="1"/>
  <c r="P229" i="14" a="1"/>
  <c r="P229" i="14" s="1"/>
  <c r="P227" i="14" a="1"/>
  <c r="P227" i="14" s="1"/>
  <c r="P127" i="14"/>
  <c r="P129" i="14" s="1" a="1"/>
  <c r="P129" i="14" s="1"/>
  <c r="B30" i="12" l="1"/>
  <c r="P126" i="14" a="1"/>
  <c r="P233" i="14" a="1"/>
  <c r="P233" i="14" s="1"/>
  <c r="P230" i="14" a="1"/>
  <c r="P230" i="14" s="1"/>
  <c r="P243" i="14" l="1" a="1"/>
  <c r="P243" i="14" s="1"/>
  <c r="P126" i="14"/>
  <c r="P130" i="14" s="1" a="1"/>
  <c r="P130" i="14" s="1"/>
  <c r="N130" i="14" s="1"/>
  <c r="N243" i="14" l="1"/>
  <c r="P131" i="14" a="1"/>
  <c r="P131" i="14" s="1"/>
  <c r="N131" i="14" s="1"/>
  <c r="P244" i="14" l="1" a="1"/>
  <c r="P244" i="14" l="1"/>
  <c r="N244" i="14"/>
  <c r="P245" i="14" a="1"/>
  <c r="O11" i="8"/>
  <c r="O10" i="8" l="1"/>
  <c r="P11" i="8"/>
  <c r="P245" i="14"/>
  <c r="N245" i="14"/>
  <c r="O12" i="8" l="1"/>
  <c r="O13" i="8"/>
  <c r="O14" i="8"/>
  <c r="Q281" i="8" a="1"/>
  <c r="Q281" i="8" s="1"/>
  <c r="Q278" i="8" a="1"/>
  <c r="Q278" i="8" s="1"/>
  <c r="P13" i="8" l="1"/>
  <c r="P14" i="8"/>
  <c r="O15" i="8" s="1"/>
  <c r="P12" i="8"/>
  <c r="Q284" i="8" a="1"/>
  <c r="Q284" i="8" s="1"/>
  <c r="O23" i="8" l="1"/>
  <c r="O20" i="8" s="1"/>
  <c r="O21" i="8"/>
  <c r="O24" i="8"/>
  <c r="P15" i="8"/>
  <c r="O16" i="8" s="1"/>
  <c r="E132" i="8"/>
  <c r="P23" i="8" l="1"/>
  <c r="P24" i="8"/>
  <c r="P21" i="8"/>
  <c r="P16" i="8"/>
  <c r="O17" i="8" s="1"/>
  <c r="P17" i="8" l="1"/>
  <c r="O18" i="8" s="1"/>
  <c r="Q276" i="8" a="1"/>
  <c r="Q249" i="8" l="1" a="1"/>
  <c r="Q249" i="8" s="1"/>
  <c r="Q247" i="8" a="1"/>
  <c r="Q247" i="8" s="1"/>
  <c r="Q246" i="8" a="1"/>
  <c r="Q246" i="8" s="1"/>
  <c r="Q244" i="8" a="1"/>
  <c r="Q244" i="8" s="1"/>
  <c r="Q243" i="8" a="1"/>
  <c r="Q243" i="8" s="1"/>
  <c r="Q245" i="8" a="1"/>
  <c r="Q245" i="8" s="1"/>
  <c r="Q242" i="8" a="1"/>
  <c r="Q242" i="8" s="1"/>
  <c r="Q248" i="8" a="1"/>
  <c r="Q248" i="8" s="1"/>
  <c r="Q9" i="8" a="1"/>
  <c r="Q9" i="8" s="1"/>
  <c r="Q3" i="8" a="1"/>
  <c r="Q3" i="8" s="1"/>
  <c r="Q4" i="8" s="1" a="1"/>
  <c r="Q4" i="8" s="1"/>
  <c r="Q14" i="8" a="1"/>
  <c r="Q14" i="8" s="1"/>
  <c r="Q15" i="8" a="1"/>
  <c r="Q15" i="8" s="1"/>
  <c r="Q13" i="8" a="1"/>
  <c r="Q13" i="8" s="1"/>
  <c r="Q23" i="8" a="1"/>
  <c r="Q23" i="8" s="1"/>
  <c r="Q12" i="8" a="1"/>
  <c r="Q12" i="8" s="1"/>
  <c r="Q24" i="8" a="1"/>
  <c r="Q24" i="8" s="1"/>
  <c r="Q21" i="8" a="1"/>
  <c r="Q21" i="8" s="1"/>
  <c r="Q17" i="8" a="1"/>
  <c r="Q17" i="8" s="1"/>
  <c r="Q16" i="8" a="1"/>
  <c r="Q16" i="8" s="1"/>
  <c r="P18" i="8"/>
  <c r="O19" i="8" s="1"/>
  <c r="Q250" i="8" s="1" a="1"/>
  <c r="Q250" i="8" s="1"/>
  <c r="Q11" i="8" a="1"/>
  <c r="Q11" i="8" s="1"/>
  <c r="Q276" i="8"/>
  <c r="Q282" i="8" s="1" a="1"/>
  <c r="Q282" i="8" s="1"/>
  <c r="Q18" i="8" l="1" a="1"/>
  <c r="Q18" i="8" s="1"/>
  <c r="Q19" i="8" a="1"/>
  <c r="Q19" i="8" s="1"/>
  <c r="P19" i="8"/>
  <c r="O25" i="8" s="1"/>
  <c r="Q279" i="8" a="1"/>
  <c r="Q279" i="8" s="1"/>
  <c r="Q277" i="8" a="1"/>
  <c r="Q277" i="8" s="1"/>
  <c r="Q283" i="8" s="1" a="1"/>
  <c r="Q283" i="8" s="1"/>
  <c r="E71" i="8"/>
  <c r="P25" i="8" l="1"/>
  <c r="O27" i="8" s="1"/>
  <c r="Q25" i="8" a="1"/>
  <c r="Q25" i="8" s="1"/>
  <c r="P10" i="8"/>
  <c r="Q10" i="8" s="1" a="1"/>
  <c r="Q10" i="8" s="1"/>
  <c r="O30" i="8"/>
  <c r="Q280" i="8" a="1"/>
  <c r="Q280" i="8" s="1"/>
  <c r="E74" i="8"/>
  <c r="Q30" i="8" l="1" a="1"/>
  <c r="Q30" i="8" s="1"/>
  <c r="P26" i="8"/>
  <c r="O26" i="8"/>
  <c r="P27" i="8"/>
  <c r="Q27" i="8" s="1" a="1"/>
  <c r="Q27" i="8" s="1"/>
  <c r="O31" i="8"/>
  <c r="P30" i="8"/>
  <c r="Q354" i="8" a="1"/>
  <c r="Q354" i="8" s="1"/>
  <c r="Q1" i="8" a="1"/>
  <c r="Q26" i="8" l="1" a="1"/>
  <c r="Q26" i="8" s="1"/>
  <c r="O29" i="8"/>
  <c r="O28" i="8"/>
  <c r="P22" i="8"/>
  <c r="O22" i="8"/>
  <c r="Q22" i="8" s="1" a="1"/>
  <c r="Q22" i="8" s="1"/>
  <c r="O32" i="8"/>
  <c r="Q1" i="8"/>
  <c r="Q156" i="8" s="1" a="1"/>
  <c r="Q156" i="8" s="1"/>
  <c r="Q154" i="8" a="1"/>
  <c r="Q154" i="8" s="1"/>
  <c r="P28" i="8" l="1"/>
  <c r="Q28" i="8" s="1" a="1"/>
  <c r="Q28" i="8" s="1"/>
  <c r="P29" i="8"/>
  <c r="Q29" i="8" s="1" a="1"/>
  <c r="Q29" i="8" s="1"/>
  <c r="P32" i="8"/>
  <c r="Q32" i="8" s="1" a="1"/>
  <c r="Q32" i="8" s="1"/>
  <c r="O33" i="8"/>
  <c r="Q33" i="8" a="1"/>
  <c r="Q345" i="8" a="1"/>
  <c r="Q345" i="8" s="1"/>
  <c r="Q152" i="8" a="1"/>
  <c r="Q152" i="8" s="1"/>
  <c r="Q158" i="8" a="1"/>
  <c r="Q158" i="8" s="1"/>
  <c r="Q159" i="8" s="1" a="1"/>
  <c r="Q159" i="8" s="1"/>
  <c r="Q344" i="8" a="1"/>
  <c r="Q344" i="8" s="1"/>
  <c r="Q157" i="8" a="1"/>
  <c r="Q157" i="8" s="1"/>
  <c r="Q347" i="8" a="1"/>
  <c r="Q347" i="8" s="1"/>
  <c r="Q394" i="8" a="1"/>
  <c r="Q394" i="8" s="1"/>
  <c r="Q33" i="8" l="1"/>
  <c r="Q151" i="8" s="1" a="1"/>
  <c r="Q151" i="8" s="1"/>
  <c r="P31" i="8"/>
  <c r="Q31" i="8" s="1" a="1"/>
  <c r="Q31" i="8" s="1"/>
  <c r="P20" i="8"/>
  <c r="Q20" i="8" s="1" a="1"/>
  <c r="Q20" i="8" s="1"/>
  <c r="Q160" i="8" a="1"/>
  <c r="Q160" i="8" s="1"/>
  <c r="Q342" i="8" a="1"/>
  <c r="Q342" i="8" s="1"/>
  <c r="Q343" i="8" s="1" a="1"/>
  <c r="Q343" i="8" s="1"/>
  <c r="Q346" i="8" s="1" a="1"/>
  <c r="Q346" i="8" s="1"/>
  <c r="Q348" i="8" s="1" a="1"/>
  <c r="Q395" i="8" a="1"/>
  <c r="Q395" i="8" s="1"/>
  <c r="Q362" i="8" a="1"/>
  <c r="Q362" i="8" s="1"/>
  <c r="Q349" i="8" a="1"/>
  <c r="Q349" i="8" s="1"/>
  <c r="Q348" i="8" l="1"/>
  <c r="Q350" i="8" s="1" a="1"/>
  <c r="Q350" i="8" l="1"/>
  <c r="E372" i="8" l="1"/>
  <c r="E354" i="8"/>
  <c r="E355" i="8" s="1"/>
  <c r="E381" i="8"/>
  <c r="Q351" i="8" s="1" a="1"/>
  <c r="Q351" i="8" s="1"/>
  <c r="E366" i="8"/>
  <c r="E356" i="8" l="1"/>
  <c r="Q352" i="8" a="1"/>
  <c r="Q352" i="8" s="1"/>
  <c r="Q155" i="8" l="1" a="1"/>
  <c r="Q155" i="8" l="1"/>
  <c r="Q161" i="8" s="1" a="1"/>
  <c r="Q161" i="8" s="1"/>
  <c r="O161" i="8" l="1"/>
  <c r="Q162" i="8" a="1"/>
  <c r="Q162" i="8" l="1"/>
  <c r="O162" i="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Mustafa Çağatay Sipahioğlu</author>
  </authors>
  <commentList>
    <comment ref="F5" authorId="0" shapeId="0" xr:uid="{62EBCEC0-B268-4BE8-9762-02C3C4ED3EAB}">
      <text>
        <r>
          <rPr>
            <b/>
            <sz val="9"/>
            <color indexed="81"/>
            <rFont val="Tahoma"/>
            <family val="2"/>
            <charset val="162"/>
          </rPr>
          <t>Son Güncelleme Tarihi:</t>
        </r>
        <r>
          <rPr>
            <sz val="9"/>
            <color indexed="81"/>
            <rFont val="Tahoma"/>
            <family val="2"/>
            <charset val="162"/>
          </rPr>
          <t xml:space="preserve"> DD-AA-YY.</t>
        </r>
        <r>
          <rPr>
            <b/>
            <sz val="9"/>
            <color indexed="81"/>
            <rFont val="Tahoma"/>
            <family val="2"/>
            <charset val="162"/>
          </rPr>
          <t xml:space="preserve">
Notlar:</t>
        </r>
        <r>
          <rPr>
            <sz val="9"/>
            <color indexed="81"/>
            <rFont val="Tahoma"/>
            <family val="2"/>
            <charset val="162"/>
          </rPr>
          <t xml:space="preserve"> Not...
</t>
        </r>
      </text>
    </comment>
    <comment ref="D32" authorId="0" shapeId="0" xr:uid="{703BE84E-5C8D-4011-A52E-2C88CBD725B0}">
      <text>
        <r>
          <rPr>
            <b/>
            <sz val="9"/>
            <color indexed="81"/>
            <rFont val="Tahoma"/>
            <family val="2"/>
            <charset val="162"/>
          </rPr>
          <t>Mustafa Çağatay Sipahioğlu:</t>
        </r>
        <r>
          <rPr>
            <sz val="9"/>
            <color indexed="81"/>
            <rFont val="Tahoma"/>
            <family val="2"/>
            <charset val="162"/>
          </rPr>
          <t xml:space="preserve">
Takımlar offset çalıştığı için aynı anda türbinler birer aşama offsetle monte ediliyor/devre alınıyor. Üretim bandı mantığıyla işliyor, ilk türbin bittiğinde ikincinin bitmesine bu kadar gün kalmış oluyor.</t>
        </r>
      </text>
    </comment>
    <comment ref="Q33" authorId="0" shapeId="0" xr:uid="{C28C5540-FA23-4622-AB74-E663BC7F7AD5}">
      <text>
        <r>
          <rPr>
            <b/>
            <sz val="9"/>
            <color indexed="81"/>
            <rFont val="Tahoma"/>
            <family val="2"/>
            <charset val="162"/>
          </rPr>
          <t>Mustafa Çağatay Sipahioğlu:</t>
        </r>
        <r>
          <rPr>
            <sz val="9"/>
            <color indexed="81"/>
            <rFont val="Tahoma"/>
            <family val="2"/>
            <charset val="162"/>
          </rPr>
          <t xml:space="preserve">
Bu formül her türbinin devreye giriş tarihini hesaplayarak her ay kaç tane türbinin devreye girmiş olduğu toplamını bulur.</t>
        </r>
      </text>
    </comment>
    <comment ref="E37" authorId="0" shapeId="0" xr:uid="{CCC15240-A6E1-4492-BE7B-DD72CCF6E3F4}">
      <text>
        <r>
          <rPr>
            <b/>
            <sz val="9"/>
            <color indexed="81"/>
            <rFont val="Tahoma"/>
            <family val="2"/>
            <charset val="162"/>
          </rPr>
          <t>Mustafa Çağatay Sipahioğlu:</t>
        </r>
        <r>
          <rPr>
            <sz val="9"/>
            <color indexed="81"/>
            <rFont val="Tahoma"/>
            <family val="2"/>
            <charset val="162"/>
          </rPr>
          <t xml:space="preserve">
Conservative assumption</t>
        </r>
      </text>
    </comment>
    <comment ref="C47" authorId="0" shapeId="0" xr:uid="{F8F95B8F-3904-437F-987D-1DB933B04382}">
      <text>
        <r>
          <rPr>
            <b/>
            <sz val="9"/>
            <color indexed="81"/>
            <rFont val="Tahoma"/>
            <family val="2"/>
            <charset val="162"/>
          </rPr>
          <t>Mustafa Çağatay Sipahioğlu:</t>
        </r>
        <r>
          <rPr>
            <sz val="9"/>
            <color indexed="81"/>
            <rFont val="Tahoma"/>
            <family val="2"/>
            <charset val="162"/>
          </rPr>
          <t xml:space="preserve">
Engineering, Procurement and Construction</t>
        </r>
      </text>
    </comment>
    <comment ref="D63" authorId="0" shapeId="0" xr:uid="{3707AC2F-E2B2-4D55-9D84-A065348D7B1A}">
      <text>
        <r>
          <rPr>
            <b/>
            <sz val="9"/>
            <color indexed="81"/>
            <rFont val="Tahoma"/>
            <family val="2"/>
            <charset val="162"/>
          </rPr>
          <t>Mustafa Çağatay Sipahioğlu:</t>
        </r>
        <r>
          <rPr>
            <sz val="9"/>
            <color indexed="81"/>
            <rFont val="Tahoma"/>
            <family val="2"/>
            <charset val="162"/>
          </rPr>
          <t xml:space="preserve">
Santralin rotorda ürettiği güç. Bu mekanik güç jeneratöre aktarılarak elektriğe dönüşütürlmelidir.</t>
        </r>
      </text>
    </comment>
    <comment ref="D64" authorId="0" shapeId="0" xr:uid="{8DEAE46F-6949-4D1E-BAA0-575A2E63D566}">
      <text>
        <r>
          <rPr>
            <b/>
            <sz val="9"/>
            <color indexed="81"/>
            <rFont val="Tahoma"/>
            <family val="2"/>
            <charset val="162"/>
          </rPr>
          <t>Mustafa Çağatay Sipahioğlu:</t>
        </r>
        <r>
          <rPr>
            <sz val="9"/>
            <color indexed="81"/>
            <rFont val="Tahoma"/>
            <family val="2"/>
            <charset val="162"/>
          </rPr>
          <t xml:space="preserve">
Mekanik gücün jeneratörde elektriğe dönüştürülmesi sonucu santralden çıkan net elektrik gücü.</t>
        </r>
      </text>
    </comment>
    <comment ref="D69" authorId="0" shapeId="0" xr:uid="{B0E1AB11-6D79-4436-8F1D-0AE58CAB9EB3}">
      <text>
        <r>
          <rPr>
            <b/>
            <sz val="9"/>
            <color indexed="81"/>
            <rFont val="Tahoma"/>
            <family val="2"/>
            <charset val="162"/>
          </rPr>
          <t>Mustafa Çağatay Sipahioğlu:</t>
        </r>
        <r>
          <rPr>
            <sz val="9"/>
            <color indexed="81"/>
            <rFont val="Tahoma"/>
            <family val="2"/>
            <charset val="162"/>
          </rPr>
          <t xml:space="preserve">
Yıldaki 8760 saatin % kaçında çalışmış. Simülasyonlarda %50 ihtimalle tutturacağı raqkam P50.</t>
        </r>
      </text>
    </comment>
    <comment ref="E92" authorId="0" shapeId="0" xr:uid="{EDF8F879-CCF4-43AC-AFF0-4574DC2DDA50}">
      <text>
        <r>
          <rPr>
            <b/>
            <sz val="9"/>
            <color indexed="81"/>
            <rFont val="Tahoma"/>
            <family val="2"/>
            <charset val="162"/>
          </rPr>
          <t>Mustafa Çağatay Sipahioğlu:</t>
        </r>
        <r>
          <rPr>
            <sz val="9"/>
            <color indexed="81"/>
            <rFont val="Tahoma"/>
            <family val="2"/>
            <charset val="162"/>
          </rPr>
          <t xml:space="preserve">
https://ipg.invest.gov.tr/tr/tables/62a0417510c731b10b252a34/</t>
        </r>
      </text>
    </comment>
    <comment ref="M148" authorId="0" shapeId="0" xr:uid="{6C5AB7E1-19E5-4CFE-AF9E-2096B6FB4338}">
      <text>
        <r>
          <rPr>
            <b/>
            <sz val="9"/>
            <color indexed="81"/>
            <rFont val="Tahoma"/>
            <family val="2"/>
            <charset val="162"/>
          </rPr>
          <t>Mustafa Çağatay Sipahioğlu:</t>
        </r>
        <r>
          <rPr>
            <sz val="9"/>
            <color indexed="81"/>
            <rFont val="Tahoma"/>
            <family val="2"/>
            <charset val="162"/>
          </rPr>
          <t xml:space="preserve">
Income statement, mostly used in accounting or banking can be considered half a statement. That is because you can't gauge how much the porject is going to cost to you by looking at the income statement (it doesn't contain capex, debt or equity distributions) In order to look at the whole picture you need to look at the cash flow statement. The cash flow statement contains the everything calculated in the income statement in its first operating cash flow calculations. Hence we give the income statement as is and just pick up where it leaves off with the cash flow statement.</t>
        </r>
      </text>
    </comment>
    <comment ref="N176" authorId="0" shapeId="0" xr:uid="{03F047A5-85C5-4100-92F3-C32BC9D0CEAF}">
      <text>
        <r>
          <rPr>
            <b/>
            <sz val="9"/>
            <color indexed="81"/>
            <rFont val="Tahoma"/>
            <family val="2"/>
            <charset val="162"/>
          </rPr>
          <t>Mustafa Çağatay Sipahioğlu:</t>
        </r>
        <r>
          <rPr>
            <sz val="9"/>
            <color indexed="81"/>
            <rFont val="Tahoma"/>
            <family val="2"/>
            <charset val="162"/>
          </rPr>
          <t xml:space="preserve">
Costs directly correlated to produce each MWh. If any of these costs were not incurred we wouldn't be able to produce electricity as a direct result of it.</t>
        </r>
      </text>
    </comment>
    <comment ref="N203" authorId="0" shapeId="0" xr:uid="{67BC04DD-2485-4486-8E34-47928A30E338}">
      <text>
        <r>
          <rPr>
            <b/>
            <sz val="9"/>
            <color indexed="81"/>
            <rFont val="Tahoma"/>
            <family val="2"/>
            <charset val="162"/>
          </rPr>
          <t>Mustafa Çağatay Sipahioğlu:</t>
        </r>
        <r>
          <rPr>
            <sz val="9"/>
            <color indexed="81"/>
            <rFont val="Tahoma"/>
            <family val="2"/>
            <charset val="162"/>
          </rPr>
          <t xml:space="preserve">
This is not what we earn or spend in the end! Net Income is something terminologic, it refers to the bottom line of the income statement something used for accounting and financing purposes. It is Revenue - OPEX - Amortization - Tax. Note that it deducts amortization something that is not real (cash). And also note that it does not contain debt principal repayments or even CAPEX! </t>
        </r>
      </text>
    </comment>
    <comment ref="N212" authorId="0" shapeId="0" xr:uid="{EE229409-2993-43B5-9F4B-587574661BE1}">
      <text>
        <r>
          <rPr>
            <b/>
            <sz val="9"/>
            <color indexed="81"/>
            <rFont val="Tahoma"/>
            <family val="2"/>
            <charset val="162"/>
          </rPr>
          <t>Mustafa Çağatay Sipahioğlu:</t>
        </r>
        <r>
          <rPr>
            <sz val="9"/>
            <color indexed="81"/>
            <rFont val="Tahoma"/>
            <family val="2"/>
            <charset val="162"/>
          </rPr>
          <t xml:space="preserve">
Inventory is cash parked in goods. Because they are not long-term they are noty considered CAPEX, they are current assets and are handled here.</t>
        </r>
      </text>
    </comment>
    <comment ref="N213" authorId="0" shapeId="0" xr:uid="{DDEACCE8-9A7E-4621-B669-21A91773693F}">
      <text>
        <r>
          <rPr>
            <b/>
            <sz val="9"/>
            <color indexed="81"/>
            <rFont val="Tahoma"/>
            <family val="2"/>
            <charset val="162"/>
          </rPr>
          <t>Mustafa Çağatay Sipahioğlu:</t>
        </r>
        <r>
          <rPr>
            <sz val="9"/>
            <color indexed="81"/>
            <rFont val="Tahoma"/>
            <family val="2"/>
            <charset val="162"/>
          </rPr>
          <t xml:space="preserve">
We assumed that we gained the cash when we made the revenue. But if we have only billed them and not received the cash yet we have receivables. We must deduct the receivables we have to get our cash amount.</t>
        </r>
      </text>
    </comment>
    <comment ref="N214" authorId="0" shapeId="0" xr:uid="{7DE2F48B-5FF2-4660-8E65-74CA6AE8BBF9}">
      <text>
        <r>
          <rPr>
            <b/>
            <sz val="9"/>
            <color indexed="81"/>
            <rFont val="Tahoma"/>
            <family val="2"/>
            <charset val="162"/>
          </rPr>
          <t>Mustafa Çağatay Sipahioğlu:</t>
        </r>
        <r>
          <rPr>
            <sz val="9"/>
            <color indexed="81"/>
            <rFont val="Tahoma"/>
            <family val="2"/>
            <charset val="162"/>
          </rPr>
          <t xml:space="preserve">
We assumed that we payed our expenses in OPEX. But if we have agreed to pay later we have swome payables. That means the cash has not exited the SPV yet so we add our payables to our cash.</t>
        </r>
      </text>
    </comment>
    <comment ref="N217" authorId="0" shapeId="0" xr:uid="{81A8949A-B76D-4513-8623-6266C8190C44}">
      <text>
        <r>
          <rPr>
            <b/>
            <sz val="9"/>
            <color indexed="81"/>
            <rFont val="Tahoma"/>
            <family val="2"/>
            <charset val="162"/>
          </rPr>
          <t>Mustafa Çağatay Sipahioğlu:</t>
        </r>
        <r>
          <rPr>
            <sz val="9"/>
            <color indexed="81"/>
            <rFont val="Tahoma"/>
            <family val="2"/>
            <charset val="162"/>
          </rPr>
          <t xml:space="preserve">
Repairs. Since they usually can't be foreseen, assume a % of CAPEX every year.</t>
        </r>
      </text>
    </comment>
    <comment ref="N267" authorId="0" shapeId="0" xr:uid="{69A20CD5-5C2E-48D3-AC73-D7F3581E87B0}">
      <text>
        <r>
          <rPr>
            <b/>
            <sz val="9"/>
            <color indexed="81"/>
            <rFont val="Tahoma"/>
            <family val="2"/>
            <charset val="162"/>
          </rPr>
          <t>Mustafa Çağatay Sipahioğlu:</t>
        </r>
        <r>
          <rPr>
            <sz val="9"/>
            <color indexed="81"/>
            <rFont val="Tahoma"/>
            <family val="2"/>
            <charset val="162"/>
          </rPr>
          <t xml:space="preserve">
Project cashflow doesnt care about financing or equity it cares about operating cashflow and capexs</t>
        </r>
      </text>
    </comment>
    <comment ref="N268" authorId="0" shapeId="0" xr:uid="{7F5EE148-A0AC-4C66-BB14-93A9AE29805F}">
      <text>
        <r>
          <rPr>
            <b/>
            <sz val="9"/>
            <color indexed="81"/>
            <rFont val="Tahoma"/>
            <family val="2"/>
            <charset val="162"/>
          </rPr>
          <t>Mustafa Çağatay Sipahioğlu:</t>
        </r>
        <r>
          <rPr>
            <sz val="9"/>
            <color indexed="81"/>
            <rFont val="Tahoma"/>
            <family val="2"/>
            <charset val="162"/>
          </rPr>
          <t xml:space="preserve">
Project's total value in today's money. Doesn't include financing, value of the operations.</t>
        </r>
      </text>
    </comment>
    <comment ref="N269" authorId="0" shapeId="0" xr:uid="{59802E6E-DD97-41D8-8AEA-A0F4461BC1F2}">
      <text>
        <r>
          <rPr>
            <b/>
            <sz val="9"/>
            <color indexed="81"/>
            <rFont val="Tahoma"/>
            <family val="2"/>
            <charset val="162"/>
          </rPr>
          <t>Mustafa Çağatay Sipahioğlu:</t>
        </r>
        <r>
          <rPr>
            <sz val="9"/>
            <color indexed="81"/>
            <rFont val="Tahoma"/>
            <family val="2"/>
            <charset val="162"/>
          </rPr>
          <t xml:space="preserve">
Intrinsic project profitability, independent of how it was financed, not levered.</t>
        </r>
      </text>
    </comment>
    <comment ref="N272" authorId="0" shapeId="0" xr:uid="{E4F421DD-ECC6-4E68-8BB7-611B5D91DF06}">
      <text>
        <r>
          <rPr>
            <b/>
            <sz val="9"/>
            <color indexed="81"/>
            <rFont val="Tahoma"/>
            <family val="2"/>
            <charset val="162"/>
          </rPr>
          <t>Mustafa Çağatay Sipahioğlu:</t>
        </r>
        <r>
          <rPr>
            <sz val="9"/>
            <color indexed="81"/>
            <rFont val="Tahoma"/>
            <family val="2"/>
            <charset val="162"/>
          </rPr>
          <t xml:space="preserve">
The total value the project combiined with the financing offers to the equity holders in today's money.</t>
        </r>
      </text>
    </comment>
    <comment ref="N273" authorId="0" shapeId="0" xr:uid="{5F074655-D340-41A8-B2CE-A5AF69BFF524}">
      <text>
        <r>
          <rPr>
            <b/>
            <sz val="9"/>
            <color indexed="81"/>
            <rFont val="Tahoma"/>
            <family val="2"/>
            <charset val="162"/>
          </rPr>
          <t>Mustafa Çağatay Sipahioğlu:</t>
        </r>
        <r>
          <rPr>
            <sz val="9"/>
            <color indexed="81"/>
            <rFont val="Tahoma"/>
            <family val="2"/>
            <charset val="162"/>
          </rPr>
          <t xml:space="preserve">
Profitability the project offers to the equity holders. Includes financing, levered.</t>
        </r>
      </text>
    </comment>
    <comment ref="N306" authorId="0" shapeId="0" xr:uid="{6EDBAEE3-D56C-49C7-83D9-5BBA3FFA7233}">
      <text>
        <r>
          <rPr>
            <b/>
            <sz val="9"/>
            <color indexed="81"/>
            <rFont val="Tahoma"/>
            <family val="2"/>
            <charset val="162"/>
          </rPr>
          <t>Mustafa Çağatay Sipahioğlu:</t>
        </r>
        <r>
          <rPr>
            <sz val="9"/>
            <color indexed="81"/>
            <rFont val="Tahoma"/>
            <family val="2"/>
            <charset val="162"/>
          </rPr>
          <t xml:space="preserve">
Finansman bağımsız projenin karlılık ölçütü.</t>
        </r>
      </text>
    </comment>
    <comment ref="N308" authorId="0" shapeId="0" xr:uid="{B429D939-E2AE-4D8F-8DA6-257BE4A6BADE}">
      <text>
        <r>
          <rPr>
            <b/>
            <sz val="9"/>
            <color indexed="81"/>
            <rFont val="Tahoma"/>
            <family val="2"/>
            <charset val="162"/>
          </rPr>
          <t>Mustafa Çağatay Sipahioğlu:</t>
        </r>
        <r>
          <rPr>
            <sz val="9"/>
            <color indexed="81"/>
            <rFont val="Tahoma"/>
            <family val="2"/>
            <charset val="162"/>
          </rPr>
          <t xml:space="preserve">
Finansman yükü ile birlikte projenin karlılık ölçütü.</t>
        </r>
      </text>
    </comment>
    <comment ref="N363" authorId="0" shapeId="0" xr:uid="{7FA36763-1330-4289-A26C-32C92BB7892C}">
      <text>
        <r>
          <rPr>
            <b/>
            <sz val="9"/>
            <color indexed="81"/>
            <rFont val="Tahoma"/>
            <family val="2"/>
            <charset val="162"/>
          </rPr>
          <t>Mustafa Çağatay Sipahioğlu:</t>
        </r>
        <r>
          <rPr>
            <sz val="9"/>
            <color indexed="81"/>
            <rFont val="Tahoma"/>
            <family val="2"/>
            <charset val="162"/>
          </rPr>
          <t xml:space="preserve">
The reservoir contains saturated liquid &amp; vapor</t>
        </r>
      </text>
    </comment>
    <comment ref="D364" authorId="0" shapeId="0" xr:uid="{663E326E-57E8-4947-A4E7-2108D7E08FED}">
      <text>
        <r>
          <rPr>
            <b/>
            <sz val="9"/>
            <color indexed="81"/>
            <rFont val="Tahoma"/>
            <family val="2"/>
            <charset val="162"/>
          </rPr>
          <t>Mustafa Çağatay Sipahioğlu:</t>
        </r>
        <r>
          <rPr>
            <sz val="9"/>
            <color indexed="81"/>
            <rFont val="Tahoma"/>
            <family val="2"/>
            <charset val="162"/>
          </rPr>
          <t xml:space="preserve">
Üretim kuyusunun debisi</t>
        </r>
      </text>
    </comment>
    <comment ref="N364" authorId="0" shapeId="0" xr:uid="{BD6D3277-5163-4578-9F05-2A8EA63CB941}">
      <text>
        <r>
          <rPr>
            <b/>
            <sz val="9"/>
            <color indexed="81"/>
            <rFont val="Tahoma"/>
            <family val="2"/>
            <charset val="162"/>
          </rPr>
          <t>Mustafa Çağatay Sipahioğlu:</t>
        </r>
        <r>
          <rPr>
            <sz val="9"/>
            <color indexed="81"/>
            <rFont val="Tahoma"/>
            <family val="2"/>
            <charset val="162"/>
          </rPr>
          <t xml:space="preserve">
The hot reservoir water flashes upon extraction into sat. Liq and sat. Vapor. It's temperature will change to the saturation temperature found at the wellhead pressure. Hence the enthalpy values should be looked up from the pressure table for saturated liquids.</t>
        </r>
      </text>
    </comment>
    <comment ref="D366" authorId="0" shapeId="0" xr:uid="{E4728856-B271-4A9B-BB46-7751C902B0E9}">
      <text>
        <r>
          <rPr>
            <b/>
            <sz val="9"/>
            <color indexed="81"/>
            <rFont val="Tahoma"/>
            <family val="2"/>
            <charset val="162"/>
          </rPr>
          <t>Mustafa Çağatay Sipahioğlu:</t>
        </r>
        <r>
          <rPr>
            <sz val="9"/>
            <color indexed="81"/>
            <rFont val="Tahoma"/>
            <family val="2"/>
            <charset val="162"/>
          </rPr>
          <t xml:space="preserve">
Sondja ile çıkarılan sıcak sıvı kullanıldıktan sonra geri reservuara enjekte edilir ve reservuarın sürdürülebilirliği sağlanır.</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Mustafa Çağatay Sipahioğlu</author>
  </authors>
  <commentList>
    <comment ref="F7" authorId="0" shapeId="0" xr:uid="{E2170923-F5AD-4119-99D7-13D470C9F023}">
      <text>
        <r>
          <rPr>
            <b/>
            <sz val="9"/>
            <color indexed="81"/>
            <rFont val="Tahoma"/>
            <family val="2"/>
            <charset val="162"/>
          </rPr>
          <t>Son Güncelleme Tarihi:</t>
        </r>
        <r>
          <rPr>
            <sz val="9"/>
            <color indexed="81"/>
            <rFont val="Tahoma"/>
            <family val="2"/>
            <charset val="162"/>
          </rPr>
          <t xml:space="preserve"> DD-AA-YY.</t>
        </r>
        <r>
          <rPr>
            <b/>
            <sz val="9"/>
            <color indexed="81"/>
            <rFont val="Tahoma"/>
            <family val="2"/>
            <charset val="162"/>
          </rPr>
          <t xml:space="preserve">
Notlar:</t>
        </r>
        <r>
          <rPr>
            <sz val="9"/>
            <color indexed="81"/>
            <rFont val="Tahoma"/>
            <family val="2"/>
            <charset val="162"/>
          </rPr>
          <t xml:space="preserve"> Not...
</t>
        </r>
      </text>
    </comment>
    <comment ref="D25" authorId="0" shapeId="0" xr:uid="{7F9E7716-FEA7-4616-8610-29B56D3E9435}">
      <text>
        <r>
          <rPr>
            <b/>
            <sz val="9"/>
            <color indexed="81"/>
            <rFont val="Tahoma"/>
            <family val="2"/>
            <charset val="162"/>
          </rPr>
          <t>Mustafa Çağatay Sipahioğlu:</t>
        </r>
        <r>
          <rPr>
            <sz val="9"/>
            <color indexed="81"/>
            <rFont val="Tahoma"/>
            <family val="2"/>
            <charset val="162"/>
          </rPr>
          <t xml:space="preserve">
Takımlar offset çalıştığı için aynı anda türbinler birer aşama offsetle monte ediliyor/devre alınıyor. Üretim bandı mantığıyla işliyor, ilk türbin bittiğinde ikincinin bitmesine bu kadar gün kalmış oluyor.</t>
        </r>
      </text>
    </comment>
    <comment ref="C36" authorId="0" shapeId="0" xr:uid="{44C70C14-984C-4179-A224-6CE0829A4CDA}">
      <text>
        <r>
          <rPr>
            <b/>
            <sz val="9"/>
            <color indexed="81"/>
            <rFont val="Tahoma"/>
            <family val="2"/>
            <charset val="162"/>
          </rPr>
          <t>Mustafa Çağatay Sipahioğlu:</t>
        </r>
        <r>
          <rPr>
            <sz val="9"/>
            <color indexed="81"/>
            <rFont val="Tahoma"/>
            <family val="2"/>
            <charset val="162"/>
          </rPr>
          <t xml:space="preserve">
Engineering, Procurement and Construction</t>
        </r>
      </text>
    </comment>
    <comment ref="H57" authorId="0" shapeId="0" xr:uid="{2AD2C36F-5E8E-4B91-AF1F-031BA87009ED}">
      <text>
        <r>
          <rPr>
            <b/>
            <sz val="9"/>
            <color indexed="81"/>
            <rFont val="Tahoma"/>
            <family val="2"/>
            <charset val="162"/>
          </rPr>
          <t>Mustafa Çağatay Sipahioğlu:</t>
        </r>
        <r>
          <rPr>
            <sz val="9"/>
            <color indexed="81"/>
            <rFont val="Tahoma"/>
            <family val="2"/>
            <charset val="162"/>
          </rPr>
          <t xml:space="preserve">
Son Güncelleme:
Kabul Notları</t>
        </r>
      </text>
    </comment>
    <comment ref="L121" authorId="0" shapeId="0" xr:uid="{E8787888-4A27-4614-9AC4-45B3CE20EA3F}">
      <text>
        <r>
          <rPr>
            <b/>
            <sz val="9"/>
            <color indexed="81"/>
            <rFont val="Tahoma"/>
            <family val="2"/>
            <charset val="162"/>
          </rPr>
          <t>Mustafa Çağatay Sipahioğlu:</t>
        </r>
        <r>
          <rPr>
            <sz val="9"/>
            <color indexed="81"/>
            <rFont val="Tahoma"/>
            <family val="2"/>
            <charset val="162"/>
          </rPr>
          <t xml:space="preserve">
Income statement, mostly used in accounting or banking can be considered half a statement. That is because you can't gauge how much the porject is going to cost to you by looking at the income statement (it doesn't contain capex, debt or equity distributions) In order to look at the whole picture you need to look at the cash flow statement. The cash flow statement contains the everything calculated in the income statement in its first operating cash flow calculations. Hence we give the income statement as is and just pick up where it leaves off with the cash flow statement.</t>
        </r>
      </text>
    </comment>
    <comment ref="M145" authorId="0" shapeId="0" xr:uid="{A777FB38-79C3-43F1-9A4B-D41771D36DD3}">
      <text>
        <r>
          <rPr>
            <b/>
            <sz val="9"/>
            <color indexed="81"/>
            <rFont val="Tahoma"/>
            <family val="2"/>
            <charset val="162"/>
          </rPr>
          <t>Mustafa Çağatay Sipahioğlu:</t>
        </r>
        <r>
          <rPr>
            <sz val="9"/>
            <color indexed="81"/>
            <rFont val="Tahoma"/>
            <family val="2"/>
            <charset val="162"/>
          </rPr>
          <t xml:space="preserve">
Costs directly correlated to produce each MWh. If any of these costs were not incurred we wouldn't be able to produce electricity as a direct result of it.</t>
        </r>
      </text>
    </comment>
    <comment ref="M171" authorId="0" shapeId="0" xr:uid="{6ABF9D4B-7FC1-496D-BEE4-77465F3852BD}">
      <text>
        <r>
          <rPr>
            <b/>
            <sz val="9"/>
            <color indexed="81"/>
            <rFont val="Tahoma"/>
            <family val="2"/>
            <charset val="162"/>
          </rPr>
          <t>Mustafa Çağatay Sipahioğlu:</t>
        </r>
        <r>
          <rPr>
            <sz val="9"/>
            <color indexed="81"/>
            <rFont val="Tahoma"/>
            <family val="2"/>
            <charset val="162"/>
          </rPr>
          <t xml:space="preserve">
This is not what we earn or spend in the end! Net Income is something terminologic, it refers to the bottom line of the income statement something used for accounting and financing purposes. It is Revenue - OPEX - Amortization - Tax. Note that it deducts amortization something that is not real (cash). And also note that it does not contain debt principal repayments or even CAPEX! </t>
        </r>
      </text>
    </comment>
    <comment ref="M180" authorId="0" shapeId="0" xr:uid="{95AA0BD9-D67E-4830-A43B-80EA19D9A9BE}">
      <text>
        <r>
          <rPr>
            <b/>
            <sz val="9"/>
            <color indexed="81"/>
            <rFont val="Tahoma"/>
            <family val="2"/>
            <charset val="162"/>
          </rPr>
          <t>Mustafa Çağatay Sipahioğlu:</t>
        </r>
        <r>
          <rPr>
            <sz val="9"/>
            <color indexed="81"/>
            <rFont val="Tahoma"/>
            <family val="2"/>
            <charset val="162"/>
          </rPr>
          <t xml:space="preserve">
Inventory is cash parked in goods. Because they are not long-term they are noty considered CAPEX, they are current assets and are handled here.</t>
        </r>
      </text>
    </comment>
    <comment ref="M181" authorId="0" shapeId="0" xr:uid="{7C41A003-C553-42BF-9FC2-CF61DF58191F}">
      <text>
        <r>
          <rPr>
            <b/>
            <sz val="9"/>
            <color indexed="81"/>
            <rFont val="Tahoma"/>
            <family val="2"/>
            <charset val="162"/>
          </rPr>
          <t>Mustafa Çağatay Sipahioğlu:</t>
        </r>
        <r>
          <rPr>
            <sz val="9"/>
            <color indexed="81"/>
            <rFont val="Tahoma"/>
            <family val="2"/>
            <charset val="162"/>
          </rPr>
          <t xml:space="preserve">
We assumed that we gained the cash when we made the revenue. But if we have only billed them and not received the cash yet we have receivables. We must deduct the receivables we have to get our cash amount.</t>
        </r>
      </text>
    </comment>
    <comment ref="M182" authorId="0" shapeId="0" xr:uid="{11069312-8AB7-452C-8D03-676B0A060A74}">
      <text>
        <r>
          <rPr>
            <b/>
            <sz val="9"/>
            <color indexed="81"/>
            <rFont val="Tahoma"/>
            <family val="2"/>
            <charset val="162"/>
          </rPr>
          <t>Mustafa Çağatay Sipahioğlu:</t>
        </r>
        <r>
          <rPr>
            <sz val="9"/>
            <color indexed="81"/>
            <rFont val="Tahoma"/>
            <family val="2"/>
            <charset val="162"/>
          </rPr>
          <t xml:space="preserve">
We assumed that we payed our expenses in OPEX. But if we have agreed to pay later we have swome payables. That means the cash has not exited the SPV yet so we add our payables to our cash.</t>
        </r>
      </text>
    </comment>
    <comment ref="M185" authorId="0" shapeId="0" xr:uid="{B22BF703-E403-44EC-A3C3-1F4A616E4B10}">
      <text>
        <r>
          <rPr>
            <b/>
            <sz val="9"/>
            <color indexed="81"/>
            <rFont val="Tahoma"/>
            <family val="2"/>
            <charset val="162"/>
          </rPr>
          <t>Mustafa Çağatay Sipahioğlu:</t>
        </r>
        <r>
          <rPr>
            <sz val="9"/>
            <color indexed="81"/>
            <rFont val="Tahoma"/>
            <family val="2"/>
            <charset val="162"/>
          </rPr>
          <t xml:space="preserve">
Repairs. Since they usually can't be foreseen, assume a % of CAPEX every year.</t>
        </r>
      </text>
    </comment>
    <comment ref="M188" authorId="0" shapeId="0" xr:uid="{83ADFAB4-C136-4901-9DC5-3619C3D45347}">
      <text>
        <r>
          <rPr>
            <b/>
            <sz val="9"/>
            <color indexed="81"/>
            <rFont val="Tahoma"/>
            <family val="2"/>
            <charset val="162"/>
          </rPr>
          <t>Mustafa Çağatay Sipahioğlu:</t>
        </r>
        <r>
          <rPr>
            <sz val="9"/>
            <color indexed="81"/>
            <rFont val="Tahoma"/>
            <family val="2"/>
            <charset val="162"/>
          </rPr>
          <t xml:space="preserve">
Project's total value in today's money. Doesn't include financing, value of the operations.</t>
        </r>
      </text>
    </comment>
    <comment ref="M189" authorId="0" shapeId="0" xr:uid="{20150044-3413-4DCD-BAE5-73CD0C27BB72}">
      <text>
        <r>
          <rPr>
            <b/>
            <sz val="9"/>
            <color indexed="81"/>
            <rFont val="Tahoma"/>
            <family val="2"/>
            <charset val="162"/>
          </rPr>
          <t>Mustafa Çağatay Sipahioğlu:</t>
        </r>
        <r>
          <rPr>
            <sz val="9"/>
            <color indexed="81"/>
            <rFont val="Tahoma"/>
            <family val="2"/>
            <charset val="162"/>
          </rPr>
          <t xml:space="preserve">
Intrinsic project profitability, independent of how it was financed, not levered.</t>
        </r>
      </text>
    </comment>
    <comment ref="M222" authorId="0" shapeId="0" xr:uid="{1E67D034-1527-4685-A9AE-902B742DEF02}">
      <text>
        <r>
          <rPr>
            <b/>
            <sz val="9"/>
            <color indexed="81"/>
            <rFont val="Tahoma"/>
            <family val="2"/>
            <charset val="162"/>
          </rPr>
          <t>Mustafa Çağatay Sipahioğlu:</t>
        </r>
        <r>
          <rPr>
            <sz val="9"/>
            <color indexed="81"/>
            <rFont val="Tahoma"/>
            <family val="2"/>
            <charset val="162"/>
          </rPr>
          <t xml:space="preserve">
The total value the project combiined with the financing offers to the equity holders in today's money.</t>
        </r>
      </text>
    </comment>
    <comment ref="M223" authorId="0" shapeId="0" xr:uid="{B69BBBD7-0CE3-465F-9F35-A74E05220E20}">
      <text>
        <r>
          <rPr>
            <b/>
            <sz val="9"/>
            <color indexed="81"/>
            <rFont val="Tahoma"/>
            <family val="2"/>
            <charset val="162"/>
          </rPr>
          <t>Mustafa Çağatay Sipahioğlu:</t>
        </r>
        <r>
          <rPr>
            <sz val="9"/>
            <color indexed="81"/>
            <rFont val="Tahoma"/>
            <family val="2"/>
            <charset val="162"/>
          </rPr>
          <t xml:space="preserve">
Profitability the project offers to the equity holders. Includes financing, levered.</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114CBB9-D7FB-4106-AC75-92CC307F9316}" keepAlive="1" name="Sorgu - Sorgu1" description="Çalışma kitabındaki 'Sorgu1' sorgusuna yönelik bağlantı." type="5" refreshedVersion="8" background="1" saveData="1">
    <dbPr connection="Provider=Microsoft.Mashup.OleDb.1;Data Source=$Workbook$;Location=Sorgu1;Extended Properties=&quot;&quot;" command="SELECT * FROM [Sorgu1]"/>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1"/>
        </ext>
      </extLst>
    </bk>
    <bk>
      <extLst>
        <ext uri="{3e2802c4-a4d2-4d8b-9148-e3be6c30e623}">
          <xlrd:rvb i="3"/>
        </ext>
      </extLst>
    </bk>
  </futureMetadata>
  <cellMetadata count="1">
    <bk>
      <rc t="1" v="0"/>
    </bk>
  </cellMetadata>
  <valueMetadata count="2">
    <bk>
      <rc t="2" v="0"/>
    </bk>
    <bk>
      <rc t="2" v="1"/>
    </bk>
  </valueMetadata>
</metadata>
</file>

<file path=xl/sharedStrings.xml><?xml version="1.0" encoding="utf-8"?>
<sst xmlns="http://schemas.openxmlformats.org/spreadsheetml/2006/main" count="1082" uniqueCount="534">
  <si>
    <t>Revenue</t>
  </si>
  <si>
    <t>Tax</t>
  </si>
  <si>
    <t>Dividends</t>
  </si>
  <si>
    <t>PTF</t>
  </si>
  <si>
    <t>Total Revenue</t>
  </si>
  <si>
    <t>Gross Profit</t>
  </si>
  <si>
    <t>Cost of Sales</t>
  </si>
  <si>
    <t>Modelling Period Start</t>
  </si>
  <si>
    <t>Modelling Period End</t>
  </si>
  <si>
    <t>Project Month</t>
  </si>
  <si>
    <t>Project Year</t>
  </si>
  <si>
    <t>Time Ruler</t>
  </si>
  <si>
    <t>Calendar Quarter</t>
  </si>
  <si>
    <t>Calendar Year</t>
  </si>
  <si>
    <t>MWh</t>
  </si>
  <si>
    <t>$/MWh</t>
  </si>
  <si>
    <t>Kabul Kalemi</t>
  </si>
  <si>
    <t>Kabul</t>
  </si>
  <si>
    <t>Üretim Kabulleri</t>
  </si>
  <si>
    <t>Birim</t>
  </si>
  <si>
    <t>Ticaret Kabulleri</t>
  </si>
  <si>
    <t>CAPEX Kabulleri</t>
  </si>
  <si>
    <t>OPEX Kabulleri</t>
  </si>
  <si>
    <t>Finansman Kabulleri</t>
  </si>
  <si>
    <t>Amortisman Kabulleri</t>
  </si>
  <si>
    <t>Vergi Kabulleri</t>
  </si>
  <si>
    <t>MWe</t>
  </si>
  <si>
    <t>Brüt Kurulu Güç</t>
  </si>
  <si>
    <t>Net Kurulu Güç</t>
  </si>
  <si>
    <t>MWm</t>
  </si>
  <si>
    <t>Senaryo 1</t>
  </si>
  <si>
    <t>(%)</t>
  </si>
  <si>
    <t>Türbin Gücü</t>
  </si>
  <si>
    <t>Türbin Sayısı</t>
  </si>
  <si>
    <t>#</t>
  </si>
  <si>
    <t>Kapasite Faktörü - P50</t>
  </si>
  <si>
    <t>January</t>
  </si>
  <si>
    <t>February</t>
  </si>
  <si>
    <t>March</t>
  </si>
  <si>
    <t>April</t>
  </si>
  <si>
    <t>May</t>
  </si>
  <si>
    <t>June</t>
  </si>
  <si>
    <t>July</t>
  </si>
  <si>
    <t>August</t>
  </si>
  <si>
    <t>September</t>
  </si>
  <si>
    <t>October</t>
  </si>
  <si>
    <t>November</t>
  </si>
  <si>
    <t>December</t>
  </si>
  <si>
    <t>Üretim</t>
  </si>
  <si>
    <t>Yıllık Üretim</t>
  </si>
  <si>
    <t>ÜFE</t>
  </si>
  <si>
    <t>TÜFE</t>
  </si>
  <si>
    <t>YEKDEM</t>
  </si>
  <si>
    <t>Senaryo 2</t>
  </si>
  <si>
    <t>Sayı Formatı</t>
  </si>
  <si>
    <t>Aktif Senaryo</t>
  </si>
  <si>
    <t>Üretim Kuyu Sayısı</t>
  </si>
  <si>
    <t>Re-Enjeksiyon Kuyu Sayısı</t>
  </si>
  <si>
    <t>Re-Enjeksiyon / Üretim Kuyusu Çarpanı</t>
  </si>
  <si>
    <t>×</t>
  </si>
  <si>
    <t>Rezervuar Sıcaklığı</t>
  </si>
  <si>
    <t>Re-Enjeksiyon Sıcaklığı</t>
  </si>
  <si>
    <t>Yıllık Soğuma Miktarı</t>
  </si>
  <si>
    <t>Yıllık İç Tüketim Artışı</t>
  </si>
  <si>
    <t>ton/saat</t>
  </si>
  <si>
    <t>°C</t>
  </si>
  <si>
    <t>°C/yıl</t>
  </si>
  <si>
    <t>(%)/yıl</t>
  </si>
  <si>
    <t>Santral Verimliliği</t>
  </si>
  <si>
    <t>İç Tüketim</t>
  </si>
  <si>
    <t>Yıllık Çalışma Saati</t>
  </si>
  <si>
    <t>saat</t>
  </si>
  <si>
    <t>Reservoir Enthalpy</t>
  </si>
  <si>
    <t>kJ/kg</t>
  </si>
  <si>
    <t>Injection Enthalpy</t>
  </si>
  <si>
    <t>kg/s</t>
  </si>
  <si>
    <t>Net Electricity Production</t>
  </si>
  <si>
    <t>Kapasite Faktörü</t>
  </si>
  <si>
    <t>MWth</t>
  </si>
  <si>
    <t>PTF Capture Price</t>
  </si>
  <si>
    <t>Sale Price</t>
  </si>
  <si>
    <t>$</t>
  </si>
  <si>
    <t>Available Thermal Power</t>
  </si>
  <si>
    <t>THERMODYNAMIC PROPERTIES OF THE GEOTHERMAL WATER AT SATURATED CONDITIONS</t>
  </si>
  <si>
    <t>Temperature</t>
  </si>
  <si>
    <t>Pressure</t>
  </si>
  <si>
    <t>Liquid</t>
  </si>
  <si>
    <t>Vapor</t>
  </si>
  <si>
    <t>Density</t>
  </si>
  <si>
    <t>Enthalpy</t>
  </si>
  <si>
    <t>Entropy</t>
  </si>
  <si>
    <t>Cp</t>
  </si>
  <si>
    <t>(°C)</t>
  </si>
  <si>
    <t>(bar)</t>
  </si>
  <si>
    <t>(kg/m³)</t>
  </si>
  <si>
    <t>(kJ/kg)</t>
  </si>
  <si>
    <t>(kJ/kg-K)</t>
  </si>
  <si>
    <t>Toplam Üretim Debisi</t>
  </si>
  <si>
    <t>Gross Plant Power</t>
  </si>
  <si>
    <t>Net Plant Power</t>
  </si>
  <si>
    <t>Kuyu Debisi</t>
  </si>
  <si>
    <t>Kuyu Başı Sıcaklığı</t>
  </si>
  <si>
    <t>Kuyu Başı Basıncı</t>
  </si>
  <si>
    <t>bar</t>
  </si>
  <si>
    <t>Sat. Liquid Enthalpy</t>
  </si>
  <si>
    <t>Sat. Vapor Enthalpy</t>
  </si>
  <si>
    <t>Reinjection Enthalpy</t>
  </si>
  <si>
    <t>Vapor Quality</t>
  </si>
  <si>
    <t>Brine Massflow</t>
  </si>
  <si>
    <t>Steam Thermal Power</t>
  </si>
  <si>
    <t>Brine Thermal Power</t>
  </si>
  <si>
    <t>Steam Massflow</t>
  </si>
  <si>
    <t>Total Thermal Power</t>
  </si>
  <si>
    <t>Plant Efficiency</t>
  </si>
  <si>
    <t>Gross Electrical Power</t>
  </si>
  <si>
    <t>Auxilary Power</t>
  </si>
  <si>
    <t>Net Electrical Power</t>
  </si>
  <si>
    <t>NCG%</t>
  </si>
  <si>
    <t>Fluid Interaction Ratio</t>
  </si>
  <si>
    <t>Kuyu Kabülleri</t>
  </si>
  <si>
    <t>Rezervuar Kabulleri</t>
  </si>
  <si>
    <t>Kuyu Başı Kabulleri</t>
  </si>
  <si>
    <t>Buhar Kalitesi Kabulleri</t>
  </si>
  <si>
    <t>Elektrik Üretimi Kabulleri</t>
  </si>
  <si>
    <t>Reservoir Temperature</t>
  </si>
  <si>
    <t>MW</t>
  </si>
  <si>
    <t>PTF Capture %</t>
  </si>
  <si>
    <t>Capacity Factor</t>
  </si>
  <si>
    <t>Yerli Katkı Fiyatı</t>
  </si>
  <si>
    <t>Yerli Katkı Süresi</t>
  </si>
  <si>
    <t>YEKDEM Fiyatı</t>
  </si>
  <si>
    <t>YEKDEM Süresi</t>
  </si>
  <si>
    <t>yıl</t>
  </si>
  <si>
    <t>Sales Price</t>
  </si>
  <si>
    <t>USD/TRY</t>
  </si>
  <si>
    <t>EUR/TRY</t>
  </si>
  <si>
    <t>Yerli Katkı Payı</t>
  </si>
  <si>
    <t>Ticaret</t>
  </si>
  <si>
    <t>Financial Master Model</t>
  </si>
  <si>
    <t>Created by: M. Çağatay Sipahioğlu (Nov 2025)</t>
  </si>
  <si>
    <t>P90/P50 Factor</t>
  </si>
  <si>
    <t>Kapasite Faktörü - P90</t>
  </si>
  <si>
    <t>Yıllık Üretim - P50</t>
  </si>
  <si>
    <t>Yıllık Üretim - P90</t>
  </si>
  <si>
    <t>Seasonality Factor</t>
  </si>
  <si>
    <t>Seasonality Assumptions</t>
  </si>
  <si>
    <t>Kapasite Kabulleri</t>
  </si>
  <si>
    <t>Consumption Growth, %</t>
  </si>
  <si>
    <t xml:space="preserve">Export Growth, % </t>
  </si>
  <si>
    <t>CPI Inflation (e.o.p.), %</t>
  </si>
  <si>
    <t>CPI Inflation (average), %</t>
  </si>
  <si>
    <t>CAD, % of GDP</t>
  </si>
  <si>
    <t>Money market rates %</t>
  </si>
  <si>
    <t>TL Risk Free Rate (10YRS), %</t>
  </si>
  <si>
    <t>US$ Risk Free Rate (30YRS), %</t>
  </si>
  <si>
    <t>TL/$ (eop)</t>
  </si>
  <si>
    <t>TL/€ (eop)</t>
  </si>
  <si>
    <t>Özel tüketim büyümesi, %</t>
  </si>
  <si>
    <t xml:space="preserve">İhracat Büyümesi </t>
  </si>
  <si>
    <t>TÜFE (yıl sonu), %</t>
  </si>
  <si>
    <t>TÜFE (ortalama), %</t>
  </si>
  <si>
    <t>Cari Denge / GSYİH (%)</t>
  </si>
  <si>
    <t xml:space="preserve">Para Piyasası Faizi, % </t>
  </si>
  <si>
    <t xml:space="preserve">Gösterge 10 yıllık TL tahvil faizi </t>
  </si>
  <si>
    <t>30 yıllık Dolar cinsi Eurobond faizi</t>
  </si>
  <si>
    <t>TL/Dolar (yıl sonu)</t>
  </si>
  <si>
    <t>TL/Euro (yıl sonu)</t>
  </si>
  <si>
    <t>OPEX</t>
  </si>
  <si>
    <t>Forest Fee</t>
  </si>
  <si>
    <t>Insurance</t>
  </si>
  <si>
    <t>Personnel</t>
  </si>
  <si>
    <t>Maintenance</t>
  </si>
  <si>
    <t>Sales Revenue</t>
  </si>
  <si>
    <t>TOTAL</t>
  </si>
  <si>
    <t>CAPEX</t>
  </si>
  <si>
    <t>Transmission</t>
  </si>
  <si>
    <t>Overhead</t>
  </si>
  <si>
    <t>Depreciation &amp; Amortization</t>
  </si>
  <si>
    <t>Onay ve İzinler</t>
  </si>
  <si>
    <t>Önlisans Süreci</t>
  </si>
  <si>
    <t>Lisans Ücreti</t>
  </si>
  <si>
    <t>EPC</t>
  </si>
  <si>
    <t>Birim Türbin Maliyeti</t>
  </si>
  <si>
    <t>EBOP</t>
  </si>
  <si>
    <t>Bina, İstinat Duvarı</t>
  </si>
  <si>
    <t>Mühendislik Hizmetleri</t>
  </si>
  <si>
    <t>Türbin Temelleri</t>
  </si>
  <si>
    <t>Proje Yapım</t>
  </si>
  <si>
    <t>Hafriyat, Ulaşım Yolları</t>
  </si>
  <si>
    <t>Şalt</t>
  </si>
  <si>
    <t>Trafo</t>
  </si>
  <si>
    <t>Enerji Nakil Hattı</t>
  </si>
  <si>
    <t>Risk Payı</t>
  </si>
  <si>
    <t>END - CAPEX Kabulleri</t>
  </si>
  <si>
    <t>İş Planı</t>
  </si>
  <si>
    <t>END - İş Planı</t>
  </si>
  <si>
    <t>END - Ticaret Kabulleri</t>
  </si>
  <si>
    <t>END - Üretim Kabulleri</t>
  </si>
  <si>
    <t>Equity Kabulleri</t>
  </si>
  <si>
    <t>END - Equity Kabulleri</t>
  </si>
  <si>
    <t>END - Vergi Kabulleri</t>
  </si>
  <si>
    <t>END - Amortisman Kabulleri</t>
  </si>
  <si>
    <t>END - Finansman Kabulleri</t>
  </si>
  <si>
    <t>END - OPEX Kabulleri</t>
  </si>
  <si>
    <t>Gross Profit Margin</t>
  </si>
  <si>
    <t>EBITDA</t>
  </si>
  <si>
    <t>EBITDA Margin</t>
  </si>
  <si>
    <t>EBIT</t>
  </si>
  <si>
    <t>Interest</t>
  </si>
  <si>
    <t>END - Income Statement</t>
  </si>
  <si>
    <t>START - Cash Flow Statement</t>
  </si>
  <si>
    <t>START - Income Statement</t>
  </si>
  <si>
    <t>Operating Cash Flow</t>
  </si>
  <si>
    <t>Investing Cash Flow</t>
  </si>
  <si>
    <t>Debt Drawdown</t>
  </si>
  <si>
    <t>Equity Injection</t>
  </si>
  <si>
    <t>Free Cash Flow to Equity</t>
  </si>
  <si>
    <t>END - Cash Flow Statement</t>
  </si>
  <si>
    <t>Changes in Working Capital</t>
  </si>
  <si>
    <t>Maintenance CAPEX</t>
  </si>
  <si>
    <t>Inventory</t>
  </si>
  <si>
    <t>Receivables</t>
  </si>
  <si>
    <t>Payables</t>
  </si>
  <si>
    <t>Delete this for energy sector.</t>
  </si>
  <si>
    <t>Corporate Tax Rate</t>
  </si>
  <si>
    <t>Corporate Tax</t>
  </si>
  <si>
    <t>Free Cash Retained</t>
  </si>
  <si>
    <t>Blocked Cash Retained</t>
  </si>
  <si>
    <t>Total Cash Retained by the SPV</t>
  </si>
  <si>
    <t>SANKO's SPV Equity</t>
  </si>
  <si>
    <t>Cash Flow Available for Debt Service</t>
  </si>
  <si>
    <t>Personel Servisi</t>
  </si>
  <si>
    <t>Personel Maaşı</t>
  </si>
  <si>
    <t>Kurulu Güç</t>
  </si>
  <si>
    <t>Electrical Power</t>
  </si>
  <si>
    <t>Project IRR</t>
  </si>
  <si>
    <t>Equity IRR</t>
  </si>
  <si>
    <t>Project NPV</t>
  </si>
  <si>
    <t>Equity NPV</t>
  </si>
  <si>
    <t>Other's SPV Equity</t>
  </si>
  <si>
    <t>Exit Date</t>
  </si>
  <si>
    <t>Exit Amount</t>
  </si>
  <si>
    <t>SANKO Dividends</t>
  </si>
  <si>
    <t>Other's Dividends</t>
  </si>
  <si>
    <t>SANKO Equity Injection</t>
  </si>
  <si>
    <t>Other's Equity Injection</t>
  </si>
  <si>
    <t>date</t>
  </si>
  <si>
    <t>Other's Equity</t>
  </si>
  <si>
    <t>SANKO Equity</t>
  </si>
  <si>
    <t>Equity Injection/Dividends</t>
  </si>
  <si>
    <t>Net Profit</t>
  </si>
  <si>
    <t>Net Profit Margin</t>
  </si>
  <si>
    <t>EBT (Net Profit Before Tax)</t>
  </si>
  <si>
    <t>EBT Margin (NPBT Margin)</t>
  </si>
  <si>
    <t>SANKO Cash Flow</t>
  </si>
  <si>
    <t>Equity Injection to SPV</t>
  </si>
  <si>
    <t>SPV Dividends to SANKO</t>
  </si>
  <si>
    <t>Premiums</t>
  </si>
  <si>
    <t>Project Exit</t>
  </si>
  <si>
    <t>Project Buy In</t>
  </si>
  <si>
    <t>Key Performance Indicators</t>
  </si>
  <si>
    <t>SANKO IRR</t>
  </si>
  <si>
    <t>Yatırım Amorti Yılı (Yatırım/EBITDA)</t>
  </si>
  <si>
    <t>Yatırım + Faiz Amorti Yılı (Yatırım+Faiz/EBITDA)</t>
  </si>
  <si>
    <t>Discounted Payback Period</t>
  </si>
  <si>
    <t>Payback Period</t>
  </si>
  <si>
    <t>Project NPV (Cepten alırsakın bir ölçüsü aslında, finansman hariç)</t>
  </si>
  <si>
    <t>SANKO NPV (Buna finansman yükü de dahil)</t>
  </si>
  <si>
    <t>Buy-in Date</t>
  </si>
  <si>
    <t>Buy-in Amount</t>
  </si>
  <si>
    <t>Financing Cash Flow</t>
  </si>
  <si>
    <t>Fees</t>
  </si>
  <si>
    <t>Teminat Mektubu Fee</t>
  </si>
  <si>
    <t>Senior Debt Fees</t>
  </si>
  <si>
    <t>Subordinate Debt Fees</t>
  </si>
  <si>
    <t>Shareholder Loan Fees</t>
  </si>
  <si>
    <t>Senior Debt Interest</t>
  </si>
  <si>
    <t>Subordinate Debt Interest</t>
  </si>
  <si>
    <t>Shareholder Loan Interest</t>
  </si>
  <si>
    <t>Senior Debt Principal</t>
  </si>
  <si>
    <t>Subordinate Debt Principal</t>
  </si>
  <si>
    <t>Shareholder Debt Principal</t>
  </si>
  <si>
    <t>Senior Debt Drawdown</t>
  </si>
  <si>
    <t>Subordinate Debt Drawdown</t>
  </si>
  <si>
    <t>Shareholder Debt Drawdown</t>
  </si>
  <si>
    <t>Interest &amp; Principal Payments</t>
  </si>
  <si>
    <t>Asset Sales</t>
  </si>
  <si>
    <t>START - Project Evaluation</t>
  </si>
  <si>
    <t>END - Project Evaluation</t>
  </si>
  <si>
    <t>Yapı Ruhsatı Süreci</t>
  </si>
  <si>
    <t>Lisans Süreci</t>
  </si>
  <si>
    <t>days</t>
  </si>
  <si>
    <t>Türbin Temeli</t>
  </si>
  <si>
    <t>Türbin Temeli Süreci</t>
  </si>
  <si>
    <t>1 Türbin Montaj+Devreye Alma Süreci</t>
  </si>
  <si>
    <t>2 Türbin Devreye Alma Arası Gün Sayısı</t>
  </si>
  <si>
    <t>Yapı Ruhsatı</t>
  </si>
  <si>
    <t>Türbin Montaj</t>
  </si>
  <si>
    <t>Türbin Devreye Alma</t>
  </si>
  <si>
    <t>Operasyon</t>
  </si>
  <si>
    <t>Hafriyat, Temel Hazırlık Süreci</t>
  </si>
  <si>
    <t>Hafriyat, Temel Hazırlık</t>
  </si>
  <si>
    <t>Başlangıç</t>
  </si>
  <si>
    <t>Bitiş</t>
  </si>
  <si>
    <t>Proje Start</t>
  </si>
  <si>
    <t>bura</t>
  </si>
  <si>
    <t>years</t>
  </si>
  <si>
    <t>Degradasyon</t>
  </si>
  <si>
    <t>COD</t>
  </si>
  <si>
    <t>PVSyst Production</t>
  </si>
  <si>
    <t>Degradasyon kaç ay sonra başlar?</t>
  </si>
  <si>
    <t>montha</t>
  </si>
  <si>
    <t>index</t>
  </si>
  <si>
    <t>Degradation Month Start Index</t>
  </si>
  <si>
    <t>Degraded Power %</t>
  </si>
  <si>
    <t>SANKO NPV</t>
  </si>
  <si>
    <t>Yatırım/EBITDA</t>
  </si>
  <si>
    <t>Yatırım+Faiz/EBITDA</t>
  </si>
  <si>
    <t>Buy-in Period</t>
  </si>
  <si>
    <t>KDV</t>
  </si>
  <si>
    <t>Project Buy In Total</t>
  </si>
  <si>
    <t>Buy-in KDV %</t>
  </si>
  <si>
    <t>ÇED + TEA(RES) Süreci</t>
  </si>
  <si>
    <t>ÇED + TEA(RES)</t>
  </si>
  <si>
    <t>Harita Süreci</t>
  </si>
  <si>
    <t>Halihazır Harita Alım ve Onay</t>
  </si>
  <si>
    <t>Mülkiyet Hakkı Süreci</t>
  </si>
  <si>
    <t>Jeoteknik Etüt Süreci</t>
  </si>
  <si>
    <t>İmar Planı Süreci</t>
  </si>
  <si>
    <t>İmar Planı</t>
  </si>
  <si>
    <t>Jeoteknik Etüt</t>
  </si>
  <si>
    <t>Mülkiyet Hakkı</t>
  </si>
  <si>
    <t>İmar Uygulaması Süreci</t>
  </si>
  <si>
    <t>İmar Uygulaması</t>
  </si>
  <si>
    <t>Önlisans -&gt; Lisans / Lisans Tadil</t>
  </si>
  <si>
    <t>Bunu devrik dönüşüm yapıp sunuma at.</t>
  </si>
  <si>
    <t>CAPEX+Faiz</t>
  </si>
  <si>
    <t>Ciro</t>
  </si>
  <si>
    <t>Gider</t>
  </si>
  <si>
    <t>Faiz</t>
  </si>
  <si>
    <t>EBITDA Avg.</t>
  </si>
  <si>
    <t>CAPEX/MWh</t>
  </si>
  <si>
    <t>k$/Mwm</t>
  </si>
  <si>
    <t>k$</t>
  </si>
  <si>
    <t>Birim CAPEX</t>
  </si>
  <si>
    <t>P/L</t>
  </si>
  <si>
    <t>ROI</t>
  </si>
  <si>
    <t>Performance</t>
  </si>
  <si>
    <t>START - Scenario Comparison</t>
  </si>
  <si>
    <t xml:space="preserve">Önlisans </t>
  </si>
  <si>
    <t>Halihazır Harita Süreci</t>
  </si>
  <si>
    <t>Halihazır Harita</t>
  </si>
  <si>
    <t>months</t>
  </si>
  <si>
    <t>ÇED + TEA(RES) Ücreti</t>
  </si>
  <si>
    <t>Mülkiyet Hakkı Ücreti</t>
  </si>
  <si>
    <t>Halihazır Harita Ücreti</t>
  </si>
  <si>
    <t>Jeoteknik Etüt Ücreti</t>
  </si>
  <si>
    <t>İmar Planı Ücreti</t>
  </si>
  <si>
    <t>İmar Uygulaması Ücreti</t>
  </si>
  <si>
    <t>Yapı Ruhsatı Ücreti</t>
  </si>
  <si>
    <t>Önlisans Ücreti</t>
  </si>
  <si>
    <t>Paid @ Süreç Başlangıcı</t>
  </si>
  <si>
    <t>days/turbine</t>
  </si>
  <si>
    <t>Project Start</t>
  </si>
  <si>
    <t>Burda trafo gücüylen MWm*CF i caplemek düşünülebilir. (CF 90% filan olmadıkça bir problem yaratmıycaktır-. Haaa pardon yaratabilir o üretim analizmiiz gibi bir şey lazım)</t>
  </si>
  <si>
    <t>Proje Yapım (EPC)</t>
  </si>
  <si>
    <t>Income Statement</t>
  </si>
  <si>
    <t>Cash Flow Statement</t>
  </si>
  <si>
    <t>Project Evaluation</t>
  </si>
  <si>
    <t>Project Cashflow</t>
  </si>
  <si>
    <t>DSRA</t>
  </si>
  <si>
    <t>CAPEX/Mwm</t>
  </si>
  <si>
    <t>Operating Profit (EBIT)</t>
  </si>
  <si>
    <t>Operating Margin</t>
  </si>
  <si>
    <t>Pre-Tax Margin</t>
  </si>
  <si>
    <t>Pre-Tax Profit (EBT)</t>
  </si>
  <si>
    <t>İşveren Mühendislik</t>
  </si>
  <si>
    <t>Türbin Kurulum</t>
  </si>
  <si>
    <t>Türbin Kurulum+Devreye Alma Süreci</t>
  </si>
  <si>
    <t>Santral Sipariş-Teslim Süreci</t>
  </si>
  <si>
    <t>Trafo Sipariş-Teslim Süreci</t>
  </si>
  <si>
    <t>Trafo Kurulum</t>
  </si>
  <si>
    <t>Trafo Sipariş-Teslim</t>
  </si>
  <si>
    <t>Santral Sipariş-Teslim</t>
  </si>
  <si>
    <t>Ulaşım Yolları, Hafriyat</t>
  </si>
  <si>
    <t>Cost of Equity</t>
  </si>
  <si>
    <t>WACC</t>
  </si>
  <si>
    <t>Mwe</t>
  </si>
  <si>
    <t>Kurulu Mekanik Güç</t>
  </si>
  <si>
    <t>Kurulu Elektrik Gücü</t>
  </si>
  <si>
    <t>Tarife Bölgesi</t>
  </si>
  <si>
    <t>Tüketim</t>
  </si>
  <si>
    <t>Sistem Kullanım</t>
  </si>
  <si>
    <t>Sistem İşletim</t>
  </si>
  <si>
    <t>Değişken (₺/MWh)</t>
  </si>
  <si>
    <t>Sabit (₺/Mwe-Yıl)</t>
  </si>
  <si>
    <t>(TL/MW-YIL)</t>
  </si>
  <si>
    <t>(TL/MWh)</t>
  </si>
  <si>
    <t>ilk 5 yıl</t>
  </si>
  <si>
    <t>sonrası</t>
  </si>
  <si>
    <t xml:space="preserve">2025 YILI TEİAŞ BÖLGESEL TARİFELERİNE GÖRE 
SİSTEM KULLANIM TARİFESİ VE SİSTEM İŞLETİM TARİFESİ HESAPLAMALARI 
(26.12.2024 TARİH 9034 Sayılı Kurul Kararı KARARINA GÖRE) </t>
  </si>
  <si>
    <t>İl</t>
  </si>
  <si>
    <t>2025 Yılı İletim Tarife Bölgeleri</t>
  </si>
  <si>
    <t>EDİRNE</t>
  </si>
  <si>
    <t>İSTANBUL</t>
  </si>
  <si>
    <t>KIRKLARELİ</t>
  </si>
  <si>
    <t>TEKİRDAĞ</t>
  </si>
  <si>
    <t>BALIKESİR</t>
  </si>
  <si>
    <t>BURSA</t>
  </si>
  <si>
    <t>ÇANAKKALE</t>
  </si>
  <si>
    <t>YALOVA</t>
  </si>
  <si>
    <t>ANKARA</t>
  </si>
  <si>
    <t>BİLECİK</t>
  </si>
  <si>
    <t>BOLU</t>
  </si>
  <si>
    <t>DÜZCE</t>
  </si>
  <si>
    <t>ESKİŞEHİR</t>
  </si>
  <si>
    <t>KOCAELİ</t>
  </si>
  <si>
    <t>SAKARYA</t>
  </si>
  <si>
    <t>AYDIN</t>
  </si>
  <si>
    <t>İZMİR</t>
  </si>
  <si>
    <t>MANİSA</t>
  </si>
  <si>
    <t>MUĞLA</t>
  </si>
  <si>
    <t>AFYONKARAHİSAR</t>
  </si>
  <si>
    <t>BURDUR</t>
  </si>
  <si>
    <t>DENİZLİ</t>
  </si>
  <si>
    <t>ISPARTA</t>
  </si>
  <si>
    <t>KÜTAHYA</t>
  </si>
  <si>
    <t>UŞAK</t>
  </si>
  <si>
    <t>ANTALYA</t>
  </si>
  <si>
    <t>AMASYA</t>
  </si>
  <si>
    <t>BARTIN</t>
  </si>
  <si>
    <t>ÇANKIRI</t>
  </si>
  <si>
    <t>ÇORUM</t>
  </si>
  <si>
    <t>KARABÜK</t>
  </si>
  <si>
    <t>KASTAMONU</t>
  </si>
  <si>
    <t>KIRIKKALE</t>
  </si>
  <si>
    <t>KIRŞEHİR</t>
  </si>
  <si>
    <t>SAMSUN</t>
  </si>
  <si>
    <t>SİNOP</t>
  </si>
  <si>
    <t>YOZGAT</t>
  </si>
  <si>
    <t>ZONGULDAK</t>
  </si>
  <si>
    <t>KARAMAN</t>
  </si>
  <si>
    <t>KONYA</t>
  </si>
  <si>
    <t>AKSARAY</t>
  </si>
  <si>
    <t>KAYSERİ</t>
  </si>
  <si>
    <t>NEVŞEHİR</t>
  </si>
  <si>
    <t>NİĞDE</t>
  </si>
  <si>
    <t>ADANA</t>
  </si>
  <si>
    <t>HATAY</t>
  </si>
  <si>
    <t>KAHRAMANMARAŞ</t>
  </si>
  <si>
    <t>MERSİN</t>
  </si>
  <si>
    <t>OSMANİYE</t>
  </si>
  <si>
    <t>AĞRI</t>
  </si>
  <si>
    <t>ARDAHAN</t>
  </si>
  <si>
    <t>ARTVİN</t>
  </si>
  <si>
    <t>BAYBURT</t>
  </si>
  <si>
    <t>ERZİNCAN</t>
  </si>
  <si>
    <t>ERZURUM</t>
  </si>
  <si>
    <t>GİRESUN</t>
  </si>
  <si>
    <t>GÜMÜŞHANE</t>
  </si>
  <si>
    <t>IĞDIR</t>
  </si>
  <si>
    <t>KARS</t>
  </si>
  <si>
    <t>ORDU</t>
  </si>
  <si>
    <t>RİZE</t>
  </si>
  <si>
    <t>SİVAS</t>
  </si>
  <si>
    <t>TOKAT</t>
  </si>
  <si>
    <t>TRABZON</t>
  </si>
  <si>
    <t>TUNCELİ</t>
  </si>
  <si>
    <t>ADIYAMAN</t>
  </si>
  <si>
    <t>BİNGÖL</t>
  </si>
  <si>
    <t>ELAZIĞ</t>
  </si>
  <si>
    <t>MALATYA</t>
  </si>
  <si>
    <t>GAZİANTEP</t>
  </si>
  <si>
    <t>KİLİS</t>
  </si>
  <si>
    <t>ŞANLIURFA</t>
  </si>
  <si>
    <t>BATMAN</t>
  </si>
  <si>
    <t>DİYARBAKIR</t>
  </si>
  <si>
    <t>MARDİN</t>
  </si>
  <si>
    <t>SİİRT</t>
  </si>
  <si>
    <t>ŞIRNAK</t>
  </si>
  <si>
    <t>BİTLİS</t>
  </si>
  <si>
    <t>HAKKARİ</t>
  </si>
  <si>
    <t>MUŞ</t>
  </si>
  <si>
    <t>VAN</t>
  </si>
  <si>
    <t>City</t>
  </si>
  <si>
    <t>İstanbul</t>
  </si>
  <si>
    <t>TEİAŞ Değişken İletim Ücreti 0-5 Yıl</t>
  </si>
  <si>
    <t>TEİAŞ Sabit İletim Ücreti 0-5 Yıl</t>
  </si>
  <si>
    <t>TEİAŞ Değişken İletim Ücreti 5+ Yıl</t>
  </si>
  <si>
    <t>TEİAŞ Sabit İletim Ücreti 5+ Yıl</t>
  </si>
  <si>
    <t>₺/MWe</t>
  </si>
  <si>
    <t>₺/MWh</t>
  </si>
  <si>
    <t>Months</t>
  </si>
  <si>
    <t>Year Index</t>
  </si>
  <si>
    <t>Year Start Price</t>
  </si>
  <si>
    <t>Year End Price</t>
  </si>
  <si>
    <t>Month Number</t>
  </si>
  <si>
    <t>Yıldaki Ay Sayısı</t>
  </si>
  <si>
    <t>Bugün</t>
  </si>
  <si>
    <t>Tahminler Sonu</t>
  </si>
  <si>
    <t>Price @Month Start</t>
  </si>
  <si>
    <t>Price @Month End</t>
  </si>
  <si>
    <t>Price @Month Avg.</t>
  </si>
  <si>
    <t>Macro Predictions</t>
  </si>
  <si>
    <t>END - Macro Predictions</t>
  </si>
  <si>
    <t>₺/$</t>
  </si>
  <si>
    <t>₺/€</t>
  </si>
  <si>
    <t>₺</t>
  </si>
  <si>
    <t>TÜFE Endeksi</t>
  </si>
  <si>
    <t>ÜFE Endeksi</t>
  </si>
  <si>
    <t>İletim</t>
  </si>
  <si>
    <t>Kasım</t>
  </si>
  <si>
    <t>Ekim</t>
  </si>
  <si>
    <t>Eylül</t>
  </si>
  <si>
    <t>USD</t>
  </si>
  <si>
    <t>EUR</t>
  </si>
  <si>
    <t>Aralık</t>
  </si>
  <si>
    <t>ÜFE Aylık%</t>
  </si>
  <si>
    <t>TÜFE Aylık %</t>
  </si>
  <si>
    <t>https://www.resmigazete.gov.tr/eskiler/2023/05/20230501-7.pdf</t>
  </si>
  <si>
    <t>Güncel Veriler TCMB EVDS'den https://evds2.tcmb.gov.tr/help/videos/EVDS_Web_Servis_Kullanim_Kilavuzu.pdf</t>
  </si>
  <si>
    <t>TP_FG_J0</t>
  </si>
  <si>
    <t>3367.22</t>
  </si>
  <si>
    <t>3453.09</t>
  </si>
  <si>
    <t>Yılın başındaki tüfeyi al.</t>
  </si>
  <si>
    <t>Şubattan önceyse bir önceki yılın başını al.</t>
  </si>
  <si>
    <t>Son 2 tüfeyi al</t>
  </si>
  <si>
    <t>Yılın sonunda olması gereken tüfeyi hazırla.</t>
  </si>
  <si>
    <t>veya</t>
  </si>
  <si>
    <t>Son 2'den yıl sonuna kadar bağla eğer geçen yılı almışsan.</t>
  </si>
  <si>
    <t>Son 2'den bugüne kadar 2 ay bağla. -&gt; Burdan yıl sonuna kadar bağla.</t>
  </si>
  <si>
    <t>Start-2 aydan bugün-2 aya kadarki verileri al.</t>
  </si>
  <si>
    <t>TÜFE ve ÜFE için bugüne kadarı aşağıdaki gibi doldur.</t>
  </si>
  <si>
    <t>USD ve EUR için bugüne kadarki verileri 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</si>
</sst>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0.0"/>
    <numFmt numFmtId="165" formatCode="[$-41F]d\ mmmm\ yyyy;@"/>
    <numFmt numFmtId="166" formatCode="0.000"/>
    <numFmt numFmtId="167" formatCode="0.0000"/>
    <numFmt numFmtId="168" formatCode="mmm\ yyyy"/>
    <numFmt numFmtId="169" formatCode="#,##0.0;\(#,##0.0\);&quot;-&quot;"/>
    <numFmt numFmtId="170" formatCode="#,##0;\(#,##0\);&quot;-&quot;"/>
    <numFmt numFmtId="175" formatCode="#,##0.0000;\(#,##0.0000\);&quot;-&quot;"/>
  </numFmts>
  <fonts count="25" x14ac:knownFonts="1">
    <font>
      <sz val="10"/>
      <color theme="1"/>
      <name val="Calibri"/>
      <family val="2"/>
      <scheme val="minor"/>
    </font>
    <font>
      <u/>
      <sz val="11"/>
      <color theme="10"/>
      <name val="Calibri"/>
      <family val="2"/>
      <scheme val="minor"/>
    </font>
    <font>
      <b/>
      <sz val="9"/>
      <color indexed="81"/>
      <name val="Tahoma"/>
      <family val="2"/>
      <charset val="162"/>
    </font>
    <font>
      <sz val="9"/>
      <color indexed="81"/>
      <name val="Tahoma"/>
      <family val="2"/>
      <charset val="162"/>
    </font>
    <font>
      <b/>
      <sz val="10"/>
      <color theme="1"/>
      <name val="Calibri"/>
      <family val="2"/>
      <scheme val="minor"/>
    </font>
    <font>
      <b/>
      <sz val="10"/>
      <name val="Calibri"/>
      <family val="2"/>
      <scheme val="minor"/>
    </font>
    <font>
      <u/>
      <sz val="10"/>
      <color theme="10"/>
      <name val="Calibri"/>
      <family val="2"/>
      <scheme val="minor"/>
    </font>
    <font>
      <sz val="10"/>
      <name val="Calibri"/>
      <family val="2"/>
      <scheme val="minor"/>
    </font>
    <font>
      <u/>
      <sz val="10"/>
      <name val="Calibri"/>
      <family val="2"/>
      <scheme val="minor"/>
    </font>
    <font>
      <b/>
      <sz val="10"/>
      <name val="Arial"/>
      <family val="2"/>
    </font>
    <font>
      <b/>
      <sz val="10"/>
      <color theme="1"/>
      <name val="Calibri"/>
      <family val="2"/>
      <charset val="162"/>
      <scheme val="minor"/>
    </font>
    <font>
      <sz val="10"/>
      <color theme="1" tint="0.499984740745262"/>
      <name val="Calibri"/>
      <family val="2"/>
      <scheme val="minor"/>
    </font>
    <font>
      <sz val="10"/>
      <color theme="1"/>
      <name val="Calibri"/>
      <family val="2"/>
      <charset val="162"/>
      <scheme val="minor"/>
    </font>
    <font>
      <b/>
      <sz val="10"/>
      <name val="Calibri"/>
      <family val="2"/>
      <charset val="162"/>
      <scheme val="minor"/>
    </font>
    <font>
      <sz val="10"/>
      <color theme="0"/>
      <name val="Calibri"/>
      <family val="2"/>
      <scheme val="minor"/>
    </font>
    <font>
      <b/>
      <sz val="14"/>
      <color theme="1"/>
      <name val="Calibri"/>
      <family val="2"/>
      <scheme val="minor"/>
    </font>
    <font>
      <b/>
      <sz val="10"/>
      <color theme="1" tint="0.499984740745262"/>
      <name val="Calibri"/>
      <family val="2"/>
      <charset val="162"/>
      <scheme val="minor"/>
    </font>
    <font>
      <sz val="10"/>
      <color theme="1" tint="0.499984740745262"/>
      <name val="Calibri"/>
      <family val="2"/>
      <charset val="162"/>
      <scheme val="minor"/>
    </font>
    <font>
      <b/>
      <sz val="10"/>
      <color theme="0"/>
      <name val="Calibri"/>
      <family val="2"/>
      <charset val="162"/>
      <scheme val="minor"/>
    </font>
    <font>
      <b/>
      <sz val="10"/>
      <color theme="1" tint="0.499984740745262"/>
      <name val="Calibri"/>
      <family val="2"/>
      <scheme val="minor"/>
    </font>
    <font>
      <b/>
      <sz val="10"/>
      <color theme="0"/>
      <name val="Calibri"/>
      <family val="2"/>
      <scheme val="minor"/>
    </font>
    <font>
      <sz val="10"/>
      <name val="Calibri"/>
      <family val="2"/>
      <charset val="162"/>
      <scheme val="minor"/>
    </font>
    <font>
      <sz val="11"/>
      <color rgb="FF000000"/>
      <name val="Calibri"/>
      <family val="2"/>
      <charset val="162"/>
    </font>
    <font>
      <b/>
      <sz val="10"/>
      <color theme="0"/>
      <name val="Calibri"/>
      <family val="2"/>
      <charset val="162"/>
      <scheme val="major"/>
    </font>
    <font>
      <sz val="10"/>
      <color theme="1"/>
      <name val="Calibri"/>
      <family val="2"/>
      <charset val="162"/>
      <scheme val="major"/>
    </font>
  </fonts>
  <fills count="24">
    <fill>
      <patternFill patternType="none"/>
    </fill>
    <fill>
      <patternFill patternType="gray125"/>
    </fill>
    <fill>
      <patternFill patternType="solid">
        <fgColor theme="0"/>
        <bgColor indexed="64"/>
      </patternFill>
    </fill>
    <fill>
      <patternFill patternType="solid">
        <fgColor rgb="FFFFFFAF"/>
        <bgColor indexed="64"/>
      </patternFill>
    </fill>
    <fill>
      <patternFill patternType="solid">
        <fgColor theme="4" tint="0.79998168889431442"/>
        <bgColor indexed="64"/>
      </patternFill>
    </fill>
    <fill>
      <patternFill patternType="solid">
        <fgColor theme="5"/>
        <bgColor indexed="64"/>
      </patternFill>
    </fill>
    <fill>
      <patternFill patternType="solid">
        <fgColor theme="0" tint="-4.9989318521683403E-2"/>
        <bgColor indexed="64"/>
      </patternFill>
    </fill>
    <fill>
      <patternFill patternType="solid">
        <fgColor theme="2"/>
        <bgColor indexed="64"/>
      </patternFill>
    </fill>
    <fill>
      <patternFill patternType="solid">
        <fgColor theme="3"/>
        <bgColor indexed="64"/>
      </patternFill>
    </fill>
    <fill>
      <patternFill patternType="solid">
        <fgColor theme="5" tint="0.59999389629810485"/>
        <bgColor indexed="64"/>
      </patternFill>
    </fill>
    <fill>
      <patternFill patternType="solid">
        <fgColor theme="3" tint="0.59999389629810485"/>
        <bgColor indexed="64"/>
      </patternFill>
    </fill>
    <fill>
      <patternFill patternType="solid">
        <fgColor theme="9"/>
        <bgColor indexed="64"/>
      </patternFill>
    </fill>
    <fill>
      <patternFill patternType="solid">
        <fgColor theme="6"/>
        <bgColor indexed="64"/>
      </patternFill>
    </fill>
    <fill>
      <patternFill patternType="solid">
        <fgColor theme="7"/>
        <bgColor indexed="64"/>
      </patternFill>
    </fill>
    <fill>
      <patternFill patternType="solid">
        <fgColor rgb="FFA400E6"/>
        <bgColor indexed="64"/>
      </patternFill>
    </fill>
    <fill>
      <patternFill patternType="solid">
        <fgColor theme="3" tint="0.79998168889431442"/>
        <bgColor indexed="64"/>
      </patternFill>
    </fill>
    <fill>
      <patternFill patternType="solid">
        <fgColor theme="2" tint="0.59999389629810485"/>
        <bgColor indexed="64"/>
      </patternFill>
    </fill>
    <fill>
      <patternFill patternType="solid">
        <fgColor theme="6" tint="0.59999389629810485"/>
        <bgColor indexed="64"/>
      </patternFill>
    </fill>
    <fill>
      <patternFill patternType="solid">
        <fgColor rgb="FF002060"/>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7" tint="0.79998168889431442"/>
        <bgColor indexed="64"/>
      </patternFill>
    </fill>
    <fill>
      <patternFill patternType="solid">
        <fgColor theme="5" tint="0.39997558519241921"/>
        <bgColor indexed="64"/>
      </patternFill>
    </fill>
  </fills>
  <borders count="33">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style="thin">
        <color indexed="64"/>
      </top>
      <bottom/>
      <diagonal/>
    </border>
    <border>
      <left/>
      <right/>
      <top style="medium">
        <color indexed="64"/>
      </top>
      <bottom/>
      <diagonal/>
    </border>
    <border>
      <left/>
      <right/>
      <top/>
      <bottom style="thin">
        <color indexed="64"/>
      </bottom>
      <diagonal/>
    </border>
    <border>
      <left/>
      <right/>
      <top style="thin">
        <color indexed="64"/>
      </top>
      <bottom style="thin">
        <color indexed="64"/>
      </bottom>
      <diagonal/>
    </border>
    <border>
      <left/>
      <right style="medium">
        <color indexed="64"/>
      </right>
      <top/>
      <bottom style="thin">
        <color indexed="64"/>
      </bottom>
      <diagonal/>
    </border>
    <border>
      <left/>
      <right/>
      <top/>
      <bottom style="medium">
        <color indexed="64"/>
      </bottom>
      <diagonal/>
    </border>
    <border>
      <left style="medium">
        <color indexed="64"/>
      </left>
      <right style="medium">
        <color indexed="64"/>
      </right>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diagonal/>
    </border>
    <border>
      <left/>
      <right style="thin">
        <color indexed="64"/>
      </right>
      <top/>
      <bottom style="thin">
        <color indexed="64"/>
      </bottom>
      <diagonal/>
    </border>
    <border>
      <left style="medium">
        <color indexed="64"/>
      </left>
      <right style="medium">
        <color indexed="64"/>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style="thin">
        <color indexed="64"/>
      </left>
      <right/>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2">
    <xf numFmtId="169" fontId="0" fillId="2" borderId="0"/>
    <xf numFmtId="0" fontId="1" fillId="2" borderId="0" applyNumberFormat="0" applyFill="0" applyBorder="0" applyAlignment="0" applyProtection="0"/>
  </cellStyleXfs>
  <cellXfs count="344">
    <xf numFmtId="169" fontId="0" fillId="2" borderId="0" xfId="0"/>
    <xf numFmtId="1" fontId="14" fillId="2" borderId="0" xfId="0" applyNumberFormat="1" applyFont="1"/>
    <xf numFmtId="169" fontId="10" fillId="17" borderId="26" xfId="0" applyFont="1" applyFill="1" applyBorder="1"/>
    <xf numFmtId="1" fontId="0" fillId="2" borderId="12" xfId="0" applyNumberFormat="1" applyBorder="1" applyAlignment="1">
      <alignment horizontal="right"/>
    </xf>
    <xf numFmtId="10" fontId="0" fillId="2" borderId="0" xfId="0" applyNumberFormat="1"/>
    <xf numFmtId="169" fontId="0" fillId="2" borderId="12" xfId="0" applyBorder="1"/>
    <xf numFmtId="169" fontId="0" fillId="2" borderId="0" xfId="0" applyAlignment="1">
      <alignment horizontal="right"/>
    </xf>
    <xf numFmtId="169" fontId="0" fillId="2" borderId="19" xfId="0" applyBorder="1"/>
    <xf numFmtId="14" fontId="0" fillId="2" borderId="0" xfId="0" applyNumberFormat="1"/>
    <xf numFmtId="0" fontId="6" fillId="2" borderId="0" xfId="1" applyFont="1" applyFill="1" applyAlignment="1">
      <alignment horizontal="right"/>
    </xf>
    <xf numFmtId="169" fontId="4" fillId="2" borderId="23" xfId="0" applyFont="1" applyBorder="1" applyAlignment="1">
      <alignment horizontal="right"/>
    </xf>
    <xf numFmtId="169" fontId="4" fillId="2" borderId="24" xfId="0" applyFont="1" applyBorder="1" applyAlignment="1">
      <alignment horizontal="left"/>
    </xf>
    <xf numFmtId="10" fontId="4" fillId="2" borderId="23" xfId="0" applyNumberFormat="1" applyFont="1" applyBorder="1" applyAlignment="1">
      <alignment horizontal="right"/>
    </xf>
    <xf numFmtId="10" fontId="4" fillId="2" borderId="0" xfId="0" applyNumberFormat="1" applyFont="1" applyAlignment="1">
      <alignment horizontal="right"/>
    </xf>
    <xf numFmtId="169" fontId="4" fillId="2" borderId="0" xfId="0" applyFont="1" applyAlignment="1">
      <alignment horizontal="left"/>
    </xf>
    <xf numFmtId="169" fontId="0" fillId="2" borderId="20" xfId="0" applyBorder="1" applyAlignment="1">
      <alignment horizontal="right"/>
    </xf>
    <xf numFmtId="169" fontId="0" fillId="2" borderId="19" xfId="0" applyBorder="1" applyAlignment="1">
      <alignment horizontal="right"/>
    </xf>
    <xf numFmtId="165" fontId="4" fillId="4" borderId="22" xfId="0" applyNumberFormat="1" applyFont="1" applyFill="1" applyBorder="1"/>
    <xf numFmtId="165" fontId="4" fillId="4" borderId="17" xfId="0" applyNumberFormat="1" applyFont="1" applyFill="1" applyBorder="1"/>
    <xf numFmtId="169" fontId="0" fillId="2" borderId="0" xfId="0" applyAlignment="1">
      <alignment horizontal="left"/>
    </xf>
    <xf numFmtId="169" fontId="7" fillId="4" borderId="21" xfId="0" applyFont="1" applyFill="1" applyBorder="1"/>
    <xf numFmtId="0" fontId="8" fillId="4" borderId="21" xfId="1" applyFont="1" applyFill="1" applyBorder="1"/>
    <xf numFmtId="1" fontId="0" fillId="2" borderId="0" xfId="0" applyNumberFormat="1" applyAlignment="1">
      <alignment horizontal="right"/>
    </xf>
    <xf numFmtId="169" fontId="9" fillId="3" borderId="22" xfId="0" applyFont="1" applyFill="1" applyBorder="1" applyAlignment="1">
      <alignment horizontal="center" vertical="top"/>
    </xf>
    <xf numFmtId="9" fontId="4" fillId="2" borderId="23" xfId="0" applyNumberFormat="1" applyFont="1" applyBorder="1" applyAlignment="1">
      <alignment horizontal="right"/>
    </xf>
    <xf numFmtId="169" fontId="11" fillId="2" borderId="0" xfId="0" applyFont="1"/>
    <xf numFmtId="2" fontId="4" fillId="2" borderId="23" xfId="0" applyNumberFormat="1" applyFont="1" applyBorder="1" applyAlignment="1">
      <alignment horizontal="right"/>
    </xf>
    <xf numFmtId="169" fontId="11" fillId="2" borderId="19" xfId="0" applyFont="1" applyBorder="1"/>
    <xf numFmtId="169" fontId="0" fillId="2" borderId="20" xfId="0" applyBorder="1"/>
    <xf numFmtId="169" fontId="13" fillId="5" borderId="13" xfId="0" applyFont="1" applyFill="1" applyBorder="1"/>
    <xf numFmtId="169" fontId="10" fillId="5" borderId="24" xfId="0" applyFont="1" applyFill="1" applyBorder="1"/>
    <xf numFmtId="169" fontId="12" fillId="2" borderId="19" xfId="0" applyFont="1" applyBorder="1" applyAlignment="1">
      <alignment horizontal="center" vertical="center"/>
    </xf>
    <xf numFmtId="169" fontId="12" fillId="2" borderId="19" xfId="0" applyFont="1" applyBorder="1" applyAlignment="1">
      <alignment horizontal="center"/>
    </xf>
    <xf numFmtId="2" fontId="12" fillId="2" borderId="19" xfId="0" applyNumberFormat="1" applyFont="1" applyBorder="1" applyAlignment="1">
      <alignment horizontal="center"/>
    </xf>
    <xf numFmtId="166" fontId="12" fillId="2" borderId="19" xfId="0" applyNumberFormat="1" applyFont="1" applyBorder="1" applyAlignment="1">
      <alignment horizontal="center"/>
    </xf>
    <xf numFmtId="164" fontId="12" fillId="2" borderId="19" xfId="0" applyNumberFormat="1" applyFont="1" applyBorder="1" applyAlignment="1">
      <alignment horizontal="center"/>
    </xf>
    <xf numFmtId="167" fontId="12" fillId="2" borderId="19" xfId="0" applyNumberFormat="1" applyFont="1" applyBorder="1" applyAlignment="1">
      <alignment horizontal="center"/>
    </xf>
    <xf numFmtId="169" fontId="12" fillId="2" borderId="20" xfId="0" applyFont="1" applyBorder="1" applyAlignment="1">
      <alignment horizontal="center" vertical="center"/>
    </xf>
    <xf numFmtId="167" fontId="12" fillId="2" borderId="19" xfId="0" applyNumberFormat="1" applyFont="1" applyBorder="1" applyAlignment="1">
      <alignment horizontal="center" vertical="center"/>
    </xf>
    <xf numFmtId="167" fontId="12" fillId="2" borderId="20" xfId="0" applyNumberFormat="1" applyFont="1" applyBorder="1" applyAlignment="1">
      <alignment horizontal="center" vertical="center"/>
    </xf>
    <xf numFmtId="167" fontId="12" fillId="2" borderId="20" xfId="0" applyNumberFormat="1" applyFont="1" applyBorder="1" applyAlignment="1">
      <alignment horizontal="center"/>
    </xf>
    <xf numFmtId="2" fontId="12" fillId="2" borderId="20" xfId="0" applyNumberFormat="1" applyFont="1" applyBorder="1" applyAlignment="1">
      <alignment horizontal="center"/>
    </xf>
    <xf numFmtId="166" fontId="12" fillId="2" borderId="17" xfId="0" applyNumberFormat="1" applyFont="1" applyBorder="1" applyAlignment="1">
      <alignment horizontal="center"/>
    </xf>
    <xf numFmtId="169" fontId="12" fillId="2" borderId="17" xfId="0" applyFont="1" applyBorder="1" applyAlignment="1">
      <alignment horizontal="center" vertical="center"/>
    </xf>
    <xf numFmtId="169" fontId="12" fillId="2" borderId="17" xfId="0" applyFont="1" applyBorder="1" applyAlignment="1">
      <alignment horizontal="center"/>
    </xf>
    <xf numFmtId="164" fontId="12" fillId="2" borderId="17" xfId="0" applyNumberFormat="1" applyFont="1" applyBorder="1" applyAlignment="1">
      <alignment horizontal="center"/>
    </xf>
    <xf numFmtId="167" fontId="12" fillId="2" borderId="17" xfId="0" applyNumberFormat="1" applyFont="1" applyBorder="1" applyAlignment="1">
      <alignment horizontal="center"/>
    </xf>
    <xf numFmtId="168" fontId="0" fillId="2" borderId="12" xfId="0" applyNumberFormat="1" applyBorder="1" applyAlignment="1">
      <alignment horizontal="right"/>
    </xf>
    <xf numFmtId="169" fontId="14" fillId="2" borderId="0" xfId="0" applyFont="1"/>
    <xf numFmtId="169" fontId="14" fillId="2" borderId="19" xfId="0" applyFont="1" applyBorder="1"/>
    <xf numFmtId="169" fontId="11" fillId="2" borderId="25" xfId="0" applyFont="1" applyBorder="1"/>
    <xf numFmtId="10" fontId="11" fillId="2" borderId="0" xfId="0" applyNumberFormat="1" applyFont="1"/>
    <xf numFmtId="2" fontId="11" fillId="2" borderId="0" xfId="0" applyNumberFormat="1" applyFont="1"/>
    <xf numFmtId="2" fontId="0" fillId="2" borderId="0" xfId="0" applyNumberFormat="1"/>
    <xf numFmtId="164" fontId="11" fillId="2" borderId="0" xfId="0" applyNumberFormat="1" applyFont="1"/>
    <xf numFmtId="169" fontId="0" fillId="6" borderId="0" xfId="0" applyFill="1"/>
    <xf numFmtId="169" fontId="5" fillId="4" borderId="1" xfId="0" applyFont="1" applyFill="1" applyBorder="1" applyAlignment="1">
      <alignment horizontal="center"/>
    </xf>
    <xf numFmtId="169" fontId="4" fillId="2" borderId="0" xfId="0" applyFont="1" applyAlignment="1">
      <alignment wrapText="1"/>
    </xf>
    <xf numFmtId="169" fontId="0" fillId="6" borderId="12" xfId="0" applyFill="1" applyBorder="1"/>
    <xf numFmtId="169" fontId="5" fillId="4" borderId="7" xfId="0" applyFont="1" applyFill="1" applyBorder="1" applyAlignment="1">
      <alignment horizontal="center"/>
    </xf>
    <xf numFmtId="169" fontId="7" fillId="4" borderId="4" xfId="0" applyFont="1" applyFill="1" applyBorder="1"/>
    <xf numFmtId="0" fontId="8" fillId="4" borderId="4" xfId="1" applyFont="1" applyFill="1" applyBorder="1"/>
    <xf numFmtId="169" fontId="0" fillId="6" borderId="2" xfId="0" applyFill="1" applyBorder="1"/>
    <xf numFmtId="169" fontId="0" fillId="6" borderId="11" xfId="0" applyFill="1" applyBorder="1"/>
    <xf numFmtId="169" fontId="0" fillId="6" borderId="3" xfId="0" applyFill="1" applyBorder="1"/>
    <xf numFmtId="169" fontId="0" fillId="6" borderId="4" xfId="0" applyFill="1" applyBorder="1"/>
    <xf numFmtId="169" fontId="0" fillId="6" borderId="5" xfId="0" applyFill="1" applyBorder="1"/>
    <xf numFmtId="169" fontId="0" fillId="6" borderId="27" xfId="0" applyFill="1" applyBorder="1"/>
    <xf numFmtId="169" fontId="0" fillId="6" borderId="14" xfId="0" applyFill="1" applyBorder="1"/>
    <xf numFmtId="0" fontId="6" fillId="6" borderId="4" xfId="1" applyFont="1" applyFill="1" applyBorder="1"/>
    <xf numFmtId="0" fontId="6" fillId="6" borderId="0" xfId="1" applyFont="1" applyFill="1" applyBorder="1"/>
    <xf numFmtId="0" fontId="6" fillId="6" borderId="5" xfId="1" applyFont="1" applyFill="1" applyBorder="1"/>
    <xf numFmtId="164" fontId="10" fillId="2" borderId="23" xfId="0" applyNumberFormat="1" applyFont="1" applyBorder="1"/>
    <xf numFmtId="169" fontId="0" fillId="2" borderId="13" xfId="0" applyBorder="1"/>
    <xf numFmtId="169" fontId="0" fillId="2" borderId="24" xfId="0" applyBorder="1"/>
    <xf numFmtId="169" fontId="0" fillId="2" borderId="27" xfId="0" applyBorder="1"/>
    <xf numFmtId="169" fontId="10" fillId="2" borderId="0" xfId="0" applyFont="1"/>
    <xf numFmtId="169" fontId="10" fillId="2" borderId="10" xfId="0" applyFont="1" applyBorder="1"/>
    <xf numFmtId="169" fontId="0" fillId="2" borderId="25" xfId="0" applyBorder="1"/>
    <xf numFmtId="3" fontId="10" fillId="5" borderId="13" xfId="0" applyNumberFormat="1" applyFont="1" applyFill="1" applyBorder="1"/>
    <xf numFmtId="169" fontId="19" fillId="2" borderId="0" xfId="0" applyFont="1"/>
    <xf numFmtId="169" fontId="7" fillId="2" borderId="20" xfId="0" applyFont="1" applyBorder="1"/>
    <xf numFmtId="169" fontId="7" fillId="2" borderId="12" xfId="0" applyFont="1" applyBorder="1"/>
    <xf numFmtId="3" fontId="7" fillId="2" borderId="12" xfId="0" applyNumberFormat="1" applyFont="1" applyBorder="1"/>
    <xf numFmtId="169" fontId="13" fillId="9" borderId="13" xfId="0" applyFont="1" applyFill="1" applyBorder="1"/>
    <xf numFmtId="3" fontId="10" fillId="9" borderId="13" xfId="0" applyNumberFormat="1" applyFont="1" applyFill="1" applyBorder="1"/>
    <xf numFmtId="169" fontId="10" fillId="9" borderId="24" xfId="0" applyFont="1" applyFill="1" applyBorder="1"/>
    <xf numFmtId="169" fontId="13" fillId="8" borderId="13" xfId="0" applyFont="1" applyFill="1" applyBorder="1"/>
    <xf numFmtId="3" fontId="10" fillId="8" borderId="13" xfId="0" applyNumberFormat="1" applyFont="1" applyFill="1" applyBorder="1"/>
    <xf numFmtId="169" fontId="10" fillId="8" borderId="24" xfId="0" applyFont="1" applyFill="1" applyBorder="1"/>
    <xf numFmtId="169" fontId="10" fillId="5" borderId="26" xfId="0" applyFont="1" applyFill="1" applyBorder="1"/>
    <xf numFmtId="169" fontId="0" fillId="5" borderId="13" xfId="0" applyFill="1" applyBorder="1"/>
    <xf numFmtId="169" fontId="0" fillId="5" borderId="24" xfId="0" applyFill="1" applyBorder="1"/>
    <xf numFmtId="169" fontId="10" fillId="8" borderId="26" xfId="0" applyFont="1" applyFill="1" applyBorder="1"/>
    <xf numFmtId="169" fontId="0" fillId="8" borderId="13" xfId="0" applyFill="1" applyBorder="1"/>
    <xf numFmtId="169" fontId="0" fillId="8" borderId="24" xfId="0" applyFill="1" applyBorder="1"/>
    <xf numFmtId="169" fontId="11" fillId="2" borderId="10" xfId="0" applyFont="1" applyBorder="1"/>
    <xf numFmtId="169" fontId="13" fillId="10" borderId="26" xfId="0" applyFont="1" applyFill="1" applyBorder="1"/>
    <xf numFmtId="169" fontId="13" fillId="10" borderId="13" xfId="0" applyFont="1" applyFill="1" applyBorder="1"/>
    <xf numFmtId="169" fontId="13" fillId="10" borderId="24" xfId="0" applyFont="1" applyFill="1" applyBorder="1"/>
    <xf numFmtId="169" fontId="10" fillId="10" borderId="26" xfId="0" applyFont="1" applyFill="1" applyBorder="1"/>
    <xf numFmtId="169" fontId="10" fillId="10" borderId="13" xfId="0" applyFont="1" applyFill="1" applyBorder="1"/>
    <xf numFmtId="169" fontId="10" fillId="10" borderId="24" xfId="0" applyFont="1" applyFill="1" applyBorder="1"/>
    <xf numFmtId="169" fontId="7" fillId="6" borderId="21" xfId="0" applyFont="1" applyFill="1" applyBorder="1"/>
    <xf numFmtId="169" fontId="7" fillId="6" borderId="4" xfId="0" applyFont="1" applyFill="1" applyBorder="1"/>
    <xf numFmtId="169" fontId="0" fillId="6" borderId="10" xfId="0" applyFill="1" applyBorder="1"/>
    <xf numFmtId="169" fontId="15" fillId="2" borderId="0" xfId="0" applyFont="1" applyAlignment="1">
      <alignment textRotation="90"/>
    </xf>
    <xf numFmtId="169" fontId="4" fillId="2" borderId="9" xfId="0" applyFont="1" applyBorder="1" applyAlignment="1">
      <alignment horizontal="center"/>
    </xf>
    <xf numFmtId="169" fontId="4" fillId="2" borderId="8" xfId="0" applyFont="1" applyBorder="1" applyAlignment="1">
      <alignment horizontal="center"/>
    </xf>
    <xf numFmtId="169" fontId="4" fillId="2" borderId="0" xfId="0" applyFont="1" applyAlignment="1">
      <alignment horizontal="center"/>
    </xf>
    <xf numFmtId="169" fontId="5" fillId="6" borderId="21" xfId="0" applyFont="1" applyFill="1" applyBorder="1" applyAlignment="1">
      <alignment horizontal="center"/>
    </xf>
    <xf numFmtId="169" fontId="5" fillId="6" borderId="4" xfId="0" applyFont="1" applyFill="1" applyBorder="1" applyAlignment="1">
      <alignment horizontal="center"/>
    </xf>
    <xf numFmtId="169" fontId="10" fillId="6" borderId="0" xfId="0" applyFont="1" applyFill="1"/>
    <xf numFmtId="169" fontId="18" fillId="2" borderId="0" xfId="0" applyFont="1" applyAlignment="1">
      <alignment horizontal="left"/>
    </xf>
    <xf numFmtId="169" fontId="10" fillId="2" borderId="0" xfId="0" applyFont="1" applyAlignment="1">
      <alignment horizontal="left"/>
    </xf>
    <xf numFmtId="169" fontId="10" fillId="2" borderId="12" xfId="0" applyFont="1" applyBorder="1" applyAlignment="1">
      <alignment horizontal="left"/>
    </xf>
    <xf numFmtId="10" fontId="16" fillId="2" borderId="0" xfId="0" applyNumberFormat="1" applyFont="1" applyAlignment="1">
      <alignment horizontal="left"/>
    </xf>
    <xf numFmtId="169" fontId="16" fillId="2" borderId="0" xfId="0" applyFont="1" applyAlignment="1">
      <alignment horizontal="left"/>
    </xf>
    <xf numFmtId="169" fontId="0" fillId="2" borderId="12" xfId="0" applyBorder="1" applyAlignment="1">
      <alignment horizontal="left"/>
    </xf>
    <xf numFmtId="169" fontId="12" fillId="2" borderId="0" xfId="0" applyFont="1" applyAlignment="1">
      <alignment horizontal="left"/>
    </xf>
    <xf numFmtId="10" fontId="17" fillId="2" borderId="0" xfId="0" applyNumberFormat="1" applyFont="1" applyAlignment="1">
      <alignment horizontal="left"/>
    </xf>
    <xf numFmtId="169" fontId="10" fillId="12" borderId="26" xfId="0" applyFont="1" applyFill="1" applyBorder="1"/>
    <xf numFmtId="169" fontId="0" fillId="12" borderId="13" xfId="0" applyFill="1" applyBorder="1"/>
    <xf numFmtId="169" fontId="10" fillId="11" borderId="26" xfId="0" applyFont="1" applyFill="1" applyBorder="1"/>
    <xf numFmtId="169" fontId="0" fillId="11" borderId="13" xfId="0" applyFill="1" applyBorder="1"/>
    <xf numFmtId="169" fontId="10" fillId="7" borderId="26" xfId="0" applyFont="1" applyFill="1" applyBorder="1"/>
    <xf numFmtId="169" fontId="0" fillId="7" borderId="13" xfId="0" applyFill="1" applyBorder="1"/>
    <xf numFmtId="169" fontId="10" fillId="13" borderId="26" xfId="0" applyFont="1" applyFill="1" applyBorder="1"/>
    <xf numFmtId="169" fontId="0" fillId="13" borderId="13" xfId="0" applyFill="1" applyBorder="1"/>
    <xf numFmtId="169" fontId="10" fillId="14" borderId="26" xfId="0" applyFont="1" applyFill="1" applyBorder="1"/>
    <xf numFmtId="169" fontId="0" fillId="14" borderId="13" xfId="0" applyFill="1" applyBorder="1"/>
    <xf numFmtId="10" fontId="10" fillId="2" borderId="0" xfId="0" applyNumberFormat="1" applyFont="1" applyAlignment="1">
      <alignment horizontal="right"/>
    </xf>
    <xf numFmtId="169" fontId="7" fillId="4" borderId="16" xfId="0" applyFont="1" applyFill="1" applyBorder="1"/>
    <xf numFmtId="169" fontId="0" fillId="15" borderId="0" xfId="0" applyFill="1"/>
    <xf numFmtId="169" fontId="11" fillId="15" borderId="0" xfId="0" applyFont="1" applyFill="1"/>
    <xf numFmtId="169" fontId="11" fillId="15" borderId="19" xfId="0" applyFont="1" applyFill="1" applyBorder="1"/>
    <xf numFmtId="10" fontId="11" fillId="15" borderId="0" xfId="0" applyNumberFormat="1" applyFont="1" applyFill="1"/>
    <xf numFmtId="169" fontId="0" fillId="15" borderId="27" xfId="0" applyFill="1" applyBorder="1"/>
    <xf numFmtId="169" fontId="11" fillId="15" borderId="12" xfId="0" applyFont="1" applyFill="1" applyBorder="1"/>
    <xf numFmtId="169" fontId="11" fillId="15" borderId="20" xfId="0" applyFont="1" applyFill="1" applyBorder="1"/>
    <xf numFmtId="10" fontId="11" fillId="15" borderId="12" xfId="0" applyNumberFormat="1" applyFont="1" applyFill="1" applyBorder="1"/>
    <xf numFmtId="169" fontId="10" fillId="6" borderId="15" xfId="0" applyFont="1" applyFill="1" applyBorder="1"/>
    <xf numFmtId="169" fontId="0" fillId="6" borderId="15" xfId="0" applyFill="1" applyBorder="1"/>
    <xf numFmtId="169" fontId="0" fillId="6" borderId="6" xfId="0" applyFill="1" applyBorder="1"/>
    <xf numFmtId="169" fontId="0" fillId="2" borderId="26" xfId="0" applyBorder="1"/>
    <xf numFmtId="169" fontId="10" fillId="16" borderId="0" xfId="0" applyFont="1" applyFill="1"/>
    <xf numFmtId="169" fontId="10" fillId="17" borderId="13" xfId="0" applyFont="1" applyFill="1" applyBorder="1"/>
    <xf numFmtId="169" fontId="10" fillId="17" borderId="0" xfId="0" applyFont="1" applyFill="1"/>
    <xf numFmtId="169" fontId="0" fillId="7" borderId="24" xfId="0" applyFill="1" applyBorder="1"/>
    <xf numFmtId="169" fontId="10" fillId="16" borderId="19" xfId="0" applyFont="1" applyFill="1" applyBorder="1"/>
    <xf numFmtId="169" fontId="0" fillId="12" borderId="24" xfId="0" applyFill="1" applyBorder="1"/>
    <xf numFmtId="169" fontId="10" fillId="17" borderId="24" xfId="0" applyFont="1" applyFill="1" applyBorder="1"/>
    <xf numFmtId="169" fontId="10" fillId="17" borderId="19" xfId="0" applyFont="1" applyFill="1" applyBorder="1"/>
    <xf numFmtId="169" fontId="0" fillId="11" borderId="24" xfId="0" applyFill="1" applyBorder="1"/>
    <xf numFmtId="169" fontId="0" fillId="13" borderId="24" xfId="0" applyFill="1" applyBorder="1"/>
    <xf numFmtId="169" fontId="0" fillId="14" borderId="24" xfId="0" applyFill="1" applyBorder="1"/>
    <xf numFmtId="14" fontId="10" fillId="2" borderId="24" xfId="0" applyNumberFormat="1" applyFont="1" applyBorder="1" applyAlignment="1">
      <alignment horizontal="left"/>
    </xf>
    <xf numFmtId="10" fontId="0" fillId="2" borderId="12" xfId="0" applyNumberFormat="1" applyBorder="1"/>
    <xf numFmtId="169" fontId="11" fillId="2" borderId="4" xfId="0" applyFont="1" applyBorder="1"/>
    <xf numFmtId="169" fontId="11" fillId="2" borderId="27" xfId="0" applyFont="1" applyBorder="1"/>
    <xf numFmtId="169" fontId="0" fillId="18" borderId="13" xfId="0" applyFill="1" applyBorder="1"/>
    <xf numFmtId="169" fontId="0" fillId="18" borderId="24" xfId="0" applyFill="1" applyBorder="1"/>
    <xf numFmtId="169" fontId="14" fillId="18" borderId="12" xfId="0" applyFont="1" applyFill="1" applyBorder="1"/>
    <xf numFmtId="169" fontId="14" fillId="18" borderId="20" xfId="0" applyFont="1" applyFill="1" applyBorder="1"/>
    <xf numFmtId="169" fontId="7" fillId="2" borderId="10" xfId="0" applyFont="1" applyBorder="1"/>
    <xf numFmtId="10" fontId="7" fillId="2" borderId="10" xfId="0" applyNumberFormat="1" applyFont="1" applyBorder="1"/>
    <xf numFmtId="169" fontId="7" fillId="2" borderId="0" xfId="0" applyFont="1"/>
    <xf numFmtId="169" fontId="10" fillId="2" borderId="15" xfId="0" applyFont="1" applyBorder="1" applyAlignment="1">
      <alignment horizontal="left"/>
    </xf>
    <xf numFmtId="169" fontId="12" fillId="2" borderId="15" xfId="0" applyFont="1" applyBorder="1" applyAlignment="1">
      <alignment horizontal="left"/>
    </xf>
    <xf numFmtId="169" fontId="0" fillId="2" borderId="15" xfId="0" applyBorder="1" applyAlignment="1">
      <alignment horizontal="right"/>
    </xf>
    <xf numFmtId="169" fontId="0" fillId="2" borderId="15" xfId="0" applyBorder="1" applyAlignment="1">
      <alignment horizontal="left"/>
    </xf>
    <xf numFmtId="169" fontId="0" fillId="2" borderId="15" xfId="0" applyBorder="1"/>
    <xf numFmtId="2" fontId="10" fillId="2" borderId="23" xfId="0" applyNumberFormat="1" applyFont="1" applyBorder="1" applyAlignment="1">
      <alignment horizontal="right"/>
    </xf>
    <xf numFmtId="2" fontId="10" fillId="2" borderId="24" xfId="0" applyNumberFormat="1" applyFont="1" applyBorder="1" applyAlignment="1">
      <alignment horizontal="left"/>
    </xf>
    <xf numFmtId="3" fontId="10" fillId="2" borderId="23" xfId="0" applyNumberFormat="1" applyFont="1" applyBorder="1" applyAlignment="1">
      <alignment horizontal="right"/>
    </xf>
    <xf numFmtId="169" fontId="10" fillId="19" borderId="26" xfId="0" applyFont="1" applyFill="1" applyBorder="1"/>
    <xf numFmtId="169" fontId="10" fillId="19" borderId="13" xfId="0" applyFont="1" applyFill="1" applyBorder="1"/>
    <xf numFmtId="169" fontId="10" fillId="19" borderId="24" xfId="0" applyFont="1" applyFill="1" applyBorder="1"/>
    <xf numFmtId="169" fontId="10" fillId="20" borderId="26" xfId="0" applyFont="1" applyFill="1" applyBorder="1"/>
    <xf numFmtId="169" fontId="10" fillId="20" borderId="13" xfId="0" applyFont="1" applyFill="1" applyBorder="1"/>
    <xf numFmtId="169" fontId="10" fillId="20" borderId="24" xfId="0" applyFont="1" applyFill="1" applyBorder="1"/>
    <xf numFmtId="169" fontId="13" fillId="13" borderId="26" xfId="0" applyFont="1" applyFill="1" applyBorder="1"/>
    <xf numFmtId="169" fontId="10" fillId="21" borderId="26" xfId="0" applyFont="1" applyFill="1" applyBorder="1"/>
    <xf numFmtId="169" fontId="10" fillId="21" borderId="13" xfId="0" applyFont="1" applyFill="1" applyBorder="1"/>
    <xf numFmtId="169" fontId="10" fillId="21" borderId="24" xfId="0" applyFont="1" applyFill="1" applyBorder="1"/>
    <xf numFmtId="2" fontId="10" fillId="21" borderId="13" xfId="0" applyNumberFormat="1" applyFont="1" applyFill="1" applyBorder="1"/>
    <xf numFmtId="169" fontId="11" fillId="2" borderId="12" xfId="0" applyFont="1" applyBorder="1"/>
    <xf numFmtId="169" fontId="11" fillId="2" borderId="20" xfId="0" applyFont="1" applyBorder="1"/>
    <xf numFmtId="169" fontId="0" fillId="2" borderId="18" xfId="0" applyBorder="1"/>
    <xf numFmtId="169" fontId="7" fillId="6" borderId="0" xfId="0" applyFont="1" applyFill="1"/>
    <xf numFmtId="169" fontId="18" fillId="18" borderId="13" xfId="0" applyFont="1" applyFill="1" applyBorder="1"/>
    <xf numFmtId="169" fontId="20" fillId="18" borderId="12" xfId="0" applyFont="1" applyFill="1" applyBorder="1"/>
    <xf numFmtId="169" fontId="7" fillId="6" borderId="2" xfId="0" applyFont="1" applyFill="1" applyBorder="1"/>
    <xf numFmtId="169" fontId="7" fillId="6" borderId="11" xfId="0" applyFont="1" applyFill="1" applyBorder="1"/>
    <xf numFmtId="169" fontId="5" fillId="6" borderId="11" xfId="0" applyFont="1" applyFill="1" applyBorder="1"/>
    <xf numFmtId="169" fontId="7" fillId="6" borderId="10" xfId="0" applyFont="1" applyFill="1" applyBorder="1"/>
    <xf numFmtId="169" fontId="7" fillId="6" borderId="12" xfId="0" applyFont="1" applyFill="1" applyBorder="1"/>
    <xf numFmtId="3" fontId="4" fillId="2" borderId="23" xfId="0" applyNumberFormat="1" applyFont="1" applyBorder="1" applyAlignment="1">
      <alignment horizontal="center"/>
    </xf>
    <xf numFmtId="169" fontId="4" fillId="2" borderId="24" xfId="0" applyFont="1" applyBorder="1" applyAlignment="1">
      <alignment horizontal="center"/>
    </xf>
    <xf numFmtId="14" fontId="4" fillId="2" borderId="23" xfId="0" applyNumberFormat="1" applyFont="1" applyBorder="1" applyAlignment="1">
      <alignment horizontal="center"/>
    </xf>
    <xf numFmtId="169" fontId="4" fillId="2" borderId="15" xfId="0" applyFont="1" applyBorder="1" applyAlignment="1">
      <alignment horizontal="left"/>
    </xf>
    <xf numFmtId="169" fontId="4" fillId="2" borderId="15" xfId="0" applyFont="1" applyBorder="1" applyAlignment="1">
      <alignment horizontal="center"/>
    </xf>
    <xf numFmtId="169" fontId="10" fillId="2" borderId="15" xfId="0" applyFont="1" applyBorder="1"/>
    <xf numFmtId="169" fontId="5" fillId="6" borderId="16" xfId="0" applyFont="1" applyFill="1" applyBorder="1" applyAlignment="1">
      <alignment horizontal="center"/>
    </xf>
    <xf numFmtId="169" fontId="5" fillId="6" borderId="6" xfId="0" applyFont="1" applyFill="1" applyBorder="1" applyAlignment="1">
      <alignment horizontal="center"/>
    </xf>
    <xf numFmtId="169" fontId="10" fillId="2" borderId="27" xfId="0" applyFont="1" applyBorder="1"/>
    <xf numFmtId="14" fontId="0" fillId="2" borderId="10" xfId="0" applyNumberFormat="1" applyBorder="1"/>
    <xf numFmtId="14" fontId="0" fillId="2" borderId="25" xfId="0" applyNumberFormat="1" applyBorder="1"/>
    <xf numFmtId="14" fontId="0" fillId="2" borderId="19" xfId="0" applyNumberFormat="1" applyBorder="1"/>
    <xf numFmtId="14" fontId="0" fillId="2" borderId="12" xfId="0" applyNumberFormat="1" applyBorder="1"/>
    <xf numFmtId="14" fontId="0" fillId="2" borderId="20" xfId="0" applyNumberFormat="1" applyBorder="1"/>
    <xf numFmtId="168" fontId="0" fillId="2" borderId="0" xfId="0" applyNumberFormat="1"/>
    <xf numFmtId="169" fontId="10" fillId="6" borderId="10" xfId="0" applyFont="1" applyFill="1" applyBorder="1"/>
    <xf numFmtId="168" fontId="0" fillId="6" borderId="10" xfId="0" applyNumberFormat="1" applyFill="1" applyBorder="1"/>
    <xf numFmtId="169" fontId="7" fillId="2" borderId="25" xfId="0" applyFont="1" applyBorder="1"/>
    <xf numFmtId="2" fontId="10" fillId="2" borderId="0" xfId="0" applyNumberFormat="1" applyFont="1" applyAlignment="1">
      <alignment horizontal="right"/>
    </xf>
    <xf numFmtId="1" fontId="10" fillId="2" borderId="23" xfId="0" applyNumberFormat="1" applyFont="1" applyBorder="1" applyAlignment="1">
      <alignment horizontal="right"/>
    </xf>
    <xf numFmtId="169" fontId="18" fillId="18" borderId="10" xfId="0" applyFont="1" applyFill="1" applyBorder="1"/>
    <xf numFmtId="169" fontId="0" fillId="18" borderId="10" xfId="0" applyFill="1" applyBorder="1"/>
    <xf numFmtId="169" fontId="0" fillId="18" borderId="25" xfId="0" applyFill="1" applyBorder="1"/>
    <xf numFmtId="169" fontId="21" fillId="2" borderId="12" xfId="0" applyFont="1" applyBorder="1"/>
    <xf numFmtId="169" fontId="21" fillId="2" borderId="20" xfId="0" applyFont="1" applyBorder="1"/>
    <xf numFmtId="169" fontId="17" fillId="2" borderId="0" xfId="0" applyFont="1"/>
    <xf numFmtId="169" fontId="17" fillId="2" borderId="19" xfId="0" applyFont="1" applyBorder="1"/>
    <xf numFmtId="3" fontId="21" fillId="2" borderId="12" xfId="0" applyNumberFormat="1" applyFont="1" applyBorder="1"/>
    <xf numFmtId="3" fontId="17" fillId="2" borderId="0" xfId="0" applyNumberFormat="1" applyFont="1"/>
    <xf numFmtId="3" fontId="11" fillId="2" borderId="0" xfId="0" applyNumberFormat="1" applyFont="1"/>
    <xf numFmtId="3" fontId="0" fillId="2" borderId="0" xfId="0" applyNumberFormat="1"/>
    <xf numFmtId="14" fontId="0" fillId="2" borderId="24" xfId="0" applyNumberFormat="1" applyBorder="1"/>
    <xf numFmtId="14" fontId="0" fillId="2" borderId="13" xfId="0" applyNumberFormat="1" applyBorder="1"/>
    <xf numFmtId="168" fontId="0" fillId="2" borderId="0" xfId="0" applyNumberFormat="1" applyAlignment="1">
      <alignment horizontal="right"/>
    </xf>
    <xf numFmtId="168" fontId="0" fillId="2" borderId="10" xfId="0" applyNumberFormat="1" applyBorder="1" applyAlignment="1">
      <alignment horizontal="right"/>
    </xf>
    <xf numFmtId="168" fontId="7" fillId="2" borderId="18" xfId="0" applyNumberFormat="1" applyFont="1" applyBorder="1" applyAlignment="1">
      <alignment horizontal="right"/>
    </xf>
    <xf numFmtId="168" fontId="7" fillId="2" borderId="12" xfId="0" applyNumberFormat="1" applyFont="1" applyBorder="1"/>
    <xf numFmtId="169" fontId="18" fillId="18" borderId="22" xfId="0" applyFont="1" applyFill="1" applyBorder="1"/>
    <xf numFmtId="169" fontId="18" fillId="2" borderId="0" xfId="0" applyFont="1" applyAlignment="1">
      <alignment horizontal="center"/>
    </xf>
    <xf numFmtId="169" fontId="0" fillId="2" borderId="31" xfId="0" applyBorder="1"/>
    <xf numFmtId="169" fontId="0" fillId="2" borderId="22" xfId="0" applyBorder="1" applyAlignment="1">
      <alignment horizontal="center"/>
    </xf>
    <xf numFmtId="169" fontId="0" fillId="2" borderId="17" xfId="0" applyBorder="1"/>
    <xf numFmtId="169" fontId="0" fillId="2" borderId="18" xfId="0" applyBorder="1" applyAlignment="1">
      <alignment horizontal="center"/>
    </xf>
    <xf numFmtId="169" fontId="0" fillId="2" borderId="12" xfId="0" applyBorder="1" applyAlignment="1">
      <alignment horizontal="center"/>
    </xf>
    <xf numFmtId="169" fontId="0" fillId="2" borderId="17" xfId="0" applyBorder="1" applyAlignment="1">
      <alignment horizontal="center"/>
    </xf>
    <xf numFmtId="169" fontId="0" fillId="2" borderId="20" xfId="0" applyBorder="1" applyAlignment="1">
      <alignment horizontal="center"/>
    </xf>
    <xf numFmtId="3" fontId="0" fillId="2" borderId="32" xfId="0" applyNumberFormat="1" applyBorder="1"/>
    <xf numFmtId="169" fontId="0" fillId="2" borderId="29" xfId="0" applyBorder="1"/>
    <xf numFmtId="169" fontId="0" fillId="2" borderId="32" xfId="0" applyBorder="1"/>
    <xf numFmtId="3" fontId="0" fillId="2" borderId="17" xfId="0" applyNumberFormat="1" applyBorder="1"/>
    <xf numFmtId="169" fontId="21" fillId="2" borderId="0" xfId="0" applyFont="1"/>
    <xf numFmtId="169" fontId="23" fillId="18" borderId="22" xfId="0" applyFont="1" applyFill="1" applyBorder="1" applyAlignment="1">
      <alignment horizontal="center" vertical="center" wrapText="1"/>
    </xf>
    <xf numFmtId="169" fontId="24" fillId="2" borderId="22" xfId="0" applyFont="1" applyBorder="1" applyAlignment="1">
      <alignment horizontal="center" vertical="center" wrapText="1"/>
    </xf>
    <xf numFmtId="3" fontId="24" fillId="2" borderId="22" xfId="0" applyNumberFormat="1" applyFont="1" applyBorder="1" applyAlignment="1">
      <alignment horizontal="center" vertical="center" wrapText="1"/>
    </xf>
    <xf numFmtId="169" fontId="4" fillId="4" borderId="22" xfId="0" applyFont="1" applyFill="1" applyBorder="1" applyAlignment="1">
      <alignment horizontal="center"/>
    </xf>
    <xf numFmtId="169" fontId="11" fillId="2" borderId="12" xfId="0" applyFont="1" applyBorder="1" applyAlignment="1">
      <alignment horizontal="center"/>
    </xf>
    <xf numFmtId="169" fontId="10" fillId="2" borderId="12" xfId="0" applyFont="1" applyBorder="1" applyAlignment="1">
      <alignment horizontal="center"/>
    </xf>
    <xf numFmtId="169" fontId="6" fillId="2" borderId="0" xfId="1" applyNumberFormat="1" applyFont="1" applyFill="1" applyAlignment="1"/>
    <xf numFmtId="169" fontId="4" fillId="2" borderId="8" xfId="0" applyFont="1" applyBorder="1"/>
    <xf numFmtId="169" fontId="4" fillId="2" borderId="0" xfId="0" applyFont="1"/>
    <xf numFmtId="169" fontId="5" fillId="4" borderId="21" xfId="0" applyFont="1" applyFill="1" applyBorder="1" applyAlignment="1">
      <alignment horizontal="center"/>
    </xf>
    <xf numFmtId="169" fontId="5" fillId="4" borderId="4" xfId="0" applyFont="1" applyFill="1" applyBorder="1" applyAlignment="1">
      <alignment horizontal="center"/>
    </xf>
    <xf numFmtId="169" fontId="4" fillId="2" borderId="24" xfId="0" applyFont="1" applyBorder="1"/>
    <xf numFmtId="169" fontId="10" fillId="2" borderId="10" xfId="0" applyFont="1" applyBorder="1" applyAlignment="1">
      <alignment horizontal="right"/>
    </xf>
    <xf numFmtId="169" fontId="0" fillId="2" borderId="10" xfId="0" applyBorder="1"/>
    <xf numFmtId="169" fontId="12" fillId="2" borderId="0" xfId="0" applyFont="1"/>
    <xf numFmtId="169" fontId="10" fillId="2" borderId="28" xfId="0" applyFont="1" applyBorder="1"/>
    <xf numFmtId="169" fontId="4" fillId="2" borderId="15" xfId="0" applyFont="1" applyBorder="1"/>
    <xf numFmtId="169" fontId="5" fillId="4" borderId="16" xfId="0" applyFont="1" applyFill="1" applyBorder="1" applyAlignment="1">
      <alignment horizontal="center"/>
    </xf>
    <xf numFmtId="169" fontId="5" fillId="4" borderId="6" xfId="0" applyFont="1" applyFill="1" applyBorder="1" applyAlignment="1">
      <alignment horizontal="center"/>
    </xf>
    <xf numFmtId="169" fontId="12" fillId="2" borderId="0" xfId="0" applyFont="1" applyAlignment="1">
      <alignment horizontal="center"/>
    </xf>
    <xf numFmtId="169" fontId="10" fillId="2" borderId="23" xfId="0" applyFont="1" applyBorder="1" applyAlignment="1">
      <alignment horizontal="right"/>
    </xf>
    <xf numFmtId="169" fontId="10" fillId="2" borderId="24" xfId="0" applyFont="1" applyBorder="1"/>
    <xf numFmtId="169" fontId="4" fillId="2" borderId="0" xfId="0" applyFont="1" applyAlignment="1">
      <alignment horizontal="right"/>
    </xf>
    <xf numFmtId="169" fontId="10" fillId="2" borderId="0" xfId="0" applyFont="1" applyAlignment="1">
      <alignment horizontal="right"/>
    </xf>
    <xf numFmtId="169" fontId="10" fillId="2" borderId="23" xfId="0" applyFont="1" applyBorder="1"/>
    <xf numFmtId="169" fontId="0" fillId="6" borderId="0" xfId="0" applyFill="1" applyAlignment="1">
      <alignment wrapText="1"/>
    </xf>
    <xf numFmtId="169" fontId="6" fillId="6" borderId="4" xfId="1" applyNumberFormat="1" applyFont="1" applyFill="1" applyBorder="1"/>
    <xf numFmtId="169" fontId="6" fillId="6" borderId="0" xfId="1" applyNumberFormat="1" applyFont="1" applyFill="1" applyBorder="1"/>
    <xf numFmtId="169" fontId="6" fillId="6" borderId="5" xfId="1" applyNumberFormat="1" applyFont="1" applyFill="1" applyBorder="1"/>
    <xf numFmtId="169" fontId="10" fillId="9" borderId="13" xfId="0" applyFont="1" applyFill="1" applyBorder="1"/>
    <xf numFmtId="169" fontId="10" fillId="5" borderId="13" xfId="0" applyFont="1" applyFill="1" applyBorder="1"/>
    <xf numFmtId="169" fontId="10" fillId="8" borderId="13" xfId="0" applyFont="1" applyFill="1" applyBorder="1"/>
    <xf numFmtId="169" fontId="7" fillId="2" borderId="19" xfId="0" applyFont="1" applyBorder="1"/>
    <xf numFmtId="169" fontId="7" fillId="2" borderId="27" xfId="0" applyFont="1" applyBorder="1"/>
    <xf numFmtId="169" fontId="10" fillId="22" borderId="26" xfId="0" applyFont="1" applyFill="1" applyBorder="1" applyAlignment="1">
      <alignment horizontal="left"/>
    </xf>
    <xf numFmtId="169" fontId="10" fillId="22" borderId="13" xfId="0" applyFont="1" applyFill="1" applyBorder="1"/>
    <xf numFmtId="169" fontId="10" fillId="22" borderId="24" xfId="0" applyFont="1" applyFill="1" applyBorder="1"/>
    <xf numFmtId="169" fontId="17" fillId="2" borderId="0" xfId="0" applyFont="1" applyAlignment="1">
      <alignment horizontal="left"/>
    </xf>
    <xf numFmtId="169" fontId="7" fillId="2" borderId="13" xfId="0" applyFont="1" applyBorder="1"/>
    <xf numFmtId="169" fontId="7" fillId="2" borderId="24" xfId="0" applyFont="1" applyBorder="1"/>
    <xf numFmtId="169" fontId="18" fillId="18" borderId="0" xfId="0" applyFont="1" applyFill="1" applyAlignment="1">
      <alignment horizontal="center" vertical="center"/>
    </xf>
    <xf numFmtId="169" fontId="13" fillId="2" borderId="0" xfId="0" applyFont="1"/>
    <xf numFmtId="169" fontId="0" fillId="2" borderId="0" xfId="0" applyAlignment="1">
      <alignment vertical="center"/>
    </xf>
    <xf numFmtId="169" fontId="10" fillId="2" borderId="12" xfId="0" applyFont="1" applyBorder="1"/>
    <xf numFmtId="169" fontId="12" fillId="2" borderId="12" xfId="0" applyFont="1" applyBorder="1"/>
    <xf numFmtId="169" fontId="12" fillId="2" borderId="20" xfId="0" applyFont="1" applyBorder="1"/>
    <xf numFmtId="169" fontId="10" fillId="2" borderId="26" xfId="0" applyFont="1" applyBorder="1"/>
    <xf numFmtId="170" fontId="0" fillId="2" borderId="0" xfId="0" applyNumberFormat="1" applyAlignment="1">
      <alignment horizontal="right"/>
    </xf>
    <xf numFmtId="170" fontId="0" fillId="2" borderId="12" xfId="0" applyNumberFormat="1" applyBorder="1" applyAlignment="1">
      <alignment horizontal="right"/>
    </xf>
    <xf numFmtId="170" fontId="4" fillId="2" borderId="23" xfId="0" applyNumberFormat="1" applyFont="1" applyBorder="1" applyAlignment="1">
      <alignment horizontal="center"/>
    </xf>
    <xf numFmtId="168" fontId="4" fillId="2" borderId="22" xfId="0" applyNumberFormat="1" applyFont="1" applyBorder="1" applyAlignment="1">
      <alignment horizontal="center"/>
    </xf>
    <xf numFmtId="170" fontId="10" fillId="2" borderId="23" xfId="0" applyNumberFormat="1" applyFont="1" applyBorder="1" applyAlignment="1">
      <alignment horizontal="right"/>
    </xf>
    <xf numFmtId="1" fontId="0" fillId="2" borderId="0" xfId="0" applyNumberFormat="1"/>
    <xf numFmtId="14" fontId="4" fillId="4" borderId="22" xfId="0" applyNumberFormat="1" applyFont="1" applyFill="1" applyBorder="1" applyAlignment="1">
      <alignment horizontal="center"/>
    </xf>
    <xf numFmtId="170" fontId="0" fillId="2" borderId="0" xfId="0" applyNumberFormat="1"/>
    <xf numFmtId="169" fontId="0" fillId="23" borderId="0" xfId="0" applyFill="1"/>
    <xf numFmtId="14" fontId="0" fillId="23" borderId="0" xfId="0" applyNumberFormat="1" applyFill="1"/>
    <xf numFmtId="169" fontId="10" fillId="2" borderId="15" xfId="0" applyFont="1" applyBorder="1" applyAlignment="1">
      <alignment horizontal="right"/>
    </xf>
    <xf numFmtId="169" fontId="7" fillId="4" borderId="6" xfId="0" applyFont="1" applyFill="1" applyBorder="1"/>
    <xf numFmtId="169" fontId="7" fillId="6" borderId="15" xfId="0" applyFont="1" applyFill="1" applyBorder="1"/>
    <xf numFmtId="169" fontId="5" fillId="5" borderId="26" xfId="0" applyFont="1" applyFill="1" applyBorder="1"/>
    <xf numFmtId="169" fontId="7" fillId="5" borderId="13" xfId="0" applyFont="1" applyFill="1" applyBorder="1"/>
    <xf numFmtId="169" fontId="7" fillId="5" borderId="24" xfId="0" applyFont="1" applyFill="1" applyBorder="1"/>
    <xf numFmtId="0" fontId="7" fillId="2" borderId="19" xfId="0" applyNumberFormat="1" applyFont="1" applyBorder="1"/>
    <xf numFmtId="0" fontId="7" fillId="2" borderId="10" xfId="0" applyNumberFormat="1" applyFont="1" applyBorder="1"/>
    <xf numFmtId="0" fontId="7" fillId="2" borderId="25" xfId="0" applyNumberFormat="1" applyFont="1" applyBorder="1"/>
    <xf numFmtId="0" fontId="13" fillId="2" borderId="30" xfId="0" applyNumberFormat="1" applyFont="1" applyBorder="1"/>
    <xf numFmtId="0" fontId="7" fillId="2" borderId="29" xfId="0" applyNumberFormat="1" applyFont="1" applyBorder="1"/>
    <xf numFmtId="0" fontId="7" fillId="2" borderId="0" xfId="0" applyNumberFormat="1" applyFont="1"/>
    <xf numFmtId="0" fontId="7" fillId="2" borderId="18" xfId="0" applyNumberFormat="1" applyFont="1" applyBorder="1"/>
    <xf numFmtId="0" fontId="7" fillId="2" borderId="12" xfId="0" applyNumberFormat="1" applyFont="1" applyBorder="1"/>
    <xf numFmtId="0" fontId="7" fillId="2" borderId="20" xfId="0" applyNumberFormat="1" applyFont="1" applyBorder="1"/>
    <xf numFmtId="168" fontId="0" fillId="2" borderId="12" xfId="0" applyNumberFormat="1" applyBorder="1"/>
    <xf numFmtId="168" fontId="7" fillId="2" borderId="0" xfId="0" applyNumberFormat="1" applyFont="1"/>
    <xf numFmtId="169" fontId="7" fillId="2" borderId="18" xfId="0" applyFont="1" applyBorder="1"/>
    <xf numFmtId="169" fontId="0" fillId="0" borderId="0" xfId="0" applyFill="1"/>
    <xf numFmtId="169" fontId="18" fillId="18" borderId="0" xfId="0" applyFont="1" applyFill="1" applyAlignment="1">
      <alignment horizontal="center" vertical="center"/>
    </xf>
    <xf numFmtId="169" fontId="4" fillId="2" borderId="7" xfId="0" applyFont="1" applyBorder="1" applyAlignment="1">
      <alignment horizontal="center"/>
    </xf>
    <xf numFmtId="169" fontId="4" fillId="2" borderId="9" xfId="0" applyFont="1" applyBorder="1" applyAlignment="1">
      <alignment horizontal="center"/>
    </xf>
    <xf numFmtId="169" fontId="18" fillId="18" borderId="23" xfId="0" applyFont="1" applyFill="1" applyBorder="1" applyAlignment="1">
      <alignment horizontal="center"/>
    </xf>
    <xf numFmtId="169" fontId="18" fillId="18" borderId="13" xfId="0" applyFont="1" applyFill="1" applyBorder="1" applyAlignment="1">
      <alignment horizontal="center"/>
    </xf>
    <xf numFmtId="169" fontId="18" fillId="18" borderId="24" xfId="0" applyFont="1" applyFill="1" applyBorder="1" applyAlignment="1">
      <alignment horizontal="center"/>
    </xf>
    <xf numFmtId="169" fontId="18" fillId="18" borderId="30" xfId="0" applyFont="1" applyFill="1" applyBorder="1" applyAlignment="1">
      <alignment horizontal="center"/>
    </xf>
    <xf numFmtId="169" fontId="18" fillId="18" borderId="10" xfId="0" applyFont="1" applyFill="1" applyBorder="1" applyAlignment="1">
      <alignment horizontal="center"/>
    </xf>
    <xf numFmtId="169" fontId="18" fillId="18" borderId="25" xfId="0" applyFont="1" applyFill="1" applyBorder="1" applyAlignment="1">
      <alignment horizontal="center"/>
    </xf>
    <xf numFmtId="169" fontId="0" fillId="2" borderId="23" xfId="0" applyBorder="1" applyAlignment="1">
      <alignment horizontal="center"/>
    </xf>
    <xf numFmtId="169" fontId="0" fillId="2" borderId="24" xfId="0" applyBorder="1" applyAlignment="1">
      <alignment horizontal="center"/>
    </xf>
    <xf numFmtId="169" fontId="12" fillId="2" borderId="23" xfId="0" applyFont="1" applyBorder="1" applyAlignment="1">
      <alignment horizontal="center" vertical="center"/>
    </xf>
    <xf numFmtId="169" fontId="12" fillId="2" borderId="13" xfId="0" applyFont="1" applyBorder="1" applyAlignment="1">
      <alignment horizontal="center" vertical="center"/>
    </xf>
    <xf numFmtId="169" fontId="12" fillId="2" borderId="24" xfId="0" applyFont="1" applyBorder="1" applyAlignment="1">
      <alignment horizontal="center" vertical="center"/>
    </xf>
    <xf numFmtId="169" fontId="12" fillId="2" borderId="19" xfId="0" applyFont="1" applyBorder="1" applyAlignment="1">
      <alignment horizontal="center" vertical="center"/>
    </xf>
    <xf numFmtId="169" fontId="12" fillId="2" borderId="20" xfId="0" applyFont="1" applyBorder="1" applyAlignment="1">
      <alignment horizontal="center" vertical="center"/>
    </xf>
    <xf numFmtId="175" fontId="0" fillId="2" borderId="0" xfId="0" applyNumberFormat="1"/>
    <xf numFmtId="9" fontId="0" fillId="2" borderId="0" xfId="0" applyNumberFormat="1"/>
    <xf numFmtId="9" fontId="0" fillId="2" borderId="12" xfId="0" applyNumberFormat="1" applyBorder="1"/>
    <xf numFmtId="0" fontId="0" fillId="2" borderId="0" xfId="0" applyNumberFormat="1"/>
  </cellXfs>
  <cellStyles count="2">
    <cellStyle name="Köprü" xfId="1" builtinId="8"/>
    <cellStyle name="Normal" xfId="0" builtinId="0" customBuiltin="1"/>
  </cellStyles>
  <dxfs count="19">
    <dxf>
      <fill>
        <patternFill>
          <bgColor rgb="FF5A9E00"/>
        </patternFill>
      </fill>
    </dxf>
    <dxf>
      <fill>
        <patternFill>
          <bgColor rgb="FF5A9E00"/>
        </patternFill>
      </fill>
    </dxf>
    <dxf>
      <fill>
        <patternFill>
          <bgColor rgb="FF5A9E00"/>
        </patternFill>
      </fill>
    </dxf>
    <dxf>
      <fill>
        <patternFill>
          <bgColor rgb="FF5A9E00"/>
        </patternFill>
      </fill>
    </dxf>
    <dxf>
      <fill>
        <patternFill>
          <bgColor rgb="FF5A9E00"/>
        </patternFill>
      </fill>
    </dxf>
    <dxf>
      <fill>
        <patternFill>
          <bgColor rgb="FF5A9E00"/>
        </patternFill>
      </fill>
    </dxf>
    <dxf>
      <fill>
        <patternFill>
          <bgColor rgb="FF5A9E00"/>
        </patternFill>
      </fill>
    </dxf>
    <dxf>
      <fill>
        <patternFill>
          <bgColor rgb="FF5A9E00"/>
        </patternFill>
      </fill>
    </dxf>
    <dxf>
      <fill>
        <patternFill>
          <bgColor rgb="FF5A9E00"/>
        </patternFill>
      </fill>
    </dxf>
    <dxf>
      <fill>
        <patternFill>
          <bgColor rgb="FF5A9E00"/>
        </patternFill>
      </fill>
    </dxf>
    <dxf>
      <fill>
        <patternFill>
          <bgColor rgb="FF5A9E00"/>
        </patternFill>
      </fill>
    </dxf>
    <dxf>
      <fill>
        <patternFill>
          <bgColor rgb="FF5A9E00"/>
        </patternFill>
      </fill>
    </dxf>
    <dxf>
      <fill>
        <patternFill>
          <bgColor rgb="FF5A9E00"/>
        </patternFill>
      </fill>
    </dxf>
    <dxf>
      <fill>
        <patternFill>
          <bgColor rgb="FF5A9E00"/>
        </patternFill>
      </fill>
    </dxf>
    <dxf>
      <fill>
        <patternFill>
          <bgColor rgb="FF5A9E00"/>
        </patternFill>
      </fill>
    </dxf>
    <dxf>
      <font>
        <color theme="0"/>
      </font>
      <border>
        <vertical/>
        <horizontal/>
      </border>
    </dxf>
    <dxf>
      <font>
        <color theme="1"/>
      </font>
    </dxf>
    <dxf>
      <fill>
        <patternFill>
          <bgColor rgb="FF5A9E00"/>
        </patternFill>
      </fill>
    </dxf>
    <dxf>
      <numFmt numFmtId="0" formatCode="General"/>
    </dxf>
  </dxfs>
  <tableStyles count="0" defaultTableStyle="TableStyleMedium2" defaultPivotStyle="PivotStyleLight16"/>
  <colors>
    <mruColors>
      <color rgb="FF5A9E00"/>
      <color rgb="FF007EDC"/>
      <color rgb="FF6C0000"/>
      <color rgb="FFA400E6"/>
      <color rgb="FFB300FA"/>
      <color rgb="FF9D00DC"/>
      <color rgb="FF8F00C8"/>
      <color rgb="FFCDC800"/>
      <color rgb="FFBE006D"/>
      <color rgb="FFDC9D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17/06/relationships/rdRichValue" Target="richData/rdrichvalue.xml"/><Relationship Id="rId18" Type="http://schemas.microsoft.com/office/2017/06/relationships/rdRichValueTypes" Target="richData/rdRichValueTyp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sheetMetadata" Target="metadata.xml"/><Relationship Id="rId17" Type="http://schemas.microsoft.com/office/2017/06/relationships/rdSupportingPropertyBag" Target="richData/rdsupportingpropertybag.xml"/><Relationship Id="rId2" Type="http://schemas.openxmlformats.org/officeDocument/2006/relationships/worksheet" Target="worksheets/sheet2.xml"/><Relationship Id="rId16" Type="http://schemas.microsoft.com/office/2017/06/relationships/rdSupportingPropertyBagStructure" Target="richData/rdsupportingpropertybagstructure.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17/06/relationships/richStyles" Target="richData/richStyles.xml"/><Relationship Id="rId10" Type="http://schemas.openxmlformats.org/officeDocument/2006/relationships/styles" Target="styles.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17/06/relationships/rdRichValueStructure" Target="richData/rdrichvaluestructure.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15240</xdr:colOff>
          <xdr:row>5</xdr:row>
          <xdr:rowOff>7620</xdr:rowOff>
        </xdr:from>
        <xdr:to>
          <xdr:col>10</xdr:col>
          <xdr:colOff>167640</xdr:colOff>
          <xdr:row>5</xdr:row>
          <xdr:rowOff>167640</xdr:rowOff>
        </xdr:to>
        <xdr:sp macro="" textlink="">
          <xdr:nvSpPr>
            <xdr:cNvPr id="3216" name="Button 144" descr="Add New Scenario Column" hidden="1">
              <a:extLst>
                <a:ext uri="{63B3BB69-23CF-44E3-9099-C40C66FF867C}">
                  <a14:compatExt spid="_x0000_s3216"/>
                </a:ext>
                <a:ext uri="{FF2B5EF4-FFF2-40B4-BE49-F238E27FC236}">
                  <a16:creationId xmlns:a16="http://schemas.microsoft.com/office/drawing/2014/main" id="{00000000-0008-0000-0000-000090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100" b="0" i="0" u="none" strike="noStrike" baseline="0">
                  <a:solidFill>
                    <a:srgbClr val="000000"/>
                  </a:solidFill>
                  <a:latin typeface="Calibri"/>
                  <a:ea typeface="Calibri"/>
                  <a:cs typeface="Calibri"/>
                </a:rPr>
                <a: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15240</xdr:colOff>
          <xdr:row>7</xdr:row>
          <xdr:rowOff>7620</xdr:rowOff>
        </xdr:from>
        <xdr:to>
          <xdr:col>9</xdr:col>
          <xdr:colOff>167640</xdr:colOff>
          <xdr:row>7</xdr:row>
          <xdr:rowOff>167640</xdr:rowOff>
        </xdr:to>
        <xdr:sp macro="" textlink="">
          <xdr:nvSpPr>
            <xdr:cNvPr id="11265" name="Button 1" descr="Add New Scenario Column" hidden="1">
              <a:extLst>
                <a:ext uri="{63B3BB69-23CF-44E3-9099-C40C66FF867C}">
                  <a14:compatExt spid="_x0000_s11265"/>
                </a:ext>
                <a:ext uri="{FF2B5EF4-FFF2-40B4-BE49-F238E27FC236}">
                  <a16:creationId xmlns:a16="http://schemas.microsoft.com/office/drawing/2014/main" id="{00000000-0008-0000-01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100" b="0" i="0" u="none" strike="noStrike" baseline="0">
                  <a:solidFill>
                    <a:srgbClr val="000000"/>
                  </a:solidFill>
                  <a:latin typeface="Calibri"/>
                  <a:ea typeface="Calibri"/>
                  <a:cs typeface="Calibri"/>
                </a:rPr>
                <a: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1288676</xdr:colOff>
      <xdr:row>84</xdr:row>
      <xdr:rowOff>56030</xdr:rowOff>
    </xdr:from>
    <xdr:to>
      <xdr:col>14</xdr:col>
      <xdr:colOff>478834</xdr:colOff>
      <xdr:row>128</xdr:row>
      <xdr:rowOff>153559</xdr:rowOff>
    </xdr:to>
    <xdr:pic>
      <xdr:nvPicPr>
        <xdr:cNvPr id="2" name="Resim 1">
          <a:extLst>
            <a:ext uri="{FF2B5EF4-FFF2-40B4-BE49-F238E27FC236}">
              <a16:creationId xmlns:a16="http://schemas.microsoft.com/office/drawing/2014/main" id="{8B0FCA73-9B92-C380-D83C-193D49660C5D}"/>
            </a:ext>
          </a:extLst>
        </xdr:cNvPr>
        <xdr:cNvPicPr>
          <a:picLocks noChangeAspect="1"/>
        </xdr:cNvPicPr>
      </xdr:nvPicPr>
      <xdr:blipFill>
        <a:blip xmlns:r="http://schemas.openxmlformats.org/officeDocument/2006/relationships" r:embed="rId1"/>
        <a:stretch>
          <a:fillRect/>
        </a:stretch>
      </xdr:blipFill>
      <xdr:spPr>
        <a:xfrm>
          <a:off x="2644588" y="11654118"/>
          <a:ext cx="8082137" cy="7493411"/>
        </a:xfrm>
        <a:prstGeom prst="rect">
          <a:avLst/>
        </a:prstGeom>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ışVeri_1" connectionId="1" xr16:uid="{671E2218-50EC-4BEC-96E3-228C4706B2F4}" autoFormatId="16" applyNumberFormats="0" applyBorderFormats="0" applyFontFormats="0" applyPatternFormats="0" applyAlignmentFormats="0" applyWidthHeightFormats="0">
  <queryTableRefresh nextId="2">
    <queryTableFields count="1">
      <queryTableField id="1" name="TP_FG_J0" tableColumnId="1"/>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4">
  <rv s="0">
    <v>en-US</v>
    <v>avytp2</v>
    <v>268435456</v>
    <v>1</v>
    <v>Powered by Refinitiv</v>
    <v>0</v>
    <v>USD/TRY</v>
    <v>2</v>
    <v>3</v>
    <v>Finance</v>
    <v>4</v>
    <v>42.546100000000003</v>
    <v>34.341900000000003</v>
    <v>3.6299999999999999E-2</v>
    <v>8.5639999999999989E-4</v>
    <v>TRY</v>
    <v>USD</v>
    <v>42.48</v>
    <v>Currency Pair</v>
    <v>45993.505694444444</v>
    <v>42.3733</v>
    <v>US Dollar/Turkish Lira FX Spot Rate</v>
    <v>42.407600000000002</v>
    <v>42.384500000000003</v>
    <v>42.4208</v>
    <v>USDTRY</v>
    <v>USD/TRY</v>
  </rv>
  <rv s="1">
    <v>0</v>
  </rv>
  <rv s="0">
    <v>en-US</v>
    <v>av92kr</v>
    <v>268435456</v>
    <v>1</v>
    <v>Powered by Refinitiv</v>
    <v>0</v>
    <v>EUR/TRY</v>
    <v>2</v>
    <v>3</v>
    <v>Finance</v>
    <v>4</v>
    <v>49.3262</v>
    <v>35.961300000000001</v>
    <v>5.91E-2</v>
    <v>1.201E-3</v>
    <v>TRY</v>
    <v>EUR</v>
    <v>49.308300000000003</v>
    <v>Currency Pair</v>
    <v>45993.505694444444</v>
    <v>49.1785</v>
    <v>Euro/Turkish Lira FX Cross Rate</v>
    <v>49.208399999999997</v>
    <v>49.195700000000002</v>
    <v>49.254800000000003</v>
    <v>EURTRY</v>
    <v>EUR/TRY</v>
  </rv>
  <rv s="1">
    <v>2</v>
  </rv>
</rvData>
</file>

<file path=xl/richData/rdrichvaluestructure.xml><?xml version="1.0" encoding="utf-8"?>
<rvStructures xmlns="http://schemas.microsoft.com/office/spreadsheetml/2017/richdata" count="2">
  <s t="_linkedentitycore">
    <k n="%EntityCulture" t="s"/>
    <k n="%EntityId" t="s"/>
    <k n="%EntityServiceId"/>
    <k n="%IsRefreshable" t="b"/>
    <k n="%ProviderInfo" t="s"/>
    <k n="_Display" t="spb"/>
    <k n="_DisplayString" t="s"/>
    <k n="_Flags" t="spb"/>
    <k n="_Format" t="spb"/>
    <k n="_Icon" t="s"/>
    <k n="_SubLabel" t="spb"/>
    <k n="52 week high"/>
    <k n="52 week low"/>
    <k n="Change"/>
    <k n="Change (%)"/>
    <k n="Currency" t="s"/>
    <k n="From currency" t="s"/>
    <k n="High"/>
    <k n="Instrument type" t="s"/>
    <k n="Last trade time"/>
    <k n="Low"/>
    <k n="Name" t="s"/>
    <k n="Open"/>
    <k n="Previous close"/>
    <k n="Price"/>
    <k n="Ticker symbol" t="s"/>
    <k n="UniqueName" t="s"/>
  </s>
  <s t="_linkedentity">
    <k n="%cvi" t="r"/>
  </s>
</rvStructures>
</file>

<file path=xl/richData/rdsupportingpropertybag.xml><?xml version="1.0" encoding="utf-8"?>
<supportingPropertyBags xmlns="http://schemas.microsoft.com/office/spreadsheetml/2017/richdata2">
  <spbArrays count="1">
    <a count="27">
      <v t="s">%EntityServiceId</v>
      <v t="s">_Format</v>
      <v t="s">%IsRefreshable</v>
      <v t="s">%EntityCulture</v>
      <v t="s">%EntityId</v>
      <v t="s">_Icon</v>
      <v t="s">_Display</v>
      <v t="s">Name</v>
      <v t="s">Price</v>
      <v t="s">_SubLabel</v>
      <v t="s">Last trade time</v>
      <v t="s">Ticker symbol</v>
      <v t="s">Change</v>
      <v t="s">Change (%)</v>
      <v t="s">Currency</v>
      <v t="s">From currency</v>
      <v t="s">Previous close</v>
      <v t="s">Open</v>
      <v t="s">High</v>
      <v t="s">Low</v>
      <v t="s">52 week high</v>
      <v t="s">52 week low</v>
      <v t="s">Instrument type</v>
      <v t="s">_Flags</v>
      <v t="s">UniqueName</v>
      <v t="s">_DisplayString</v>
      <v t="s">%ProviderInfo</v>
    </a>
  </spbArrays>
  <spbData count="5">
    <spb s="0">
      <v>0</v>
      <v>Name</v>
    </spb>
    <spb s="1">
      <v>0</v>
      <v>0</v>
      <v>0</v>
    </spb>
    <spb s="2">
      <v>1</v>
      <v>1</v>
    </spb>
    <spb s="3">
      <v>1</v>
      <v>1</v>
      <v>2</v>
      <v>1</v>
      <v>1</v>
      <v>1</v>
      <v>3</v>
      <v>1</v>
      <v>1</v>
      <v>1</v>
      <v>4</v>
      <v>5</v>
    </spb>
    <spb s="4">
      <v>GMT</v>
    </spb>
  </spbData>
</supportingPropertyBags>
</file>

<file path=xl/richData/rdsupportingpropertybagstructure.xml><?xml version="1.0" encoding="utf-8"?>
<spbStructures xmlns="http://schemas.microsoft.com/office/spreadsheetml/2017/richdata2" count="5">
  <s>
    <k n="^Order" t="spba"/>
    <k n="TitleProperty" t="s"/>
  </s>
  <s>
    <k n="ShowInCardView" t="b"/>
    <k n="ShowInDotNotation" t="b"/>
    <k n="ShowInAutoComplete" t="b"/>
  </s>
  <s>
    <k n="UniqueName" t="spb"/>
    <k n="`%ProviderInfo" t="spb"/>
  </s>
  <s>
    <k n="Low" t="i"/>
    <k n="High" t="i"/>
    <k n="Name" t="i"/>
    <k n="Open" t="i"/>
    <k n="Price" t="i"/>
    <k n="Change" t="i"/>
    <k n="Change (%)" t="i"/>
    <k n="52 week low" t="i"/>
    <k n="52 week high" t="i"/>
    <k n="Previous close" t="i"/>
    <k n="Last trade time" t="i"/>
    <k n="`%EntityServiceId" t="i"/>
  </s>
  <s>
    <k n="Last trade time"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4">
    <x:dxf>
      <x:numFmt numFmtId="2" formatCode="0.00"/>
    </x:dxf>
    <x:dxf>
      <x:numFmt numFmtId="0" formatCode="General"/>
    </x:dxf>
    <x:dxf>
      <x:numFmt numFmtId="27" formatCode="d/mm/yyyy\ hh:mm"/>
    </x:dxf>
    <x:dxf>
      <x:numFmt numFmtId="14" formatCode="0.00%"/>
    </x:dxf>
  </dxfs>
  <richProperties>
    <rPr n="NumberFormat" t="s"/>
    <rPr n="IsTitleField" t="b"/>
  </richProperties>
  <richStyles>
    <rSty dxfid="1">
      <rpv i="0">_-[$₺-tr-TR]* #,##0.00_-;-[$₺-tr-TR]* #,##0.00_-;_-[$₺-tr-TR]* "-"??_-;_-@_-</rpv>
    </rSty>
    <rSty>
      <rpv i="1">1</rpv>
    </rSty>
    <rSty dxfid="3"/>
    <rSty dxfid="2"/>
    <rSty dxfid="0">
      <rpv i="0">0.00</rpv>
    </rSty>
  </richStyles>
</richStyleSheet>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4809668-154B-427E-AA5B-818A1FF9ECEB}" name="Sorgu1" displayName="Sorgu1" ref="H63:H65" tableType="queryTable" totalsRowShown="0">
  <autoFilter ref="H63:H65" xr:uid="{84809668-154B-427E-AA5B-818A1FF9ECEB}"/>
  <tableColumns count="1">
    <tableColumn id="1" xr3:uid="{C7CA5CE5-7982-4605-8197-A1847D0A4B39}" uniqueName="1" name="TP_FG_J0" queryTableFieldId="1" dataDxfId="18"/>
  </tableColumns>
  <tableStyleInfo name="TableStyleMedium7" showFirstColumn="0" showLastColumn="0" showRowStripes="1" showColumnStripes="0"/>
</table>
</file>

<file path=xl/theme/theme1.xml><?xml version="1.0" encoding="utf-8"?>
<a:theme xmlns:a="http://schemas.openxmlformats.org/drawingml/2006/main" name="Metropolitan">
  <a:themeElements>
    <a:clrScheme name="S70-L40">
      <a:dk1>
        <a:srgbClr val="000000"/>
      </a:dk1>
      <a:lt1>
        <a:srgbClr val="FFFFFF"/>
      </a:lt1>
      <a:dk2>
        <a:srgbClr val="C80000"/>
      </a:dk2>
      <a:lt2>
        <a:srgbClr val="D29600"/>
      </a:lt2>
      <a:accent1>
        <a:srgbClr val="B2B200"/>
      </a:accent1>
      <a:accent2>
        <a:srgbClr val="66B200"/>
      </a:accent2>
      <a:accent3>
        <a:srgbClr val="00B29B"/>
      </a:accent3>
      <a:accent4>
        <a:srgbClr val="007EDC"/>
      </a:accent4>
      <a:accent5>
        <a:srgbClr val="A400E6"/>
      </a:accent5>
      <a:accent6>
        <a:srgbClr val="BE006D"/>
      </a:accent6>
      <a:hlink>
        <a:srgbClr val="008574"/>
      </a:hlink>
      <a:folHlink>
        <a:srgbClr val="008574"/>
      </a:folHlink>
    </a:clrScheme>
    <a:fontScheme name="Calibri">
      <a:maj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Metropolitan">
      <a:fillStyleLst>
        <a:solidFill>
          <a:schemeClr val="phClr"/>
        </a:solidFill>
        <a:gradFill rotWithShape="1">
          <a:gsLst>
            <a:gs pos="0">
              <a:schemeClr val="phClr">
                <a:tint val="70000"/>
                <a:satMod val="100000"/>
                <a:lumMod val="110000"/>
              </a:schemeClr>
            </a:gs>
            <a:gs pos="50000">
              <a:schemeClr val="phClr">
                <a:tint val="75000"/>
                <a:satMod val="101000"/>
                <a:lumMod val="105000"/>
              </a:schemeClr>
            </a:gs>
            <a:gs pos="100000">
              <a:schemeClr val="phClr">
                <a:tint val="82000"/>
                <a:satMod val="104000"/>
                <a:lumMod val="105000"/>
              </a:schemeClr>
            </a:gs>
          </a:gsLst>
          <a:lin ang="2700000" scaled="0"/>
        </a:gradFill>
        <a:gradFill rotWithShape="1">
          <a:gsLst>
            <a:gs pos="0">
              <a:schemeClr val="phClr">
                <a:tint val="97000"/>
                <a:satMod val="100000"/>
                <a:lumMod val="102000"/>
              </a:schemeClr>
            </a:gs>
            <a:gs pos="50000">
              <a:schemeClr val="phClr">
                <a:shade val="100000"/>
                <a:satMod val="100000"/>
                <a:lumMod val="100000"/>
              </a:schemeClr>
            </a:gs>
            <a:gs pos="100000">
              <a:schemeClr val="phClr">
                <a:shade val="80000"/>
                <a:satMod val="100000"/>
                <a:lumMod val="99000"/>
              </a:schemeClr>
            </a:gs>
          </a:gsLst>
          <a:lin ang="27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solidFill>
          <a:schemeClr val="phClr">
            <a:shade val="95000"/>
            <a:satMod val="170000"/>
          </a:schemeClr>
        </a:solidFill>
      </a:bgFillStyleLst>
    </a:fmtScheme>
  </a:themeElements>
  <a:objectDefaults/>
  <a:extraClrSchemeLst/>
  <a:extLst>
    <a:ext uri="{05A4C25C-085E-4340-85A3-A5531E510DB2}">
      <thm15:themeFamily xmlns:thm15="http://schemas.microsoft.com/office/thememl/2012/main" name="Metropolitan" id="{4C5440D6-04D2-4954-96CF-F251137069B2}" vid="{79CFCA13-9412-4290-BB4B-85112F88857B}"/>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hyperlink" Target="../../AppData/Roaming/Microsoft/Belgeler/Obsidian%20Vault/SANKO%20SBD/Strategy%20&amp;%20Projects/1.%20Business%20Development%20(Strategy)/4.%20Run%20a%20Feasability%20Analysis/Dok&#252;man" TargetMode="External"/><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hyperlink" Target="../../AppData/Roaming/Microsoft/Belgeler/Obsidian%20Vault/SANKO%20SBD/Strategy%20&amp;%20Projects/1.%20Business%20Development%20(Strategy)/4.%20Run%20a%20Feasability%20Analysis/Dok&#252;man" TargetMode="External"/><Relationship Id="rId5" Type="http://schemas.openxmlformats.org/officeDocument/2006/relationships/comments" Target="../comments2.xml"/><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33F89E-1F48-475E-AF46-0A68670C1D05}">
  <sheetPr codeName="Sayfa3">
    <outlinePr summaryBelow="0" summaryRight="0"/>
  </sheetPr>
  <dimension ref="A1:OE395"/>
  <sheetViews>
    <sheetView zoomScale="85" zoomScaleNormal="85" workbookViewId="0">
      <pane ySplit="4" topLeftCell="A108" activePane="bottomLeft" state="frozen"/>
      <selection pane="bottomLeft" activeCell="L55" sqref="L55"/>
    </sheetView>
  </sheetViews>
  <sheetFormatPr defaultRowHeight="13.8" customHeight="1" outlineLevelRow="1" outlineLevelCol="1" x14ac:dyDescent="0.3"/>
  <cols>
    <col min="1" max="3" width="2.5546875" style="114" customWidth="1"/>
    <col min="4" max="4" width="24.77734375" style="19" customWidth="1"/>
    <col min="5" max="5" width="17.5546875" customWidth="1"/>
    <col min="6" max="6" width="11.109375" customWidth="1"/>
    <col min="7" max="7" width="11.5546875" customWidth="1"/>
    <col min="8" max="8" width="8.6640625" customWidth="1" collapsed="1"/>
    <col min="9" max="10" width="15.109375" hidden="1" customWidth="1" outlineLevel="1"/>
    <col min="11" max="13" width="2.5546875" customWidth="1"/>
    <col min="14" max="14" width="17.5546875" customWidth="1"/>
    <col min="15" max="15" width="12.6640625" customWidth="1"/>
    <col min="16" max="16" width="11.77734375" customWidth="1"/>
    <col min="17" max="17" width="12.6640625" customWidth="1"/>
    <col min="18" max="19" width="10.109375" customWidth="1"/>
    <col min="20" max="395" width="11.77734375" customWidth="1"/>
  </cols>
  <sheetData>
    <row r="1" spans="1:395" ht="13.8" customHeight="1" x14ac:dyDescent="0.3">
      <c r="A1" s="113" t="s">
        <v>138</v>
      </c>
      <c r="D1" s="19" t="s">
        <v>7</v>
      </c>
      <c r="E1" s="301">
        <v>46174</v>
      </c>
      <c r="G1" s="57"/>
      <c r="H1" s="57"/>
      <c r="K1" s="62"/>
      <c r="L1" s="63"/>
      <c r="M1" s="66"/>
      <c r="P1" s="7"/>
      <c r="Q1" s="48" cm="1">
        <f t="array" ref="Q1:OE1">_xlfn.SEQUENCE(1,COUNTA(_xlfn.ANCHORARRAY(Q2)),1,0)</f>
        <v>1</v>
      </c>
      <c r="R1" s="48">
        <v>1</v>
      </c>
      <c r="S1" s="48">
        <v>1</v>
      </c>
      <c r="T1" s="48">
        <v>1</v>
      </c>
      <c r="U1" s="48">
        <v>1</v>
      </c>
      <c r="V1" s="48">
        <v>1</v>
      </c>
      <c r="W1" s="48">
        <v>1</v>
      </c>
      <c r="X1" s="48">
        <v>1</v>
      </c>
      <c r="Y1" s="48">
        <v>1</v>
      </c>
      <c r="Z1" s="48">
        <v>1</v>
      </c>
      <c r="AA1" s="48">
        <v>1</v>
      </c>
      <c r="AB1" s="48">
        <v>1</v>
      </c>
      <c r="AC1" s="48">
        <v>1</v>
      </c>
      <c r="AD1" s="48">
        <v>1</v>
      </c>
      <c r="AE1" s="48">
        <v>1</v>
      </c>
      <c r="AF1" s="48">
        <v>1</v>
      </c>
      <c r="AG1" s="48">
        <v>1</v>
      </c>
      <c r="AH1" s="48">
        <v>1</v>
      </c>
      <c r="AI1" s="48">
        <v>1</v>
      </c>
      <c r="AJ1" s="48">
        <v>1</v>
      </c>
      <c r="AK1" s="48">
        <v>1</v>
      </c>
      <c r="AL1" s="48">
        <v>1</v>
      </c>
      <c r="AM1" s="48">
        <v>1</v>
      </c>
      <c r="AN1" s="48">
        <v>1</v>
      </c>
      <c r="AO1" s="48">
        <v>1</v>
      </c>
      <c r="AP1" s="48">
        <v>1</v>
      </c>
      <c r="AQ1" s="48">
        <v>1</v>
      </c>
      <c r="AR1" s="48">
        <v>1</v>
      </c>
      <c r="AS1" s="48">
        <v>1</v>
      </c>
      <c r="AT1" s="48">
        <v>1</v>
      </c>
      <c r="AU1" s="48">
        <v>1</v>
      </c>
      <c r="AV1" s="48">
        <v>1</v>
      </c>
      <c r="AW1" s="48">
        <v>1</v>
      </c>
      <c r="AX1" s="48">
        <v>1</v>
      </c>
      <c r="AY1" s="48">
        <v>1</v>
      </c>
      <c r="AZ1" s="48">
        <v>1</v>
      </c>
      <c r="BA1" s="48">
        <v>1</v>
      </c>
      <c r="BB1" s="48">
        <v>1</v>
      </c>
      <c r="BC1" s="48">
        <v>1</v>
      </c>
      <c r="BD1" s="48">
        <v>1</v>
      </c>
      <c r="BE1" s="48">
        <v>1</v>
      </c>
      <c r="BF1" s="48">
        <v>1</v>
      </c>
      <c r="BG1" s="48">
        <v>1</v>
      </c>
      <c r="BH1" s="48">
        <v>1</v>
      </c>
      <c r="BI1" s="48">
        <v>1</v>
      </c>
      <c r="BJ1" s="48">
        <v>1</v>
      </c>
      <c r="BK1" s="48">
        <v>1</v>
      </c>
      <c r="BL1" s="48">
        <v>1</v>
      </c>
      <c r="BM1" s="48">
        <v>1</v>
      </c>
      <c r="BN1" s="48">
        <v>1</v>
      </c>
      <c r="BO1" s="48">
        <v>1</v>
      </c>
      <c r="BP1" s="48">
        <v>1</v>
      </c>
      <c r="BQ1" s="48">
        <v>1</v>
      </c>
      <c r="BR1" s="48">
        <v>1</v>
      </c>
      <c r="BS1" s="48">
        <v>1</v>
      </c>
      <c r="BT1" s="48">
        <v>1</v>
      </c>
      <c r="BU1" s="48">
        <v>1</v>
      </c>
      <c r="BV1" s="48">
        <v>1</v>
      </c>
      <c r="BW1" s="48">
        <v>1</v>
      </c>
      <c r="BX1" s="48">
        <v>1</v>
      </c>
      <c r="BY1" s="48">
        <v>1</v>
      </c>
      <c r="BZ1" s="48">
        <v>1</v>
      </c>
      <c r="CA1" s="48">
        <v>1</v>
      </c>
      <c r="CB1" s="48">
        <v>1</v>
      </c>
      <c r="CC1" s="48">
        <v>1</v>
      </c>
      <c r="CD1" s="48">
        <v>1</v>
      </c>
      <c r="CE1" s="48">
        <v>1</v>
      </c>
      <c r="CF1" s="48">
        <v>1</v>
      </c>
      <c r="CG1" s="48">
        <v>1</v>
      </c>
      <c r="CH1" s="48">
        <v>1</v>
      </c>
      <c r="CI1" s="48">
        <v>1</v>
      </c>
      <c r="CJ1" s="48">
        <v>1</v>
      </c>
      <c r="CK1" s="48">
        <v>1</v>
      </c>
      <c r="CL1" s="48">
        <v>1</v>
      </c>
      <c r="CM1" s="48">
        <v>1</v>
      </c>
      <c r="CN1" s="48">
        <v>1</v>
      </c>
      <c r="CO1" s="48">
        <v>1</v>
      </c>
      <c r="CP1" s="48">
        <v>1</v>
      </c>
      <c r="CQ1" s="48">
        <v>1</v>
      </c>
      <c r="CR1" s="48">
        <v>1</v>
      </c>
      <c r="CS1" s="48">
        <v>1</v>
      </c>
      <c r="CT1" s="48">
        <v>1</v>
      </c>
      <c r="CU1" s="48">
        <v>1</v>
      </c>
      <c r="CV1" s="48">
        <v>1</v>
      </c>
      <c r="CW1" s="48">
        <v>1</v>
      </c>
      <c r="CX1" s="48">
        <v>1</v>
      </c>
      <c r="CY1" s="48">
        <v>1</v>
      </c>
      <c r="CZ1" s="48">
        <v>1</v>
      </c>
      <c r="DA1" s="48">
        <v>1</v>
      </c>
      <c r="DB1" s="48">
        <v>1</v>
      </c>
      <c r="DC1" s="48">
        <v>1</v>
      </c>
      <c r="DD1" s="48">
        <v>1</v>
      </c>
      <c r="DE1" s="48">
        <v>1</v>
      </c>
      <c r="DF1" s="48">
        <v>1</v>
      </c>
      <c r="DG1" s="48">
        <v>1</v>
      </c>
      <c r="DH1" s="48">
        <v>1</v>
      </c>
      <c r="DI1" s="48">
        <v>1</v>
      </c>
      <c r="DJ1" s="48">
        <v>1</v>
      </c>
      <c r="DK1" s="48">
        <v>1</v>
      </c>
      <c r="DL1" s="48">
        <v>1</v>
      </c>
      <c r="DM1" s="48">
        <v>1</v>
      </c>
      <c r="DN1" s="48">
        <v>1</v>
      </c>
      <c r="DO1" s="48">
        <v>1</v>
      </c>
      <c r="DP1" s="48">
        <v>1</v>
      </c>
      <c r="DQ1" s="48">
        <v>1</v>
      </c>
      <c r="DR1" s="48">
        <v>1</v>
      </c>
      <c r="DS1" s="48">
        <v>1</v>
      </c>
      <c r="DT1" s="48">
        <v>1</v>
      </c>
      <c r="DU1" s="48">
        <v>1</v>
      </c>
      <c r="DV1" s="48">
        <v>1</v>
      </c>
      <c r="DW1" s="48">
        <v>1</v>
      </c>
      <c r="DX1" s="48">
        <v>1</v>
      </c>
      <c r="DY1" s="48">
        <v>1</v>
      </c>
      <c r="DZ1" s="48">
        <v>1</v>
      </c>
      <c r="EA1" s="48">
        <v>1</v>
      </c>
      <c r="EB1" s="48">
        <v>1</v>
      </c>
      <c r="EC1" s="48">
        <v>1</v>
      </c>
      <c r="ED1" s="48">
        <v>1</v>
      </c>
      <c r="EE1" s="48">
        <v>1</v>
      </c>
      <c r="EF1" s="48">
        <v>1</v>
      </c>
      <c r="EG1" s="48">
        <v>1</v>
      </c>
      <c r="EH1" s="48">
        <v>1</v>
      </c>
      <c r="EI1" s="48">
        <v>1</v>
      </c>
      <c r="EJ1" s="48">
        <v>1</v>
      </c>
      <c r="EK1" s="48">
        <v>1</v>
      </c>
      <c r="EL1" s="48">
        <v>1</v>
      </c>
      <c r="EM1" s="48">
        <v>1</v>
      </c>
      <c r="EN1" s="48">
        <v>1</v>
      </c>
      <c r="EO1" s="48">
        <v>1</v>
      </c>
      <c r="EP1" s="48">
        <v>1</v>
      </c>
      <c r="EQ1" s="48">
        <v>1</v>
      </c>
      <c r="ER1" s="48">
        <v>1</v>
      </c>
      <c r="ES1" s="48">
        <v>1</v>
      </c>
      <c r="ET1" s="48">
        <v>1</v>
      </c>
      <c r="EU1" s="48">
        <v>1</v>
      </c>
      <c r="EV1" s="48">
        <v>1</v>
      </c>
      <c r="EW1" s="48">
        <v>1</v>
      </c>
      <c r="EX1" s="48">
        <v>1</v>
      </c>
      <c r="EY1" s="48">
        <v>1</v>
      </c>
      <c r="EZ1" s="48">
        <v>1</v>
      </c>
      <c r="FA1" s="48">
        <v>1</v>
      </c>
      <c r="FB1" s="48">
        <v>1</v>
      </c>
      <c r="FC1" s="48">
        <v>1</v>
      </c>
      <c r="FD1" s="48">
        <v>1</v>
      </c>
      <c r="FE1" s="48">
        <v>1</v>
      </c>
      <c r="FF1" s="48">
        <v>1</v>
      </c>
      <c r="FG1" s="48">
        <v>1</v>
      </c>
      <c r="FH1" s="48">
        <v>1</v>
      </c>
      <c r="FI1" s="48">
        <v>1</v>
      </c>
      <c r="FJ1" s="48">
        <v>1</v>
      </c>
      <c r="FK1" s="48">
        <v>1</v>
      </c>
      <c r="FL1" s="48">
        <v>1</v>
      </c>
      <c r="FM1" s="48">
        <v>1</v>
      </c>
      <c r="FN1" s="48">
        <v>1</v>
      </c>
      <c r="FO1" s="48">
        <v>1</v>
      </c>
      <c r="FP1" s="48">
        <v>1</v>
      </c>
      <c r="FQ1" s="48">
        <v>1</v>
      </c>
      <c r="FR1" s="48">
        <v>1</v>
      </c>
      <c r="FS1" s="48">
        <v>1</v>
      </c>
      <c r="FT1" s="48">
        <v>1</v>
      </c>
      <c r="FU1" s="48">
        <v>1</v>
      </c>
      <c r="FV1" s="48">
        <v>1</v>
      </c>
      <c r="FW1" s="48">
        <v>1</v>
      </c>
      <c r="FX1" s="48">
        <v>1</v>
      </c>
      <c r="FY1" s="48">
        <v>1</v>
      </c>
      <c r="FZ1" s="48">
        <v>1</v>
      </c>
      <c r="GA1" s="48">
        <v>1</v>
      </c>
      <c r="GB1" s="48">
        <v>1</v>
      </c>
      <c r="GC1" s="48">
        <v>1</v>
      </c>
      <c r="GD1" s="48">
        <v>1</v>
      </c>
      <c r="GE1" s="48">
        <v>1</v>
      </c>
      <c r="GF1" s="48">
        <v>1</v>
      </c>
      <c r="GG1" s="48">
        <v>1</v>
      </c>
      <c r="GH1" s="48">
        <v>1</v>
      </c>
      <c r="GI1" s="48">
        <v>1</v>
      </c>
      <c r="GJ1" s="48">
        <v>1</v>
      </c>
      <c r="GK1" s="48">
        <v>1</v>
      </c>
      <c r="GL1" s="48">
        <v>1</v>
      </c>
      <c r="GM1" s="48">
        <v>1</v>
      </c>
      <c r="GN1" s="48">
        <v>1</v>
      </c>
      <c r="GO1" s="48">
        <v>1</v>
      </c>
      <c r="GP1" s="48">
        <v>1</v>
      </c>
      <c r="GQ1" s="48">
        <v>1</v>
      </c>
      <c r="GR1" s="48">
        <v>1</v>
      </c>
      <c r="GS1" s="48">
        <v>1</v>
      </c>
      <c r="GT1" s="48">
        <v>1</v>
      </c>
      <c r="GU1" s="48">
        <v>1</v>
      </c>
      <c r="GV1" s="48">
        <v>1</v>
      </c>
      <c r="GW1" s="48">
        <v>1</v>
      </c>
      <c r="GX1" s="48">
        <v>1</v>
      </c>
      <c r="GY1" s="48">
        <v>1</v>
      </c>
      <c r="GZ1" s="48">
        <v>1</v>
      </c>
      <c r="HA1" s="48">
        <v>1</v>
      </c>
      <c r="HB1" s="48">
        <v>1</v>
      </c>
      <c r="HC1" s="48">
        <v>1</v>
      </c>
      <c r="HD1" s="48">
        <v>1</v>
      </c>
      <c r="HE1" s="48">
        <v>1</v>
      </c>
      <c r="HF1" s="48">
        <v>1</v>
      </c>
      <c r="HG1" s="48">
        <v>1</v>
      </c>
      <c r="HH1" s="48">
        <v>1</v>
      </c>
      <c r="HI1" s="48">
        <v>1</v>
      </c>
      <c r="HJ1" s="48">
        <v>1</v>
      </c>
      <c r="HK1" s="48">
        <v>1</v>
      </c>
      <c r="HL1" s="48">
        <v>1</v>
      </c>
      <c r="HM1" s="48">
        <v>1</v>
      </c>
      <c r="HN1" s="48">
        <v>1</v>
      </c>
      <c r="HO1" s="48">
        <v>1</v>
      </c>
      <c r="HP1" s="48">
        <v>1</v>
      </c>
      <c r="HQ1" s="48">
        <v>1</v>
      </c>
      <c r="HR1" s="48">
        <v>1</v>
      </c>
      <c r="HS1" s="48">
        <v>1</v>
      </c>
      <c r="HT1" s="48">
        <v>1</v>
      </c>
      <c r="HU1" s="48">
        <v>1</v>
      </c>
      <c r="HV1" s="48">
        <v>1</v>
      </c>
      <c r="HW1" s="48">
        <v>1</v>
      </c>
      <c r="HX1" s="48">
        <v>1</v>
      </c>
      <c r="HY1" s="48">
        <v>1</v>
      </c>
      <c r="HZ1" s="48">
        <v>1</v>
      </c>
      <c r="IA1" s="48">
        <v>1</v>
      </c>
      <c r="IB1" s="48">
        <v>1</v>
      </c>
      <c r="IC1" s="48">
        <v>1</v>
      </c>
      <c r="ID1" s="48">
        <v>1</v>
      </c>
      <c r="IE1" s="48">
        <v>1</v>
      </c>
      <c r="IF1" s="48">
        <v>1</v>
      </c>
      <c r="IG1" s="48">
        <v>1</v>
      </c>
      <c r="IH1" s="48">
        <v>1</v>
      </c>
      <c r="II1" s="48">
        <v>1</v>
      </c>
      <c r="IJ1" s="48">
        <v>1</v>
      </c>
      <c r="IK1" s="48">
        <v>1</v>
      </c>
      <c r="IL1" s="48">
        <v>1</v>
      </c>
      <c r="IM1" s="48">
        <v>1</v>
      </c>
      <c r="IN1" s="48">
        <v>1</v>
      </c>
      <c r="IO1" s="48">
        <v>1</v>
      </c>
      <c r="IP1" s="48">
        <v>1</v>
      </c>
      <c r="IQ1" s="48">
        <v>1</v>
      </c>
      <c r="IR1" s="48">
        <v>1</v>
      </c>
      <c r="IS1" s="48">
        <v>1</v>
      </c>
      <c r="IT1" s="48">
        <v>1</v>
      </c>
      <c r="IU1" s="48">
        <v>1</v>
      </c>
      <c r="IV1" s="48">
        <v>1</v>
      </c>
      <c r="IW1" s="48">
        <v>1</v>
      </c>
      <c r="IX1" s="48">
        <v>1</v>
      </c>
      <c r="IY1" s="48">
        <v>1</v>
      </c>
      <c r="IZ1" s="48">
        <v>1</v>
      </c>
      <c r="JA1" s="48">
        <v>1</v>
      </c>
      <c r="JB1" s="48">
        <v>1</v>
      </c>
      <c r="JC1" s="48">
        <v>1</v>
      </c>
      <c r="JD1" s="48">
        <v>1</v>
      </c>
      <c r="JE1" s="48">
        <v>1</v>
      </c>
      <c r="JF1" s="48">
        <v>1</v>
      </c>
      <c r="JG1" s="48">
        <v>1</v>
      </c>
      <c r="JH1" s="48">
        <v>1</v>
      </c>
      <c r="JI1" s="48">
        <v>1</v>
      </c>
      <c r="JJ1" s="48">
        <v>1</v>
      </c>
      <c r="JK1" s="48">
        <v>1</v>
      </c>
      <c r="JL1" s="48">
        <v>1</v>
      </c>
      <c r="JM1" s="48">
        <v>1</v>
      </c>
      <c r="JN1" s="48">
        <v>1</v>
      </c>
      <c r="JO1" s="48">
        <v>1</v>
      </c>
      <c r="JP1" s="48">
        <v>1</v>
      </c>
      <c r="JQ1" s="48">
        <v>1</v>
      </c>
      <c r="JR1" s="48">
        <v>1</v>
      </c>
      <c r="JS1" s="48">
        <v>1</v>
      </c>
      <c r="JT1" s="48">
        <v>1</v>
      </c>
      <c r="JU1" s="48">
        <v>1</v>
      </c>
      <c r="JV1" s="48">
        <v>1</v>
      </c>
      <c r="JW1" s="48">
        <v>1</v>
      </c>
      <c r="JX1" s="48">
        <v>1</v>
      </c>
      <c r="JY1" s="48">
        <v>1</v>
      </c>
      <c r="JZ1" s="48">
        <v>1</v>
      </c>
      <c r="KA1" s="48">
        <v>1</v>
      </c>
      <c r="KB1" s="48">
        <v>1</v>
      </c>
      <c r="KC1" s="48">
        <v>1</v>
      </c>
      <c r="KD1" s="48">
        <v>1</v>
      </c>
      <c r="KE1" s="48">
        <v>1</v>
      </c>
      <c r="KF1" s="48">
        <v>1</v>
      </c>
      <c r="KG1" s="48">
        <v>1</v>
      </c>
      <c r="KH1" s="48">
        <v>1</v>
      </c>
      <c r="KI1" s="48">
        <v>1</v>
      </c>
      <c r="KJ1" s="48">
        <v>1</v>
      </c>
      <c r="KK1" s="48">
        <v>1</v>
      </c>
      <c r="KL1" s="48">
        <v>1</v>
      </c>
      <c r="KM1" s="48">
        <v>1</v>
      </c>
      <c r="KN1" s="48">
        <v>1</v>
      </c>
      <c r="KO1" s="48">
        <v>1</v>
      </c>
      <c r="KP1" s="48">
        <v>1</v>
      </c>
      <c r="KQ1" s="48">
        <v>1</v>
      </c>
      <c r="KR1" s="48">
        <v>1</v>
      </c>
      <c r="KS1" s="48">
        <v>1</v>
      </c>
      <c r="KT1" s="48">
        <v>1</v>
      </c>
      <c r="KU1" s="48">
        <v>1</v>
      </c>
      <c r="KV1" s="48">
        <v>1</v>
      </c>
      <c r="KW1" s="48">
        <v>1</v>
      </c>
      <c r="KX1" s="48">
        <v>1</v>
      </c>
      <c r="KY1" s="48">
        <v>1</v>
      </c>
      <c r="KZ1" s="48">
        <v>1</v>
      </c>
      <c r="LA1" s="48">
        <v>1</v>
      </c>
      <c r="LB1" s="48">
        <v>1</v>
      </c>
      <c r="LC1" s="48">
        <v>1</v>
      </c>
      <c r="LD1" s="48">
        <v>1</v>
      </c>
      <c r="LE1" s="48">
        <v>1</v>
      </c>
      <c r="LF1" s="48">
        <v>1</v>
      </c>
      <c r="LG1" s="48">
        <v>1</v>
      </c>
      <c r="LH1" s="48">
        <v>1</v>
      </c>
      <c r="LI1" s="48">
        <v>1</v>
      </c>
      <c r="LJ1" s="48">
        <v>1</v>
      </c>
      <c r="LK1" s="48">
        <v>1</v>
      </c>
      <c r="LL1" s="48">
        <v>1</v>
      </c>
      <c r="LM1" s="48">
        <v>1</v>
      </c>
      <c r="LN1" s="48">
        <v>1</v>
      </c>
      <c r="LO1" s="48">
        <v>1</v>
      </c>
      <c r="LP1" s="48">
        <v>1</v>
      </c>
      <c r="LQ1" s="48">
        <v>1</v>
      </c>
      <c r="LR1" s="48">
        <v>1</v>
      </c>
      <c r="LS1" s="48">
        <v>1</v>
      </c>
      <c r="LT1" s="48">
        <v>1</v>
      </c>
      <c r="LU1" s="48">
        <v>1</v>
      </c>
      <c r="LV1" s="48">
        <v>1</v>
      </c>
      <c r="LW1" s="48">
        <v>1</v>
      </c>
      <c r="LX1" s="48">
        <v>1</v>
      </c>
      <c r="LY1" s="48">
        <v>1</v>
      </c>
      <c r="LZ1" s="48">
        <v>1</v>
      </c>
      <c r="MA1" s="48">
        <v>1</v>
      </c>
      <c r="MB1" s="48">
        <v>1</v>
      </c>
      <c r="MC1" s="48">
        <v>1</v>
      </c>
      <c r="MD1" s="48">
        <v>1</v>
      </c>
      <c r="ME1" s="48">
        <v>1</v>
      </c>
      <c r="MF1" s="48">
        <v>1</v>
      </c>
      <c r="MG1" s="48">
        <v>1</v>
      </c>
      <c r="MH1" s="48">
        <v>1</v>
      </c>
      <c r="MI1" s="48">
        <v>1</v>
      </c>
      <c r="MJ1" s="48">
        <v>1</v>
      </c>
      <c r="MK1" s="48">
        <v>1</v>
      </c>
      <c r="ML1" s="48">
        <v>1</v>
      </c>
      <c r="MM1" s="48">
        <v>1</v>
      </c>
      <c r="MN1" s="48">
        <v>1</v>
      </c>
      <c r="MO1" s="48">
        <v>1</v>
      </c>
      <c r="MP1" s="48">
        <v>1</v>
      </c>
      <c r="MQ1" s="48">
        <v>1</v>
      </c>
      <c r="MR1" s="48">
        <v>1</v>
      </c>
      <c r="MS1" s="48">
        <v>1</v>
      </c>
      <c r="MT1" s="48">
        <v>1</v>
      </c>
      <c r="MU1" s="48">
        <v>1</v>
      </c>
      <c r="MV1" s="48">
        <v>1</v>
      </c>
      <c r="MW1" s="48">
        <v>1</v>
      </c>
      <c r="MX1" s="48">
        <v>1</v>
      </c>
      <c r="MY1" s="48">
        <v>1</v>
      </c>
      <c r="MZ1" s="48">
        <v>1</v>
      </c>
      <c r="NA1" s="48">
        <v>1</v>
      </c>
      <c r="NB1" s="48">
        <v>1</v>
      </c>
      <c r="NC1" s="48">
        <v>1</v>
      </c>
      <c r="ND1" s="48">
        <v>1</v>
      </c>
      <c r="NE1" s="48">
        <v>1</v>
      </c>
      <c r="NF1" s="48">
        <v>1</v>
      </c>
      <c r="NG1" s="48">
        <v>1</v>
      </c>
      <c r="NH1" s="48">
        <v>1</v>
      </c>
      <c r="NI1" s="48">
        <v>1</v>
      </c>
      <c r="NJ1" s="48">
        <v>1</v>
      </c>
      <c r="NK1" s="48">
        <v>1</v>
      </c>
      <c r="NL1" s="48">
        <v>1</v>
      </c>
      <c r="NM1" s="48">
        <v>1</v>
      </c>
      <c r="NN1" s="48">
        <v>1</v>
      </c>
      <c r="NO1" s="48">
        <v>1</v>
      </c>
      <c r="NP1" s="48">
        <v>1</v>
      </c>
      <c r="NQ1" s="48">
        <v>1</v>
      </c>
      <c r="NR1" s="48">
        <v>1</v>
      </c>
      <c r="NS1" s="48">
        <v>1</v>
      </c>
      <c r="NT1" s="48">
        <v>1</v>
      </c>
      <c r="NU1" s="48">
        <v>1</v>
      </c>
      <c r="NV1" s="48">
        <v>1</v>
      </c>
      <c r="NW1" s="48">
        <v>1</v>
      </c>
      <c r="NX1" s="48">
        <v>1</v>
      </c>
      <c r="NY1" s="48">
        <v>1</v>
      </c>
      <c r="NZ1" s="48">
        <v>1</v>
      </c>
      <c r="OA1" s="48">
        <v>1</v>
      </c>
      <c r="OB1" s="48">
        <v>1</v>
      </c>
      <c r="OC1" s="48">
        <v>1</v>
      </c>
      <c r="OD1" s="48">
        <v>1</v>
      </c>
      <c r="OE1" s="48">
        <v>1</v>
      </c>
    </row>
    <row r="2" spans="1:395" ht="13.8" customHeight="1" x14ac:dyDescent="0.3">
      <c r="A2" s="113"/>
      <c r="B2" s="113" t="s">
        <v>139</v>
      </c>
      <c r="D2" s="19" t="s">
        <v>8</v>
      </c>
      <c r="E2" s="301">
        <v>57710</v>
      </c>
      <c r="G2" s="57"/>
      <c r="H2" s="57"/>
      <c r="K2" s="65"/>
      <c r="L2" s="55"/>
      <c r="M2" s="66"/>
      <c r="N2" s="75" t="s">
        <v>11</v>
      </c>
      <c r="O2" s="252"/>
      <c r="P2" s="253"/>
      <c r="Q2" s="232" cm="1">
        <f t="array" ref="Q2:OE2">EDATE(E1,_xlfn.SEQUENCE(1,((YEAR(E2)-YEAR(E1))*12+(MONTH(E2)-MONTH(E1))+1),0))</f>
        <v>46174</v>
      </c>
      <c r="R2" s="233">
        <v>46204</v>
      </c>
      <c r="S2" s="233">
        <v>46235</v>
      </c>
      <c r="T2" s="233">
        <v>46266</v>
      </c>
      <c r="U2" s="233">
        <v>46296</v>
      </c>
      <c r="V2" s="233">
        <v>46327</v>
      </c>
      <c r="W2" s="233">
        <v>46357</v>
      </c>
      <c r="X2" s="233">
        <v>46388</v>
      </c>
      <c r="Y2" s="233">
        <v>46419</v>
      </c>
      <c r="Z2" s="233">
        <v>46447</v>
      </c>
      <c r="AA2" s="233">
        <v>46478</v>
      </c>
      <c r="AB2" s="233">
        <v>46508</v>
      </c>
      <c r="AC2" s="233">
        <v>46539</v>
      </c>
      <c r="AD2" s="233">
        <v>46569</v>
      </c>
      <c r="AE2" s="233">
        <v>46600</v>
      </c>
      <c r="AF2" s="233">
        <v>46631</v>
      </c>
      <c r="AG2" s="233">
        <v>46661</v>
      </c>
      <c r="AH2" s="233">
        <v>46692</v>
      </c>
      <c r="AI2" s="233">
        <v>46722</v>
      </c>
      <c r="AJ2" s="233">
        <v>46753</v>
      </c>
      <c r="AK2" s="233">
        <v>46784</v>
      </c>
      <c r="AL2" s="233">
        <v>46813</v>
      </c>
      <c r="AM2" s="233">
        <v>46844</v>
      </c>
      <c r="AN2" s="233">
        <v>46874</v>
      </c>
      <c r="AO2" s="233">
        <v>46905</v>
      </c>
      <c r="AP2" s="233">
        <v>46935</v>
      </c>
      <c r="AQ2" s="233">
        <v>46966</v>
      </c>
      <c r="AR2" s="233">
        <v>46997</v>
      </c>
      <c r="AS2" s="233">
        <v>47027</v>
      </c>
      <c r="AT2" s="233">
        <v>47058</v>
      </c>
      <c r="AU2" s="233">
        <v>47088</v>
      </c>
      <c r="AV2" s="233">
        <v>47119</v>
      </c>
      <c r="AW2" s="233">
        <v>47150</v>
      </c>
      <c r="AX2" s="233">
        <v>47178</v>
      </c>
      <c r="AY2" s="233">
        <v>47209</v>
      </c>
      <c r="AZ2" s="233">
        <v>47239</v>
      </c>
      <c r="BA2" s="233">
        <v>47270</v>
      </c>
      <c r="BB2" s="233">
        <v>47300</v>
      </c>
      <c r="BC2" s="233">
        <v>47331</v>
      </c>
      <c r="BD2" s="233">
        <v>47362</v>
      </c>
      <c r="BE2" s="233">
        <v>47392</v>
      </c>
      <c r="BF2" s="233">
        <v>47423</v>
      </c>
      <c r="BG2" s="233">
        <v>47453</v>
      </c>
      <c r="BH2" s="233">
        <v>47484</v>
      </c>
      <c r="BI2" s="233">
        <v>47515</v>
      </c>
      <c r="BJ2" s="233">
        <v>47543</v>
      </c>
      <c r="BK2" s="233">
        <v>47574</v>
      </c>
      <c r="BL2" s="233">
        <v>47604</v>
      </c>
      <c r="BM2" s="233">
        <v>47635</v>
      </c>
      <c r="BN2" s="233">
        <v>47665</v>
      </c>
      <c r="BO2" s="233">
        <v>47696</v>
      </c>
      <c r="BP2" s="233">
        <v>47727</v>
      </c>
      <c r="BQ2" s="233">
        <v>47757</v>
      </c>
      <c r="BR2" s="233">
        <v>47788</v>
      </c>
      <c r="BS2" s="233">
        <v>47818</v>
      </c>
      <c r="BT2" s="233">
        <v>47849</v>
      </c>
      <c r="BU2" s="233">
        <v>47880</v>
      </c>
      <c r="BV2" s="233">
        <v>47908</v>
      </c>
      <c r="BW2" s="233">
        <v>47939</v>
      </c>
      <c r="BX2" s="233">
        <v>47969</v>
      </c>
      <c r="BY2" s="233">
        <v>48000</v>
      </c>
      <c r="BZ2" s="233">
        <v>48030</v>
      </c>
      <c r="CA2" s="233">
        <v>48061</v>
      </c>
      <c r="CB2" s="233">
        <v>48092</v>
      </c>
      <c r="CC2" s="233">
        <v>48122</v>
      </c>
      <c r="CD2" s="233">
        <v>48153</v>
      </c>
      <c r="CE2" s="233">
        <v>48183</v>
      </c>
      <c r="CF2" s="233">
        <v>48214</v>
      </c>
      <c r="CG2" s="233">
        <v>48245</v>
      </c>
      <c r="CH2" s="233">
        <v>48274</v>
      </c>
      <c r="CI2" s="233">
        <v>48305</v>
      </c>
      <c r="CJ2" s="233">
        <v>48335</v>
      </c>
      <c r="CK2" s="233">
        <v>48366</v>
      </c>
      <c r="CL2" s="233">
        <v>48396</v>
      </c>
      <c r="CM2" s="233">
        <v>48427</v>
      </c>
      <c r="CN2" s="233">
        <v>48458</v>
      </c>
      <c r="CO2" s="233">
        <v>48488</v>
      </c>
      <c r="CP2" s="233">
        <v>48519</v>
      </c>
      <c r="CQ2" s="233">
        <v>48549</v>
      </c>
      <c r="CR2" s="233">
        <v>48580</v>
      </c>
      <c r="CS2" s="233">
        <v>48611</v>
      </c>
      <c r="CT2" s="233">
        <v>48639</v>
      </c>
      <c r="CU2" s="233">
        <v>48670</v>
      </c>
      <c r="CV2" s="233">
        <v>48700</v>
      </c>
      <c r="CW2" s="233">
        <v>48731</v>
      </c>
      <c r="CX2" s="233">
        <v>48761</v>
      </c>
      <c r="CY2" s="233">
        <v>48792</v>
      </c>
      <c r="CZ2" s="233">
        <v>48823</v>
      </c>
      <c r="DA2" s="233">
        <v>48853</v>
      </c>
      <c r="DB2" s="233">
        <v>48884</v>
      </c>
      <c r="DC2" s="233">
        <v>48914</v>
      </c>
      <c r="DD2" s="233">
        <v>48945</v>
      </c>
      <c r="DE2" s="233">
        <v>48976</v>
      </c>
      <c r="DF2" s="233">
        <v>49004</v>
      </c>
      <c r="DG2" s="233">
        <v>49035</v>
      </c>
      <c r="DH2" s="233">
        <v>49065</v>
      </c>
      <c r="DI2" s="233">
        <v>49096</v>
      </c>
      <c r="DJ2" s="233">
        <v>49126</v>
      </c>
      <c r="DK2" s="233">
        <v>49157</v>
      </c>
      <c r="DL2" s="233">
        <v>49188</v>
      </c>
      <c r="DM2" s="233">
        <v>49218</v>
      </c>
      <c r="DN2" s="233">
        <v>49249</v>
      </c>
      <c r="DO2" s="233">
        <v>49279</v>
      </c>
      <c r="DP2" s="233">
        <v>49310</v>
      </c>
      <c r="DQ2" s="233">
        <v>49341</v>
      </c>
      <c r="DR2" s="233">
        <v>49369</v>
      </c>
      <c r="DS2" s="233">
        <v>49400</v>
      </c>
      <c r="DT2" s="233">
        <v>49430</v>
      </c>
      <c r="DU2" s="233">
        <v>49461</v>
      </c>
      <c r="DV2" s="233">
        <v>49491</v>
      </c>
      <c r="DW2" s="233">
        <v>49522</v>
      </c>
      <c r="DX2" s="233">
        <v>49553</v>
      </c>
      <c r="DY2" s="233">
        <v>49583</v>
      </c>
      <c r="DZ2" s="233">
        <v>49614</v>
      </c>
      <c r="EA2" s="233">
        <v>49644</v>
      </c>
      <c r="EB2" s="233">
        <v>49675</v>
      </c>
      <c r="EC2" s="233">
        <v>49706</v>
      </c>
      <c r="ED2" s="233">
        <v>49735</v>
      </c>
      <c r="EE2" s="233">
        <v>49766</v>
      </c>
      <c r="EF2" s="233">
        <v>49796</v>
      </c>
      <c r="EG2" s="233">
        <v>49827</v>
      </c>
      <c r="EH2" s="233">
        <v>49857</v>
      </c>
      <c r="EI2" s="233">
        <v>49888</v>
      </c>
      <c r="EJ2" s="233">
        <v>49919</v>
      </c>
      <c r="EK2" s="233">
        <v>49949</v>
      </c>
      <c r="EL2" s="233">
        <v>49980</v>
      </c>
      <c r="EM2" s="233">
        <v>50010</v>
      </c>
      <c r="EN2" s="233">
        <v>50041</v>
      </c>
      <c r="EO2" s="233">
        <v>50072</v>
      </c>
      <c r="EP2" s="233">
        <v>50100</v>
      </c>
      <c r="EQ2" s="233">
        <v>50131</v>
      </c>
      <c r="ER2" s="233">
        <v>50161</v>
      </c>
      <c r="ES2" s="233">
        <v>50192</v>
      </c>
      <c r="ET2" s="233">
        <v>50222</v>
      </c>
      <c r="EU2" s="233">
        <v>50253</v>
      </c>
      <c r="EV2" s="233">
        <v>50284</v>
      </c>
      <c r="EW2" s="233">
        <v>50314</v>
      </c>
      <c r="EX2" s="233">
        <v>50345</v>
      </c>
      <c r="EY2" s="233">
        <v>50375</v>
      </c>
      <c r="EZ2" s="233">
        <v>50406</v>
      </c>
      <c r="FA2" s="233">
        <v>50437</v>
      </c>
      <c r="FB2" s="233">
        <v>50465</v>
      </c>
      <c r="FC2" s="233">
        <v>50496</v>
      </c>
      <c r="FD2" s="233">
        <v>50526</v>
      </c>
      <c r="FE2" s="233">
        <v>50557</v>
      </c>
      <c r="FF2" s="233">
        <v>50587</v>
      </c>
      <c r="FG2" s="233">
        <v>50618</v>
      </c>
      <c r="FH2" s="233">
        <v>50649</v>
      </c>
      <c r="FI2" s="233">
        <v>50679</v>
      </c>
      <c r="FJ2" s="233">
        <v>50710</v>
      </c>
      <c r="FK2" s="233">
        <v>50740</v>
      </c>
      <c r="FL2" s="233">
        <v>50771</v>
      </c>
      <c r="FM2" s="233">
        <v>50802</v>
      </c>
      <c r="FN2" s="233">
        <v>50830</v>
      </c>
      <c r="FO2" s="233">
        <v>50861</v>
      </c>
      <c r="FP2" s="233">
        <v>50891</v>
      </c>
      <c r="FQ2" s="233">
        <v>50922</v>
      </c>
      <c r="FR2" s="233">
        <v>50952</v>
      </c>
      <c r="FS2" s="233">
        <v>50983</v>
      </c>
      <c r="FT2" s="233">
        <v>51014</v>
      </c>
      <c r="FU2" s="233">
        <v>51044</v>
      </c>
      <c r="FV2" s="233">
        <v>51075</v>
      </c>
      <c r="FW2" s="233">
        <v>51105</v>
      </c>
      <c r="FX2" s="233">
        <v>51136</v>
      </c>
      <c r="FY2" s="233">
        <v>51167</v>
      </c>
      <c r="FZ2" s="233">
        <v>51196</v>
      </c>
      <c r="GA2" s="233">
        <v>51227</v>
      </c>
      <c r="GB2" s="233">
        <v>51257</v>
      </c>
      <c r="GC2" s="233">
        <v>51288</v>
      </c>
      <c r="GD2" s="233">
        <v>51318</v>
      </c>
      <c r="GE2" s="233">
        <v>51349</v>
      </c>
      <c r="GF2" s="233">
        <v>51380</v>
      </c>
      <c r="GG2" s="233">
        <v>51410</v>
      </c>
      <c r="GH2" s="233">
        <v>51441</v>
      </c>
      <c r="GI2" s="233">
        <v>51471</v>
      </c>
      <c r="GJ2" s="233">
        <v>51502</v>
      </c>
      <c r="GK2" s="233">
        <v>51533</v>
      </c>
      <c r="GL2" s="233">
        <v>51561</v>
      </c>
      <c r="GM2" s="233">
        <v>51592</v>
      </c>
      <c r="GN2" s="233">
        <v>51622</v>
      </c>
      <c r="GO2" s="233">
        <v>51653</v>
      </c>
      <c r="GP2" s="233">
        <v>51683</v>
      </c>
      <c r="GQ2" s="233">
        <v>51714</v>
      </c>
      <c r="GR2" s="233">
        <v>51745</v>
      </c>
      <c r="GS2" s="233">
        <v>51775</v>
      </c>
      <c r="GT2" s="233">
        <v>51806</v>
      </c>
      <c r="GU2" s="233">
        <v>51836</v>
      </c>
      <c r="GV2" s="233">
        <v>51867</v>
      </c>
      <c r="GW2" s="233">
        <v>51898</v>
      </c>
      <c r="GX2" s="233">
        <v>51926</v>
      </c>
      <c r="GY2" s="233">
        <v>51957</v>
      </c>
      <c r="GZ2" s="233">
        <v>51987</v>
      </c>
      <c r="HA2" s="233">
        <v>52018</v>
      </c>
      <c r="HB2" s="233">
        <v>52048</v>
      </c>
      <c r="HC2" s="233">
        <v>52079</v>
      </c>
      <c r="HD2" s="233">
        <v>52110</v>
      </c>
      <c r="HE2" s="233">
        <v>52140</v>
      </c>
      <c r="HF2" s="233">
        <v>52171</v>
      </c>
      <c r="HG2" s="233">
        <v>52201</v>
      </c>
      <c r="HH2" s="233">
        <v>52232</v>
      </c>
      <c r="HI2" s="233">
        <v>52263</v>
      </c>
      <c r="HJ2" s="233">
        <v>52291</v>
      </c>
      <c r="HK2" s="233">
        <v>52322</v>
      </c>
      <c r="HL2" s="233">
        <v>52352</v>
      </c>
      <c r="HM2" s="233">
        <v>52383</v>
      </c>
      <c r="HN2" s="233">
        <v>52413</v>
      </c>
      <c r="HO2" s="233">
        <v>52444</v>
      </c>
      <c r="HP2" s="233">
        <v>52475</v>
      </c>
      <c r="HQ2" s="233">
        <v>52505</v>
      </c>
      <c r="HR2" s="233">
        <v>52536</v>
      </c>
      <c r="HS2" s="233">
        <v>52566</v>
      </c>
      <c r="HT2" s="233">
        <v>52597</v>
      </c>
      <c r="HU2" s="233">
        <v>52628</v>
      </c>
      <c r="HV2" s="233">
        <v>52657</v>
      </c>
      <c r="HW2" s="233">
        <v>52688</v>
      </c>
      <c r="HX2" s="233">
        <v>52718</v>
      </c>
      <c r="HY2" s="233">
        <v>52749</v>
      </c>
      <c r="HZ2" s="233">
        <v>52779</v>
      </c>
      <c r="IA2" s="233">
        <v>52810</v>
      </c>
      <c r="IB2" s="233">
        <v>52841</v>
      </c>
      <c r="IC2" s="233">
        <v>52871</v>
      </c>
      <c r="ID2" s="233">
        <v>52902</v>
      </c>
      <c r="IE2" s="233">
        <v>52932</v>
      </c>
      <c r="IF2" s="233">
        <v>52963</v>
      </c>
      <c r="IG2" s="233">
        <v>52994</v>
      </c>
      <c r="IH2" s="233">
        <v>53022</v>
      </c>
      <c r="II2" s="233">
        <v>53053</v>
      </c>
      <c r="IJ2" s="233">
        <v>53083</v>
      </c>
      <c r="IK2" s="233">
        <v>53114</v>
      </c>
      <c r="IL2" s="233">
        <v>53144</v>
      </c>
      <c r="IM2" s="233">
        <v>53175</v>
      </c>
      <c r="IN2" s="233">
        <v>53206</v>
      </c>
      <c r="IO2" s="233">
        <v>53236</v>
      </c>
      <c r="IP2" s="233">
        <v>53267</v>
      </c>
      <c r="IQ2" s="233">
        <v>53297</v>
      </c>
      <c r="IR2" s="233">
        <v>53328</v>
      </c>
      <c r="IS2" s="233">
        <v>53359</v>
      </c>
      <c r="IT2" s="233">
        <v>53387</v>
      </c>
      <c r="IU2" s="233">
        <v>53418</v>
      </c>
      <c r="IV2" s="233">
        <v>53448</v>
      </c>
      <c r="IW2" s="233">
        <v>53479</v>
      </c>
      <c r="IX2" s="233">
        <v>53509</v>
      </c>
      <c r="IY2" s="233">
        <v>53540</v>
      </c>
      <c r="IZ2" s="233">
        <v>53571</v>
      </c>
      <c r="JA2" s="233">
        <v>53601</v>
      </c>
      <c r="JB2" s="233">
        <v>53632</v>
      </c>
      <c r="JC2" s="233">
        <v>53662</v>
      </c>
      <c r="JD2" s="233">
        <v>53693</v>
      </c>
      <c r="JE2" s="233">
        <v>53724</v>
      </c>
      <c r="JF2" s="233">
        <v>53752</v>
      </c>
      <c r="JG2" s="233">
        <v>53783</v>
      </c>
      <c r="JH2" s="233">
        <v>53813</v>
      </c>
      <c r="JI2" s="233">
        <v>53844</v>
      </c>
      <c r="JJ2" s="233">
        <v>53874</v>
      </c>
      <c r="JK2" s="233">
        <v>53905</v>
      </c>
      <c r="JL2" s="233">
        <v>53936</v>
      </c>
      <c r="JM2" s="233">
        <v>53966</v>
      </c>
      <c r="JN2" s="233">
        <v>53997</v>
      </c>
      <c r="JO2" s="233">
        <v>54027</v>
      </c>
      <c r="JP2" s="233">
        <v>54058</v>
      </c>
      <c r="JQ2" s="233">
        <v>54089</v>
      </c>
      <c r="JR2" s="233">
        <v>54118</v>
      </c>
      <c r="JS2" s="233">
        <v>54149</v>
      </c>
      <c r="JT2" s="233">
        <v>54179</v>
      </c>
      <c r="JU2" s="233">
        <v>54210</v>
      </c>
      <c r="JV2" s="233">
        <v>54240</v>
      </c>
      <c r="JW2" s="233">
        <v>54271</v>
      </c>
      <c r="JX2" s="233">
        <v>54302</v>
      </c>
      <c r="JY2" s="233">
        <v>54332</v>
      </c>
      <c r="JZ2" s="233">
        <v>54363</v>
      </c>
      <c r="KA2" s="233">
        <v>54393</v>
      </c>
      <c r="KB2" s="233">
        <v>54424</v>
      </c>
      <c r="KC2" s="233">
        <v>54455</v>
      </c>
      <c r="KD2" s="233">
        <v>54483</v>
      </c>
      <c r="KE2" s="233">
        <v>54514</v>
      </c>
      <c r="KF2" s="233">
        <v>54544</v>
      </c>
      <c r="KG2" s="233">
        <v>54575</v>
      </c>
      <c r="KH2" s="233">
        <v>54605</v>
      </c>
      <c r="KI2" s="233">
        <v>54636</v>
      </c>
      <c r="KJ2" s="233">
        <v>54667</v>
      </c>
      <c r="KK2" s="233">
        <v>54697</v>
      </c>
      <c r="KL2" s="233">
        <v>54728</v>
      </c>
      <c r="KM2" s="233">
        <v>54758</v>
      </c>
      <c r="KN2" s="233">
        <v>54789</v>
      </c>
      <c r="KO2" s="233">
        <v>54820</v>
      </c>
      <c r="KP2" s="233">
        <v>54848</v>
      </c>
      <c r="KQ2" s="233">
        <v>54879</v>
      </c>
      <c r="KR2" s="233">
        <v>54909</v>
      </c>
      <c r="KS2" s="233">
        <v>54940</v>
      </c>
      <c r="KT2" s="233">
        <v>54970</v>
      </c>
      <c r="KU2" s="233">
        <v>55001</v>
      </c>
      <c r="KV2" s="233">
        <v>55032</v>
      </c>
      <c r="KW2" s="233">
        <v>55062</v>
      </c>
      <c r="KX2" s="233">
        <v>55093</v>
      </c>
      <c r="KY2" s="233">
        <v>55123</v>
      </c>
      <c r="KZ2" s="233">
        <v>55154</v>
      </c>
      <c r="LA2" s="233">
        <v>55185</v>
      </c>
      <c r="LB2" s="233">
        <v>55213</v>
      </c>
      <c r="LC2" s="233">
        <v>55244</v>
      </c>
      <c r="LD2" s="233">
        <v>55274</v>
      </c>
      <c r="LE2" s="233">
        <v>55305</v>
      </c>
      <c r="LF2" s="233">
        <v>55335</v>
      </c>
      <c r="LG2" s="233">
        <v>55366</v>
      </c>
      <c r="LH2" s="233">
        <v>55397</v>
      </c>
      <c r="LI2" s="233">
        <v>55427</v>
      </c>
      <c r="LJ2" s="233">
        <v>55458</v>
      </c>
      <c r="LK2" s="233">
        <v>55488</v>
      </c>
      <c r="LL2" s="233">
        <v>55519</v>
      </c>
      <c r="LM2" s="233">
        <v>55550</v>
      </c>
      <c r="LN2" s="233">
        <v>55579</v>
      </c>
      <c r="LO2" s="233">
        <v>55610</v>
      </c>
      <c r="LP2" s="233">
        <v>55640</v>
      </c>
      <c r="LQ2" s="233">
        <v>55671</v>
      </c>
      <c r="LR2" s="233">
        <v>55701</v>
      </c>
      <c r="LS2" s="233">
        <v>55732</v>
      </c>
      <c r="LT2" s="233">
        <v>55763</v>
      </c>
      <c r="LU2" s="233">
        <v>55793</v>
      </c>
      <c r="LV2" s="233">
        <v>55824</v>
      </c>
      <c r="LW2" s="233">
        <v>55854</v>
      </c>
      <c r="LX2" s="233">
        <v>55885</v>
      </c>
      <c r="LY2" s="233">
        <v>55916</v>
      </c>
      <c r="LZ2" s="233">
        <v>55944</v>
      </c>
      <c r="MA2" s="233">
        <v>55975</v>
      </c>
      <c r="MB2" s="233">
        <v>56005</v>
      </c>
      <c r="MC2" s="233">
        <v>56036</v>
      </c>
      <c r="MD2" s="233">
        <v>56066</v>
      </c>
      <c r="ME2" s="233">
        <v>56097</v>
      </c>
      <c r="MF2" s="233">
        <v>56128</v>
      </c>
      <c r="MG2" s="233">
        <v>56158</v>
      </c>
      <c r="MH2" s="233">
        <v>56189</v>
      </c>
      <c r="MI2" s="233">
        <v>56219</v>
      </c>
      <c r="MJ2" s="233">
        <v>56250</v>
      </c>
      <c r="MK2" s="233">
        <v>56281</v>
      </c>
      <c r="ML2" s="233">
        <v>56309</v>
      </c>
      <c r="MM2" s="233">
        <v>56340</v>
      </c>
      <c r="MN2" s="233">
        <v>56370</v>
      </c>
      <c r="MO2" s="233">
        <v>56401</v>
      </c>
      <c r="MP2" s="233">
        <v>56431</v>
      </c>
      <c r="MQ2" s="233">
        <v>56462</v>
      </c>
      <c r="MR2" s="233">
        <v>56493</v>
      </c>
      <c r="MS2" s="233">
        <v>56523</v>
      </c>
      <c r="MT2" s="233">
        <v>56554</v>
      </c>
      <c r="MU2" s="233">
        <v>56584</v>
      </c>
      <c r="MV2" s="233">
        <v>56615</v>
      </c>
      <c r="MW2" s="233">
        <v>56646</v>
      </c>
      <c r="MX2" s="233">
        <v>56674</v>
      </c>
      <c r="MY2" s="233">
        <v>56705</v>
      </c>
      <c r="MZ2" s="233">
        <v>56735</v>
      </c>
      <c r="NA2" s="233">
        <v>56766</v>
      </c>
      <c r="NB2" s="233">
        <v>56796</v>
      </c>
      <c r="NC2" s="233">
        <v>56827</v>
      </c>
      <c r="ND2" s="233">
        <v>56858</v>
      </c>
      <c r="NE2" s="233">
        <v>56888</v>
      </c>
      <c r="NF2" s="233">
        <v>56919</v>
      </c>
      <c r="NG2" s="233">
        <v>56949</v>
      </c>
      <c r="NH2" s="233">
        <v>56980</v>
      </c>
      <c r="NI2" s="233">
        <v>57011</v>
      </c>
      <c r="NJ2" s="233">
        <v>57040</v>
      </c>
      <c r="NK2" s="233">
        <v>57071</v>
      </c>
      <c r="NL2" s="233">
        <v>57101</v>
      </c>
      <c r="NM2" s="233">
        <v>57132</v>
      </c>
      <c r="NN2" s="233">
        <v>57162</v>
      </c>
      <c r="NO2" s="233">
        <v>57193</v>
      </c>
      <c r="NP2" s="233">
        <v>57224</v>
      </c>
      <c r="NQ2" s="233">
        <v>57254</v>
      </c>
      <c r="NR2" s="233">
        <v>57285</v>
      </c>
      <c r="NS2" s="233">
        <v>57315</v>
      </c>
      <c r="NT2" s="233">
        <v>57346</v>
      </c>
      <c r="NU2" s="233">
        <v>57377</v>
      </c>
      <c r="NV2" s="233">
        <v>57405</v>
      </c>
      <c r="NW2" s="233">
        <v>57436</v>
      </c>
      <c r="NX2" s="233">
        <v>57466</v>
      </c>
      <c r="NY2" s="233">
        <v>57497</v>
      </c>
      <c r="NZ2" s="233">
        <v>57527</v>
      </c>
      <c r="OA2" s="233">
        <v>57558</v>
      </c>
      <c r="OB2" s="233">
        <v>57589</v>
      </c>
      <c r="OC2" s="233">
        <v>57619</v>
      </c>
      <c r="OD2" s="233">
        <v>57650</v>
      </c>
      <c r="OE2" s="233">
        <v>57680</v>
      </c>
    </row>
    <row r="3" spans="1:395" ht="14.4" customHeight="1" x14ac:dyDescent="0.3">
      <c r="K3" s="65"/>
      <c r="L3" s="55"/>
      <c r="M3" s="66"/>
      <c r="N3" t="s">
        <v>9</v>
      </c>
      <c r="P3" s="16"/>
      <c r="Q3" s="295" cm="1">
        <f t="array" ref="Q3:OE3">_xlfn.SEQUENCE(1,COUNTA(_xlfn.ANCHORARRAY(Q2)),1)</f>
        <v>1</v>
      </c>
      <c r="R3" s="295">
        <v>2</v>
      </c>
      <c r="S3" s="295">
        <v>3</v>
      </c>
      <c r="T3" s="295">
        <v>4</v>
      </c>
      <c r="U3" s="295">
        <v>5</v>
      </c>
      <c r="V3" s="295">
        <v>6</v>
      </c>
      <c r="W3" s="295">
        <v>7</v>
      </c>
      <c r="X3" s="295">
        <v>8</v>
      </c>
      <c r="Y3" s="295">
        <v>9</v>
      </c>
      <c r="Z3" s="295">
        <v>10</v>
      </c>
      <c r="AA3" s="295">
        <v>11</v>
      </c>
      <c r="AB3" s="295">
        <v>12</v>
      </c>
      <c r="AC3" s="295">
        <v>13</v>
      </c>
      <c r="AD3" s="295">
        <v>14</v>
      </c>
      <c r="AE3" s="295">
        <v>15</v>
      </c>
      <c r="AF3" s="295">
        <v>16</v>
      </c>
      <c r="AG3" s="295">
        <v>17</v>
      </c>
      <c r="AH3" s="295">
        <v>18</v>
      </c>
      <c r="AI3" s="295">
        <v>19</v>
      </c>
      <c r="AJ3" s="295">
        <v>20</v>
      </c>
      <c r="AK3" s="295">
        <v>21</v>
      </c>
      <c r="AL3" s="295">
        <v>22</v>
      </c>
      <c r="AM3" s="295">
        <v>23</v>
      </c>
      <c r="AN3" s="295">
        <v>24</v>
      </c>
      <c r="AO3" s="295">
        <v>25</v>
      </c>
      <c r="AP3" s="295">
        <v>26</v>
      </c>
      <c r="AQ3" s="295">
        <v>27</v>
      </c>
      <c r="AR3" s="295">
        <v>28</v>
      </c>
      <c r="AS3" s="295">
        <v>29</v>
      </c>
      <c r="AT3" s="295">
        <v>30</v>
      </c>
      <c r="AU3" s="295">
        <v>31</v>
      </c>
      <c r="AV3" s="295">
        <v>32</v>
      </c>
      <c r="AW3" s="295">
        <v>33</v>
      </c>
      <c r="AX3" s="295">
        <v>34</v>
      </c>
      <c r="AY3" s="295">
        <v>35</v>
      </c>
      <c r="AZ3" s="295">
        <v>36</v>
      </c>
      <c r="BA3" s="295">
        <v>37</v>
      </c>
      <c r="BB3" s="295">
        <v>38</v>
      </c>
      <c r="BC3" s="295">
        <v>39</v>
      </c>
      <c r="BD3" s="295">
        <v>40</v>
      </c>
      <c r="BE3" s="295">
        <v>41</v>
      </c>
      <c r="BF3" s="295">
        <v>42</v>
      </c>
      <c r="BG3" s="295">
        <v>43</v>
      </c>
      <c r="BH3" s="295">
        <v>44</v>
      </c>
      <c r="BI3" s="295">
        <v>45</v>
      </c>
      <c r="BJ3" s="295">
        <v>46</v>
      </c>
      <c r="BK3" s="295">
        <v>47</v>
      </c>
      <c r="BL3" s="295">
        <v>48</v>
      </c>
      <c r="BM3" s="295">
        <v>49</v>
      </c>
      <c r="BN3" s="295">
        <v>50</v>
      </c>
      <c r="BO3" s="295">
        <v>51</v>
      </c>
      <c r="BP3" s="295">
        <v>52</v>
      </c>
      <c r="BQ3" s="295">
        <v>53</v>
      </c>
      <c r="BR3" s="295">
        <v>54</v>
      </c>
      <c r="BS3" s="295">
        <v>55</v>
      </c>
      <c r="BT3" s="295">
        <v>56</v>
      </c>
      <c r="BU3" s="295">
        <v>57</v>
      </c>
      <c r="BV3" s="295">
        <v>58</v>
      </c>
      <c r="BW3" s="295">
        <v>59</v>
      </c>
      <c r="BX3" s="295">
        <v>60</v>
      </c>
      <c r="BY3" s="295">
        <v>61</v>
      </c>
      <c r="BZ3" s="295">
        <v>62</v>
      </c>
      <c r="CA3" s="295">
        <v>63</v>
      </c>
      <c r="CB3" s="295">
        <v>64</v>
      </c>
      <c r="CC3" s="295">
        <v>65</v>
      </c>
      <c r="CD3" s="295">
        <v>66</v>
      </c>
      <c r="CE3" s="295">
        <v>67</v>
      </c>
      <c r="CF3" s="295">
        <v>68</v>
      </c>
      <c r="CG3" s="295">
        <v>69</v>
      </c>
      <c r="CH3" s="295">
        <v>70</v>
      </c>
      <c r="CI3" s="295">
        <v>71</v>
      </c>
      <c r="CJ3" s="295">
        <v>72</v>
      </c>
      <c r="CK3" s="295">
        <v>73</v>
      </c>
      <c r="CL3" s="295">
        <v>74</v>
      </c>
      <c r="CM3" s="295">
        <v>75</v>
      </c>
      <c r="CN3" s="295">
        <v>76</v>
      </c>
      <c r="CO3" s="295">
        <v>77</v>
      </c>
      <c r="CP3" s="295">
        <v>78</v>
      </c>
      <c r="CQ3" s="295">
        <v>79</v>
      </c>
      <c r="CR3" s="295">
        <v>80</v>
      </c>
      <c r="CS3" s="295">
        <v>81</v>
      </c>
      <c r="CT3" s="295">
        <v>82</v>
      </c>
      <c r="CU3" s="295">
        <v>83</v>
      </c>
      <c r="CV3" s="295">
        <v>84</v>
      </c>
      <c r="CW3" s="295">
        <v>85</v>
      </c>
      <c r="CX3" s="295">
        <v>86</v>
      </c>
      <c r="CY3" s="295">
        <v>87</v>
      </c>
      <c r="CZ3" s="295">
        <v>88</v>
      </c>
      <c r="DA3" s="295">
        <v>89</v>
      </c>
      <c r="DB3" s="295">
        <v>90</v>
      </c>
      <c r="DC3" s="295">
        <v>91</v>
      </c>
      <c r="DD3" s="295">
        <v>92</v>
      </c>
      <c r="DE3" s="295">
        <v>93</v>
      </c>
      <c r="DF3" s="295">
        <v>94</v>
      </c>
      <c r="DG3" s="295">
        <v>95</v>
      </c>
      <c r="DH3" s="295">
        <v>96</v>
      </c>
      <c r="DI3" s="295">
        <v>97</v>
      </c>
      <c r="DJ3" s="295">
        <v>98</v>
      </c>
      <c r="DK3" s="295">
        <v>99</v>
      </c>
      <c r="DL3" s="295">
        <v>100</v>
      </c>
      <c r="DM3" s="295">
        <v>101</v>
      </c>
      <c r="DN3" s="295">
        <v>102</v>
      </c>
      <c r="DO3" s="295">
        <v>103</v>
      </c>
      <c r="DP3" s="295">
        <v>104</v>
      </c>
      <c r="DQ3" s="295">
        <v>105</v>
      </c>
      <c r="DR3" s="295">
        <v>106</v>
      </c>
      <c r="DS3" s="295">
        <v>107</v>
      </c>
      <c r="DT3" s="295">
        <v>108</v>
      </c>
      <c r="DU3" s="295">
        <v>109</v>
      </c>
      <c r="DV3" s="295">
        <v>110</v>
      </c>
      <c r="DW3" s="295">
        <v>111</v>
      </c>
      <c r="DX3" s="295">
        <v>112</v>
      </c>
      <c r="DY3" s="295">
        <v>113</v>
      </c>
      <c r="DZ3" s="295">
        <v>114</v>
      </c>
      <c r="EA3" s="295">
        <v>115</v>
      </c>
      <c r="EB3" s="295">
        <v>116</v>
      </c>
      <c r="EC3" s="295">
        <v>117</v>
      </c>
      <c r="ED3" s="295">
        <v>118</v>
      </c>
      <c r="EE3" s="295">
        <v>119</v>
      </c>
      <c r="EF3" s="295">
        <v>120</v>
      </c>
      <c r="EG3" s="295">
        <v>121</v>
      </c>
      <c r="EH3" s="295">
        <v>122</v>
      </c>
      <c r="EI3" s="295">
        <v>123</v>
      </c>
      <c r="EJ3" s="295">
        <v>124</v>
      </c>
      <c r="EK3" s="295">
        <v>125</v>
      </c>
      <c r="EL3" s="295">
        <v>126</v>
      </c>
      <c r="EM3" s="295">
        <v>127</v>
      </c>
      <c r="EN3" s="295">
        <v>128</v>
      </c>
      <c r="EO3" s="295">
        <v>129</v>
      </c>
      <c r="EP3" s="295">
        <v>130</v>
      </c>
      <c r="EQ3" s="295">
        <v>131</v>
      </c>
      <c r="ER3" s="295">
        <v>132</v>
      </c>
      <c r="ES3" s="295">
        <v>133</v>
      </c>
      <c r="ET3" s="295">
        <v>134</v>
      </c>
      <c r="EU3" s="295">
        <v>135</v>
      </c>
      <c r="EV3" s="295">
        <v>136</v>
      </c>
      <c r="EW3" s="295">
        <v>137</v>
      </c>
      <c r="EX3" s="295">
        <v>138</v>
      </c>
      <c r="EY3" s="295">
        <v>139</v>
      </c>
      <c r="EZ3" s="295">
        <v>140</v>
      </c>
      <c r="FA3" s="295">
        <v>141</v>
      </c>
      <c r="FB3" s="295">
        <v>142</v>
      </c>
      <c r="FC3" s="295">
        <v>143</v>
      </c>
      <c r="FD3" s="295">
        <v>144</v>
      </c>
      <c r="FE3" s="295">
        <v>145</v>
      </c>
      <c r="FF3" s="295">
        <v>146</v>
      </c>
      <c r="FG3" s="295">
        <v>147</v>
      </c>
      <c r="FH3" s="295">
        <v>148</v>
      </c>
      <c r="FI3" s="295">
        <v>149</v>
      </c>
      <c r="FJ3" s="295">
        <v>150</v>
      </c>
      <c r="FK3" s="295">
        <v>151</v>
      </c>
      <c r="FL3" s="295">
        <v>152</v>
      </c>
      <c r="FM3" s="295">
        <v>153</v>
      </c>
      <c r="FN3" s="295">
        <v>154</v>
      </c>
      <c r="FO3" s="295">
        <v>155</v>
      </c>
      <c r="FP3" s="295">
        <v>156</v>
      </c>
      <c r="FQ3" s="295">
        <v>157</v>
      </c>
      <c r="FR3" s="295">
        <v>158</v>
      </c>
      <c r="FS3" s="295">
        <v>159</v>
      </c>
      <c r="FT3" s="295">
        <v>160</v>
      </c>
      <c r="FU3" s="295">
        <v>161</v>
      </c>
      <c r="FV3" s="295">
        <v>162</v>
      </c>
      <c r="FW3" s="295">
        <v>163</v>
      </c>
      <c r="FX3" s="295">
        <v>164</v>
      </c>
      <c r="FY3" s="295">
        <v>165</v>
      </c>
      <c r="FZ3" s="295">
        <v>166</v>
      </c>
      <c r="GA3" s="295">
        <v>167</v>
      </c>
      <c r="GB3" s="295">
        <v>168</v>
      </c>
      <c r="GC3" s="295">
        <v>169</v>
      </c>
      <c r="GD3" s="295">
        <v>170</v>
      </c>
      <c r="GE3" s="295">
        <v>171</v>
      </c>
      <c r="GF3" s="295">
        <v>172</v>
      </c>
      <c r="GG3" s="295">
        <v>173</v>
      </c>
      <c r="GH3" s="295">
        <v>174</v>
      </c>
      <c r="GI3" s="295">
        <v>175</v>
      </c>
      <c r="GJ3" s="295">
        <v>176</v>
      </c>
      <c r="GK3" s="295">
        <v>177</v>
      </c>
      <c r="GL3" s="295">
        <v>178</v>
      </c>
      <c r="GM3" s="295">
        <v>179</v>
      </c>
      <c r="GN3" s="295">
        <v>180</v>
      </c>
      <c r="GO3" s="295">
        <v>181</v>
      </c>
      <c r="GP3" s="295">
        <v>182</v>
      </c>
      <c r="GQ3" s="295">
        <v>183</v>
      </c>
      <c r="GR3" s="295">
        <v>184</v>
      </c>
      <c r="GS3" s="295">
        <v>185</v>
      </c>
      <c r="GT3" s="295">
        <v>186</v>
      </c>
      <c r="GU3" s="295">
        <v>187</v>
      </c>
      <c r="GV3" s="295">
        <v>188</v>
      </c>
      <c r="GW3" s="295">
        <v>189</v>
      </c>
      <c r="GX3" s="295">
        <v>190</v>
      </c>
      <c r="GY3" s="295">
        <v>191</v>
      </c>
      <c r="GZ3" s="295">
        <v>192</v>
      </c>
      <c r="HA3" s="295">
        <v>193</v>
      </c>
      <c r="HB3" s="295">
        <v>194</v>
      </c>
      <c r="HC3" s="295">
        <v>195</v>
      </c>
      <c r="HD3" s="295">
        <v>196</v>
      </c>
      <c r="HE3" s="295">
        <v>197</v>
      </c>
      <c r="HF3" s="295">
        <v>198</v>
      </c>
      <c r="HG3" s="295">
        <v>199</v>
      </c>
      <c r="HH3" s="295">
        <v>200</v>
      </c>
      <c r="HI3" s="295">
        <v>201</v>
      </c>
      <c r="HJ3" s="295">
        <v>202</v>
      </c>
      <c r="HK3" s="295">
        <v>203</v>
      </c>
      <c r="HL3" s="295">
        <v>204</v>
      </c>
      <c r="HM3" s="295">
        <v>205</v>
      </c>
      <c r="HN3" s="295">
        <v>206</v>
      </c>
      <c r="HO3" s="295">
        <v>207</v>
      </c>
      <c r="HP3" s="295">
        <v>208</v>
      </c>
      <c r="HQ3" s="295">
        <v>209</v>
      </c>
      <c r="HR3" s="295">
        <v>210</v>
      </c>
      <c r="HS3" s="295">
        <v>211</v>
      </c>
      <c r="HT3" s="295">
        <v>212</v>
      </c>
      <c r="HU3" s="295">
        <v>213</v>
      </c>
      <c r="HV3" s="295">
        <v>214</v>
      </c>
      <c r="HW3" s="295">
        <v>215</v>
      </c>
      <c r="HX3" s="295">
        <v>216</v>
      </c>
      <c r="HY3" s="295">
        <v>217</v>
      </c>
      <c r="HZ3" s="295">
        <v>218</v>
      </c>
      <c r="IA3" s="295">
        <v>219</v>
      </c>
      <c r="IB3" s="295">
        <v>220</v>
      </c>
      <c r="IC3" s="295">
        <v>221</v>
      </c>
      <c r="ID3" s="295">
        <v>222</v>
      </c>
      <c r="IE3" s="295">
        <v>223</v>
      </c>
      <c r="IF3" s="295">
        <v>224</v>
      </c>
      <c r="IG3" s="295">
        <v>225</v>
      </c>
      <c r="IH3" s="295">
        <v>226</v>
      </c>
      <c r="II3" s="295">
        <v>227</v>
      </c>
      <c r="IJ3" s="295">
        <v>228</v>
      </c>
      <c r="IK3" s="295">
        <v>229</v>
      </c>
      <c r="IL3" s="295">
        <v>230</v>
      </c>
      <c r="IM3" s="295">
        <v>231</v>
      </c>
      <c r="IN3" s="295">
        <v>232</v>
      </c>
      <c r="IO3" s="295">
        <v>233</v>
      </c>
      <c r="IP3" s="295">
        <v>234</v>
      </c>
      <c r="IQ3" s="295">
        <v>235</v>
      </c>
      <c r="IR3" s="295">
        <v>236</v>
      </c>
      <c r="IS3" s="295">
        <v>237</v>
      </c>
      <c r="IT3" s="295">
        <v>238</v>
      </c>
      <c r="IU3" s="295">
        <v>239</v>
      </c>
      <c r="IV3" s="295">
        <v>240</v>
      </c>
      <c r="IW3" s="295">
        <v>241</v>
      </c>
      <c r="IX3" s="295">
        <v>242</v>
      </c>
      <c r="IY3" s="295">
        <v>243</v>
      </c>
      <c r="IZ3" s="295">
        <v>244</v>
      </c>
      <c r="JA3" s="295">
        <v>245</v>
      </c>
      <c r="JB3" s="295">
        <v>246</v>
      </c>
      <c r="JC3" s="295">
        <v>247</v>
      </c>
      <c r="JD3" s="295">
        <v>248</v>
      </c>
      <c r="JE3" s="295">
        <v>249</v>
      </c>
      <c r="JF3" s="295">
        <v>250</v>
      </c>
      <c r="JG3" s="295">
        <v>251</v>
      </c>
      <c r="JH3" s="295">
        <v>252</v>
      </c>
      <c r="JI3" s="295">
        <v>253</v>
      </c>
      <c r="JJ3" s="295">
        <v>254</v>
      </c>
      <c r="JK3" s="295">
        <v>255</v>
      </c>
      <c r="JL3" s="295">
        <v>256</v>
      </c>
      <c r="JM3" s="295">
        <v>257</v>
      </c>
      <c r="JN3" s="295">
        <v>258</v>
      </c>
      <c r="JO3" s="295">
        <v>259</v>
      </c>
      <c r="JP3" s="295">
        <v>260</v>
      </c>
      <c r="JQ3" s="295">
        <v>261</v>
      </c>
      <c r="JR3" s="295">
        <v>262</v>
      </c>
      <c r="JS3" s="295">
        <v>263</v>
      </c>
      <c r="JT3" s="295">
        <v>264</v>
      </c>
      <c r="JU3" s="295">
        <v>265</v>
      </c>
      <c r="JV3" s="295">
        <v>266</v>
      </c>
      <c r="JW3" s="295">
        <v>267</v>
      </c>
      <c r="JX3" s="295">
        <v>268</v>
      </c>
      <c r="JY3" s="295">
        <v>269</v>
      </c>
      <c r="JZ3" s="295">
        <v>270</v>
      </c>
      <c r="KA3" s="295">
        <v>271</v>
      </c>
      <c r="KB3" s="295">
        <v>272</v>
      </c>
      <c r="KC3" s="295">
        <v>273</v>
      </c>
      <c r="KD3" s="295">
        <v>274</v>
      </c>
      <c r="KE3" s="295">
        <v>275</v>
      </c>
      <c r="KF3" s="295">
        <v>276</v>
      </c>
      <c r="KG3" s="295">
        <v>277</v>
      </c>
      <c r="KH3" s="295">
        <v>278</v>
      </c>
      <c r="KI3" s="295">
        <v>279</v>
      </c>
      <c r="KJ3" s="295">
        <v>280</v>
      </c>
      <c r="KK3" s="295">
        <v>281</v>
      </c>
      <c r="KL3" s="295">
        <v>282</v>
      </c>
      <c r="KM3" s="295">
        <v>283</v>
      </c>
      <c r="KN3" s="295">
        <v>284</v>
      </c>
      <c r="KO3" s="295">
        <v>285</v>
      </c>
      <c r="KP3" s="295">
        <v>286</v>
      </c>
      <c r="KQ3" s="295">
        <v>287</v>
      </c>
      <c r="KR3" s="295">
        <v>288</v>
      </c>
      <c r="KS3" s="295">
        <v>289</v>
      </c>
      <c r="KT3" s="295">
        <v>290</v>
      </c>
      <c r="KU3" s="295">
        <v>291</v>
      </c>
      <c r="KV3" s="295">
        <v>292</v>
      </c>
      <c r="KW3" s="295">
        <v>293</v>
      </c>
      <c r="KX3" s="295">
        <v>294</v>
      </c>
      <c r="KY3" s="295">
        <v>295</v>
      </c>
      <c r="KZ3" s="295">
        <v>296</v>
      </c>
      <c r="LA3" s="295">
        <v>297</v>
      </c>
      <c r="LB3" s="295">
        <v>298</v>
      </c>
      <c r="LC3" s="295">
        <v>299</v>
      </c>
      <c r="LD3" s="295">
        <v>300</v>
      </c>
      <c r="LE3" s="295">
        <v>301</v>
      </c>
      <c r="LF3" s="295">
        <v>302</v>
      </c>
      <c r="LG3" s="295">
        <v>303</v>
      </c>
      <c r="LH3" s="295">
        <v>304</v>
      </c>
      <c r="LI3" s="295">
        <v>305</v>
      </c>
      <c r="LJ3" s="295">
        <v>306</v>
      </c>
      <c r="LK3" s="295">
        <v>307</v>
      </c>
      <c r="LL3" s="295">
        <v>308</v>
      </c>
      <c r="LM3" s="295">
        <v>309</v>
      </c>
      <c r="LN3" s="295">
        <v>310</v>
      </c>
      <c r="LO3" s="295">
        <v>311</v>
      </c>
      <c r="LP3" s="295">
        <v>312</v>
      </c>
      <c r="LQ3" s="295">
        <v>313</v>
      </c>
      <c r="LR3" s="295">
        <v>314</v>
      </c>
      <c r="LS3" s="295">
        <v>315</v>
      </c>
      <c r="LT3" s="295">
        <v>316</v>
      </c>
      <c r="LU3" s="295">
        <v>317</v>
      </c>
      <c r="LV3" s="295">
        <v>318</v>
      </c>
      <c r="LW3" s="295">
        <v>319</v>
      </c>
      <c r="LX3" s="295">
        <v>320</v>
      </c>
      <c r="LY3" s="295">
        <v>321</v>
      </c>
      <c r="LZ3" s="295">
        <v>322</v>
      </c>
      <c r="MA3" s="295">
        <v>323</v>
      </c>
      <c r="MB3" s="295">
        <v>324</v>
      </c>
      <c r="MC3" s="295">
        <v>325</v>
      </c>
      <c r="MD3" s="295">
        <v>326</v>
      </c>
      <c r="ME3" s="295">
        <v>327</v>
      </c>
      <c r="MF3" s="295">
        <v>328</v>
      </c>
      <c r="MG3" s="295">
        <v>329</v>
      </c>
      <c r="MH3" s="295">
        <v>330</v>
      </c>
      <c r="MI3" s="295">
        <v>331</v>
      </c>
      <c r="MJ3" s="295">
        <v>332</v>
      </c>
      <c r="MK3" s="295">
        <v>333</v>
      </c>
      <c r="ML3" s="295">
        <v>334</v>
      </c>
      <c r="MM3" s="295">
        <v>335</v>
      </c>
      <c r="MN3" s="295">
        <v>336</v>
      </c>
      <c r="MO3" s="295">
        <v>337</v>
      </c>
      <c r="MP3" s="295">
        <v>338</v>
      </c>
      <c r="MQ3" s="295">
        <v>339</v>
      </c>
      <c r="MR3" s="295">
        <v>340</v>
      </c>
      <c r="MS3" s="295">
        <v>341</v>
      </c>
      <c r="MT3" s="295">
        <v>342</v>
      </c>
      <c r="MU3" s="295">
        <v>343</v>
      </c>
      <c r="MV3" s="295">
        <v>344</v>
      </c>
      <c r="MW3" s="295">
        <v>345</v>
      </c>
      <c r="MX3" s="295">
        <v>346</v>
      </c>
      <c r="MY3" s="295">
        <v>347</v>
      </c>
      <c r="MZ3" s="295">
        <v>348</v>
      </c>
      <c r="NA3" s="295">
        <v>349</v>
      </c>
      <c r="NB3" s="295">
        <v>350</v>
      </c>
      <c r="NC3" s="295">
        <v>351</v>
      </c>
      <c r="ND3" s="295">
        <v>352</v>
      </c>
      <c r="NE3" s="295">
        <v>353</v>
      </c>
      <c r="NF3" s="295">
        <v>354</v>
      </c>
      <c r="NG3" s="295">
        <v>355</v>
      </c>
      <c r="NH3" s="295">
        <v>356</v>
      </c>
      <c r="NI3" s="295">
        <v>357</v>
      </c>
      <c r="NJ3" s="295">
        <v>358</v>
      </c>
      <c r="NK3" s="295">
        <v>359</v>
      </c>
      <c r="NL3" s="295">
        <v>360</v>
      </c>
      <c r="NM3" s="295">
        <v>361</v>
      </c>
      <c r="NN3" s="295">
        <v>362</v>
      </c>
      <c r="NO3" s="295">
        <v>363</v>
      </c>
      <c r="NP3" s="295">
        <v>364</v>
      </c>
      <c r="NQ3" s="295">
        <v>365</v>
      </c>
      <c r="NR3" s="295">
        <v>366</v>
      </c>
      <c r="NS3" s="295">
        <v>367</v>
      </c>
      <c r="NT3" s="295">
        <v>368</v>
      </c>
      <c r="NU3" s="295">
        <v>369</v>
      </c>
      <c r="NV3" s="295">
        <v>370</v>
      </c>
      <c r="NW3" s="295">
        <v>371</v>
      </c>
      <c r="NX3" s="295">
        <v>372</v>
      </c>
      <c r="NY3" s="295">
        <v>373</v>
      </c>
      <c r="NZ3" s="295">
        <v>374</v>
      </c>
      <c r="OA3" s="295">
        <v>375</v>
      </c>
      <c r="OB3" s="295">
        <v>376</v>
      </c>
      <c r="OC3" s="295">
        <v>377</v>
      </c>
      <c r="OD3" s="295">
        <v>378</v>
      </c>
      <c r="OE3" s="295">
        <v>379</v>
      </c>
    </row>
    <row r="4" spans="1:395" x14ac:dyDescent="0.3">
      <c r="A4" s="115"/>
      <c r="B4" s="115"/>
      <c r="C4" s="115"/>
      <c r="D4" s="118" t="s">
        <v>55</v>
      </c>
      <c r="E4" s="251" t="s">
        <v>30</v>
      </c>
      <c r="F4" s="5"/>
      <c r="G4" s="5"/>
      <c r="H4" s="5"/>
      <c r="K4" s="65"/>
      <c r="L4" s="55"/>
      <c r="M4" s="66"/>
      <c r="N4" s="5" t="s">
        <v>10</v>
      </c>
      <c r="O4" s="5"/>
      <c r="P4" s="15"/>
      <c r="Q4" s="296" cm="1">
        <f t="array" ref="Q4:OE4">ROUNDUP(_xlfn.ANCHORARRAY(Q3)/12,0)</f>
        <v>1</v>
      </c>
      <c r="R4" s="296">
        <v>1</v>
      </c>
      <c r="S4" s="296">
        <v>1</v>
      </c>
      <c r="T4" s="296">
        <v>1</v>
      </c>
      <c r="U4" s="296">
        <v>1</v>
      </c>
      <c r="V4" s="296">
        <v>1</v>
      </c>
      <c r="W4" s="296">
        <v>1</v>
      </c>
      <c r="X4" s="296">
        <v>1</v>
      </c>
      <c r="Y4" s="296">
        <v>1</v>
      </c>
      <c r="Z4" s="296">
        <v>1</v>
      </c>
      <c r="AA4" s="296">
        <v>1</v>
      </c>
      <c r="AB4" s="296">
        <v>1</v>
      </c>
      <c r="AC4" s="296">
        <v>2</v>
      </c>
      <c r="AD4" s="296">
        <v>2</v>
      </c>
      <c r="AE4" s="296">
        <v>2</v>
      </c>
      <c r="AF4" s="296">
        <v>2</v>
      </c>
      <c r="AG4" s="296">
        <v>2</v>
      </c>
      <c r="AH4" s="296">
        <v>2</v>
      </c>
      <c r="AI4" s="296">
        <v>2</v>
      </c>
      <c r="AJ4" s="296">
        <v>2</v>
      </c>
      <c r="AK4" s="296">
        <v>2</v>
      </c>
      <c r="AL4" s="296">
        <v>2</v>
      </c>
      <c r="AM4" s="296">
        <v>2</v>
      </c>
      <c r="AN4" s="296">
        <v>2</v>
      </c>
      <c r="AO4" s="296">
        <v>3</v>
      </c>
      <c r="AP4" s="296">
        <v>3</v>
      </c>
      <c r="AQ4" s="296">
        <v>3</v>
      </c>
      <c r="AR4" s="296">
        <v>3</v>
      </c>
      <c r="AS4" s="296">
        <v>3</v>
      </c>
      <c r="AT4" s="296">
        <v>3</v>
      </c>
      <c r="AU4" s="296">
        <v>3</v>
      </c>
      <c r="AV4" s="296">
        <v>3</v>
      </c>
      <c r="AW4" s="296">
        <v>3</v>
      </c>
      <c r="AX4" s="296">
        <v>3</v>
      </c>
      <c r="AY4" s="296">
        <v>3</v>
      </c>
      <c r="AZ4" s="296">
        <v>3</v>
      </c>
      <c r="BA4" s="296">
        <v>4</v>
      </c>
      <c r="BB4" s="296">
        <v>4</v>
      </c>
      <c r="BC4" s="296">
        <v>4</v>
      </c>
      <c r="BD4" s="296">
        <v>4</v>
      </c>
      <c r="BE4" s="296">
        <v>4</v>
      </c>
      <c r="BF4" s="296">
        <v>4</v>
      </c>
      <c r="BG4" s="296">
        <v>4</v>
      </c>
      <c r="BH4" s="296">
        <v>4</v>
      </c>
      <c r="BI4" s="296">
        <v>4</v>
      </c>
      <c r="BJ4" s="296">
        <v>4</v>
      </c>
      <c r="BK4" s="296">
        <v>4</v>
      </c>
      <c r="BL4" s="296">
        <v>4</v>
      </c>
      <c r="BM4" s="296">
        <v>5</v>
      </c>
      <c r="BN4" s="296">
        <v>5</v>
      </c>
      <c r="BO4" s="296">
        <v>5</v>
      </c>
      <c r="BP4" s="296">
        <v>5</v>
      </c>
      <c r="BQ4" s="296">
        <v>5</v>
      </c>
      <c r="BR4" s="296">
        <v>5</v>
      </c>
      <c r="BS4" s="296">
        <v>5</v>
      </c>
      <c r="BT4" s="296">
        <v>5</v>
      </c>
      <c r="BU4" s="296">
        <v>5</v>
      </c>
      <c r="BV4" s="296">
        <v>5</v>
      </c>
      <c r="BW4" s="296">
        <v>5</v>
      </c>
      <c r="BX4" s="296">
        <v>5</v>
      </c>
      <c r="BY4" s="296">
        <v>6</v>
      </c>
      <c r="BZ4" s="296">
        <v>6</v>
      </c>
      <c r="CA4" s="296">
        <v>6</v>
      </c>
      <c r="CB4" s="296">
        <v>6</v>
      </c>
      <c r="CC4" s="296">
        <v>6</v>
      </c>
      <c r="CD4" s="296">
        <v>6</v>
      </c>
      <c r="CE4" s="296">
        <v>6</v>
      </c>
      <c r="CF4" s="296">
        <v>6</v>
      </c>
      <c r="CG4" s="296">
        <v>6</v>
      </c>
      <c r="CH4" s="296">
        <v>6</v>
      </c>
      <c r="CI4" s="296">
        <v>6</v>
      </c>
      <c r="CJ4" s="296">
        <v>6</v>
      </c>
      <c r="CK4" s="296">
        <v>7</v>
      </c>
      <c r="CL4" s="296">
        <v>7</v>
      </c>
      <c r="CM4" s="296">
        <v>7</v>
      </c>
      <c r="CN4" s="296">
        <v>7</v>
      </c>
      <c r="CO4" s="296">
        <v>7</v>
      </c>
      <c r="CP4" s="296">
        <v>7</v>
      </c>
      <c r="CQ4" s="296">
        <v>7</v>
      </c>
      <c r="CR4" s="296">
        <v>7</v>
      </c>
      <c r="CS4" s="296">
        <v>7</v>
      </c>
      <c r="CT4" s="296">
        <v>7</v>
      </c>
      <c r="CU4" s="296">
        <v>7</v>
      </c>
      <c r="CV4" s="296">
        <v>7</v>
      </c>
      <c r="CW4" s="296">
        <v>8</v>
      </c>
      <c r="CX4" s="296">
        <v>8</v>
      </c>
      <c r="CY4" s="296">
        <v>8</v>
      </c>
      <c r="CZ4" s="296">
        <v>8</v>
      </c>
      <c r="DA4" s="296">
        <v>8</v>
      </c>
      <c r="DB4" s="296">
        <v>8</v>
      </c>
      <c r="DC4" s="296">
        <v>8</v>
      </c>
      <c r="DD4" s="296">
        <v>8</v>
      </c>
      <c r="DE4" s="296">
        <v>8</v>
      </c>
      <c r="DF4" s="296">
        <v>8</v>
      </c>
      <c r="DG4" s="296">
        <v>8</v>
      </c>
      <c r="DH4" s="296">
        <v>8</v>
      </c>
      <c r="DI4" s="296">
        <v>9</v>
      </c>
      <c r="DJ4" s="296">
        <v>9</v>
      </c>
      <c r="DK4" s="296">
        <v>9</v>
      </c>
      <c r="DL4" s="296">
        <v>9</v>
      </c>
      <c r="DM4" s="296">
        <v>9</v>
      </c>
      <c r="DN4" s="296">
        <v>9</v>
      </c>
      <c r="DO4" s="296">
        <v>9</v>
      </c>
      <c r="DP4" s="296">
        <v>9</v>
      </c>
      <c r="DQ4" s="296">
        <v>9</v>
      </c>
      <c r="DR4" s="296">
        <v>9</v>
      </c>
      <c r="DS4" s="296">
        <v>9</v>
      </c>
      <c r="DT4" s="296">
        <v>9</v>
      </c>
      <c r="DU4" s="296">
        <v>10</v>
      </c>
      <c r="DV4" s="296">
        <v>10</v>
      </c>
      <c r="DW4" s="296">
        <v>10</v>
      </c>
      <c r="DX4" s="296">
        <v>10</v>
      </c>
      <c r="DY4" s="296">
        <v>10</v>
      </c>
      <c r="DZ4" s="296">
        <v>10</v>
      </c>
      <c r="EA4" s="296">
        <v>10</v>
      </c>
      <c r="EB4" s="296">
        <v>10</v>
      </c>
      <c r="EC4" s="296">
        <v>10</v>
      </c>
      <c r="ED4" s="296">
        <v>10</v>
      </c>
      <c r="EE4" s="296">
        <v>10</v>
      </c>
      <c r="EF4" s="296">
        <v>10</v>
      </c>
      <c r="EG4" s="296">
        <v>11</v>
      </c>
      <c r="EH4" s="296">
        <v>11</v>
      </c>
      <c r="EI4" s="296">
        <v>11</v>
      </c>
      <c r="EJ4" s="296">
        <v>11</v>
      </c>
      <c r="EK4" s="296">
        <v>11</v>
      </c>
      <c r="EL4" s="296">
        <v>11</v>
      </c>
      <c r="EM4" s="296">
        <v>11</v>
      </c>
      <c r="EN4" s="296">
        <v>11</v>
      </c>
      <c r="EO4" s="296">
        <v>11</v>
      </c>
      <c r="EP4" s="296">
        <v>11</v>
      </c>
      <c r="EQ4" s="296">
        <v>11</v>
      </c>
      <c r="ER4" s="296">
        <v>11</v>
      </c>
      <c r="ES4" s="296">
        <v>12</v>
      </c>
      <c r="ET4" s="296">
        <v>12</v>
      </c>
      <c r="EU4" s="296">
        <v>12</v>
      </c>
      <c r="EV4" s="296">
        <v>12</v>
      </c>
      <c r="EW4" s="296">
        <v>12</v>
      </c>
      <c r="EX4" s="296">
        <v>12</v>
      </c>
      <c r="EY4" s="296">
        <v>12</v>
      </c>
      <c r="EZ4" s="296">
        <v>12</v>
      </c>
      <c r="FA4" s="296">
        <v>12</v>
      </c>
      <c r="FB4" s="296">
        <v>12</v>
      </c>
      <c r="FC4" s="296">
        <v>12</v>
      </c>
      <c r="FD4" s="296">
        <v>12</v>
      </c>
      <c r="FE4" s="296">
        <v>13</v>
      </c>
      <c r="FF4" s="296">
        <v>13</v>
      </c>
      <c r="FG4" s="296">
        <v>13</v>
      </c>
      <c r="FH4" s="296">
        <v>13</v>
      </c>
      <c r="FI4" s="296">
        <v>13</v>
      </c>
      <c r="FJ4" s="296">
        <v>13</v>
      </c>
      <c r="FK4" s="296">
        <v>13</v>
      </c>
      <c r="FL4" s="296">
        <v>13</v>
      </c>
      <c r="FM4" s="296">
        <v>13</v>
      </c>
      <c r="FN4" s="296">
        <v>13</v>
      </c>
      <c r="FO4" s="296">
        <v>13</v>
      </c>
      <c r="FP4" s="296">
        <v>13</v>
      </c>
      <c r="FQ4" s="296">
        <v>14</v>
      </c>
      <c r="FR4" s="296">
        <v>14</v>
      </c>
      <c r="FS4" s="296">
        <v>14</v>
      </c>
      <c r="FT4" s="296">
        <v>14</v>
      </c>
      <c r="FU4" s="296">
        <v>14</v>
      </c>
      <c r="FV4" s="296">
        <v>14</v>
      </c>
      <c r="FW4" s="296">
        <v>14</v>
      </c>
      <c r="FX4" s="296">
        <v>14</v>
      </c>
      <c r="FY4" s="296">
        <v>14</v>
      </c>
      <c r="FZ4" s="296">
        <v>14</v>
      </c>
      <c r="GA4" s="296">
        <v>14</v>
      </c>
      <c r="GB4" s="296">
        <v>14</v>
      </c>
      <c r="GC4" s="296">
        <v>15</v>
      </c>
      <c r="GD4" s="296">
        <v>15</v>
      </c>
      <c r="GE4" s="296">
        <v>15</v>
      </c>
      <c r="GF4" s="296">
        <v>15</v>
      </c>
      <c r="GG4" s="296">
        <v>15</v>
      </c>
      <c r="GH4" s="296">
        <v>15</v>
      </c>
      <c r="GI4" s="296">
        <v>15</v>
      </c>
      <c r="GJ4" s="296">
        <v>15</v>
      </c>
      <c r="GK4" s="296">
        <v>15</v>
      </c>
      <c r="GL4" s="296">
        <v>15</v>
      </c>
      <c r="GM4" s="296">
        <v>15</v>
      </c>
      <c r="GN4" s="296">
        <v>15</v>
      </c>
      <c r="GO4" s="296">
        <v>16</v>
      </c>
      <c r="GP4" s="296">
        <v>16</v>
      </c>
      <c r="GQ4" s="296">
        <v>16</v>
      </c>
      <c r="GR4" s="296">
        <v>16</v>
      </c>
      <c r="GS4" s="296">
        <v>16</v>
      </c>
      <c r="GT4" s="296">
        <v>16</v>
      </c>
      <c r="GU4" s="296">
        <v>16</v>
      </c>
      <c r="GV4" s="296">
        <v>16</v>
      </c>
      <c r="GW4" s="296">
        <v>16</v>
      </c>
      <c r="GX4" s="296">
        <v>16</v>
      </c>
      <c r="GY4" s="296">
        <v>16</v>
      </c>
      <c r="GZ4" s="296">
        <v>16</v>
      </c>
      <c r="HA4" s="296">
        <v>17</v>
      </c>
      <c r="HB4" s="296">
        <v>17</v>
      </c>
      <c r="HC4" s="296">
        <v>17</v>
      </c>
      <c r="HD4" s="296">
        <v>17</v>
      </c>
      <c r="HE4" s="296">
        <v>17</v>
      </c>
      <c r="HF4" s="296">
        <v>17</v>
      </c>
      <c r="HG4" s="296">
        <v>17</v>
      </c>
      <c r="HH4" s="296">
        <v>17</v>
      </c>
      <c r="HI4" s="296">
        <v>17</v>
      </c>
      <c r="HJ4" s="296">
        <v>17</v>
      </c>
      <c r="HK4" s="296">
        <v>17</v>
      </c>
      <c r="HL4" s="296">
        <v>17</v>
      </c>
      <c r="HM4" s="296">
        <v>18</v>
      </c>
      <c r="HN4" s="296">
        <v>18</v>
      </c>
      <c r="HO4" s="296">
        <v>18</v>
      </c>
      <c r="HP4" s="296">
        <v>18</v>
      </c>
      <c r="HQ4" s="296">
        <v>18</v>
      </c>
      <c r="HR4" s="296">
        <v>18</v>
      </c>
      <c r="HS4" s="296">
        <v>18</v>
      </c>
      <c r="HT4" s="296">
        <v>18</v>
      </c>
      <c r="HU4" s="296">
        <v>18</v>
      </c>
      <c r="HV4" s="296">
        <v>18</v>
      </c>
      <c r="HW4" s="296">
        <v>18</v>
      </c>
      <c r="HX4" s="296">
        <v>18</v>
      </c>
      <c r="HY4" s="296">
        <v>19</v>
      </c>
      <c r="HZ4" s="296">
        <v>19</v>
      </c>
      <c r="IA4" s="296">
        <v>19</v>
      </c>
      <c r="IB4" s="296">
        <v>19</v>
      </c>
      <c r="IC4" s="296">
        <v>19</v>
      </c>
      <c r="ID4" s="296">
        <v>19</v>
      </c>
      <c r="IE4" s="296">
        <v>19</v>
      </c>
      <c r="IF4" s="296">
        <v>19</v>
      </c>
      <c r="IG4" s="296">
        <v>19</v>
      </c>
      <c r="IH4" s="296">
        <v>19</v>
      </c>
      <c r="II4" s="296">
        <v>19</v>
      </c>
      <c r="IJ4" s="296">
        <v>19</v>
      </c>
      <c r="IK4" s="296">
        <v>20</v>
      </c>
      <c r="IL4" s="296">
        <v>20</v>
      </c>
      <c r="IM4" s="296">
        <v>20</v>
      </c>
      <c r="IN4" s="296">
        <v>20</v>
      </c>
      <c r="IO4" s="296">
        <v>20</v>
      </c>
      <c r="IP4" s="296">
        <v>20</v>
      </c>
      <c r="IQ4" s="296">
        <v>20</v>
      </c>
      <c r="IR4" s="296">
        <v>20</v>
      </c>
      <c r="IS4" s="296">
        <v>20</v>
      </c>
      <c r="IT4" s="296">
        <v>20</v>
      </c>
      <c r="IU4" s="296">
        <v>20</v>
      </c>
      <c r="IV4" s="296">
        <v>20</v>
      </c>
      <c r="IW4" s="296">
        <v>21</v>
      </c>
      <c r="IX4" s="296">
        <v>21</v>
      </c>
      <c r="IY4" s="296">
        <v>21</v>
      </c>
      <c r="IZ4" s="296">
        <v>21</v>
      </c>
      <c r="JA4" s="296">
        <v>21</v>
      </c>
      <c r="JB4" s="296">
        <v>21</v>
      </c>
      <c r="JC4" s="296">
        <v>21</v>
      </c>
      <c r="JD4" s="296">
        <v>21</v>
      </c>
      <c r="JE4" s="296">
        <v>21</v>
      </c>
      <c r="JF4" s="296">
        <v>21</v>
      </c>
      <c r="JG4" s="296">
        <v>21</v>
      </c>
      <c r="JH4" s="296">
        <v>21</v>
      </c>
      <c r="JI4" s="296">
        <v>22</v>
      </c>
      <c r="JJ4" s="296">
        <v>22</v>
      </c>
      <c r="JK4" s="296">
        <v>22</v>
      </c>
      <c r="JL4" s="296">
        <v>22</v>
      </c>
      <c r="JM4" s="296">
        <v>22</v>
      </c>
      <c r="JN4" s="296">
        <v>22</v>
      </c>
      <c r="JO4" s="296">
        <v>22</v>
      </c>
      <c r="JP4" s="296">
        <v>22</v>
      </c>
      <c r="JQ4" s="296">
        <v>22</v>
      </c>
      <c r="JR4" s="296">
        <v>22</v>
      </c>
      <c r="JS4" s="296">
        <v>22</v>
      </c>
      <c r="JT4" s="296">
        <v>22</v>
      </c>
      <c r="JU4" s="296">
        <v>23</v>
      </c>
      <c r="JV4" s="296">
        <v>23</v>
      </c>
      <c r="JW4" s="296">
        <v>23</v>
      </c>
      <c r="JX4" s="296">
        <v>23</v>
      </c>
      <c r="JY4" s="296">
        <v>23</v>
      </c>
      <c r="JZ4" s="296">
        <v>23</v>
      </c>
      <c r="KA4" s="296">
        <v>23</v>
      </c>
      <c r="KB4" s="296">
        <v>23</v>
      </c>
      <c r="KC4" s="296">
        <v>23</v>
      </c>
      <c r="KD4" s="296">
        <v>23</v>
      </c>
      <c r="KE4" s="296">
        <v>23</v>
      </c>
      <c r="KF4" s="296">
        <v>23</v>
      </c>
      <c r="KG4" s="296">
        <v>24</v>
      </c>
      <c r="KH4" s="296">
        <v>24</v>
      </c>
      <c r="KI4" s="296">
        <v>24</v>
      </c>
      <c r="KJ4" s="296">
        <v>24</v>
      </c>
      <c r="KK4" s="296">
        <v>24</v>
      </c>
      <c r="KL4" s="296">
        <v>24</v>
      </c>
      <c r="KM4" s="296">
        <v>24</v>
      </c>
      <c r="KN4" s="296">
        <v>24</v>
      </c>
      <c r="KO4" s="296">
        <v>24</v>
      </c>
      <c r="KP4" s="296">
        <v>24</v>
      </c>
      <c r="KQ4" s="296">
        <v>24</v>
      </c>
      <c r="KR4" s="296">
        <v>24</v>
      </c>
      <c r="KS4" s="296">
        <v>25</v>
      </c>
      <c r="KT4" s="296">
        <v>25</v>
      </c>
      <c r="KU4" s="296">
        <v>25</v>
      </c>
      <c r="KV4" s="296">
        <v>25</v>
      </c>
      <c r="KW4" s="296">
        <v>25</v>
      </c>
      <c r="KX4" s="296">
        <v>25</v>
      </c>
      <c r="KY4" s="296">
        <v>25</v>
      </c>
      <c r="KZ4" s="296">
        <v>25</v>
      </c>
      <c r="LA4" s="296">
        <v>25</v>
      </c>
      <c r="LB4" s="296">
        <v>25</v>
      </c>
      <c r="LC4" s="296">
        <v>25</v>
      </c>
      <c r="LD4" s="296">
        <v>25</v>
      </c>
      <c r="LE4" s="296">
        <v>26</v>
      </c>
      <c r="LF4" s="296">
        <v>26</v>
      </c>
      <c r="LG4" s="296">
        <v>26</v>
      </c>
      <c r="LH4" s="296">
        <v>26</v>
      </c>
      <c r="LI4" s="296">
        <v>26</v>
      </c>
      <c r="LJ4" s="296">
        <v>26</v>
      </c>
      <c r="LK4" s="296">
        <v>26</v>
      </c>
      <c r="LL4" s="296">
        <v>26</v>
      </c>
      <c r="LM4" s="296">
        <v>26</v>
      </c>
      <c r="LN4" s="296">
        <v>26</v>
      </c>
      <c r="LO4" s="296">
        <v>26</v>
      </c>
      <c r="LP4" s="296">
        <v>26</v>
      </c>
      <c r="LQ4" s="296">
        <v>27</v>
      </c>
      <c r="LR4" s="296">
        <v>27</v>
      </c>
      <c r="LS4" s="296">
        <v>27</v>
      </c>
      <c r="LT4" s="296">
        <v>27</v>
      </c>
      <c r="LU4" s="296">
        <v>27</v>
      </c>
      <c r="LV4" s="296">
        <v>27</v>
      </c>
      <c r="LW4" s="296">
        <v>27</v>
      </c>
      <c r="LX4" s="296">
        <v>27</v>
      </c>
      <c r="LY4" s="296">
        <v>27</v>
      </c>
      <c r="LZ4" s="296">
        <v>27</v>
      </c>
      <c r="MA4" s="296">
        <v>27</v>
      </c>
      <c r="MB4" s="296">
        <v>27</v>
      </c>
      <c r="MC4" s="296">
        <v>28</v>
      </c>
      <c r="MD4" s="296">
        <v>28</v>
      </c>
      <c r="ME4" s="296">
        <v>28</v>
      </c>
      <c r="MF4" s="296">
        <v>28</v>
      </c>
      <c r="MG4" s="296">
        <v>28</v>
      </c>
      <c r="MH4" s="296">
        <v>28</v>
      </c>
      <c r="MI4" s="296">
        <v>28</v>
      </c>
      <c r="MJ4" s="296">
        <v>28</v>
      </c>
      <c r="MK4" s="296">
        <v>28</v>
      </c>
      <c r="ML4" s="296">
        <v>28</v>
      </c>
      <c r="MM4" s="296">
        <v>28</v>
      </c>
      <c r="MN4" s="296">
        <v>28</v>
      </c>
      <c r="MO4" s="296">
        <v>29</v>
      </c>
      <c r="MP4" s="296">
        <v>29</v>
      </c>
      <c r="MQ4" s="296">
        <v>29</v>
      </c>
      <c r="MR4" s="296">
        <v>29</v>
      </c>
      <c r="MS4" s="296">
        <v>29</v>
      </c>
      <c r="MT4" s="296">
        <v>29</v>
      </c>
      <c r="MU4" s="296">
        <v>29</v>
      </c>
      <c r="MV4" s="296">
        <v>29</v>
      </c>
      <c r="MW4" s="296">
        <v>29</v>
      </c>
      <c r="MX4" s="296">
        <v>29</v>
      </c>
      <c r="MY4" s="296">
        <v>29</v>
      </c>
      <c r="MZ4" s="296">
        <v>29</v>
      </c>
      <c r="NA4" s="296">
        <v>30</v>
      </c>
      <c r="NB4" s="296">
        <v>30</v>
      </c>
      <c r="NC4" s="296">
        <v>30</v>
      </c>
      <c r="ND4" s="296">
        <v>30</v>
      </c>
      <c r="NE4" s="296">
        <v>30</v>
      </c>
      <c r="NF4" s="296">
        <v>30</v>
      </c>
      <c r="NG4" s="296">
        <v>30</v>
      </c>
      <c r="NH4" s="296">
        <v>30</v>
      </c>
      <c r="NI4" s="296">
        <v>30</v>
      </c>
      <c r="NJ4" s="296">
        <v>30</v>
      </c>
      <c r="NK4" s="296">
        <v>30</v>
      </c>
      <c r="NL4" s="296">
        <v>30</v>
      </c>
      <c r="NM4" s="296">
        <v>31</v>
      </c>
      <c r="NN4" s="296">
        <v>31</v>
      </c>
      <c r="NO4" s="296">
        <v>31</v>
      </c>
      <c r="NP4" s="296">
        <v>31</v>
      </c>
      <c r="NQ4" s="296">
        <v>31</v>
      </c>
      <c r="NR4" s="296">
        <v>31</v>
      </c>
      <c r="NS4" s="296">
        <v>31</v>
      </c>
      <c r="NT4" s="296">
        <v>31</v>
      </c>
      <c r="NU4" s="296">
        <v>31</v>
      </c>
      <c r="NV4" s="296">
        <v>31</v>
      </c>
      <c r="NW4" s="296">
        <v>31</v>
      </c>
      <c r="NX4" s="296">
        <v>31</v>
      </c>
      <c r="NY4" s="296">
        <v>32</v>
      </c>
      <c r="NZ4" s="296">
        <v>32</v>
      </c>
      <c r="OA4" s="296">
        <v>32</v>
      </c>
      <c r="OB4" s="296">
        <v>32</v>
      </c>
      <c r="OC4" s="296">
        <v>32</v>
      </c>
      <c r="OD4" s="296">
        <v>32</v>
      </c>
      <c r="OE4" s="296">
        <v>32</v>
      </c>
    </row>
    <row r="5" spans="1:395" ht="14.4" customHeight="1" thickBot="1" x14ac:dyDescent="0.35">
      <c r="D5" s="114"/>
      <c r="F5" s="254" t="s">
        <v>54</v>
      </c>
      <c r="G5" s="106"/>
      <c r="H5" s="106"/>
      <c r="J5" s="6"/>
      <c r="K5" s="65"/>
      <c r="L5" s="55"/>
      <c r="M5" s="55"/>
      <c r="N5" s="105"/>
      <c r="O5" s="55"/>
      <c r="P5" s="55"/>
      <c r="Q5" s="55"/>
    </row>
    <row r="6" spans="1:395" ht="14.4" thickBot="1" x14ac:dyDescent="0.35">
      <c r="A6" s="325" t="s">
        <v>16</v>
      </c>
      <c r="B6" s="326"/>
      <c r="C6" s="326"/>
      <c r="D6" s="326"/>
      <c r="E6" s="107" t="s">
        <v>17</v>
      </c>
      <c r="F6" s="255" t="s">
        <v>19</v>
      </c>
      <c r="G6" s="76"/>
      <c r="H6" s="76"/>
      <c r="I6" s="56" t="s">
        <v>30</v>
      </c>
      <c r="J6" s="59" t="s">
        <v>53</v>
      </c>
      <c r="K6" s="65"/>
      <c r="L6" s="55"/>
      <c r="M6" s="55"/>
      <c r="N6" s="55"/>
      <c r="O6" s="55"/>
      <c r="P6" s="55"/>
      <c r="Q6" s="55"/>
    </row>
    <row r="7" spans="1:395" x14ac:dyDescent="0.3">
      <c r="A7" s="14"/>
      <c r="C7" s="14"/>
      <c r="F7" s="256"/>
      <c r="G7" s="76"/>
      <c r="H7" s="76"/>
      <c r="I7" s="257"/>
      <c r="J7" s="258"/>
      <c r="K7" s="65"/>
      <c r="L7" s="55"/>
      <c r="M7" s="55"/>
      <c r="N7" s="55"/>
      <c r="O7" s="55"/>
      <c r="P7" s="55"/>
      <c r="Q7" s="55"/>
    </row>
    <row r="8" spans="1:395" x14ac:dyDescent="0.3">
      <c r="A8" s="14"/>
      <c r="B8" s="114" t="s">
        <v>194</v>
      </c>
      <c r="C8" s="14"/>
      <c r="D8" s="119"/>
      <c r="E8" s="109"/>
      <c r="F8" s="256"/>
      <c r="G8" s="76"/>
      <c r="H8" s="76"/>
      <c r="I8" s="257"/>
      <c r="J8" s="258"/>
      <c r="K8" s="65"/>
      <c r="L8" s="55"/>
      <c r="M8" s="55"/>
      <c r="N8" s="55"/>
      <c r="O8" s="55"/>
      <c r="P8" s="55"/>
      <c r="Q8" s="55"/>
    </row>
    <row r="9" spans="1:395" outlineLevel="1" x14ac:dyDescent="0.3">
      <c r="A9" s="14"/>
      <c r="C9" s="14"/>
      <c r="D9" s="119" t="s">
        <v>363</v>
      </c>
      <c r="E9" s="298">
        <f>E1</f>
        <v>46174</v>
      </c>
      <c r="F9" s="259"/>
      <c r="G9" s="76"/>
      <c r="H9" s="76"/>
      <c r="I9" s="257"/>
      <c r="J9" s="258"/>
      <c r="K9" s="65"/>
      <c r="L9" s="55"/>
      <c r="M9" s="55"/>
      <c r="N9" s="55"/>
      <c r="O9" s="260" t="s">
        <v>302</v>
      </c>
      <c r="P9" s="260" t="s">
        <v>303</v>
      </c>
      <c r="Q9" s="231" cm="1">
        <f t="array" ref="Q9:OE9">_xlfn.ANCHORARRAY(Q2)</f>
        <v>46174</v>
      </c>
      <c r="R9" s="230">
        <v>46204</v>
      </c>
      <c r="S9" s="230">
        <v>46235</v>
      </c>
      <c r="T9" s="230">
        <v>46266</v>
      </c>
      <c r="U9" s="230">
        <v>46296</v>
      </c>
      <c r="V9" s="230">
        <v>46327</v>
      </c>
      <c r="W9" s="230">
        <v>46357</v>
      </c>
      <c r="X9" s="230">
        <v>46388</v>
      </c>
      <c r="Y9" s="230">
        <v>46419</v>
      </c>
      <c r="Z9" s="230">
        <v>46447</v>
      </c>
      <c r="AA9" s="230">
        <v>46478</v>
      </c>
      <c r="AB9" s="230">
        <v>46508</v>
      </c>
      <c r="AC9" s="230">
        <v>46539</v>
      </c>
      <c r="AD9" s="230">
        <v>46569</v>
      </c>
      <c r="AE9" s="230">
        <v>46600</v>
      </c>
      <c r="AF9" s="230">
        <v>46631</v>
      </c>
      <c r="AG9" s="230">
        <v>46661</v>
      </c>
      <c r="AH9" s="230">
        <v>46692</v>
      </c>
      <c r="AI9" s="230">
        <v>46722</v>
      </c>
      <c r="AJ9" s="230">
        <v>46753</v>
      </c>
      <c r="AK9" s="230">
        <v>46784</v>
      </c>
      <c r="AL9" s="230">
        <v>46813</v>
      </c>
      <c r="AM9" s="230">
        <v>46844</v>
      </c>
      <c r="AN9" s="230">
        <v>46874</v>
      </c>
      <c r="AO9" s="230">
        <v>46905</v>
      </c>
      <c r="AP9" s="230">
        <v>46935</v>
      </c>
      <c r="AQ9" s="230">
        <v>46966</v>
      </c>
      <c r="AR9" s="230">
        <v>46997</v>
      </c>
      <c r="AS9" s="230">
        <v>47027</v>
      </c>
      <c r="AT9" s="230">
        <v>47058</v>
      </c>
      <c r="AU9" s="230">
        <v>47088</v>
      </c>
      <c r="AV9" s="230">
        <v>47119</v>
      </c>
      <c r="AW9" s="230">
        <v>47150</v>
      </c>
      <c r="AX9" s="230">
        <v>47178</v>
      </c>
      <c r="AY9" s="230">
        <v>47209</v>
      </c>
      <c r="AZ9" s="230">
        <v>47239</v>
      </c>
      <c r="BA9" s="230">
        <v>47270</v>
      </c>
      <c r="BB9" s="230">
        <v>47300</v>
      </c>
      <c r="BC9" s="230">
        <v>47331</v>
      </c>
      <c r="BD9" s="230">
        <v>47362</v>
      </c>
      <c r="BE9" s="230">
        <v>47392</v>
      </c>
      <c r="BF9" s="230">
        <v>47423</v>
      </c>
      <c r="BG9" s="230">
        <v>47453</v>
      </c>
      <c r="BH9" s="230">
        <v>47484</v>
      </c>
      <c r="BI9" s="230">
        <v>47515</v>
      </c>
      <c r="BJ9" s="230">
        <v>47543</v>
      </c>
      <c r="BK9" s="230">
        <v>47574</v>
      </c>
      <c r="BL9" s="230">
        <v>47604</v>
      </c>
      <c r="BM9" s="230">
        <v>47635</v>
      </c>
      <c r="BN9" s="230">
        <v>47665</v>
      </c>
      <c r="BO9" s="230">
        <v>47696</v>
      </c>
      <c r="BP9" s="230">
        <v>47727</v>
      </c>
      <c r="BQ9" s="230">
        <v>47757</v>
      </c>
      <c r="BR9" s="230">
        <v>47788</v>
      </c>
      <c r="BS9" s="230">
        <v>47818</v>
      </c>
      <c r="BT9" s="230">
        <v>47849</v>
      </c>
      <c r="BU9" s="230">
        <v>47880</v>
      </c>
      <c r="BV9" s="230">
        <v>47908</v>
      </c>
      <c r="BW9" s="230">
        <v>47939</v>
      </c>
      <c r="BX9" s="230">
        <v>47969</v>
      </c>
      <c r="BY9" s="230">
        <v>48000</v>
      </c>
      <c r="BZ9" s="230">
        <v>48030</v>
      </c>
      <c r="CA9" s="230">
        <v>48061</v>
      </c>
      <c r="CB9" s="230">
        <v>48092</v>
      </c>
      <c r="CC9" s="230">
        <v>48122</v>
      </c>
      <c r="CD9" s="230">
        <v>48153</v>
      </c>
      <c r="CE9" s="230">
        <v>48183</v>
      </c>
      <c r="CF9" s="230">
        <v>48214</v>
      </c>
      <c r="CG9" s="230">
        <v>48245</v>
      </c>
      <c r="CH9" s="230">
        <v>48274</v>
      </c>
      <c r="CI9" s="230">
        <v>48305</v>
      </c>
      <c r="CJ9" s="230">
        <v>48335</v>
      </c>
      <c r="CK9" s="230">
        <v>48366</v>
      </c>
      <c r="CL9" s="230">
        <v>48396</v>
      </c>
      <c r="CM9" s="230">
        <v>48427</v>
      </c>
      <c r="CN9" s="230">
        <v>48458</v>
      </c>
      <c r="CO9" s="230">
        <v>48488</v>
      </c>
      <c r="CP9" s="230">
        <v>48519</v>
      </c>
      <c r="CQ9" s="230">
        <v>48549</v>
      </c>
      <c r="CR9" s="230">
        <v>48580</v>
      </c>
      <c r="CS9" s="230">
        <v>48611</v>
      </c>
      <c r="CT9" s="230">
        <v>48639</v>
      </c>
      <c r="CU9" s="230">
        <v>48670</v>
      </c>
      <c r="CV9" s="230">
        <v>48700</v>
      </c>
      <c r="CW9" s="230">
        <v>48731</v>
      </c>
      <c r="CX9" s="230">
        <v>48761</v>
      </c>
      <c r="CY9" s="230">
        <v>48792</v>
      </c>
      <c r="CZ9" s="230">
        <v>48823</v>
      </c>
      <c r="DA9" s="230">
        <v>48853</v>
      </c>
      <c r="DB9" s="230">
        <v>48884</v>
      </c>
      <c r="DC9" s="230">
        <v>48914</v>
      </c>
      <c r="DD9" s="230">
        <v>48945</v>
      </c>
      <c r="DE9" s="230">
        <v>48976</v>
      </c>
      <c r="DF9" s="230">
        <v>49004</v>
      </c>
      <c r="DG9" s="230">
        <v>49035</v>
      </c>
      <c r="DH9" s="230">
        <v>49065</v>
      </c>
      <c r="DI9" s="230">
        <v>49096</v>
      </c>
      <c r="DJ9" s="230">
        <v>49126</v>
      </c>
      <c r="DK9" s="230">
        <v>49157</v>
      </c>
      <c r="DL9" s="230">
        <v>49188</v>
      </c>
      <c r="DM9" s="230">
        <v>49218</v>
      </c>
      <c r="DN9" s="230">
        <v>49249</v>
      </c>
      <c r="DO9" s="230">
        <v>49279</v>
      </c>
      <c r="DP9" s="230">
        <v>49310</v>
      </c>
      <c r="DQ9" s="230">
        <v>49341</v>
      </c>
      <c r="DR9" s="230">
        <v>49369</v>
      </c>
      <c r="DS9" s="230">
        <v>49400</v>
      </c>
      <c r="DT9" s="230">
        <v>49430</v>
      </c>
      <c r="DU9" s="230">
        <v>49461</v>
      </c>
      <c r="DV9" s="230">
        <v>49491</v>
      </c>
      <c r="DW9" s="230">
        <v>49522</v>
      </c>
      <c r="DX9" s="230">
        <v>49553</v>
      </c>
      <c r="DY9" s="230">
        <v>49583</v>
      </c>
      <c r="DZ9" s="230">
        <v>49614</v>
      </c>
      <c r="EA9" s="230">
        <v>49644</v>
      </c>
      <c r="EB9" s="230">
        <v>49675</v>
      </c>
      <c r="EC9" s="230">
        <v>49706</v>
      </c>
      <c r="ED9" s="230">
        <v>49735</v>
      </c>
      <c r="EE9" s="230">
        <v>49766</v>
      </c>
      <c r="EF9" s="230">
        <v>49796</v>
      </c>
      <c r="EG9" s="230">
        <v>49827</v>
      </c>
      <c r="EH9" s="230">
        <v>49857</v>
      </c>
      <c r="EI9" s="230">
        <v>49888</v>
      </c>
      <c r="EJ9" s="230">
        <v>49919</v>
      </c>
      <c r="EK9" s="230">
        <v>49949</v>
      </c>
      <c r="EL9" s="230">
        <v>49980</v>
      </c>
      <c r="EM9" s="230">
        <v>50010</v>
      </c>
      <c r="EN9" s="230">
        <v>50041</v>
      </c>
      <c r="EO9" s="230">
        <v>50072</v>
      </c>
      <c r="EP9" s="230">
        <v>50100</v>
      </c>
      <c r="EQ9" s="230">
        <v>50131</v>
      </c>
      <c r="ER9" s="230">
        <v>50161</v>
      </c>
      <c r="ES9" s="230">
        <v>50192</v>
      </c>
      <c r="ET9" s="230">
        <v>50222</v>
      </c>
      <c r="EU9" s="230">
        <v>50253</v>
      </c>
      <c r="EV9" s="230">
        <v>50284</v>
      </c>
      <c r="EW9" s="230">
        <v>50314</v>
      </c>
      <c r="EX9" s="230">
        <v>50345</v>
      </c>
      <c r="EY9" s="230">
        <v>50375</v>
      </c>
      <c r="EZ9" s="230">
        <v>50406</v>
      </c>
      <c r="FA9" s="230">
        <v>50437</v>
      </c>
      <c r="FB9" s="230">
        <v>50465</v>
      </c>
      <c r="FC9" s="230">
        <v>50496</v>
      </c>
      <c r="FD9" s="230">
        <v>50526</v>
      </c>
      <c r="FE9" s="230">
        <v>50557</v>
      </c>
      <c r="FF9" s="230">
        <v>50587</v>
      </c>
      <c r="FG9" s="230">
        <v>50618</v>
      </c>
      <c r="FH9" s="230">
        <v>50649</v>
      </c>
      <c r="FI9" s="230">
        <v>50679</v>
      </c>
      <c r="FJ9" s="230">
        <v>50710</v>
      </c>
      <c r="FK9" s="230">
        <v>50740</v>
      </c>
      <c r="FL9" s="230">
        <v>50771</v>
      </c>
      <c r="FM9" s="230">
        <v>50802</v>
      </c>
      <c r="FN9" s="230">
        <v>50830</v>
      </c>
      <c r="FO9" s="230">
        <v>50861</v>
      </c>
      <c r="FP9" s="230">
        <v>50891</v>
      </c>
      <c r="FQ9" s="230">
        <v>50922</v>
      </c>
      <c r="FR9" s="230">
        <v>50952</v>
      </c>
      <c r="FS9" s="230">
        <v>50983</v>
      </c>
      <c r="FT9" s="230">
        <v>51014</v>
      </c>
      <c r="FU9" s="230">
        <v>51044</v>
      </c>
      <c r="FV9" s="230">
        <v>51075</v>
      </c>
      <c r="FW9" s="230">
        <v>51105</v>
      </c>
      <c r="FX9" s="230">
        <v>51136</v>
      </c>
      <c r="FY9" s="230">
        <v>51167</v>
      </c>
      <c r="FZ9" s="230">
        <v>51196</v>
      </c>
      <c r="GA9" s="230">
        <v>51227</v>
      </c>
      <c r="GB9" s="230">
        <v>51257</v>
      </c>
      <c r="GC9" s="230">
        <v>51288</v>
      </c>
      <c r="GD9" s="230">
        <v>51318</v>
      </c>
      <c r="GE9" s="230">
        <v>51349</v>
      </c>
      <c r="GF9" s="230">
        <v>51380</v>
      </c>
      <c r="GG9" s="230">
        <v>51410</v>
      </c>
      <c r="GH9" s="230">
        <v>51441</v>
      </c>
      <c r="GI9" s="230">
        <v>51471</v>
      </c>
      <c r="GJ9" s="230">
        <v>51502</v>
      </c>
      <c r="GK9" s="230">
        <v>51533</v>
      </c>
      <c r="GL9" s="230">
        <v>51561</v>
      </c>
      <c r="GM9" s="230">
        <v>51592</v>
      </c>
      <c r="GN9" s="230">
        <v>51622</v>
      </c>
      <c r="GO9" s="230">
        <v>51653</v>
      </c>
      <c r="GP9" s="230">
        <v>51683</v>
      </c>
      <c r="GQ9" s="230">
        <v>51714</v>
      </c>
      <c r="GR9" s="230">
        <v>51745</v>
      </c>
      <c r="GS9" s="230">
        <v>51775</v>
      </c>
      <c r="GT9" s="230">
        <v>51806</v>
      </c>
      <c r="GU9" s="230">
        <v>51836</v>
      </c>
      <c r="GV9" s="230">
        <v>51867</v>
      </c>
      <c r="GW9" s="230">
        <v>51898</v>
      </c>
      <c r="GX9" s="230">
        <v>51926</v>
      </c>
      <c r="GY9" s="230">
        <v>51957</v>
      </c>
      <c r="GZ9" s="230">
        <v>51987</v>
      </c>
      <c r="HA9" s="230">
        <v>52018</v>
      </c>
      <c r="HB9" s="230">
        <v>52048</v>
      </c>
      <c r="HC9" s="230">
        <v>52079</v>
      </c>
      <c r="HD9" s="230">
        <v>52110</v>
      </c>
      <c r="HE9" s="230">
        <v>52140</v>
      </c>
      <c r="HF9" s="230">
        <v>52171</v>
      </c>
      <c r="HG9" s="230">
        <v>52201</v>
      </c>
      <c r="HH9" s="230">
        <v>52232</v>
      </c>
      <c r="HI9" s="230">
        <v>52263</v>
      </c>
      <c r="HJ9" s="230">
        <v>52291</v>
      </c>
      <c r="HK9" s="230">
        <v>52322</v>
      </c>
      <c r="HL9" s="230">
        <v>52352</v>
      </c>
      <c r="HM9" s="230">
        <v>52383</v>
      </c>
      <c r="HN9" s="230">
        <v>52413</v>
      </c>
      <c r="HO9" s="230">
        <v>52444</v>
      </c>
      <c r="HP9" s="230">
        <v>52475</v>
      </c>
      <c r="HQ9" s="230">
        <v>52505</v>
      </c>
      <c r="HR9" s="230">
        <v>52536</v>
      </c>
      <c r="HS9" s="230">
        <v>52566</v>
      </c>
      <c r="HT9" s="230">
        <v>52597</v>
      </c>
      <c r="HU9" s="230">
        <v>52628</v>
      </c>
      <c r="HV9" s="230">
        <v>52657</v>
      </c>
      <c r="HW9" s="230">
        <v>52688</v>
      </c>
      <c r="HX9" s="230">
        <v>52718</v>
      </c>
      <c r="HY9" s="230">
        <v>52749</v>
      </c>
      <c r="HZ9" s="230">
        <v>52779</v>
      </c>
      <c r="IA9" s="230">
        <v>52810</v>
      </c>
      <c r="IB9" s="230">
        <v>52841</v>
      </c>
      <c r="IC9" s="230">
        <v>52871</v>
      </c>
      <c r="ID9" s="230">
        <v>52902</v>
      </c>
      <c r="IE9" s="230">
        <v>52932</v>
      </c>
      <c r="IF9" s="230">
        <v>52963</v>
      </c>
      <c r="IG9" s="230">
        <v>52994</v>
      </c>
      <c r="IH9" s="230">
        <v>53022</v>
      </c>
      <c r="II9" s="230">
        <v>53053</v>
      </c>
      <c r="IJ9" s="230">
        <v>53083</v>
      </c>
      <c r="IK9" s="230">
        <v>53114</v>
      </c>
      <c r="IL9" s="230">
        <v>53144</v>
      </c>
      <c r="IM9" s="230">
        <v>53175</v>
      </c>
      <c r="IN9" s="230">
        <v>53206</v>
      </c>
      <c r="IO9" s="230">
        <v>53236</v>
      </c>
      <c r="IP9" s="230">
        <v>53267</v>
      </c>
      <c r="IQ9" s="230">
        <v>53297</v>
      </c>
      <c r="IR9" s="230">
        <v>53328</v>
      </c>
      <c r="IS9" s="230">
        <v>53359</v>
      </c>
      <c r="IT9" s="230">
        <v>53387</v>
      </c>
      <c r="IU9" s="230">
        <v>53418</v>
      </c>
      <c r="IV9" s="230">
        <v>53448</v>
      </c>
      <c r="IW9" s="230">
        <v>53479</v>
      </c>
      <c r="IX9" s="230">
        <v>53509</v>
      </c>
      <c r="IY9" s="230">
        <v>53540</v>
      </c>
      <c r="IZ9" s="230">
        <v>53571</v>
      </c>
      <c r="JA9" s="230">
        <v>53601</v>
      </c>
      <c r="JB9" s="230">
        <v>53632</v>
      </c>
      <c r="JC9" s="230">
        <v>53662</v>
      </c>
      <c r="JD9" s="230">
        <v>53693</v>
      </c>
      <c r="JE9" s="230">
        <v>53724</v>
      </c>
      <c r="JF9" s="230">
        <v>53752</v>
      </c>
      <c r="JG9" s="230">
        <v>53783</v>
      </c>
      <c r="JH9" s="230">
        <v>53813</v>
      </c>
      <c r="JI9" s="230">
        <v>53844</v>
      </c>
      <c r="JJ9" s="230">
        <v>53874</v>
      </c>
      <c r="JK9" s="230">
        <v>53905</v>
      </c>
      <c r="JL9" s="230">
        <v>53936</v>
      </c>
      <c r="JM9" s="230">
        <v>53966</v>
      </c>
      <c r="JN9" s="230">
        <v>53997</v>
      </c>
      <c r="JO9" s="230">
        <v>54027</v>
      </c>
      <c r="JP9" s="230">
        <v>54058</v>
      </c>
      <c r="JQ9" s="230">
        <v>54089</v>
      </c>
      <c r="JR9" s="230">
        <v>54118</v>
      </c>
      <c r="JS9" s="230">
        <v>54149</v>
      </c>
      <c r="JT9" s="230">
        <v>54179</v>
      </c>
      <c r="JU9" s="230">
        <v>54210</v>
      </c>
      <c r="JV9" s="230">
        <v>54240</v>
      </c>
      <c r="JW9" s="230">
        <v>54271</v>
      </c>
      <c r="JX9" s="230">
        <v>54302</v>
      </c>
      <c r="JY9" s="230">
        <v>54332</v>
      </c>
      <c r="JZ9" s="230">
        <v>54363</v>
      </c>
      <c r="KA9" s="230">
        <v>54393</v>
      </c>
      <c r="KB9" s="230">
        <v>54424</v>
      </c>
      <c r="KC9" s="230">
        <v>54455</v>
      </c>
      <c r="KD9" s="230">
        <v>54483</v>
      </c>
      <c r="KE9" s="230">
        <v>54514</v>
      </c>
      <c r="KF9" s="230">
        <v>54544</v>
      </c>
      <c r="KG9" s="230">
        <v>54575</v>
      </c>
      <c r="KH9" s="230">
        <v>54605</v>
      </c>
      <c r="KI9" s="230">
        <v>54636</v>
      </c>
      <c r="KJ9" s="230">
        <v>54667</v>
      </c>
      <c r="KK9" s="230">
        <v>54697</v>
      </c>
      <c r="KL9" s="230">
        <v>54728</v>
      </c>
      <c r="KM9" s="230">
        <v>54758</v>
      </c>
      <c r="KN9" s="230">
        <v>54789</v>
      </c>
      <c r="KO9" s="230">
        <v>54820</v>
      </c>
      <c r="KP9" s="230">
        <v>54848</v>
      </c>
      <c r="KQ9" s="230">
        <v>54879</v>
      </c>
      <c r="KR9" s="230">
        <v>54909</v>
      </c>
      <c r="KS9" s="230">
        <v>54940</v>
      </c>
      <c r="KT9" s="230">
        <v>54970</v>
      </c>
      <c r="KU9" s="230">
        <v>55001</v>
      </c>
      <c r="KV9" s="230">
        <v>55032</v>
      </c>
      <c r="KW9" s="230">
        <v>55062</v>
      </c>
      <c r="KX9" s="230">
        <v>55093</v>
      </c>
      <c r="KY9" s="230">
        <v>55123</v>
      </c>
      <c r="KZ9" s="230">
        <v>55154</v>
      </c>
      <c r="LA9" s="230">
        <v>55185</v>
      </c>
      <c r="LB9" s="230">
        <v>55213</v>
      </c>
      <c r="LC9" s="230">
        <v>55244</v>
      </c>
      <c r="LD9" s="230">
        <v>55274</v>
      </c>
      <c r="LE9" s="230">
        <v>55305</v>
      </c>
      <c r="LF9" s="230">
        <v>55335</v>
      </c>
      <c r="LG9" s="230">
        <v>55366</v>
      </c>
      <c r="LH9" s="230">
        <v>55397</v>
      </c>
      <c r="LI9" s="230">
        <v>55427</v>
      </c>
      <c r="LJ9" s="230">
        <v>55458</v>
      </c>
      <c r="LK9" s="230">
        <v>55488</v>
      </c>
      <c r="LL9" s="230">
        <v>55519</v>
      </c>
      <c r="LM9" s="230">
        <v>55550</v>
      </c>
      <c r="LN9" s="230">
        <v>55579</v>
      </c>
      <c r="LO9" s="230">
        <v>55610</v>
      </c>
      <c r="LP9" s="230">
        <v>55640</v>
      </c>
      <c r="LQ9" s="230">
        <v>55671</v>
      </c>
      <c r="LR9" s="230">
        <v>55701</v>
      </c>
      <c r="LS9" s="230">
        <v>55732</v>
      </c>
      <c r="LT9" s="230">
        <v>55763</v>
      </c>
      <c r="LU9" s="230">
        <v>55793</v>
      </c>
      <c r="LV9" s="230">
        <v>55824</v>
      </c>
      <c r="LW9" s="230">
        <v>55854</v>
      </c>
      <c r="LX9" s="230">
        <v>55885</v>
      </c>
      <c r="LY9" s="230">
        <v>55916</v>
      </c>
      <c r="LZ9" s="230">
        <v>55944</v>
      </c>
      <c r="MA9" s="230">
        <v>55975</v>
      </c>
      <c r="MB9" s="230">
        <v>56005</v>
      </c>
      <c r="MC9" s="230">
        <v>56036</v>
      </c>
      <c r="MD9" s="230">
        <v>56066</v>
      </c>
      <c r="ME9" s="230">
        <v>56097</v>
      </c>
      <c r="MF9" s="230">
        <v>56128</v>
      </c>
      <c r="MG9" s="230">
        <v>56158</v>
      </c>
      <c r="MH9" s="230">
        <v>56189</v>
      </c>
      <c r="MI9" s="230">
        <v>56219</v>
      </c>
      <c r="MJ9" s="230">
        <v>56250</v>
      </c>
      <c r="MK9" s="230">
        <v>56281</v>
      </c>
      <c r="ML9" s="230">
        <v>56309</v>
      </c>
      <c r="MM9" s="230">
        <v>56340</v>
      </c>
      <c r="MN9" s="230">
        <v>56370</v>
      </c>
      <c r="MO9" s="230">
        <v>56401</v>
      </c>
      <c r="MP9" s="230">
        <v>56431</v>
      </c>
      <c r="MQ9" s="230">
        <v>56462</v>
      </c>
      <c r="MR9" s="230">
        <v>56493</v>
      </c>
      <c r="MS9" s="230">
        <v>56523</v>
      </c>
      <c r="MT9" s="230">
        <v>56554</v>
      </c>
      <c r="MU9" s="230">
        <v>56584</v>
      </c>
      <c r="MV9" s="230">
        <v>56615</v>
      </c>
      <c r="MW9" s="230">
        <v>56646</v>
      </c>
      <c r="MX9" s="230">
        <v>56674</v>
      </c>
      <c r="MY9" s="230">
        <v>56705</v>
      </c>
      <c r="MZ9" s="230">
        <v>56735</v>
      </c>
      <c r="NA9" s="230">
        <v>56766</v>
      </c>
      <c r="NB9" s="230">
        <v>56796</v>
      </c>
      <c r="NC9" s="230">
        <v>56827</v>
      </c>
      <c r="ND9" s="230">
        <v>56858</v>
      </c>
      <c r="NE9" s="230">
        <v>56888</v>
      </c>
      <c r="NF9" s="230">
        <v>56919</v>
      </c>
      <c r="NG9" s="230">
        <v>56949</v>
      </c>
      <c r="NH9" s="230">
        <v>56980</v>
      </c>
      <c r="NI9" s="230">
        <v>57011</v>
      </c>
      <c r="NJ9" s="230">
        <v>57040</v>
      </c>
      <c r="NK9" s="230">
        <v>57071</v>
      </c>
      <c r="NL9" s="230">
        <v>57101</v>
      </c>
      <c r="NM9" s="230">
        <v>57132</v>
      </c>
      <c r="NN9" s="230">
        <v>57162</v>
      </c>
      <c r="NO9" s="230">
        <v>57193</v>
      </c>
      <c r="NP9" s="230">
        <v>57224</v>
      </c>
      <c r="NQ9" s="230">
        <v>57254</v>
      </c>
      <c r="NR9" s="230">
        <v>57285</v>
      </c>
      <c r="NS9" s="230">
        <v>57315</v>
      </c>
      <c r="NT9" s="230">
        <v>57346</v>
      </c>
      <c r="NU9" s="230">
        <v>57377</v>
      </c>
      <c r="NV9" s="230">
        <v>57405</v>
      </c>
      <c r="NW9" s="230">
        <v>57436</v>
      </c>
      <c r="NX9" s="230">
        <v>57466</v>
      </c>
      <c r="NY9" s="230">
        <v>57497</v>
      </c>
      <c r="NZ9" s="230">
        <v>57527</v>
      </c>
      <c r="OA9" s="230">
        <v>57558</v>
      </c>
      <c r="OB9" s="230">
        <v>57589</v>
      </c>
      <c r="OC9" s="230">
        <v>57619</v>
      </c>
      <c r="OD9" s="230">
        <v>57650</v>
      </c>
      <c r="OE9" s="230">
        <v>57680</v>
      </c>
    </row>
    <row r="10" spans="1:395" outlineLevel="1" x14ac:dyDescent="0.3">
      <c r="A10" s="14"/>
      <c r="C10" s="14" t="s">
        <v>178</v>
      </c>
      <c r="D10" s="119"/>
      <c r="E10" s="109"/>
      <c r="F10" s="256"/>
      <c r="G10" s="76"/>
      <c r="H10" s="76"/>
      <c r="I10" s="257"/>
      <c r="J10" s="258"/>
      <c r="K10" s="65"/>
      <c r="L10" s="55"/>
      <c r="M10" s="66"/>
      <c r="N10" s="77" t="s">
        <v>178</v>
      </c>
      <c r="O10" s="206">
        <f>O11</f>
        <v>46174</v>
      </c>
      <c r="P10" s="207">
        <f>P19</f>
        <v>47087</v>
      </c>
      <c r="Q10" t="str" cm="1">
        <f t="array" ref="Q10:OE10">IF(((EOMONTH(O10,-1)+1)&lt;=_xlfn.ANCHORARRAY($Q$2))*(_xlfn.ANCHORARRAY($Q$2)&lt;P10)," ","")</f>
        <v xml:space="preserve"> </v>
      </c>
      <c r="R10" t="str">
        <v xml:space="preserve"> </v>
      </c>
      <c r="S10" t="str">
        <v xml:space="preserve"> </v>
      </c>
      <c r="T10" t="str">
        <v xml:space="preserve"> </v>
      </c>
      <c r="U10" t="str">
        <v xml:space="preserve"> </v>
      </c>
      <c r="V10" t="str">
        <v xml:space="preserve"> </v>
      </c>
      <c r="W10" t="str">
        <v xml:space="preserve"> </v>
      </c>
      <c r="X10" t="str">
        <v xml:space="preserve"> </v>
      </c>
      <c r="Y10" t="str">
        <v xml:space="preserve"> </v>
      </c>
      <c r="Z10" t="str">
        <v xml:space="preserve"> </v>
      </c>
      <c r="AA10" t="str">
        <v xml:space="preserve"> </v>
      </c>
      <c r="AB10" t="str">
        <v xml:space="preserve"> </v>
      </c>
      <c r="AC10" t="str">
        <v xml:space="preserve"> </v>
      </c>
      <c r="AD10" t="str">
        <v xml:space="preserve"> </v>
      </c>
      <c r="AE10" t="str">
        <v xml:space="preserve"> </v>
      </c>
      <c r="AF10" t="str">
        <v xml:space="preserve"> </v>
      </c>
      <c r="AG10" t="str">
        <v xml:space="preserve"> </v>
      </c>
      <c r="AH10" t="str">
        <v xml:space="preserve"> </v>
      </c>
      <c r="AI10" t="str">
        <v xml:space="preserve"> </v>
      </c>
      <c r="AJ10" t="str">
        <v xml:space="preserve"> </v>
      </c>
      <c r="AK10" t="str">
        <v xml:space="preserve"> </v>
      </c>
      <c r="AL10" t="str">
        <v xml:space="preserve"> </v>
      </c>
      <c r="AM10" t="str">
        <v xml:space="preserve"> </v>
      </c>
      <c r="AN10" t="str">
        <v xml:space="preserve"> </v>
      </c>
      <c r="AO10" t="str">
        <v xml:space="preserve"> </v>
      </c>
      <c r="AP10" t="str">
        <v xml:space="preserve"> </v>
      </c>
      <c r="AQ10" t="str">
        <v xml:space="preserve"> </v>
      </c>
      <c r="AR10" t="str">
        <v xml:space="preserve"> </v>
      </c>
      <c r="AS10" t="str">
        <v xml:space="preserve"> </v>
      </c>
      <c r="AT10" t="str">
        <v xml:space="preserve"> </v>
      </c>
      <c r="AU10" t="str">
        <v/>
      </c>
      <c r="AV10" t="str">
        <v/>
      </c>
      <c r="AW10" t="str">
        <v/>
      </c>
      <c r="AX10" t="str">
        <v/>
      </c>
      <c r="AY10" t="str">
        <v/>
      </c>
      <c r="AZ10" t="str">
        <v/>
      </c>
      <c r="BA10" t="str">
        <v/>
      </c>
      <c r="BB10" t="str">
        <v/>
      </c>
      <c r="BC10" t="str">
        <v/>
      </c>
      <c r="BD10" t="str">
        <v/>
      </c>
      <c r="BE10" t="str">
        <v/>
      </c>
      <c r="BF10" t="str">
        <v/>
      </c>
      <c r="BG10" t="str">
        <v/>
      </c>
      <c r="BH10" t="str">
        <v/>
      </c>
      <c r="BI10" t="str">
        <v/>
      </c>
      <c r="BJ10" t="str">
        <v/>
      </c>
      <c r="BK10" t="str">
        <v/>
      </c>
      <c r="BL10" t="str">
        <v/>
      </c>
      <c r="BM10" t="str">
        <v/>
      </c>
      <c r="BN10" t="str">
        <v/>
      </c>
      <c r="BO10" t="str">
        <v/>
      </c>
      <c r="BP10" t="str">
        <v/>
      </c>
      <c r="BQ10" t="str">
        <v/>
      </c>
      <c r="BR10" t="str">
        <v/>
      </c>
      <c r="BS10" t="str">
        <v/>
      </c>
      <c r="BT10" t="str">
        <v/>
      </c>
      <c r="BU10" t="str">
        <v/>
      </c>
      <c r="BV10" t="str">
        <v/>
      </c>
      <c r="BW10" t="str">
        <v/>
      </c>
      <c r="BX10" t="str">
        <v/>
      </c>
      <c r="BY10" t="str">
        <v/>
      </c>
      <c r="BZ10" t="str">
        <v/>
      </c>
      <c r="CA10" t="str">
        <v/>
      </c>
      <c r="CB10" t="str">
        <v/>
      </c>
      <c r="CC10" t="str">
        <v/>
      </c>
      <c r="CD10" t="str">
        <v/>
      </c>
      <c r="CE10" t="str">
        <v/>
      </c>
      <c r="CF10" t="str">
        <v/>
      </c>
      <c r="CG10" t="str">
        <v/>
      </c>
      <c r="CH10" t="str">
        <v/>
      </c>
      <c r="CI10" t="str">
        <v/>
      </c>
      <c r="CJ10" t="str">
        <v/>
      </c>
      <c r="CK10" t="str">
        <v/>
      </c>
      <c r="CL10" t="str">
        <v/>
      </c>
      <c r="CM10" t="str">
        <v/>
      </c>
      <c r="CN10" t="str">
        <v/>
      </c>
      <c r="CO10" t="str">
        <v/>
      </c>
      <c r="CP10" t="str">
        <v/>
      </c>
      <c r="CQ10" t="str">
        <v/>
      </c>
      <c r="CR10" t="str">
        <v/>
      </c>
      <c r="CS10" t="str">
        <v/>
      </c>
      <c r="CT10" t="str">
        <v/>
      </c>
      <c r="CU10" t="str">
        <v/>
      </c>
      <c r="CV10" t="str">
        <v/>
      </c>
      <c r="CW10" t="str">
        <v/>
      </c>
      <c r="CX10" t="str">
        <v/>
      </c>
      <c r="CY10" t="str">
        <v/>
      </c>
      <c r="CZ10" t="str">
        <v/>
      </c>
      <c r="DA10" t="str">
        <v/>
      </c>
      <c r="DB10" t="str">
        <v/>
      </c>
      <c r="DC10" t="str">
        <v/>
      </c>
      <c r="DD10" t="str">
        <v/>
      </c>
      <c r="DE10" t="str">
        <v/>
      </c>
      <c r="DF10" t="str">
        <v/>
      </c>
      <c r="DG10" t="str">
        <v/>
      </c>
      <c r="DH10" t="str">
        <v/>
      </c>
      <c r="DI10" t="str">
        <v/>
      </c>
      <c r="DJ10" t="str">
        <v/>
      </c>
      <c r="DK10" t="str">
        <v/>
      </c>
      <c r="DL10" t="str">
        <v/>
      </c>
      <c r="DM10" t="str">
        <v/>
      </c>
      <c r="DN10" t="str">
        <v/>
      </c>
      <c r="DO10" t="str">
        <v/>
      </c>
      <c r="DP10" t="str">
        <v/>
      </c>
      <c r="DQ10" t="str">
        <v/>
      </c>
      <c r="DR10" t="str">
        <v/>
      </c>
      <c r="DS10" t="str">
        <v/>
      </c>
      <c r="DT10" t="str">
        <v/>
      </c>
      <c r="DU10" t="str">
        <v/>
      </c>
      <c r="DV10" t="str">
        <v/>
      </c>
      <c r="DW10" t="str">
        <v/>
      </c>
      <c r="DX10" t="str">
        <v/>
      </c>
      <c r="DY10" t="str">
        <v/>
      </c>
      <c r="DZ10" t="str">
        <v/>
      </c>
      <c r="EA10" t="str">
        <v/>
      </c>
      <c r="EB10" t="str">
        <v/>
      </c>
      <c r="EC10" t="str">
        <v/>
      </c>
      <c r="ED10" t="str">
        <v/>
      </c>
      <c r="EE10" t="str">
        <v/>
      </c>
      <c r="EF10" t="str">
        <v/>
      </c>
      <c r="EG10" t="str">
        <v/>
      </c>
      <c r="EH10" t="str">
        <v/>
      </c>
      <c r="EI10" t="str">
        <v/>
      </c>
      <c r="EJ10" t="str">
        <v/>
      </c>
      <c r="EK10" t="str">
        <v/>
      </c>
      <c r="EL10" t="str">
        <v/>
      </c>
      <c r="EM10" t="str">
        <v/>
      </c>
      <c r="EN10" t="str">
        <v/>
      </c>
      <c r="EO10" t="str">
        <v/>
      </c>
      <c r="EP10" t="str">
        <v/>
      </c>
      <c r="EQ10" t="str">
        <v/>
      </c>
      <c r="ER10" t="str">
        <v/>
      </c>
      <c r="ES10" t="str">
        <v/>
      </c>
      <c r="ET10" t="str">
        <v/>
      </c>
      <c r="EU10" t="str">
        <v/>
      </c>
      <c r="EV10" t="str">
        <v/>
      </c>
      <c r="EW10" t="str">
        <v/>
      </c>
      <c r="EX10" t="str">
        <v/>
      </c>
      <c r="EY10" t="str">
        <v/>
      </c>
      <c r="EZ10" t="str">
        <v/>
      </c>
      <c r="FA10" t="str">
        <v/>
      </c>
      <c r="FB10" t="str">
        <v/>
      </c>
      <c r="FC10" t="str">
        <v/>
      </c>
      <c r="FD10" t="str">
        <v/>
      </c>
      <c r="FE10" t="str">
        <v/>
      </c>
      <c r="FF10" t="str">
        <v/>
      </c>
      <c r="FG10" t="str">
        <v/>
      </c>
      <c r="FH10" t="str">
        <v/>
      </c>
      <c r="FI10" t="str">
        <v/>
      </c>
      <c r="FJ10" t="str">
        <v/>
      </c>
      <c r="FK10" t="str">
        <v/>
      </c>
      <c r="FL10" t="str">
        <v/>
      </c>
      <c r="FM10" t="str">
        <v/>
      </c>
      <c r="FN10" t="str">
        <v/>
      </c>
      <c r="FO10" t="str">
        <v/>
      </c>
      <c r="FP10" t="str">
        <v/>
      </c>
      <c r="FQ10" t="str">
        <v/>
      </c>
      <c r="FR10" t="str">
        <v/>
      </c>
      <c r="FS10" t="str">
        <v/>
      </c>
      <c r="FT10" t="str">
        <v/>
      </c>
      <c r="FU10" t="str">
        <v/>
      </c>
      <c r="FV10" t="str">
        <v/>
      </c>
      <c r="FW10" t="str">
        <v/>
      </c>
      <c r="FX10" t="str">
        <v/>
      </c>
      <c r="FY10" t="str">
        <v/>
      </c>
      <c r="FZ10" t="str">
        <v/>
      </c>
      <c r="GA10" t="str">
        <v/>
      </c>
      <c r="GB10" t="str">
        <v/>
      </c>
      <c r="GC10" t="str">
        <v/>
      </c>
      <c r="GD10" t="str">
        <v/>
      </c>
      <c r="GE10" t="str">
        <v/>
      </c>
      <c r="GF10" t="str">
        <v/>
      </c>
      <c r="GG10" t="str">
        <v/>
      </c>
      <c r="GH10" t="str">
        <v/>
      </c>
      <c r="GI10" t="str">
        <v/>
      </c>
      <c r="GJ10" t="str">
        <v/>
      </c>
      <c r="GK10" t="str">
        <v/>
      </c>
      <c r="GL10" t="str">
        <v/>
      </c>
      <c r="GM10" t="str">
        <v/>
      </c>
      <c r="GN10" t="str">
        <v/>
      </c>
      <c r="GO10" t="str">
        <v/>
      </c>
      <c r="GP10" t="str">
        <v/>
      </c>
      <c r="GQ10" t="str">
        <v/>
      </c>
      <c r="GR10" t="str">
        <v/>
      </c>
      <c r="GS10" t="str">
        <v/>
      </c>
      <c r="GT10" t="str">
        <v/>
      </c>
      <c r="GU10" t="str">
        <v/>
      </c>
      <c r="GV10" t="str">
        <v/>
      </c>
      <c r="GW10" t="str">
        <v/>
      </c>
      <c r="GX10" t="str">
        <v/>
      </c>
      <c r="GY10" t="str">
        <v/>
      </c>
      <c r="GZ10" t="str">
        <v/>
      </c>
      <c r="HA10" t="str">
        <v/>
      </c>
      <c r="HB10" t="str">
        <v/>
      </c>
      <c r="HC10" t="str">
        <v/>
      </c>
      <c r="HD10" t="str">
        <v/>
      </c>
      <c r="HE10" t="str">
        <v/>
      </c>
      <c r="HF10" t="str">
        <v/>
      </c>
      <c r="HG10" t="str">
        <v/>
      </c>
      <c r="HH10" t="str">
        <v/>
      </c>
      <c r="HI10" t="str">
        <v/>
      </c>
      <c r="HJ10" t="str">
        <v/>
      </c>
      <c r="HK10" t="str">
        <v/>
      </c>
      <c r="HL10" t="str">
        <v/>
      </c>
      <c r="HM10" t="str">
        <v/>
      </c>
      <c r="HN10" t="str">
        <v/>
      </c>
      <c r="HO10" t="str">
        <v/>
      </c>
      <c r="HP10" t="str">
        <v/>
      </c>
      <c r="HQ10" t="str">
        <v/>
      </c>
      <c r="HR10" t="str">
        <v/>
      </c>
      <c r="HS10" t="str">
        <v/>
      </c>
      <c r="HT10" t="str">
        <v/>
      </c>
      <c r="HU10" t="str">
        <v/>
      </c>
      <c r="HV10" t="str">
        <v/>
      </c>
      <c r="HW10" t="str">
        <v/>
      </c>
      <c r="HX10" t="str">
        <v/>
      </c>
      <c r="HY10" t="str">
        <v/>
      </c>
      <c r="HZ10" t="str">
        <v/>
      </c>
      <c r="IA10" t="str">
        <v/>
      </c>
      <c r="IB10" t="str">
        <v/>
      </c>
      <c r="IC10" t="str">
        <v/>
      </c>
      <c r="ID10" t="str">
        <v/>
      </c>
      <c r="IE10" t="str">
        <v/>
      </c>
      <c r="IF10" t="str">
        <v/>
      </c>
      <c r="IG10" t="str">
        <v/>
      </c>
      <c r="IH10" t="str">
        <v/>
      </c>
      <c r="II10" t="str">
        <v/>
      </c>
      <c r="IJ10" t="str">
        <v/>
      </c>
      <c r="IK10" t="str">
        <v/>
      </c>
      <c r="IL10" t="str">
        <v/>
      </c>
      <c r="IM10" t="str">
        <v/>
      </c>
      <c r="IN10" t="str">
        <v/>
      </c>
      <c r="IO10" t="str">
        <v/>
      </c>
      <c r="IP10" t="str">
        <v/>
      </c>
      <c r="IQ10" t="str">
        <v/>
      </c>
      <c r="IR10" t="str">
        <v/>
      </c>
      <c r="IS10" t="str">
        <v/>
      </c>
      <c r="IT10" t="str">
        <v/>
      </c>
      <c r="IU10" t="str">
        <v/>
      </c>
      <c r="IV10" t="str">
        <v/>
      </c>
      <c r="IW10" t="str">
        <v/>
      </c>
      <c r="IX10" t="str">
        <v/>
      </c>
      <c r="IY10" t="str">
        <v/>
      </c>
      <c r="IZ10" t="str">
        <v/>
      </c>
      <c r="JA10" t="str">
        <v/>
      </c>
      <c r="JB10" t="str">
        <v/>
      </c>
      <c r="JC10" t="str">
        <v/>
      </c>
      <c r="JD10" t="str">
        <v/>
      </c>
      <c r="JE10" t="str">
        <v/>
      </c>
      <c r="JF10" t="str">
        <v/>
      </c>
      <c r="JG10" t="str">
        <v/>
      </c>
      <c r="JH10" t="str">
        <v/>
      </c>
      <c r="JI10" t="str">
        <v/>
      </c>
      <c r="JJ10" t="str">
        <v/>
      </c>
      <c r="JK10" t="str">
        <v/>
      </c>
      <c r="JL10" t="str">
        <v/>
      </c>
      <c r="JM10" t="str">
        <v/>
      </c>
      <c r="JN10" t="str">
        <v/>
      </c>
      <c r="JO10" t="str">
        <v/>
      </c>
      <c r="JP10" t="str">
        <v/>
      </c>
      <c r="JQ10" t="str">
        <v/>
      </c>
      <c r="JR10" t="str">
        <v/>
      </c>
      <c r="JS10" t="str">
        <v/>
      </c>
      <c r="JT10" t="str">
        <v/>
      </c>
      <c r="JU10" t="str">
        <v/>
      </c>
      <c r="JV10" t="str">
        <v/>
      </c>
      <c r="JW10" t="str">
        <v/>
      </c>
      <c r="JX10" t="str">
        <v/>
      </c>
      <c r="JY10" t="str">
        <v/>
      </c>
      <c r="JZ10" t="str">
        <v/>
      </c>
      <c r="KA10" t="str">
        <v/>
      </c>
      <c r="KB10" t="str">
        <v/>
      </c>
      <c r="KC10" t="str">
        <v/>
      </c>
      <c r="KD10" t="str">
        <v/>
      </c>
      <c r="KE10" t="str">
        <v/>
      </c>
      <c r="KF10" t="str">
        <v/>
      </c>
      <c r="KG10" t="str">
        <v/>
      </c>
      <c r="KH10" t="str">
        <v/>
      </c>
      <c r="KI10" t="str">
        <v/>
      </c>
      <c r="KJ10" t="str">
        <v/>
      </c>
      <c r="KK10" t="str">
        <v/>
      </c>
      <c r="KL10" t="str">
        <v/>
      </c>
      <c r="KM10" t="str">
        <v/>
      </c>
      <c r="KN10" t="str">
        <v/>
      </c>
      <c r="KO10" t="str">
        <v/>
      </c>
      <c r="KP10" t="str">
        <v/>
      </c>
      <c r="KQ10" t="str">
        <v/>
      </c>
      <c r="KR10" t="str">
        <v/>
      </c>
      <c r="KS10" t="str">
        <v/>
      </c>
      <c r="KT10" t="str">
        <v/>
      </c>
      <c r="KU10" t="str">
        <v/>
      </c>
      <c r="KV10" t="str">
        <v/>
      </c>
      <c r="KW10" t="str">
        <v/>
      </c>
      <c r="KX10" t="str">
        <v/>
      </c>
      <c r="KY10" t="str">
        <v/>
      </c>
      <c r="KZ10" t="str">
        <v/>
      </c>
      <c r="LA10" t="str">
        <v/>
      </c>
      <c r="LB10" t="str">
        <v/>
      </c>
      <c r="LC10" t="str">
        <v/>
      </c>
      <c r="LD10" t="str">
        <v/>
      </c>
      <c r="LE10" t="str">
        <v/>
      </c>
      <c r="LF10" t="str">
        <v/>
      </c>
      <c r="LG10" t="str">
        <v/>
      </c>
      <c r="LH10" t="str">
        <v/>
      </c>
      <c r="LI10" t="str">
        <v/>
      </c>
      <c r="LJ10" t="str">
        <v/>
      </c>
      <c r="LK10" t="str">
        <v/>
      </c>
      <c r="LL10" t="str">
        <v/>
      </c>
      <c r="LM10" t="str">
        <v/>
      </c>
      <c r="LN10" t="str">
        <v/>
      </c>
      <c r="LO10" t="str">
        <v/>
      </c>
      <c r="LP10" t="str">
        <v/>
      </c>
      <c r="LQ10" t="str">
        <v/>
      </c>
      <c r="LR10" t="str">
        <v/>
      </c>
      <c r="LS10" t="str">
        <v/>
      </c>
      <c r="LT10" t="str">
        <v/>
      </c>
      <c r="LU10" t="str">
        <v/>
      </c>
      <c r="LV10" t="str">
        <v/>
      </c>
      <c r="LW10" t="str">
        <v/>
      </c>
      <c r="LX10" t="str">
        <v/>
      </c>
      <c r="LY10" t="str">
        <v/>
      </c>
      <c r="LZ10" t="str">
        <v/>
      </c>
      <c r="MA10" t="str">
        <v/>
      </c>
      <c r="MB10" t="str">
        <v/>
      </c>
      <c r="MC10" t="str">
        <v/>
      </c>
      <c r="MD10" t="str">
        <v/>
      </c>
      <c r="ME10" t="str">
        <v/>
      </c>
      <c r="MF10" t="str">
        <v/>
      </c>
      <c r="MG10" t="str">
        <v/>
      </c>
      <c r="MH10" t="str">
        <v/>
      </c>
      <c r="MI10" t="str">
        <v/>
      </c>
      <c r="MJ10" t="str">
        <v/>
      </c>
      <c r="MK10" t="str">
        <v/>
      </c>
      <c r="ML10" t="str">
        <v/>
      </c>
      <c r="MM10" t="str">
        <v/>
      </c>
      <c r="MN10" t="str">
        <v/>
      </c>
      <c r="MO10" t="str">
        <v/>
      </c>
      <c r="MP10" t="str">
        <v/>
      </c>
      <c r="MQ10" t="str">
        <v/>
      </c>
      <c r="MR10" t="str">
        <v/>
      </c>
      <c r="MS10" t="str">
        <v/>
      </c>
      <c r="MT10" t="str">
        <v/>
      </c>
      <c r="MU10" t="str">
        <v/>
      </c>
      <c r="MV10" t="str">
        <v/>
      </c>
      <c r="MW10" t="str">
        <v/>
      </c>
      <c r="MX10" t="str">
        <v/>
      </c>
      <c r="MY10" t="str">
        <v/>
      </c>
      <c r="MZ10" t="str">
        <v/>
      </c>
      <c r="NA10" t="str">
        <v/>
      </c>
      <c r="NB10" t="str">
        <v/>
      </c>
      <c r="NC10" t="str">
        <v/>
      </c>
      <c r="ND10" t="str">
        <v/>
      </c>
      <c r="NE10" t="str">
        <v/>
      </c>
      <c r="NF10" t="str">
        <v/>
      </c>
      <c r="NG10" t="str">
        <v/>
      </c>
      <c r="NH10" t="str">
        <v/>
      </c>
      <c r="NI10" t="str">
        <v/>
      </c>
      <c r="NJ10" t="str">
        <v/>
      </c>
      <c r="NK10" t="str">
        <v/>
      </c>
      <c r="NL10" t="str">
        <v/>
      </c>
      <c r="NM10" t="str">
        <v/>
      </c>
      <c r="NN10" t="str">
        <v/>
      </c>
      <c r="NO10" t="str">
        <v/>
      </c>
      <c r="NP10" t="str">
        <v/>
      </c>
      <c r="NQ10" t="str">
        <v/>
      </c>
      <c r="NR10" t="str">
        <v/>
      </c>
      <c r="NS10" t="str">
        <v/>
      </c>
      <c r="NT10" t="str">
        <v/>
      </c>
      <c r="NU10" t="str">
        <v/>
      </c>
      <c r="NV10" t="str">
        <v/>
      </c>
      <c r="NW10" t="str">
        <v/>
      </c>
      <c r="NX10" t="str">
        <v/>
      </c>
      <c r="NY10" t="str">
        <v/>
      </c>
      <c r="NZ10" t="str">
        <v/>
      </c>
      <c r="OA10" t="str">
        <v/>
      </c>
      <c r="OB10" t="str">
        <v/>
      </c>
      <c r="OC10" t="str">
        <v/>
      </c>
      <c r="OD10" t="str">
        <v/>
      </c>
      <c r="OE10" t="str">
        <v/>
      </c>
    </row>
    <row r="11" spans="1:395" outlineLevel="1" x14ac:dyDescent="0.3">
      <c r="A11" s="14"/>
      <c r="D11" s="119" t="s">
        <v>179</v>
      </c>
      <c r="E11" s="297">
        <v>2</v>
      </c>
      <c r="F11" s="259" t="s">
        <v>352</v>
      </c>
      <c r="G11" s="76"/>
      <c r="H11" s="76"/>
      <c r="I11" s="257"/>
      <c r="J11" s="258"/>
      <c r="K11" s="65"/>
      <c r="L11" s="55"/>
      <c r="M11" s="66"/>
      <c r="N11" t="s">
        <v>349</v>
      </c>
      <c r="O11" s="8">
        <f>E9</f>
        <v>46174</v>
      </c>
      <c r="P11" s="208">
        <f t="shared" ref="P11:P19" si="0">EOMONTH(O11,E11)</f>
        <v>46265</v>
      </c>
      <c r="Q11" t="str" cm="1">
        <f t="array" ref="Q11:OE11">IF(((EOMONTH(O11,-1)+1)&lt;=_xlfn.ANCHORARRAY($Q$2))*(_xlfn.ANCHORARRAY($Q$2)&lt;P11)," ","")</f>
        <v xml:space="preserve"> </v>
      </c>
      <c r="R11" t="str">
        <v xml:space="preserve"> </v>
      </c>
      <c r="S11" t="str">
        <v xml:space="preserve"> </v>
      </c>
      <c r="T11" t="str">
        <v/>
      </c>
      <c r="U11" t="str">
        <v/>
      </c>
      <c r="V11" t="str">
        <v/>
      </c>
      <c r="W11" t="str">
        <v/>
      </c>
      <c r="X11" t="str">
        <v/>
      </c>
      <c r="Y11" t="str">
        <v/>
      </c>
      <c r="Z11" t="str">
        <v/>
      </c>
      <c r="AA11" t="str">
        <v/>
      </c>
      <c r="AB11" t="str">
        <v/>
      </c>
      <c r="AC11" t="str">
        <v/>
      </c>
      <c r="AD11" t="str">
        <v/>
      </c>
      <c r="AE11" t="str">
        <v/>
      </c>
      <c r="AF11" t="str">
        <v/>
      </c>
      <c r="AG11" t="str">
        <v/>
      </c>
      <c r="AH11" t="str">
        <v/>
      </c>
      <c r="AI11" t="str">
        <v/>
      </c>
      <c r="AJ11" t="str">
        <v/>
      </c>
      <c r="AK11" t="str">
        <v/>
      </c>
      <c r="AL11" t="str">
        <v/>
      </c>
      <c r="AM11" t="str">
        <v/>
      </c>
      <c r="AN11" t="str">
        <v/>
      </c>
      <c r="AO11" t="str">
        <v/>
      </c>
      <c r="AP11" t="str">
        <v/>
      </c>
      <c r="AQ11" t="str">
        <v/>
      </c>
      <c r="AR11" t="str">
        <v/>
      </c>
      <c r="AS11" t="str">
        <v/>
      </c>
      <c r="AT11" t="str">
        <v/>
      </c>
      <c r="AU11" t="str">
        <v/>
      </c>
      <c r="AV11" t="str">
        <v/>
      </c>
      <c r="AW11" t="str">
        <v/>
      </c>
      <c r="AX11" t="str">
        <v/>
      </c>
      <c r="AY11" t="str">
        <v/>
      </c>
      <c r="AZ11" t="str">
        <v/>
      </c>
      <c r="BA11" t="str">
        <v/>
      </c>
      <c r="BB11" t="str">
        <v/>
      </c>
      <c r="BC11" t="str">
        <v/>
      </c>
      <c r="BD11" t="str">
        <v/>
      </c>
      <c r="BE11" t="str">
        <v/>
      </c>
      <c r="BF11" t="str">
        <v/>
      </c>
      <c r="BG11" t="str">
        <v/>
      </c>
      <c r="BH11" t="str">
        <v/>
      </c>
      <c r="BI11" t="str">
        <v/>
      </c>
      <c r="BJ11" t="str">
        <v/>
      </c>
      <c r="BK11" t="str">
        <v/>
      </c>
      <c r="BL11" t="str">
        <v/>
      </c>
      <c r="BM11" t="str">
        <v/>
      </c>
      <c r="BN11" t="str">
        <v/>
      </c>
      <c r="BO11" t="str">
        <v/>
      </c>
      <c r="BP11" t="str">
        <v/>
      </c>
      <c r="BQ11" t="str">
        <v/>
      </c>
      <c r="BR11" t="str">
        <v/>
      </c>
      <c r="BS11" t="str">
        <v/>
      </c>
      <c r="BT11" t="str">
        <v/>
      </c>
      <c r="BU11" t="str">
        <v/>
      </c>
      <c r="BV11" t="str">
        <v/>
      </c>
      <c r="BW11" t="str">
        <v/>
      </c>
      <c r="BX11" t="str">
        <v/>
      </c>
      <c r="BY11" t="str">
        <v/>
      </c>
      <c r="BZ11" t="str">
        <v/>
      </c>
      <c r="CA11" t="str">
        <v/>
      </c>
      <c r="CB11" t="str">
        <v/>
      </c>
      <c r="CC11" t="str">
        <v/>
      </c>
      <c r="CD11" t="str">
        <v/>
      </c>
      <c r="CE11" t="str">
        <v/>
      </c>
      <c r="CF11" t="str">
        <v/>
      </c>
      <c r="CG11" t="str">
        <v/>
      </c>
      <c r="CH11" t="str">
        <v/>
      </c>
      <c r="CI11" t="str">
        <v/>
      </c>
      <c r="CJ11" t="str">
        <v/>
      </c>
      <c r="CK11" t="str">
        <v/>
      </c>
      <c r="CL11" t="str">
        <v/>
      </c>
      <c r="CM11" t="str">
        <v/>
      </c>
      <c r="CN11" t="str">
        <v/>
      </c>
      <c r="CO11" t="str">
        <v/>
      </c>
      <c r="CP11" t="str">
        <v/>
      </c>
      <c r="CQ11" t="str">
        <v/>
      </c>
      <c r="CR11" t="str">
        <v/>
      </c>
      <c r="CS11" t="str">
        <v/>
      </c>
      <c r="CT11" t="str">
        <v/>
      </c>
      <c r="CU11" t="str">
        <v/>
      </c>
      <c r="CV11" t="str">
        <v/>
      </c>
      <c r="CW11" t="str">
        <v/>
      </c>
      <c r="CX11" t="str">
        <v/>
      </c>
      <c r="CY11" t="str">
        <v/>
      </c>
      <c r="CZ11" t="str">
        <v/>
      </c>
      <c r="DA11" t="str">
        <v/>
      </c>
      <c r="DB11" t="str">
        <v/>
      </c>
      <c r="DC11" t="str">
        <v/>
      </c>
      <c r="DD11" t="str">
        <v/>
      </c>
      <c r="DE11" t="str">
        <v/>
      </c>
      <c r="DF11" t="str">
        <v/>
      </c>
      <c r="DG11" t="str">
        <v/>
      </c>
      <c r="DH11" t="str">
        <v/>
      </c>
      <c r="DI11" t="str">
        <v/>
      </c>
      <c r="DJ11" t="str">
        <v/>
      </c>
      <c r="DK11" t="str">
        <v/>
      </c>
      <c r="DL11" t="str">
        <v/>
      </c>
      <c r="DM11" t="str">
        <v/>
      </c>
      <c r="DN11" t="str">
        <v/>
      </c>
      <c r="DO11" t="str">
        <v/>
      </c>
      <c r="DP11" t="str">
        <v/>
      </c>
      <c r="DQ11" t="str">
        <v/>
      </c>
      <c r="DR11" t="str">
        <v/>
      </c>
      <c r="DS11" t="str">
        <v/>
      </c>
      <c r="DT11" t="str">
        <v/>
      </c>
      <c r="DU11" t="str">
        <v/>
      </c>
      <c r="DV11" t="str">
        <v/>
      </c>
      <c r="DW11" t="str">
        <v/>
      </c>
      <c r="DX11" t="str">
        <v/>
      </c>
      <c r="DY11" t="str">
        <v/>
      </c>
      <c r="DZ11" t="str">
        <v/>
      </c>
      <c r="EA11" t="str">
        <v/>
      </c>
      <c r="EB11" t="str">
        <v/>
      </c>
      <c r="EC11" t="str">
        <v/>
      </c>
      <c r="ED11" t="str">
        <v/>
      </c>
      <c r="EE11" t="str">
        <v/>
      </c>
      <c r="EF11" t="str">
        <v/>
      </c>
      <c r="EG11" t="str">
        <v/>
      </c>
      <c r="EH11" t="str">
        <v/>
      </c>
      <c r="EI11" t="str">
        <v/>
      </c>
      <c r="EJ11" t="str">
        <v/>
      </c>
      <c r="EK11" t="str">
        <v/>
      </c>
      <c r="EL11" t="str">
        <v/>
      </c>
      <c r="EM11" t="str">
        <v/>
      </c>
      <c r="EN11" t="str">
        <v/>
      </c>
      <c r="EO11" t="str">
        <v/>
      </c>
      <c r="EP11" t="str">
        <v/>
      </c>
      <c r="EQ11" t="str">
        <v/>
      </c>
      <c r="ER11" t="str">
        <v/>
      </c>
      <c r="ES11" t="str">
        <v/>
      </c>
      <c r="ET11" t="str">
        <v/>
      </c>
      <c r="EU11" t="str">
        <v/>
      </c>
      <c r="EV11" t="str">
        <v/>
      </c>
      <c r="EW11" t="str">
        <v/>
      </c>
      <c r="EX11" t="str">
        <v/>
      </c>
      <c r="EY11" t="str">
        <v/>
      </c>
      <c r="EZ11" t="str">
        <v/>
      </c>
      <c r="FA11" t="str">
        <v/>
      </c>
      <c r="FB11" t="str">
        <v/>
      </c>
      <c r="FC11" t="str">
        <v/>
      </c>
      <c r="FD11" t="str">
        <v/>
      </c>
      <c r="FE11" t="str">
        <v/>
      </c>
      <c r="FF11" t="str">
        <v/>
      </c>
      <c r="FG11" t="str">
        <v/>
      </c>
      <c r="FH11" t="str">
        <v/>
      </c>
      <c r="FI11" t="str">
        <v/>
      </c>
      <c r="FJ11" t="str">
        <v/>
      </c>
      <c r="FK11" t="str">
        <v/>
      </c>
      <c r="FL11" t="str">
        <v/>
      </c>
      <c r="FM11" t="str">
        <v/>
      </c>
      <c r="FN11" t="str">
        <v/>
      </c>
      <c r="FO11" t="str">
        <v/>
      </c>
      <c r="FP11" t="str">
        <v/>
      </c>
      <c r="FQ11" t="str">
        <v/>
      </c>
      <c r="FR11" t="str">
        <v/>
      </c>
      <c r="FS11" t="str">
        <v/>
      </c>
      <c r="FT11" t="str">
        <v/>
      </c>
      <c r="FU11" t="str">
        <v/>
      </c>
      <c r="FV11" t="str">
        <v/>
      </c>
      <c r="FW11" t="str">
        <v/>
      </c>
      <c r="FX11" t="str">
        <v/>
      </c>
      <c r="FY11" t="str">
        <v/>
      </c>
      <c r="FZ11" t="str">
        <v/>
      </c>
      <c r="GA11" t="str">
        <v/>
      </c>
      <c r="GB11" t="str">
        <v/>
      </c>
      <c r="GC11" t="str">
        <v/>
      </c>
      <c r="GD11" t="str">
        <v/>
      </c>
      <c r="GE11" t="str">
        <v/>
      </c>
      <c r="GF11" t="str">
        <v/>
      </c>
      <c r="GG11" t="str">
        <v/>
      </c>
      <c r="GH11" t="str">
        <v/>
      </c>
      <c r="GI11" t="str">
        <v/>
      </c>
      <c r="GJ11" t="str">
        <v/>
      </c>
      <c r="GK11" t="str">
        <v/>
      </c>
      <c r="GL11" t="str">
        <v/>
      </c>
      <c r="GM11" t="str">
        <v/>
      </c>
      <c r="GN11" t="str">
        <v/>
      </c>
      <c r="GO11" t="str">
        <v/>
      </c>
      <c r="GP11" t="str">
        <v/>
      </c>
      <c r="GQ11" t="str">
        <v/>
      </c>
      <c r="GR11" t="str">
        <v/>
      </c>
      <c r="GS11" t="str">
        <v/>
      </c>
      <c r="GT11" t="str">
        <v/>
      </c>
      <c r="GU11" t="str">
        <v/>
      </c>
      <c r="GV11" t="str">
        <v/>
      </c>
      <c r="GW11" t="str">
        <v/>
      </c>
      <c r="GX11" t="str">
        <v/>
      </c>
      <c r="GY11" t="str">
        <v/>
      </c>
      <c r="GZ11" t="str">
        <v/>
      </c>
      <c r="HA11" t="str">
        <v/>
      </c>
      <c r="HB11" t="str">
        <v/>
      </c>
      <c r="HC11" t="str">
        <v/>
      </c>
      <c r="HD11" t="str">
        <v/>
      </c>
      <c r="HE11" t="str">
        <v/>
      </c>
      <c r="HF11" t="str">
        <v/>
      </c>
      <c r="HG11" t="str">
        <v/>
      </c>
      <c r="HH11" t="str">
        <v/>
      </c>
      <c r="HI11" t="str">
        <v/>
      </c>
      <c r="HJ11" t="str">
        <v/>
      </c>
      <c r="HK11" t="str">
        <v/>
      </c>
      <c r="HL11" t="str">
        <v/>
      </c>
      <c r="HM11" t="str">
        <v/>
      </c>
      <c r="HN11" t="str">
        <v/>
      </c>
      <c r="HO11" t="str">
        <v/>
      </c>
      <c r="HP11" t="str">
        <v/>
      </c>
      <c r="HQ11" t="str">
        <v/>
      </c>
      <c r="HR11" t="str">
        <v/>
      </c>
      <c r="HS11" t="str">
        <v/>
      </c>
      <c r="HT11" t="str">
        <v/>
      </c>
      <c r="HU11" t="str">
        <v/>
      </c>
      <c r="HV11" t="str">
        <v/>
      </c>
      <c r="HW11" t="str">
        <v/>
      </c>
      <c r="HX11" t="str">
        <v/>
      </c>
      <c r="HY11" t="str">
        <v/>
      </c>
      <c r="HZ11" t="str">
        <v/>
      </c>
      <c r="IA11" t="str">
        <v/>
      </c>
      <c r="IB11" t="str">
        <v/>
      </c>
      <c r="IC11" t="str">
        <v/>
      </c>
      <c r="ID11" t="str">
        <v/>
      </c>
      <c r="IE11" t="str">
        <v/>
      </c>
      <c r="IF11" t="str">
        <v/>
      </c>
      <c r="IG11" t="str">
        <v/>
      </c>
      <c r="IH11" t="str">
        <v/>
      </c>
      <c r="II11" t="str">
        <v/>
      </c>
      <c r="IJ11" t="str">
        <v/>
      </c>
      <c r="IK11" t="str">
        <v/>
      </c>
      <c r="IL11" t="str">
        <v/>
      </c>
      <c r="IM11" t="str">
        <v/>
      </c>
      <c r="IN11" t="str">
        <v/>
      </c>
      <c r="IO11" t="str">
        <v/>
      </c>
      <c r="IP11" t="str">
        <v/>
      </c>
      <c r="IQ11" t="str">
        <v/>
      </c>
      <c r="IR11" t="str">
        <v/>
      </c>
      <c r="IS11" t="str">
        <v/>
      </c>
      <c r="IT11" t="str">
        <v/>
      </c>
      <c r="IU11" t="str">
        <v/>
      </c>
      <c r="IV11" t="str">
        <v/>
      </c>
      <c r="IW11" t="str">
        <v/>
      </c>
      <c r="IX11" t="str">
        <v/>
      </c>
      <c r="IY11" t="str">
        <v/>
      </c>
      <c r="IZ11" t="str">
        <v/>
      </c>
      <c r="JA11" t="str">
        <v/>
      </c>
      <c r="JB11" t="str">
        <v/>
      </c>
      <c r="JC11" t="str">
        <v/>
      </c>
      <c r="JD11" t="str">
        <v/>
      </c>
      <c r="JE11" t="str">
        <v/>
      </c>
      <c r="JF11" t="str">
        <v/>
      </c>
      <c r="JG11" t="str">
        <v/>
      </c>
      <c r="JH11" t="str">
        <v/>
      </c>
      <c r="JI11" t="str">
        <v/>
      </c>
      <c r="JJ11" t="str">
        <v/>
      </c>
      <c r="JK11" t="str">
        <v/>
      </c>
      <c r="JL11" t="str">
        <v/>
      </c>
      <c r="JM11" t="str">
        <v/>
      </c>
      <c r="JN11" t="str">
        <v/>
      </c>
      <c r="JO11" t="str">
        <v/>
      </c>
      <c r="JP11" t="str">
        <v/>
      </c>
      <c r="JQ11" t="str">
        <v/>
      </c>
      <c r="JR11" t="str">
        <v/>
      </c>
      <c r="JS11" t="str">
        <v/>
      </c>
      <c r="JT11" t="str">
        <v/>
      </c>
      <c r="JU11" t="str">
        <v/>
      </c>
      <c r="JV11" t="str">
        <v/>
      </c>
      <c r="JW11" t="str">
        <v/>
      </c>
      <c r="JX11" t="str">
        <v/>
      </c>
      <c r="JY11" t="str">
        <v/>
      </c>
      <c r="JZ11" t="str">
        <v/>
      </c>
      <c r="KA11" t="str">
        <v/>
      </c>
      <c r="KB11" t="str">
        <v/>
      </c>
      <c r="KC11" t="str">
        <v/>
      </c>
      <c r="KD11" t="str">
        <v/>
      </c>
      <c r="KE11" t="str">
        <v/>
      </c>
      <c r="KF11" t="str">
        <v/>
      </c>
      <c r="KG11" t="str">
        <v/>
      </c>
      <c r="KH11" t="str">
        <v/>
      </c>
      <c r="KI11" t="str">
        <v/>
      </c>
      <c r="KJ11" t="str">
        <v/>
      </c>
      <c r="KK11" t="str">
        <v/>
      </c>
      <c r="KL11" t="str">
        <v/>
      </c>
      <c r="KM11" t="str">
        <v/>
      </c>
      <c r="KN11" t="str">
        <v/>
      </c>
      <c r="KO11" t="str">
        <v/>
      </c>
      <c r="KP11" t="str">
        <v/>
      </c>
      <c r="KQ11" t="str">
        <v/>
      </c>
      <c r="KR11" t="str">
        <v/>
      </c>
      <c r="KS11" t="str">
        <v/>
      </c>
      <c r="KT11" t="str">
        <v/>
      </c>
      <c r="KU11" t="str">
        <v/>
      </c>
      <c r="KV11" t="str">
        <v/>
      </c>
      <c r="KW11" t="str">
        <v/>
      </c>
      <c r="KX11" t="str">
        <v/>
      </c>
      <c r="KY11" t="str">
        <v/>
      </c>
      <c r="KZ11" t="str">
        <v/>
      </c>
      <c r="LA11" t="str">
        <v/>
      </c>
      <c r="LB11" t="str">
        <v/>
      </c>
      <c r="LC11" t="str">
        <v/>
      </c>
      <c r="LD11" t="str">
        <v/>
      </c>
      <c r="LE11" t="str">
        <v/>
      </c>
      <c r="LF11" t="str">
        <v/>
      </c>
      <c r="LG11" t="str">
        <v/>
      </c>
      <c r="LH11" t="str">
        <v/>
      </c>
      <c r="LI11" t="str">
        <v/>
      </c>
      <c r="LJ11" t="str">
        <v/>
      </c>
      <c r="LK11" t="str">
        <v/>
      </c>
      <c r="LL11" t="str">
        <v/>
      </c>
      <c r="LM11" t="str">
        <v/>
      </c>
      <c r="LN11" t="str">
        <v/>
      </c>
      <c r="LO11" t="str">
        <v/>
      </c>
      <c r="LP11" t="str">
        <v/>
      </c>
      <c r="LQ11" t="str">
        <v/>
      </c>
      <c r="LR11" t="str">
        <v/>
      </c>
      <c r="LS11" t="str">
        <v/>
      </c>
      <c r="LT11" t="str">
        <v/>
      </c>
      <c r="LU11" t="str">
        <v/>
      </c>
      <c r="LV11" t="str">
        <v/>
      </c>
      <c r="LW11" t="str">
        <v/>
      </c>
      <c r="LX11" t="str">
        <v/>
      </c>
      <c r="LY11" t="str">
        <v/>
      </c>
      <c r="LZ11" t="str">
        <v/>
      </c>
      <c r="MA11" t="str">
        <v/>
      </c>
      <c r="MB11" t="str">
        <v/>
      </c>
      <c r="MC11" t="str">
        <v/>
      </c>
      <c r="MD11" t="str">
        <v/>
      </c>
      <c r="ME11" t="str">
        <v/>
      </c>
      <c r="MF11" t="str">
        <v/>
      </c>
      <c r="MG11" t="str">
        <v/>
      </c>
      <c r="MH11" t="str">
        <v/>
      </c>
      <c r="MI11" t="str">
        <v/>
      </c>
      <c r="MJ11" t="str">
        <v/>
      </c>
      <c r="MK11" t="str">
        <v/>
      </c>
      <c r="ML11" t="str">
        <v/>
      </c>
      <c r="MM11" t="str">
        <v/>
      </c>
      <c r="MN11" t="str">
        <v/>
      </c>
      <c r="MO11" t="str">
        <v/>
      </c>
      <c r="MP11" t="str">
        <v/>
      </c>
      <c r="MQ11" t="str">
        <v/>
      </c>
      <c r="MR11" t="str">
        <v/>
      </c>
      <c r="MS11" t="str">
        <v/>
      </c>
      <c r="MT11" t="str">
        <v/>
      </c>
      <c r="MU11" t="str">
        <v/>
      </c>
      <c r="MV11" t="str">
        <v/>
      </c>
      <c r="MW11" t="str">
        <v/>
      </c>
      <c r="MX11" t="str">
        <v/>
      </c>
      <c r="MY11" t="str">
        <v/>
      </c>
      <c r="MZ11" t="str">
        <v/>
      </c>
      <c r="NA11" t="str">
        <v/>
      </c>
      <c r="NB11" t="str">
        <v/>
      </c>
      <c r="NC11" t="str">
        <v/>
      </c>
      <c r="ND11" t="str">
        <v/>
      </c>
      <c r="NE11" t="str">
        <v/>
      </c>
      <c r="NF11" t="str">
        <v/>
      </c>
      <c r="NG11" t="str">
        <v/>
      </c>
      <c r="NH11" t="str">
        <v/>
      </c>
      <c r="NI11" t="str">
        <v/>
      </c>
      <c r="NJ11" t="str">
        <v/>
      </c>
      <c r="NK11" t="str">
        <v/>
      </c>
      <c r="NL11" t="str">
        <v/>
      </c>
      <c r="NM11" t="str">
        <v/>
      </c>
      <c r="NN11" t="str">
        <v/>
      </c>
      <c r="NO11" t="str">
        <v/>
      </c>
      <c r="NP11" t="str">
        <v/>
      </c>
      <c r="NQ11" t="str">
        <v/>
      </c>
      <c r="NR11" t="str">
        <v/>
      </c>
      <c r="NS11" t="str">
        <v/>
      </c>
      <c r="NT11" t="str">
        <v/>
      </c>
      <c r="NU11" t="str">
        <v/>
      </c>
      <c r="NV11" t="str">
        <v/>
      </c>
      <c r="NW11" t="str">
        <v/>
      </c>
      <c r="NX11" t="str">
        <v/>
      </c>
      <c r="NY11" t="str">
        <v/>
      </c>
      <c r="NZ11" t="str">
        <v/>
      </c>
      <c r="OA11" t="str">
        <v/>
      </c>
      <c r="OB11" t="str">
        <v/>
      </c>
      <c r="OC11" t="str">
        <v/>
      </c>
      <c r="OD11" t="str">
        <v/>
      </c>
      <c r="OE11" t="str">
        <v/>
      </c>
    </row>
    <row r="12" spans="1:395" outlineLevel="1" x14ac:dyDescent="0.3">
      <c r="A12" s="14"/>
      <c r="D12" s="119" t="s">
        <v>322</v>
      </c>
      <c r="E12" s="297">
        <v>12</v>
      </c>
      <c r="F12" s="259" t="s">
        <v>352</v>
      </c>
      <c r="G12" s="76"/>
      <c r="H12" s="76"/>
      <c r="I12" s="257"/>
      <c r="J12" s="258"/>
      <c r="K12" s="65"/>
      <c r="L12" s="55"/>
      <c r="M12" s="66"/>
      <c r="N12" t="s">
        <v>323</v>
      </c>
      <c r="O12" s="8">
        <f>P11+1</f>
        <v>46266</v>
      </c>
      <c r="P12" s="208">
        <f t="shared" si="0"/>
        <v>46660</v>
      </c>
      <c r="Q12" t="str" cm="1">
        <f t="array" ref="Q12:OE12">IF(((EOMONTH(O12,-1)+1)&lt;=_xlfn.ANCHORARRAY($Q$2))*(_xlfn.ANCHORARRAY($Q$2)&lt;P12)," ","")</f>
        <v/>
      </c>
      <c r="R12" t="str">
        <v/>
      </c>
      <c r="S12" t="str">
        <v/>
      </c>
      <c r="T12" t="str">
        <v xml:space="preserve"> </v>
      </c>
      <c r="U12" t="str">
        <v xml:space="preserve"> </v>
      </c>
      <c r="V12" t="str">
        <v xml:space="preserve"> </v>
      </c>
      <c r="W12" t="str">
        <v xml:space="preserve"> </v>
      </c>
      <c r="X12" t="str">
        <v xml:space="preserve"> </v>
      </c>
      <c r="Y12" t="str">
        <v xml:space="preserve"> </v>
      </c>
      <c r="Z12" t="str">
        <v xml:space="preserve"> </v>
      </c>
      <c r="AA12" t="str">
        <v xml:space="preserve"> </v>
      </c>
      <c r="AB12" t="str">
        <v xml:space="preserve"> </v>
      </c>
      <c r="AC12" t="str">
        <v xml:space="preserve"> </v>
      </c>
      <c r="AD12" t="str">
        <v xml:space="preserve"> </v>
      </c>
      <c r="AE12" t="str">
        <v xml:space="preserve"> </v>
      </c>
      <c r="AF12" t="str">
        <v xml:space="preserve"> </v>
      </c>
      <c r="AG12" t="str">
        <v/>
      </c>
      <c r="AH12" t="str">
        <v/>
      </c>
      <c r="AI12" t="str">
        <v/>
      </c>
      <c r="AJ12" t="str">
        <v/>
      </c>
      <c r="AK12" t="str">
        <v/>
      </c>
      <c r="AL12" t="str">
        <v/>
      </c>
      <c r="AM12" t="str">
        <v/>
      </c>
      <c r="AN12" t="str">
        <v/>
      </c>
      <c r="AO12" t="str">
        <v/>
      </c>
      <c r="AP12" t="str">
        <v/>
      </c>
      <c r="AQ12" t="str">
        <v/>
      </c>
      <c r="AR12" t="str">
        <v/>
      </c>
      <c r="AS12" t="str">
        <v/>
      </c>
      <c r="AT12" t="str">
        <v/>
      </c>
      <c r="AU12" t="str">
        <v/>
      </c>
      <c r="AV12" t="str">
        <v/>
      </c>
      <c r="AW12" t="str">
        <v/>
      </c>
      <c r="AX12" t="str">
        <v/>
      </c>
      <c r="AY12" t="str">
        <v/>
      </c>
      <c r="AZ12" t="str">
        <v/>
      </c>
      <c r="BA12" t="str">
        <v/>
      </c>
      <c r="BB12" t="str">
        <v/>
      </c>
      <c r="BC12" t="str">
        <v/>
      </c>
      <c r="BD12" t="str">
        <v/>
      </c>
      <c r="BE12" t="str">
        <v/>
      </c>
      <c r="BF12" t="str">
        <v/>
      </c>
      <c r="BG12" t="str">
        <v/>
      </c>
      <c r="BH12" t="str">
        <v/>
      </c>
      <c r="BI12" t="str">
        <v/>
      </c>
      <c r="BJ12" t="str">
        <v/>
      </c>
      <c r="BK12" t="str">
        <v/>
      </c>
      <c r="BL12" t="str">
        <v/>
      </c>
      <c r="BM12" t="str">
        <v/>
      </c>
      <c r="BN12" t="str">
        <v/>
      </c>
      <c r="BO12" t="str">
        <v/>
      </c>
      <c r="BP12" t="str">
        <v/>
      </c>
      <c r="BQ12" t="str">
        <v/>
      </c>
      <c r="BR12" t="str">
        <v/>
      </c>
      <c r="BS12" t="str">
        <v/>
      </c>
      <c r="BT12" t="str">
        <v/>
      </c>
      <c r="BU12" t="str">
        <v/>
      </c>
      <c r="BV12" t="str">
        <v/>
      </c>
      <c r="BW12" t="str">
        <v/>
      </c>
      <c r="BX12" t="str">
        <v/>
      </c>
      <c r="BY12" t="str">
        <v/>
      </c>
      <c r="BZ12" t="str">
        <v/>
      </c>
      <c r="CA12" t="str">
        <v/>
      </c>
      <c r="CB12" t="str">
        <v/>
      </c>
      <c r="CC12" t="str">
        <v/>
      </c>
      <c r="CD12" t="str">
        <v/>
      </c>
      <c r="CE12" t="str">
        <v/>
      </c>
      <c r="CF12" t="str">
        <v/>
      </c>
      <c r="CG12" t="str">
        <v/>
      </c>
      <c r="CH12" t="str">
        <v/>
      </c>
      <c r="CI12" t="str">
        <v/>
      </c>
      <c r="CJ12" t="str">
        <v/>
      </c>
      <c r="CK12" t="str">
        <v/>
      </c>
      <c r="CL12" t="str">
        <v/>
      </c>
      <c r="CM12" t="str">
        <v/>
      </c>
      <c r="CN12" t="str">
        <v/>
      </c>
      <c r="CO12" t="str">
        <v/>
      </c>
      <c r="CP12" t="str">
        <v/>
      </c>
      <c r="CQ12" t="str">
        <v/>
      </c>
      <c r="CR12" t="str">
        <v/>
      </c>
      <c r="CS12" t="str">
        <v/>
      </c>
      <c r="CT12" t="str">
        <v/>
      </c>
      <c r="CU12" t="str">
        <v/>
      </c>
      <c r="CV12" t="str">
        <v/>
      </c>
      <c r="CW12" t="str">
        <v/>
      </c>
      <c r="CX12" t="str">
        <v/>
      </c>
      <c r="CY12" t="str">
        <v/>
      </c>
      <c r="CZ12" t="str">
        <v/>
      </c>
      <c r="DA12" t="str">
        <v/>
      </c>
      <c r="DB12" t="str">
        <v/>
      </c>
      <c r="DC12" t="str">
        <v/>
      </c>
      <c r="DD12" t="str">
        <v/>
      </c>
      <c r="DE12" t="str">
        <v/>
      </c>
      <c r="DF12" t="str">
        <v/>
      </c>
      <c r="DG12" t="str">
        <v/>
      </c>
      <c r="DH12" t="str">
        <v/>
      </c>
      <c r="DI12" t="str">
        <v/>
      </c>
      <c r="DJ12" t="str">
        <v/>
      </c>
      <c r="DK12" t="str">
        <v/>
      </c>
      <c r="DL12" t="str">
        <v/>
      </c>
      <c r="DM12" t="str">
        <v/>
      </c>
      <c r="DN12" t="str">
        <v/>
      </c>
      <c r="DO12" t="str">
        <v/>
      </c>
      <c r="DP12" t="str">
        <v/>
      </c>
      <c r="DQ12" t="str">
        <v/>
      </c>
      <c r="DR12" t="str">
        <v/>
      </c>
      <c r="DS12" t="str">
        <v/>
      </c>
      <c r="DT12" t="str">
        <v/>
      </c>
      <c r="DU12" t="str">
        <v/>
      </c>
      <c r="DV12" t="str">
        <v/>
      </c>
      <c r="DW12" t="str">
        <v/>
      </c>
      <c r="DX12" t="str">
        <v/>
      </c>
      <c r="DY12" t="str">
        <v/>
      </c>
      <c r="DZ12" t="str">
        <v/>
      </c>
      <c r="EA12" t="str">
        <v/>
      </c>
      <c r="EB12" t="str">
        <v/>
      </c>
      <c r="EC12" t="str">
        <v/>
      </c>
      <c r="ED12" t="str">
        <v/>
      </c>
      <c r="EE12" t="str">
        <v/>
      </c>
      <c r="EF12" t="str">
        <v/>
      </c>
      <c r="EG12" t="str">
        <v/>
      </c>
      <c r="EH12" t="str">
        <v/>
      </c>
      <c r="EI12" t="str">
        <v/>
      </c>
      <c r="EJ12" t="str">
        <v/>
      </c>
      <c r="EK12" t="str">
        <v/>
      </c>
      <c r="EL12" t="str">
        <v/>
      </c>
      <c r="EM12" t="str">
        <v/>
      </c>
      <c r="EN12" t="str">
        <v/>
      </c>
      <c r="EO12" t="str">
        <v/>
      </c>
      <c r="EP12" t="str">
        <v/>
      </c>
      <c r="EQ12" t="str">
        <v/>
      </c>
      <c r="ER12" t="str">
        <v/>
      </c>
      <c r="ES12" t="str">
        <v/>
      </c>
      <c r="ET12" t="str">
        <v/>
      </c>
      <c r="EU12" t="str">
        <v/>
      </c>
      <c r="EV12" t="str">
        <v/>
      </c>
      <c r="EW12" t="str">
        <v/>
      </c>
      <c r="EX12" t="str">
        <v/>
      </c>
      <c r="EY12" t="str">
        <v/>
      </c>
      <c r="EZ12" t="str">
        <v/>
      </c>
      <c r="FA12" t="str">
        <v/>
      </c>
      <c r="FB12" t="str">
        <v/>
      </c>
      <c r="FC12" t="str">
        <v/>
      </c>
      <c r="FD12" t="str">
        <v/>
      </c>
      <c r="FE12" t="str">
        <v/>
      </c>
      <c r="FF12" t="str">
        <v/>
      </c>
      <c r="FG12" t="str">
        <v/>
      </c>
      <c r="FH12" t="str">
        <v/>
      </c>
      <c r="FI12" t="str">
        <v/>
      </c>
      <c r="FJ12" t="str">
        <v/>
      </c>
      <c r="FK12" t="str">
        <v/>
      </c>
      <c r="FL12" t="str">
        <v/>
      </c>
      <c r="FM12" t="str">
        <v/>
      </c>
      <c r="FN12" t="str">
        <v/>
      </c>
      <c r="FO12" t="str">
        <v/>
      </c>
      <c r="FP12" t="str">
        <v/>
      </c>
      <c r="FQ12" t="str">
        <v/>
      </c>
      <c r="FR12" t="str">
        <v/>
      </c>
      <c r="FS12" t="str">
        <v/>
      </c>
      <c r="FT12" t="str">
        <v/>
      </c>
      <c r="FU12" t="str">
        <v/>
      </c>
      <c r="FV12" t="str">
        <v/>
      </c>
      <c r="FW12" t="str">
        <v/>
      </c>
      <c r="FX12" t="str">
        <v/>
      </c>
      <c r="FY12" t="str">
        <v/>
      </c>
      <c r="FZ12" t="str">
        <v/>
      </c>
      <c r="GA12" t="str">
        <v/>
      </c>
      <c r="GB12" t="str">
        <v/>
      </c>
      <c r="GC12" t="str">
        <v/>
      </c>
      <c r="GD12" t="str">
        <v/>
      </c>
      <c r="GE12" t="str">
        <v/>
      </c>
      <c r="GF12" t="str">
        <v/>
      </c>
      <c r="GG12" t="str">
        <v/>
      </c>
      <c r="GH12" t="str">
        <v/>
      </c>
      <c r="GI12" t="str">
        <v/>
      </c>
      <c r="GJ12" t="str">
        <v/>
      </c>
      <c r="GK12" t="str">
        <v/>
      </c>
      <c r="GL12" t="str">
        <v/>
      </c>
      <c r="GM12" t="str">
        <v/>
      </c>
      <c r="GN12" t="str">
        <v/>
      </c>
      <c r="GO12" t="str">
        <v/>
      </c>
      <c r="GP12" t="str">
        <v/>
      </c>
      <c r="GQ12" t="str">
        <v/>
      </c>
      <c r="GR12" t="str">
        <v/>
      </c>
      <c r="GS12" t="str">
        <v/>
      </c>
      <c r="GT12" t="str">
        <v/>
      </c>
      <c r="GU12" t="str">
        <v/>
      </c>
      <c r="GV12" t="str">
        <v/>
      </c>
      <c r="GW12" t="str">
        <v/>
      </c>
      <c r="GX12" t="str">
        <v/>
      </c>
      <c r="GY12" t="str">
        <v/>
      </c>
      <c r="GZ12" t="str">
        <v/>
      </c>
      <c r="HA12" t="str">
        <v/>
      </c>
      <c r="HB12" t="str">
        <v/>
      </c>
      <c r="HC12" t="str">
        <v/>
      </c>
      <c r="HD12" t="str">
        <v/>
      </c>
      <c r="HE12" t="str">
        <v/>
      </c>
      <c r="HF12" t="str">
        <v/>
      </c>
      <c r="HG12" t="str">
        <v/>
      </c>
      <c r="HH12" t="str">
        <v/>
      </c>
      <c r="HI12" t="str">
        <v/>
      </c>
      <c r="HJ12" t="str">
        <v/>
      </c>
      <c r="HK12" t="str">
        <v/>
      </c>
      <c r="HL12" t="str">
        <v/>
      </c>
      <c r="HM12" t="str">
        <v/>
      </c>
      <c r="HN12" t="str">
        <v/>
      </c>
      <c r="HO12" t="str">
        <v/>
      </c>
      <c r="HP12" t="str">
        <v/>
      </c>
      <c r="HQ12" t="str">
        <v/>
      </c>
      <c r="HR12" t="str">
        <v/>
      </c>
      <c r="HS12" t="str">
        <v/>
      </c>
      <c r="HT12" t="str">
        <v/>
      </c>
      <c r="HU12" t="str">
        <v/>
      </c>
      <c r="HV12" t="str">
        <v/>
      </c>
      <c r="HW12" t="str">
        <v/>
      </c>
      <c r="HX12" t="str">
        <v/>
      </c>
      <c r="HY12" t="str">
        <v/>
      </c>
      <c r="HZ12" t="str">
        <v/>
      </c>
      <c r="IA12" t="str">
        <v/>
      </c>
      <c r="IB12" t="str">
        <v/>
      </c>
      <c r="IC12" t="str">
        <v/>
      </c>
      <c r="ID12" t="str">
        <v/>
      </c>
      <c r="IE12" t="str">
        <v/>
      </c>
      <c r="IF12" t="str">
        <v/>
      </c>
      <c r="IG12" t="str">
        <v/>
      </c>
      <c r="IH12" t="str">
        <v/>
      </c>
      <c r="II12" t="str">
        <v/>
      </c>
      <c r="IJ12" t="str">
        <v/>
      </c>
      <c r="IK12" t="str">
        <v/>
      </c>
      <c r="IL12" t="str">
        <v/>
      </c>
      <c r="IM12" t="str">
        <v/>
      </c>
      <c r="IN12" t="str">
        <v/>
      </c>
      <c r="IO12" t="str">
        <v/>
      </c>
      <c r="IP12" t="str">
        <v/>
      </c>
      <c r="IQ12" t="str">
        <v/>
      </c>
      <c r="IR12" t="str">
        <v/>
      </c>
      <c r="IS12" t="str">
        <v/>
      </c>
      <c r="IT12" t="str">
        <v/>
      </c>
      <c r="IU12" t="str">
        <v/>
      </c>
      <c r="IV12" t="str">
        <v/>
      </c>
      <c r="IW12" t="str">
        <v/>
      </c>
      <c r="IX12" t="str">
        <v/>
      </c>
      <c r="IY12" t="str">
        <v/>
      </c>
      <c r="IZ12" t="str">
        <v/>
      </c>
      <c r="JA12" t="str">
        <v/>
      </c>
      <c r="JB12" t="str">
        <v/>
      </c>
      <c r="JC12" t="str">
        <v/>
      </c>
      <c r="JD12" t="str">
        <v/>
      </c>
      <c r="JE12" t="str">
        <v/>
      </c>
      <c r="JF12" t="str">
        <v/>
      </c>
      <c r="JG12" t="str">
        <v/>
      </c>
      <c r="JH12" t="str">
        <v/>
      </c>
      <c r="JI12" t="str">
        <v/>
      </c>
      <c r="JJ12" t="str">
        <v/>
      </c>
      <c r="JK12" t="str">
        <v/>
      </c>
      <c r="JL12" t="str">
        <v/>
      </c>
      <c r="JM12" t="str">
        <v/>
      </c>
      <c r="JN12" t="str">
        <v/>
      </c>
      <c r="JO12" t="str">
        <v/>
      </c>
      <c r="JP12" t="str">
        <v/>
      </c>
      <c r="JQ12" t="str">
        <v/>
      </c>
      <c r="JR12" t="str">
        <v/>
      </c>
      <c r="JS12" t="str">
        <v/>
      </c>
      <c r="JT12" t="str">
        <v/>
      </c>
      <c r="JU12" t="str">
        <v/>
      </c>
      <c r="JV12" t="str">
        <v/>
      </c>
      <c r="JW12" t="str">
        <v/>
      </c>
      <c r="JX12" t="str">
        <v/>
      </c>
      <c r="JY12" t="str">
        <v/>
      </c>
      <c r="JZ12" t="str">
        <v/>
      </c>
      <c r="KA12" t="str">
        <v/>
      </c>
      <c r="KB12" t="str">
        <v/>
      </c>
      <c r="KC12" t="str">
        <v/>
      </c>
      <c r="KD12" t="str">
        <v/>
      </c>
      <c r="KE12" t="str">
        <v/>
      </c>
      <c r="KF12" t="str">
        <v/>
      </c>
      <c r="KG12" t="str">
        <v/>
      </c>
      <c r="KH12" t="str">
        <v/>
      </c>
      <c r="KI12" t="str">
        <v/>
      </c>
      <c r="KJ12" t="str">
        <v/>
      </c>
      <c r="KK12" t="str">
        <v/>
      </c>
      <c r="KL12" t="str">
        <v/>
      </c>
      <c r="KM12" t="str">
        <v/>
      </c>
      <c r="KN12" t="str">
        <v/>
      </c>
      <c r="KO12" t="str">
        <v/>
      </c>
      <c r="KP12" t="str">
        <v/>
      </c>
      <c r="KQ12" t="str">
        <v/>
      </c>
      <c r="KR12" t="str">
        <v/>
      </c>
      <c r="KS12" t="str">
        <v/>
      </c>
      <c r="KT12" t="str">
        <v/>
      </c>
      <c r="KU12" t="str">
        <v/>
      </c>
      <c r="KV12" t="str">
        <v/>
      </c>
      <c r="KW12" t="str">
        <v/>
      </c>
      <c r="KX12" t="str">
        <v/>
      </c>
      <c r="KY12" t="str">
        <v/>
      </c>
      <c r="KZ12" t="str">
        <v/>
      </c>
      <c r="LA12" t="str">
        <v/>
      </c>
      <c r="LB12" t="str">
        <v/>
      </c>
      <c r="LC12" t="str">
        <v/>
      </c>
      <c r="LD12" t="str">
        <v/>
      </c>
      <c r="LE12" t="str">
        <v/>
      </c>
      <c r="LF12" t="str">
        <v/>
      </c>
      <c r="LG12" t="str">
        <v/>
      </c>
      <c r="LH12" t="str">
        <v/>
      </c>
      <c r="LI12" t="str">
        <v/>
      </c>
      <c r="LJ12" t="str">
        <v/>
      </c>
      <c r="LK12" t="str">
        <v/>
      </c>
      <c r="LL12" t="str">
        <v/>
      </c>
      <c r="LM12" t="str">
        <v/>
      </c>
      <c r="LN12" t="str">
        <v/>
      </c>
      <c r="LO12" t="str">
        <v/>
      </c>
      <c r="LP12" t="str">
        <v/>
      </c>
      <c r="LQ12" t="str">
        <v/>
      </c>
      <c r="LR12" t="str">
        <v/>
      </c>
      <c r="LS12" t="str">
        <v/>
      </c>
      <c r="LT12" t="str">
        <v/>
      </c>
      <c r="LU12" t="str">
        <v/>
      </c>
      <c r="LV12" t="str">
        <v/>
      </c>
      <c r="LW12" t="str">
        <v/>
      </c>
      <c r="LX12" t="str">
        <v/>
      </c>
      <c r="LY12" t="str">
        <v/>
      </c>
      <c r="LZ12" t="str">
        <v/>
      </c>
      <c r="MA12" t="str">
        <v/>
      </c>
      <c r="MB12" t="str">
        <v/>
      </c>
      <c r="MC12" t="str">
        <v/>
      </c>
      <c r="MD12" t="str">
        <v/>
      </c>
      <c r="ME12" t="str">
        <v/>
      </c>
      <c r="MF12" t="str">
        <v/>
      </c>
      <c r="MG12" t="str">
        <v/>
      </c>
      <c r="MH12" t="str">
        <v/>
      </c>
      <c r="MI12" t="str">
        <v/>
      </c>
      <c r="MJ12" t="str">
        <v/>
      </c>
      <c r="MK12" t="str">
        <v/>
      </c>
      <c r="ML12" t="str">
        <v/>
      </c>
      <c r="MM12" t="str">
        <v/>
      </c>
      <c r="MN12" t="str">
        <v/>
      </c>
      <c r="MO12" t="str">
        <v/>
      </c>
      <c r="MP12" t="str">
        <v/>
      </c>
      <c r="MQ12" t="str">
        <v/>
      </c>
      <c r="MR12" t="str">
        <v/>
      </c>
      <c r="MS12" t="str">
        <v/>
      </c>
      <c r="MT12" t="str">
        <v/>
      </c>
      <c r="MU12" t="str">
        <v/>
      </c>
      <c r="MV12" t="str">
        <v/>
      </c>
      <c r="MW12" t="str">
        <v/>
      </c>
      <c r="MX12" t="str">
        <v/>
      </c>
      <c r="MY12" t="str">
        <v/>
      </c>
      <c r="MZ12" t="str">
        <v/>
      </c>
      <c r="NA12" t="str">
        <v/>
      </c>
      <c r="NB12" t="str">
        <v/>
      </c>
      <c r="NC12" t="str">
        <v/>
      </c>
      <c r="ND12" t="str">
        <v/>
      </c>
      <c r="NE12" t="str">
        <v/>
      </c>
      <c r="NF12" t="str">
        <v/>
      </c>
      <c r="NG12" t="str">
        <v/>
      </c>
      <c r="NH12" t="str">
        <v/>
      </c>
      <c r="NI12" t="str">
        <v/>
      </c>
      <c r="NJ12" t="str">
        <v/>
      </c>
      <c r="NK12" t="str">
        <v/>
      </c>
      <c r="NL12" t="str">
        <v/>
      </c>
      <c r="NM12" t="str">
        <v/>
      </c>
      <c r="NN12" t="str">
        <v/>
      </c>
      <c r="NO12" t="str">
        <v/>
      </c>
      <c r="NP12" t="str">
        <v/>
      </c>
      <c r="NQ12" t="str">
        <v/>
      </c>
      <c r="NR12" t="str">
        <v/>
      </c>
      <c r="NS12" t="str">
        <v/>
      </c>
      <c r="NT12" t="str">
        <v/>
      </c>
      <c r="NU12" t="str">
        <v/>
      </c>
      <c r="NV12" t="str">
        <v/>
      </c>
      <c r="NW12" t="str">
        <v/>
      </c>
      <c r="NX12" t="str">
        <v/>
      </c>
      <c r="NY12" t="str">
        <v/>
      </c>
      <c r="NZ12" t="str">
        <v/>
      </c>
      <c r="OA12" t="str">
        <v/>
      </c>
      <c r="OB12" t="str">
        <v/>
      </c>
      <c r="OC12" t="str">
        <v/>
      </c>
      <c r="OD12" t="str">
        <v/>
      </c>
      <c r="OE12" t="str">
        <v/>
      </c>
    </row>
    <row r="13" spans="1:395" outlineLevel="1" x14ac:dyDescent="0.3">
      <c r="A13" s="14"/>
      <c r="D13" s="119" t="s">
        <v>326</v>
      </c>
      <c r="E13" s="297">
        <v>2</v>
      </c>
      <c r="F13" s="259" t="s">
        <v>352</v>
      </c>
      <c r="G13" s="76"/>
      <c r="H13" s="76"/>
      <c r="I13" s="257"/>
      <c r="J13" s="258"/>
      <c r="K13" s="65"/>
      <c r="L13" s="55"/>
      <c r="M13" s="66"/>
      <c r="N13" t="s">
        <v>331</v>
      </c>
      <c r="O13" s="8">
        <f>P11+1</f>
        <v>46266</v>
      </c>
      <c r="P13" s="208">
        <f t="shared" si="0"/>
        <v>46356</v>
      </c>
      <c r="Q13" t="str" cm="1">
        <f t="array" ref="Q13:OE13">IF(((EOMONTH(O13,-1)+1)&lt;=_xlfn.ANCHORARRAY($Q$2))*(_xlfn.ANCHORARRAY($Q$2)&lt;P13)," ","")</f>
        <v/>
      </c>
      <c r="R13" t="str">
        <v/>
      </c>
      <c r="S13" t="str">
        <v/>
      </c>
      <c r="T13" t="str">
        <v xml:space="preserve"> </v>
      </c>
      <c r="U13" t="str">
        <v xml:space="preserve"> </v>
      </c>
      <c r="V13" t="str">
        <v xml:space="preserve"> </v>
      </c>
      <c r="W13" t="str">
        <v/>
      </c>
      <c r="X13" t="str">
        <v/>
      </c>
      <c r="Y13" t="str">
        <v/>
      </c>
      <c r="Z13" t="str">
        <v/>
      </c>
      <c r="AA13" t="str">
        <v/>
      </c>
      <c r="AB13" t="str">
        <v/>
      </c>
      <c r="AC13" t="str">
        <v/>
      </c>
      <c r="AD13" t="str">
        <v/>
      </c>
      <c r="AE13" t="str">
        <v/>
      </c>
      <c r="AF13" t="str">
        <v/>
      </c>
      <c r="AG13" t="str">
        <v/>
      </c>
      <c r="AH13" t="str">
        <v/>
      </c>
      <c r="AI13" t="str">
        <v/>
      </c>
      <c r="AJ13" t="str">
        <v/>
      </c>
      <c r="AK13" t="str">
        <v/>
      </c>
      <c r="AL13" t="str">
        <v/>
      </c>
      <c r="AM13" t="str">
        <v/>
      </c>
      <c r="AN13" t="str">
        <v/>
      </c>
      <c r="AO13" t="str">
        <v/>
      </c>
      <c r="AP13" t="str">
        <v/>
      </c>
      <c r="AQ13" t="str">
        <v/>
      </c>
      <c r="AR13" t="str">
        <v/>
      </c>
      <c r="AS13" t="str">
        <v/>
      </c>
      <c r="AT13" t="str">
        <v/>
      </c>
      <c r="AU13" t="str">
        <v/>
      </c>
      <c r="AV13" t="str">
        <v/>
      </c>
      <c r="AW13" t="str">
        <v/>
      </c>
      <c r="AX13" t="str">
        <v/>
      </c>
      <c r="AY13" t="str">
        <v/>
      </c>
      <c r="AZ13" t="str">
        <v/>
      </c>
      <c r="BA13" t="str">
        <v/>
      </c>
      <c r="BB13" t="str">
        <v/>
      </c>
      <c r="BC13" t="str">
        <v/>
      </c>
      <c r="BD13" t="str">
        <v/>
      </c>
      <c r="BE13" t="str">
        <v/>
      </c>
      <c r="BF13" t="str">
        <v/>
      </c>
      <c r="BG13" t="str">
        <v/>
      </c>
      <c r="BH13" t="str">
        <v/>
      </c>
      <c r="BI13" t="str">
        <v/>
      </c>
      <c r="BJ13" t="str">
        <v/>
      </c>
      <c r="BK13" t="str">
        <v/>
      </c>
      <c r="BL13" t="str">
        <v/>
      </c>
      <c r="BM13" t="str">
        <v/>
      </c>
      <c r="BN13" t="str">
        <v/>
      </c>
      <c r="BO13" t="str">
        <v/>
      </c>
      <c r="BP13" t="str">
        <v/>
      </c>
      <c r="BQ13" t="str">
        <v/>
      </c>
      <c r="BR13" t="str">
        <v/>
      </c>
      <c r="BS13" t="str">
        <v/>
      </c>
      <c r="BT13" t="str">
        <v/>
      </c>
      <c r="BU13" t="str">
        <v/>
      </c>
      <c r="BV13" t="str">
        <v/>
      </c>
      <c r="BW13" t="str">
        <v/>
      </c>
      <c r="BX13" t="str">
        <v/>
      </c>
      <c r="BY13" t="str">
        <v/>
      </c>
      <c r="BZ13" t="str">
        <v/>
      </c>
      <c r="CA13" t="str">
        <v/>
      </c>
      <c r="CB13" t="str">
        <v/>
      </c>
      <c r="CC13" t="str">
        <v/>
      </c>
      <c r="CD13" t="str">
        <v/>
      </c>
      <c r="CE13" t="str">
        <v/>
      </c>
      <c r="CF13" t="str">
        <v/>
      </c>
      <c r="CG13" t="str">
        <v/>
      </c>
      <c r="CH13" t="str">
        <v/>
      </c>
      <c r="CI13" t="str">
        <v/>
      </c>
      <c r="CJ13" t="str">
        <v/>
      </c>
      <c r="CK13" t="str">
        <v/>
      </c>
      <c r="CL13" t="str">
        <v/>
      </c>
      <c r="CM13" t="str">
        <v/>
      </c>
      <c r="CN13" t="str">
        <v/>
      </c>
      <c r="CO13" t="str">
        <v/>
      </c>
      <c r="CP13" t="str">
        <v/>
      </c>
      <c r="CQ13" t="str">
        <v/>
      </c>
      <c r="CR13" t="str">
        <v/>
      </c>
      <c r="CS13" t="str">
        <v/>
      </c>
      <c r="CT13" t="str">
        <v/>
      </c>
      <c r="CU13" t="str">
        <v/>
      </c>
      <c r="CV13" t="str">
        <v/>
      </c>
      <c r="CW13" t="str">
        <v/>
      </c>
      <c r="CX13" t="str">
        <v/>
      </c>
      <c r="CY13" t="str">
        <v/>
      </c>
      <c r="CZ13" t="str">
        <v/>
      </c>
      <c r="DA13" t="str">
        <v/>
      </c>
      <c r="DB13" t="str">
        <v/>
      </c>
      <c r="DC13" t="str">
        <v/>
      </c>
      <c r="DD13" t="str">
        <v/>
      </c>
      <c r="DE13" t="str">
        <v/>
      </c>
      <c r="DF13" t="str">
        <v/>
      </c>
      <c r="DG13" t="str">
        <v/>
      </c>
      <c r="DH13" t="str">
        <v/>
      </c>
      <c r="DI13" t="str">
        <v/>
      </c>
      <c r="DJ13" t="str">
        <v/>
      </c>
      <c r="DK13" t="str">
        <v/>
      </c>
      <c r="DL13" t="str">
        <v/>
      </c>
      <c r="DM13" t="str">
        <v/>
      </c>
      <c r="DN13" t="str">
        <v/>
      </c>
      <c r="DO13" t="str">
        <v/>
      </c>
      <c r="DP13" t="str">
        <v/>
      </c>
      <c r="DQ13" t="str">
        <v/>
      </c>
      <c r="DR13" t="str">
        <v/>
      </c>
      <c r="DS13" t="str">
        <v/>
      </c>
      <c r="DT13" t="str">
        <v/>
      </c>
      <c r="DU13" t="str">
        <v/>
      </c>
      <c r="DV13" t="str">
        <v/>
      </c>
      <c r="DW13" t="str">
        <v/>
      </c>
      <c r="DX13" t="str">
        <v/>
      </c>
      <c r="DY13" t="str">
        <v/>
      </c>
      <c r="DZ13" t="str">
        <v/>
      </c>
      <c r="EA13" t="str">
        <v/>
      </c>
      <c r="EB13" t="str">
        <v/>
      </c>
      <c r="EC13" t="str">
        <v/>
      </c>
      <c r="ED13" t="str">
        <v/>
      </c>
      <c r="EE13" t="str">
        <v/>
      </c>
      <c r="EF13" t="str">
        <v/>
      </c>
      <c r="EG13" t="str">
        <v/>
      </c>
      <c r="EH13" t="str">
        <v/>
      </c>
      <c r="EI13" t="str">
        <v/>
      </c>
      <c r="EJ13" t="str">
        <v/>
      </c>
      <c r="EK13" t="str">
        <v/>
      </c>
      <c r="EL13" t="str">
        <v/>
      </c>
      <c r="EM13" t="str">
        <v/>
      </c>
      <c r="EN13" t="str">
        <v/>
      </c>
      <c r="EO13" t="str">
        <v/>
      </c>
      <c r="EP13" t="str">
        <v/>
      </c>
      <c r="EQ13" t="str">
        <v/>
      </c>
      <c r="ER13" t="str">
        <v/>
      </c>
      <c r="ES13" t="str">
        <v/>
      </c>
      <c r="ET13" t="str">
        <v/>
      </c>
      <c r="EU13" t="str">
        <v/>
      </c>
      <c r="EV13" t="str">
        <v/>
      </c>
      <c r="EW13" t="str">
        <v/>
      </c>
      <c r="EX13" t="str">
        <v/>
      </c>
      <c r="EY13" t="str">
        <v/>
      </c>
      <c r="EZ13" t="str">
        <v/>
      </c>
      <c r="FA13" t="str">
        <v/>
      </c>
      <c r="FB13" t="str">
        <v/>
      </c>
      <c r="FC13" t="str">
        <v/>
      </c>
      <c r="FD13" t="str">
        <v/>
      </c>
      <c r="FE13" t="str">
        <v/>
      </c>
      <c r="FF13" t="str">
        <v/>
      </c>
      <c r="FG13" t="str">
        <v/>
      </c>
      <c r="FH13" t="str">
        <v/>
      </c>
      <c r="FI13" t="str">
        <v/>
      </c>
      <c r="FJ13" t="str">
        <v/>
      </c>
      <c r="FK13" t="str">
        <v/>
      </c>
      <c r="FL13" t="str">
        <v/>
      </c>
      <c r="FM13" t="str">
        <v/>
      </c>
      <c r="FN13" t="str">
        <v/>
      </c>
      <c r="FO13" t="str">
        <v/>
      </c>
      <c r="FP13" t="str">
        <v/>
      </c>
      <c r="FQ13" t="str">
        <v/>
      </c>
      <c r="FR13" t="str">
        <v/>
      </c>
      <c r="FS13" t="str">
        <v/>
      </c>
      <c r="FT13" t="str">
        <v/>
      </c>
      <c r="FU13" t="str">
        <v/>
      </c>
      <c r="FV13" t="str">
        <v/>
      </c>
      <c r="FW13" t="str">
        <v/>
      </c>
      <c r="FX13" t="str">
        <v/>
      </c>
      <c r="FY13" t="str">
        <v/>
      </c>
      <c r="FZ13" t="str">
        <v/>
      </c>
      <c r="GA13" t="str">
        <v/>
      </c>
      <c r="GB13" t="str">
        <v/>
      </c>
      <c r="GC13" t="str">
        <v/>
      </c>
      <c r="GD13" t="str">
        <v/>
      </c>
      <c r="GE13" t="str">
        <v/>
      </c>
      <c r="GF13" t="str">
        <v/>
      </c>
      <c r="GG13" t="str">
        <v/>
      </c>
      <c r="GH13" t="str">
        <v/>
      </c>
      <c r="GI13" t="str">
        <v/>
      </c>
      <c r="GJ13" t="str">
        <v/>
      </c>
      <c r="GK13" t="str">
        <v/>
      </c>
      <c r="GL13" t="str">
        <v/>
      </c>
      <c r="GM13" t="str">
        <v/>
      </c>
      <c r="GN13" t="str">
        <v/>
      </c>
      <c r="GO13" t="str">
        <v/>
      </c>
      <c r="GP13" t="str">
        <v/>
      </c>
      <c r="GQ13" t="str">
        <v/>
      </c>
      <c r="GR13" t="str">
        <v/>
      </c>
      <c r="GS13" t="str">
        <v/>
      </c>
      <c r="GT13" t="str">
        <v/>
      </c>
      <c r="GU13" t="str">
        <v/>
      </c>
      <c r="GV13" t="str">
        <v/>
      </c>
      <c r="GW13" t="str">
        <v/>
      </c>
      <c r="GX13" t="str">
        <v/>
      </c>
      <c r="GY13" t="str">
        <v/>
      </c>
      <c r="GZ13" t="str">
        <v/>
      </c>
      <c r="HA13" t="str">
        <v/>
      </c>
      <c r="HB13" t="str">
        <v/>
      </c>
      <c r="HC13" t="str">
        <v/>
      </c>
      <c r="HD13" t="str">
        <v/>
      </c>
      <c r="HE13" t="str">
        <v/>
      </c>
      <c r="HF13" t="str">
        <v/>
      </c>
      <c r="HG13" t="str">
        <v/>
      </c>
      <c r="HH13" t="str">
        <v/>
      </c>
      <c r="HI13" t="str">
        <v/>
      </c>
      <c r="HJ13" t="str">
        <v/>
      </c>
      <c r="HK13" t="str">
        <v/>
      </c>
      <c r="HL13" t="str">
        <v/>
      </c>
      <c r="HM13" t="str">
        <v/>
      </c>
      <c r="HN13" t="str">
        <v/>
      </c>
      <c r="HO13" t="str">
        <v/>
      </c>
      <c r="HP13" t="str">
        <v/>
      </c>
      <c r="HQ13" t="str">
        <v/>
      </c>
      <c r="HR13" t="str">
        <v/>
      </c>
      <c r="HS13" t="str">
        <v/>
      </c>
      <c r="HT13" t="str">
        <v/>
      </c>
      <c r="HU13" t="str">
        <v/>
      </c>
      <c r="HV13" t="str">
        <v/>
      </c>
      <c r="HW13" t="str">
        <v/>
      </c>
      <c r="HX13" t="str">
        <v/>
      </c>
      <c r="HY13" t="str">
        <v/>
      </c>
      <c r="HZ13" t="str">
        <v/>
      </c>
      <c r="IA13" t="str">
        <v/>
      </c>
      <c r="IB13" t="str">
        <v/>
      </c>
      <c r="IC13" t="str">
        <v/>
      </c>
      <c r="ID13" t="str">
        <v/>
      </c>
      <c r="IE13" t="str">
        <v/>
      </c>
      <c r="IF13" t="str">
        <v/>
      </c>
      <c r="IG13" t="str">
        <v/>
      </c>
      <c r="IH13" t="str">
        <v/>
      </c>
      <c r="II13" t="str">
        <v/>
      </c>
      <c r="IJ13" t="str">
        <v/>
      </c>
      <c r="IK13" t="str">
        <v/>
      </c>
      <c r="IL13" t="str">
        <v/>
      </c>
      <c r="IM13" t="str">
        <v/>
      </c>
      <c r="IN13" t="str">
        <v/>
      </c>
      <c r="IO13" t="str">
        <v/>
      </c>
      <c r="IP13" t="str">
        <v/>
      </c>
      <c r="IQ13" t="str">
        <v/>
      </c>
      <c r="IR13" t="str">
        <v/>
      </c>
      <c r="IS13" t="str">
        <v/>
      </c>
      <c r="IT13" t="str">
        <v/>
      </c>
      <c r="IU13" t="str">
        <v/>
      </c>
      <c r="IV13" t="str">
        <v/>
      </c>
      <c r="IW13" t="str">
        <v/>
      </c>
      <c r="IX13" t="str">
        <v/>
      </c>
      <c r="IY13" t="str">
        <v/>
      </c>
      <c r="IZ13" t="str">
        <v/>
      </c>
      <c r="JA13" t="str">
        <v/>
      </c>
      <c r="JB13" t="str">
        <v/>
      </c>
      <c r="JC13" t="str">
        <v/>
      </c>
      <c r="JD13" t="str">
        <v/>
      </c>
      <c r="JE13" t="str">
        <v/>
      </c>
      <c r="JF13" t="str">
        <v/>
      </c>
      <c r="JG13" t="str">
        <v/>
      </c>
      <c r="JH13" t="str">
        <v/>
      </c>
      <c r="JI13" t="str">
        <v/>
      </c>
      <c r="JJ13" t="str">
        <v/>
      </c>
      <c r="JK13" t="str">
        <v/>
      </c>
      <c r="JL13" t="str">
        <v/>
      </c>
      <c r="JM13" t="str">
        <v/>
      </c>
      <c r="JN13" t="str">
        <v/>
      </c>
      <c r="JO13" t="str">
        <v/>
      </c>
      <c r="JP13" t="str">
        <v/>
      </c>
      <c r="JQ13" t="str">
        <v/>
      </c>
      <c r="JR13" t="str">
        <v/>
      </c>
      <c r="JS13" t="str">
        <v/>
      </c>
      <c r="JT13" t="str">
        <v/>
      </c>
      <c r="JU13" t="str">
        <v/>
      </c>
      <c r="JV13" t="str">
        <v/>
      </c>
      <c r="JW13" t="str">
        <v/>
      </c>
      <c r="JX13" t="str">
        <v/>
      </c>
      <c r="JY13" t="str">
        <v/>
      </c>
      <c r="JZ13" t="str">
        <v/>
      </c>
      <c r="KA13" t="str">
        <v/>
      </c>
      <c r="KB13" t="str">
        <v/>
      </c>
      <c r="KC13" t="str">
        <v/>
      </c>
      <c r="KD13" t="str">
        <v/>
      </c>
      <c r="KE13" t="str">
        <v/>
      </c>
      <c r="KF13" t="str">
        <v/>
      </c>
      <c r="KG13" t="str">
        <v/>
      </c>
      <c r="KH13" t="str">
        <v/>
      </c>
      <c r="KI13" t="str">
        <v/>
      </c>
      <c r="KJ13" t="str">
        <v/>
      </c>
      <c r="KK13" t="str">
        <v/>
      </c>
      <c r="KL13" t="str">
        <v/>
      </c>
      <c r="KM13" t="str">
        <v/>
      </c>
      <c r="KN13" t="str">
        <v/>
      </c>
      <c r="KO13" t="str">
        <v/>
      </c>
      <c r="KP13" t="str">
        <v/>
      </c>
      <c r="KQ13" t="str">
        <v/>
      </c>
      <c r="KR13" t="str">
        <v/>
      </c>
      <c r="KS13" t="str">
        <v/>
      </c>
      <c r="KT13" t="str">
        <v/>
      </c>
      <c r="KU13" t="str">
        <v/>
      </c>
      <c r="KV13" t="str">
        <v/>
      </c>
      <c r="KW13" t="str">
        <v/>
      </c>
      <c r="KX13" t="str">
        <v/>
      </c>
      <c r="KY13" t="str">
        <v/>
      </c>
      <c r="KZ13" t="str">
        <v/>
      </c>
      <c r="LA13" t="str">
        <v/>
      </c>
      <c r="LB13" t="str">
        <v/>
      </c>
      <c r="LC13" t="str">
        <v/>
      </c>
      <c r="LD13" t="str">
        <v/>
      </c>
      <c r="LE13" t="str">
        <v/>
      </c>
      <c r="LF13" t="str">
        <v/>
      </c>
      <c r="LG13" t="str">
        <v/>
      </c>
      <c r="LH13" t="str">
        <v/>
      </c>
      <c r="LI13" t="str">
        <v/>
      </c>
      <c r="LJ13" t="str">
        <v/>
      </c>
      <c r="LK13" t="str">
        <v/>
      </c>
      <c r="LL13" t="str">
        <v/>
      </c>
      <c r="LM13" t="str">
        <v/>
      </c>
      <c r="LN13" t="str">
        <v/>
      </c>
      <c r="LO13" t="str">
        <v/>
      </c>
      <c r="LP13" t="str">
        <v/>
      </c>
      <c r="LQ13" t="str">
        <v/>
      </c>
      <c r="LR13" t="str">
        <v/>
      </c>
      <c r="LS13" t="str">
        <v/>
      </c>
      <c r="LT13" t="str">
        <v/>
      </c>
      <c r="LU13" t="str">
        <v/>
      </c>
      <c r="LV13" t="str">
        <v/>
      </c>
      <c r="LW13" t="str">
        <v/>
      </c>
      <c r="LX13" t="str">
        <v/>
      </c>
      <c r="LY13" t="str">
        <v/>
      </c>
      <c r="LZ13" t="str">
        <v/>
      </c>
      <c r="MA13" t="str">
        <v/>
      </c>
      <c r="MB13" t="str">
        <v/>
      </c>
      <c r="MC13" t="str">
        <v/>
      </c>
      <c r="MD13" t="str">
        <v/>
      </c>
      <c r="ME13" t="str">
        <v/>
      </c>
      <c r="MF13" t="str">
        <v/>
      </c>
      <c r="MG13" t="str">
        <v/>
      </c>
      <c r="MH13" t="str">
        <v/>
      </c>
      <c r="MI13" t="str">
        <v/>
      </c>
      <c r="MJ13" t="str">
        <v/>
      </c>
      <c r="MK13" t="str">
        <v/>
      </c>
      <c r="ML13" t="str">
        <v/>
      </c>
      <c r="MM13" t="str">
        <v/>
      </c>
      <c r="MN13" t="str">
        <v/>
      </c>
      <c r="MO13" t="str">
        <v/>
      </c>
      <c r="MP13" t="str">
        <v/>
      </c>
      <c r="MQ13" t="str">
        <v/>
      </c>
      <c r="MR13" t="str">
        <v/>
      </c>
      <c r="MS13" t="str">
        <v/>
      </c>
      <c r="MT13" t="str">
        <v/>
      </c>
      <c r="MU13" t="str">
        <v/>
      </c>
      <c r="MV13" t="str">
        <v/>
      </c>
      <c r="MW13" t="str">
        <v/>
      </c>
      <c r="MX13" t="str">
        <v/>
      </c>
      <c r="MY13" t="str">
        <v/>
      </c>
      <c r="MZ13" t="str">
        <v/>
      </c>
      <c r="NA13" t="str">
        <v/>
      </c>
      <c r="NB13" t="str">
        <v/>
      </c>
      <c r="NC13" t="str">
        <v/>
      </c>
      <c r="ND13" t="str">
        <v/>
      </c>
      <c r="NE13" t="str">
        <v/>
      </c>
      <c r="NF13" t="str">
        <v/>
      </c>
      <c r="NG13" t="str">
        <v/>
      </c>
      <c r="NH13" t="str">
        <v/>
      </c>
      <c r="NI13" t="str">
        <v/>
      </c>
      <c r="NJ13" t="str">
        <v/>
      </c>
      <c r="NK13" t="str">
        <v/>
      </c>
      <c r="NL13" t="str">
        <v/>
      </c>
      <c r="NM13" t="str">
        <v/>
      </c>
      <c r="NN13" t="str">
        <v/>
      </c>
      <c r="NO13" t="str">
        <v/>
      </c>
      <c r="NP13" t="str">
        <v/>
      </c>
      <c r="NQ13" t="str">
        <v/>
      </c>
      <c r="NR13" t="str">
        <v/>
      </c>
      <c r="NS13" t="str">
        <v/>
      </c>
      <c r="NT13" t="str">
        <v/>
      </c>
      <c r="NU13" t="str">
        <v/>
      </c>
      <c r="NV13" t="str">
        <v/>
      </c>
      <c r="NW13" t="str">
        <v/>
      </c>
      <c r="NX13" t="str">
        <v/>
      </c>
      <c r="NY13" t="str">
        <v/>
      </c>
      <c r="NZ13" t="str">
        <v/>
      </c>
      <c r="OA13" t="str">
        <v/>
      </c>
      <c r="OB13" t="str">
        <v/>
      </c>
      <c r="OC13" t="str">
        <v/>
      </c>
      <c r="OD13" t="str">
        <v/>
      </c>
      <c r="OE13" t="str">
        <v/>
      </c>
    </row>
    <row r="14" spans="1:395" outlineLevel="1" x14ac:dyDescent="0.3">
      <c r="A14" s="14"/>
      <c r="D14" s="19" t="s">
        <v>350</v>
      </c>
      <c r="E14" s="297">
        <v>6</v>
      </c>
      <c r="F14" s="259" t="s">
        <v>352</v>
      </c>
      <c r="G14" s="76"/>
      <c r="H14" s="76"/>
      <c r="I14" s="257"/>
      <c r="J14" s="258"/>
      <c r="K14" s="65"/>
      <c r="L14" s="55"/>
      <c r="M14" s="66"/>
      <c r="N14" t="s">
        <v>351</v>
      </c>
      <c r="O14" s="8">
        <f>P11+1</f>
        <v>46266</v>
      </c>
      <c r="P14" s="208">
        <f t="shared" si="0"/>
        <v>46477</v>
      </c>
      <c r="Q14" t="str" cm="1">
        <f t="array" ref="Q14:OE14">IF(((EOMONTH(O14,-1)+1)&lt;=_xlfn.ANCHORARRAY($Q$2))*(_xlfn.ANCHORARRAY($Q$2)&lt;P14)," ","")</f>
        <v/>
      </c>
      <c r="R14" t="str">
        <v/>
      </c>
      <c r="S14" t="str">
        <v/>
      </c>
      <c r="T14" t="str">
        <v xml:space="preserve"> </v>
      </c>
      <c r="U14" t="str">
        <v xml:space="preserve"> </v>
      </c>
      <c r="V14" t="str">
        <v xml:space="preserve"> </v>
      </c>
      <c r="W14" t="str">
        <v xml:space="preserve"> </v>
      </c>
      <c r="X14" t="str">
        <v xml:space="preserve"> </v>
      </c>
      <c r="Y14" t="str">
        <v xml:space="preserve"> </v>
      </c>
      <c r="Z14" t="str">
        <v xml:space="preserve"> </v>
      </c>
      <c r="AA14" t="str">
        <v/>
      </c>
      <c r="AB14" t="str">
        <v/>
      </c>
      <c r="AC14" t="str">
        <v/>
      </c>
      <c r="AD14" t="str">
        <v/>
      </c>
      <c r="AE14" t="str">
        <v/>
      </c>
      <c r="AF14" t="str">
        <v/>
      </c>
      <c r="AG14" t="str">
        <v/>
      </c>
      <c r="AH14" t="str">
        <v/>
      </c>
      <c r="AI14" t="str">
        <v/>
      </c>
      <c r="AJ14" t="str">
        <v/>
      </c>
      <c r="AK14" t="str">
        <v/>
      </c>
      <c r="AL14" t="str">
        <v/>
      </c>
      <c r="AM14" t="str">
        <v/>
      </c>
      <c r="AN14" t="str">
        <v/>
      </c>
      <c r="AO14" t="str">
        <v/>
      </c>
      <c r="AP14" t="str">
        <v/>
      </c>
      <c r="AQ14" t="str">
        <v/>
      </c>
      <c r="AR14" t="str">
        <v/>
      </c>
      <c r="AS14" t="str">
        <v/>
      </c>
      <c r="AT14" t="str">
        <v/>
      </c>
      <c r="AU14" t="str">
        <v/>
      </c>
      <c r="AV14" t="str">
        <v/>
      </c>
      <c r="AW14" t="str">
        <v/>
      </c>
      <c r="AX14" t="str">
        <v/>
      </c>
      <c r="AY14" t="str">
        <v/>
      </c>
      <c r="AZ14" t="str">
        <v/>
      </c>
      <c r="BA14" t="str">
        <v/>
      </c>
      <c r="BB14" t="str">
        <v/>
      </c>
      <c r="BC14" t="str">
        <v/>
      </c>
      <c r="BD14" t="str">
        <v/>
      </c>
      <c r="BE14" t="str">
        <v/>
      </c>
      <c r="BF14" t="str">
        <v/>
      </c>
      <c r="BG14" t="str">
        <v/>
      </c>
      <c r="BH14" t="str">
        <v/>
      </c>
      <c r="BI14" t="str">
        <v/>
      </c>
      <c r="BJ14" t="str">
        <v/>
      </c>
      <c r="BK14" t="str">
        <v/>
      </c>
      <c r="BL14" t="str">
        <v/>
      </c>
      <c r="BM14" t="str">
        <v/>
      </c>
      <c r="BN14" t="str">
        <v/>
      </c>
      <c r="BO14" t="str">
        <v/>
      </c>
      <c r="BP14" t="str">
        <v/>
      </c>
      <c r="BQ14" t="str">
        <v/>
      </c>
      <c r="BR14" t="str">
        <v/>
      </c>
      <c r="BS14" t="str">
        <v/>
      </c>
      <c r="BT14" t="str">
        <v/>
      </c>
      <c r="BU14" t="str">
        <v/>
      </c>
      <c r="BV14" t="str">
        <v/>
      </c>
      <c r="BW14" t="str">
        <v/>
      </c>
      <c r="BX14" t="str">
        <v/>
      </c>
      <c r="BY14" t="str">
        <v/>
      </c>
      <c r="BZ14" t="str">
        <v/>
      </c>
      <c r="CA14" t="str">
        <v/>
      </c>
      <c r="CB14" t="str">
        <v/>
      </c>
      <c r="CC14" t="str">
        <v/>
      </c>
      <c r="CD14" t="str">
        <v/>
      </c>
      <c r="CE14" t="str">
        <v/>
      </c>
      <c r="CF14" t="str">
        <v/>
      </c>
      <c r="CG14" t="str">
        <v/>
      </c>
      <c r="CH14" t="str">
        <v/>
      </c>
      <c r="CI14" t="str">
        <v/>
      </c>
      <c r="CJ14" t="str">
        <v/>
      </c>
      <c r="CK14" t="str">
        <v/>
      </c>
      <c r="CL14" t="str">
        <v/>
      </c>
      <c r="CM14" t="str">
        <v/>
      </c>
      <c r="CN14" t="str">
        <v/>
      </c>
      <c r="CO14" t="str">
        <v/>
      </c>
      <c r="CP14" t="str">
        <v/>
      </c>
      <c r="CQ14" t="str">
        <v/>
      </c>
      <c r="CR14" t="str">
        <v/>
      </c>
      <c r="CS14" t="str">
        <v/>
      </c>
      <c r="CT14" t="str">
        <v/>
      </c>
      <c r="CU14" t="str">
        <v/>
      </c>
      <c r="CV14" t="str">
        <v/>
      </c>
      <c r="CW14" t="str">
        <v/>
      </c>
      <c r="CX14" t="str">
        <v/>
      </c>
      <c r="CY14" t="str">
        <v/>
      </c>
      <c r="CZ14" t="str">
        <v/>
      </c>
      <c r="DA14" t="str">
        <v/>
      </c>
      <c r="DB14" t="str">
        <v/>
      </c>
      <c r="DC14" t="str">
        <v/>
      </c>
      <c r="DD14" t="str">
        <v/>
      </c>
      <c r="DE14" t="str">
        <v/>
      </c>
      <c r="DF14" t="str">
        <v/>
      </c>
      <c r="DG14" t="str">
        <v/>
      </c>
      <c r="DH14" t="str">
        <v/>
      </c>
      <c r="DI14" t="str">
        <v/>
      </c>
      <c r="DJ14" t="str">
        <v/>
      </c>
      <c r="DK14" t="str">
        <v/>
      </c>
      <c r="DL14" t="str">
        <v/>
      </c>
      <c r="DM14" t="str">
        <v/>
      </c>
      <c r="DN14" t="str">
        <v/>
      </c>
      <c r="DO14" t="str">
        <v/>
      </c>
      <c r="DP14" t="str">
        <v/>
      </c>
      <c r="DQ14" t="str">
        <v/>
      </c>
      <c r="DR14" t="str">
        <v/>
      </c>
      <c r="DS14" t="str">
        <v/>
      </c>
      <c r="DT14" t="str">
        <v/>
      </c>
      <c r="DU14" t="str">
        <v/>
      </c>
      <c r="DV14" t="str">
        <v/>
      </c>
      <c r="DW14" t="str">
        <v/>
      </c>
      <c r="DX14" t="str">
        <v/>
      </c>
      <c r="DY14" t="str">
        <v/>
      </c>
      <c r="DZ14" t="str">
        <v/>
      </c>
      <c r="EA14" t="str">
        <v/>
      </c>
      <c r="EB14" t="str">
        <v/>
      </c>
      <c r="EC14" t="str">
        <v/>
      </c>
      <c r="ED14" t="str">
        <v/>
      </c>
      <c r="EE14" t="str">
        <v/>
      </c>
      <c r="EF14" t="str">
        <v/>
      </c>
      <c r="EG14" t="str">
        <v/>
      </c>
      <c r="EH14" t="str">
        <v/>
      </c>
      <c r="EI14" t="str">
        <v/>
      </c>
      <c r="EJ14" t="str">
        <v/>
      </c>
      <c r="EK14" t="str">
        <v/>
      </c>
      <c r="EL14" t="str">
        <v/>
      </c>
      <c r="EM14" t="str">
        <v/>
      </c>
      <c r="EN14" t="str">
        <v/>
      </c>
      <c r="EO14" t="str">
        <v/>
      </c>
      <c r="EP14" t="str">
        <v/>
      </c>
      <c r="EQ14" t="str">
        <v/>
      </c>
      <c r="ER14" t="str">
        <v/>
      </c>
      <c r="ES14" t="str">
        <v/>
      </c>
      <c r="ET14" t="str">
        <v/>
      </c>
      <c r="EU14" t="str">
        <v/>
      </c>
      <c r="EV14" t="str">
        <v/>
      </c>
      <c r="EW14" t="str">
        <v/>
      </c>
      <c r="EX14" t="str">
        <v/>
      </c>
      <c r="EY14" t="str">
        <v/>
      </c>
      <c r="EZ14" t="str">
        <v/>
      </c>
      <c r="FA14" t="str">
        <v/>
      </c>
      <c r="FB14" t="str">
        <v/>
      </c>
      <c r="FC14" t="str">
        <v/>
      </c>
      <c r="FD14" t="str">
        <v/>
      </c>
      <c r="FE14" t="str">
        <v/>
      </c>
      <c r="FF14" t="str">
        <v/>
      </c>
      <c r="FG14" t="str">
        <v/>
      </c>
      <c r="FH14" t="str">
        <v/>
      </c>
      <c r="FI14" t="str">
        <v/>
      </c>
      <c r="FJ14" t="str">
        <v/>
      </c>
      <c r="FK14" t="str">
        <v/>
      </c>
      <c r="FL14" t="str">
        <v/>
      </c>
      <c r="FM14" t="str">
        <v/>
      </c>
      <c r="FN14" t="str">
        <v/>
      </c>
      <c r="FO14" t="str">
        <v/>
      </c>
      <c r="FP14" t="str">
        <v/>
      </c>
      <c r="FQ14" t="str">
        <v/>
      </c>
      <c r="FR14" t="str">
        <v/>
      </c>
      <c r="FS14" t="str">
        <v/>
      </c>
      <c r="FT14" t="str">
        <v/>
      </c>
      <c r="FU14" t="str">
        <v/>
      </c>
      <c r="FV14" t="str">
        <v/>
      </c>
      <c r="FW14" t="str">
        <v/>
      </c>
      <c r="FX14" t="str">
        <v/>
      </c>
      <c r="FY14" t="str">
        <v/>
      </c>
      <c r="FZ14" t="str">
        <v/>
      </c>
      <c r="GA14" t="str">
        <v/>
      </c>
      <c r="GB14" t="str">
        <v/>
      </c>
      <c r="GC14" t="str">
        <v/>
      </c>
      <c r="GD14" t="str">
        <v/>
      </c>
      <c r="GE14" t="str">
        <v/>
      </c>
      <c r="GF14" t="str">
        <v/>
      </c>
      <c r="GG14" t="str">
        <v/>
      </c>
      <c r="GH14" t="str">
        <v/>
      </c>
      <c r="GI14" t="str">
        <v/>
      </c>
      <c r="GJ14" t="str">
        <v/>
      </c>
      <c r="GK14" t="str">
        <v/>
      </c>
      <c r="GL14" t="str">
        <v/>
      </c>
      <c r="GM14" t="str">
        <v/>
      </c>
      <c r="GN14" t="str">
        <v/>
      </c>
      <c r="GO14" t="str">
        <v/>
      </c>
      <c r="GP14" t="str">
        <v/>
      </c>
      <c r="GQ14" t="str">
        <v/>
      </c>
      <c r="GR14" t="str">
        <v/>
      </c>
      <c r="GS14" t="str">
        <v/>
      </c>
      <c r="GT14" t="str">
        <v/>
      </c>
      <c r="GU14" t="str">
        <v/>
      </c>
      <c r="GV14" t="str">
        <v/>
      </c>
      <c r="GW14" t="str">
        <v/>
      </c>
      <c r="GX14" t="str">
        <v/>
      </c>
      <c r="GY14" t="str">
        <v/>
      </c>
      <c r="GZ14" t="str">
        <v/>
      </c>
      <c r="HA14" t="str">
        <v/>
      </c>
      <c r="HB14" t="str">
        <v/>
      </c>
      <c r="HC14" t="str">
        <v/>
      </c>
      <c r="HD14" t="str">
        <v/>
      </c>
      <c r="HE14" t="str">
        <v/>
      </c>
      <c r="HF14" t="str">
        <v/>
      </c>
      <c r="HG14" t="str">
        <v/>
      </c>
      <c r="HH14" t="str">
        <v/>
      </c>
      <c r="HI14" t="str">
        <v/>
      </c>
      <c r="HJ14" t="str">
        <v/>
      </c>
      <c r="HK14" t="str">
        <v/>
      </c>
      <c r="HL14" t="str">
        <v/>
      </c>
      <c r="HM14" t="str">
        <v/>
      </c>
      <c r="HN14" t="str">
        <v/>
      </c>
      <c r="HO14" t="str">
        <v/>
      </c>
      <c r="HP14" t="str">
        <v/>
      </c>
      <c r="HQ14" t="str">
        <v/>
      </c>
      <c r="HR14" t="str">
        <v/>
      </c>
      <c r="HS14" t="str">
        <v/>
      </c>
      <c r="HT14" t="str">
        <v/>
      </c>
      <c r="HU14" t="str">
        <v/>
      </c>
      <c r="HV14" t="str">
        <v/>
      </c>
      <c r="HW14" t="str">
        <v/>
      </c>
      <c r="HX14" t="str">
        <v/>
      </c>
      <c r="HY14" t="str">
        <v/>
      </c>
      <c r="HZ14" t="str">
        <v/>
      </c>
      <c r="IA14" t="str">
        <v/>
      </c>
      <c r="IB14" t="str">
        <v/>
      </c>
      <c r="IC14" t="str">
        <v/>
      </c>
      <c r="ID14" t="str">
        <v/>
      </c>
      <c r="IE14" t="str">
        <v/>
      </c>
      <c r="IF14" t="str">
        <v/>
      </c>
      <c r="IG14" t="str">
        <v/>
      </c>
      <c r="IH14" t="str">
        <v/>
      </c>
      <c r="II14" t="str">
        <v/>
      </c>
      <c r="IJ14" t="str">
        <v/>
      </c>
      <c r="IK14" t="str">
        <v/>
      </c>
      <c r="IL14" t="str">
        <v/>
      </c>
      <c r="IM14" t="str">
        <v/>
      </c>
      <c r="IN14" t="str">
        <v/>
      </c>
      <c r="IO14" t="str">
        <v/>
      </c>
      <c r="IP14" t="str">
        <v/>
      </c>
      <c r="IQ14" t="str">
        <v/>
      </c>
      <c r="IR14" t="str">
        <v/>
      </c>
      <c r="IS14" t="str">
        <v/>
      </c>
      <c r="IT14" t="str">
        <v/>
      </c>
      <c r="IU14" t="str">
        <v/>
      </c>
      <c r="IV14" t="str">
        <v/>
      </c>
      <c r="IW14" t="str">
        <v/>
      </c>
      <c r="IX14" t="str">
        <v/>
      </c>
      <c r="IY14" t="str">
        <v/>
      </c>
      <c r="IZ14" t="str">
        <v/>
      </c>
      <c r="JA14" t="str">
        <v/>
      </c>
      <c r="JB14" t="str">
        <v/>
      </c>
      <c r="JC14" t="str">
        <v/>
      </c>
      <c r="JD14" t="str">
        <v/>
      </c>
      <c r="JE14" t="str">
        <v/>
      </c>
      <c r="JF14" t="str">
        <v/>
      </c>
      <c r="JG14" t="str">
        <v/>
      </c>
      <c r="JH14" t="str">
        <v/>
      </c>
      <c r="JI14" t="str">
        <v/>
      </c>
      <c r="JJ14" t="str">
        <v/>
      </c>
      <c r="JK14" t="str">
        <v/>
      </c>
      <c r="JL14" t="str">
        <v/>
      </c>
      <c r="JM14" t="str">
        <v/>
      </c>
      <c r="JN14" t="str">
        <v/>
      </c>
      <c r="JO14" t="str">
        <v/>
      </c>
      <c r="JP14" t="str">
        <v/>
      </c>
      <c r="JQ14" t="str">
        <v/>
      </c>
      <c r="JR14" t="str">
        <v/>
      </c>
      <c r="JS14" t="str">
        <v/>
      </c>
      <c r="JT14" t="str">
        <v/>
      </c>
      <c r="JU14" t="str">
        <v/>
      </c>
      <c r="JV14" t="str">
        <v/>
      </c>
      <c r="JW14" t="str">
        <v/>
      </c>
      <c r="JX14" t="str">
        <v/>
      </c>
      <c r="JY14" t="str">
        <v/>
      </c>
      <c r="JZ14" t="str">
        <v/>
      </c>
      <c r="KA14" t="str">
        <v/>
      </c>
      <c r="KB14" t="str">
        <v/>
      </c>
      <c r="KC14" t="str">
        <v/>
      </c>
      <c r="KD14" t="str">
        <v/>
      </c>
      <c r="KE14" t="str">
        <v/>
      </c>
      <c r="KF14" t="str">
        <v/>
      </c>
      <c r="KG14" t="str">
        <v/>
      </c>
      <c r="KH14" t="str">
        <v/>
      </c>
      <c r="KI14" t="str">
        <v/>
      </c>
      <c r="KJ14" t="str">
        <v/>
      </c>
      <c r="KK14" t="str">
        <v/>
      </c>
      <c r="KL14" t="str">
        <v/>
      </c>
      <c r="KM14" t="str">
        <v/>
      </c>
      <c r="KN14" t="str">
        <v/>
      </c>
      <c r="KO14" t="str">
        <v/>
      </c>
      <c r="KP14" t="str">
        <v/>
      </c>
      <c r="KQ14" t="str">
        <v/>
      </c>
      <c r="KR14" t="str">
        <v/>
      </c>
      <c r="KS14" t="str">
        <v/>
      </c>
      <c r="KT14" t="str">
        <v/>
      </c>
      <c r="KU14" t="str">
        <v/>
      </c>
      <c r="KV14" t="str">
        <v/>
      </c>
      <c r="KW14" t="str">
        <v/>
      </c>
      <c r="KX14" t="str">
        <v/>
      </c>
      <c r="KY14" t="str">
        <v/>
      </c>
      <c r="KZ14" t="str">
        <v/>
      </c>
      <c r="LA14" t="str">
        <v/>
      </c>
      <c r="LB14" t="str">
        <v/>
      </c>
      <c r="LC14" t="str">
        <v/>
      </c>
      <c r="LD14" t="str">
        <v/>
      </c>
      <c r="LE14" t="str">
        <v/>
      </c>
      <c r="LF14" t="str">
        <v/>
      </c>
      <c r="LG14" t="str">
        <v/>
      </c>
      <c r="LH14" t="str">
        <v/>
      </c>
      <c r="LI14" t="str">
        <v/>
      </c>
      <c r="LJ14" t="str">
        <v/>
      </c>
      <c r="LK14" t="str">
        <v/>
      </c>
      <c r="LL14" t="str">
        <v/>
      </c>
      <c r="LM14" t="str">
        <v/>
      </c>
      <c r="LN14" t="str">
        <v/>
      </c>
      <c r="LO14" t="str">
        <v/>
      </c>
      <c r="LP14" t="str">
        <v/>
      </c>
      <c r="LQ14" t="str">
        <v/>
      </c>
      <c r="LR14" t="str">
        <v/>
      </c>
      <c r="LS14" t="str">
        <v/>
      </c>
      <c r="LT14" t="str">
        <v/>
      </c>
      <c r="LU14" t="str">
        <v/>
      </c>
      <c r="LV14" t="str">
        <v/>
      </c>
      <c r="LW14" t="str">
        <v/>
      </c>
      <c r="LX14" t="str">
        <v/>
      </c>
      <c r="LY14" t="str">
        <v/>
      </c>
      <c r="LZ14" t="str">
        <v/>
      </c>
      <c r="MA14" t="str">
        <v/>
      </c>
      <c r="MB14" t="str">
        <v/>
      </c>
      <c r="MC14" t="str">
        <v/>
      </c>
      <c r="MD14" t="str">
        <v/>
      </c>
      <c r="ME14" t="str">
        <v/>
      </c>
      <c r="MF14" t="str">
        <v/>
      </c>
      <c r="MG14" t="str">
        <v/>
      </c>
      <c r="MH14" t="str">
        <v/>
      </c>
      <c r="MI14" t="str">
        <v/>
      </c>
      <c r="MJ14" t="str">
        <v/>
      </c>
      <c r="MK14" t="str">
        <v/>
      </c>
      <c r="ML14" t="str">
        <v/>
      </c>
      <c r="MM14" t="str">
        <v/>
      </c>
      <c r="MN14" t="str">
        <v/>
      </c>
      <c r="MO14" t="str">
        <v/>
      </c>
      <c r="MP14" t="str">
        <v/>
      </c>
      <c r="MQ14" t="str">
        <v/>
      </c>
      <c r="MR14" t="str">
        <v/>
      </c>
      <c r="MS14" t="str">
        <v/>
      </c>
      <c r="MT14" t="str">
        <v/>
      </c>
      <c r="MU14" t="str">
        <v/>
      </c>
      <c r="MV14" t="str">
        <v/>
      </c>
      <c r="MW14" t="str">
        <v/>
      </c>
      <c r="MX14" t="str">
        <v/>
      </c>
      <c r="MY14" t="str">
        <v/>
      </c>
      <c r="MZ14" t="str">
        <v/>
      </c>
      <c r="NA14" t="str">
        <v/>
      </c>
      <c r="NB14" t="str">
        <v/>
      </c>
      <c r="NC14" t="str">
        <v/>
      </c>
      <c r="ND14" t="str">
        <v/>
      </c>
      <c r="NE14" t="str">
        <v/>
      </c>
      <c r="NF14" t="str">
        <v/>
      </c>
      <c r="NG14" t="str">
        <v/>
      </c>
      <c r="NH14" t="str">
        <v/>
      </c>
      <c r="NI14" t="str">
        <v/>
      </c>
      <c r="NJ14" t="str">
        <v/>
      </c>
      <c r="NK14" t="str">
        <v/>
      </c>
      <c r="NL14" t="str">
        <v/>
      </c>
      <c r="NM14" t="str">
        <v/>
      </c>
      <c r="NN14" t="str">
        <v/>
      </c>
      <c r="NO14" t="str">
        <v/>
      </c>
      <c r="NP14" t="str">
        <v/>
      </c>
      <c r="NQ14" t="str">
        <v/>
      </c>
      <c r="NR14" t="str">
        <v/>
      </c>
      <c r="NS14" t="str">
        <v/>
      </c>
      <c r="NT14" t="str">
        <v/>
      </c>
      <c r="NU14" t="str">
        <v/>
      </c>
      <c r="NV14" t="str">
        <v/>
      </c>
      <c r="NW14" t="str">
        <v/>
      </c>
      <c r="NX14" t="str">
        <v/>
      </c>
      <c r="NY14" t="str">
        <v/>
      </c>
      <c r="NZ14" t="str">
        <v/>
      </c>
      <c r="OA14" t="str">
        <v/>
      </c>
      <c r="OB14" t="str">
        <v/>
      </c>
      <c r="OC14" t="str">
        <v/>
      </c>
      <c r="OD14" t="str">
        <v/>
      </c>
      <c r="OE14" t="str">
        <v/>
      </c>
    </row>
    <row r="15" spans="1:395" outlineLevel="1" x14ac:dyDescent="0.3">
      <c r="A15" s="14"/>
      <c r="D15" s="19" t="s">
        <v>327</v>
      </c>
      <c r="E15" s="297">
        <v>6</v>
      </c>
      <c r="F15" s="259" t="s">
        <v>352</v>
      </c>
      <c r="G15" s="76"/>
      <c r="H15" s="76"/>
      <c r="I15" s="257"/>
      <c r="J15" s="258"/>
      <c r="K15" s="65"/>
      <c r="L15" s="55"/>
      <c r="M15" s="66"/>
      <c r="N15" t="s">
        <v>330</v>
      </c>
      <c r="O15" s="8">
        <f>P14+1</f>
        <v>46478</v>
      </c>
      <c r="P15" s="208">
        <f t="shared" si="0"/>
        <v>46691</v>
      </c>
      <c r="Q15" t="str" cm="1">
        <f t="array" ref="Q15:OE15">IF(((EOMONTH(O15,-1)+1)&lt;=_xlfn.ANCHORARRAY($Q$2))*(_xlfn.ANCHORARRAY($Q$2)&lt;P15)," ","")</f>
        <v/>
      </c>
      <c r="R15" t="str">
        <v/>
      </c>
      <c r="S15" t="str">
        <v/>
      </c>
      <c r="T15" t="str">
        <v/>
      </c>
      <c r="U15" t="str">
        <v/>
      </c>
      <c r="V15" t="str">
        <v/>
      </c>
      <c r="W15" t="str">
        <v/>
      </c>
      <c r="X15" t="str">
        <v/>
      </c>
      <c r="Y15" t="str">
        <v/>
      </c>
      <c r="Z15" t="str">
        <v/>
      </c>
      <c r="AA15" t="str">
        <v xml:space="preserve"> </v>
      </c>
      <c r="AB15" t="str">
        <v xml:space="preserve"> </v>
      </c>
      <c r="AC15" t="str">
        <v xml:space="preserve"> </v>
      </c>
      <c r="AD15" t="str">
        <v xml:space="preserve"> </v>
      </c>
      <c r="AE15" t="str">
        <v xml:space="preserve"> </v>
      </c>
      <c r="AF15" t="str">
        <v xml:space="preserve"> </v>
      </c>
      <c r="AG15" t="str">
        <v xml:space="preserve"> </v>
      </c>
      <c r="AH15" t="str">
        <v/>
      </c>
      <c r="AI15" t="str">
        <v/>
      </c>
      <c r="AJ15" t="str">
        <v/>
      </c>
      <c r="AK15" t="str">
        <v/>
      </c>
      <c r="AL15" t="str">
        <v/>
      </c>
      <c r="AM15" t="str">
        <v/>
      </c>
      <c r="AN15" t="str">
        <v/>
      </c>
      <c r="AO15" t="str">
        <v/>
      </c>
      <c r="AP15" t="str">
        <v/>
      </c>
      <c r="AQ15" t="str">
        <v/>
      </c>
      <c r="AR15" t="str">
        <v/>
      </c>
      <c r="AS15" t="str">
        <v/>
      </c>
      <c r="AT15" t="str">
        <v/>
      </c>
      <c r="AU15" t="str">
        <v/>
      </c>
      <c r="AV15" t="str">
        <v/>
      </c>
      <c r="AW15" t="str">
        <v/>
      </c>
      <c r="AX15" t="str">
        <v/>
      </c>
      <c r="AY15" t="str">
        <v/>
      </c>
      <c r="AZ15" t="str">
        <v/>
      </c>
      <c r="BA15" t="str">
        <v/>
      </c>
      <c r="BB15" t="str">
        <v/>
      </c>
      <c r="BC15" t="str">
        <v/>
      </c>
      <c r="BD15" t="str">
        <v/>
      </c>
      <c r="BE15" t="str">
        <v/>
      </c>
      <c r="BF15" t="str">
        <v/>
      </c>
      <c r="BG15" t="str">
        <v/>
      </c>
      <c r="BH15" t="str">
        <v/>
      </c>
      <c r="BI15" t="str">
        <v/>
      </c>
      <c r="BJ15" t="str">
        <v/>
      </c>
      <c r="BK15" t="str">
        <v/>
      </c>
      <c r="BL15" t="str">
        <v/>
      </c>
      <c r="BM15" t="str">
        <v/>
      </c>
      <c r="BN15" t="str">
        <v/>
      </c>
      <c r="BO15" t="str">
        <v/>
      </c>
      <c r="BP15" t="str">
        <v/>
      </c>
      <c r="BQ15" t="str">
        <v/>
      </c>
      <c r="BR15" t="str">
        <v/>
      </c>
      <c r="BS15" t="str">
        <v/>
      </c>
      <c r="BT15" t="str">
        <v/>
      </c>
      <c r="BU15" t="str">
        <v/>
      </c>
      <c r="BV15" t="str">
        <v/>
      </c>
      <c r="BW15" t="str">
        <v/>
      </c>
      <c r="BX15" t="str">
        <v/>
      </c>
      <c r="BY15" t="str">
        <v/>
      </c>
      <c r="BZ15" t="str">
        <v/>
      </c>
      <c r="CA15" t="str">
        <v/>
      </c>
      <c r="CB15" t="str">
        <v/>
      </c>
      <c r="CC15" t="str">
        <v/>
      </c>
      <c r="CD15" t="str">
        <v/>
      </c>
      <c r="CE15" t="str">
        <v/>
      </c>
      <c r="CF15" t="str">
        <v/>
      </c>
      <c r="CG15" t="str">
        <v/>
      </c>
      <c r="CH15" t="str">
        <v/>
      </c>
      <c r="CI15" t="str">
        <v/>
      </c>
      <c r="CJ15" t="str">
        <v/>
      </c>
      <c r="CK15" t="str">
        <v/>
      </c>
      <c r="CL15" t="str">
        <v/>
      </c>
      <c r="CM15" t="str">
        <v/>
      </c>
      <c r="CN15" t="str">
        <v/>
      </c>
      <c r="CO15" t="str">
        <v/>
      </c>
      <c r="CP15" t="str">
        <v/>
      </c>
      <c r="CQ15" t="str">
        <v/>
      </c>
      <c r="CR15" t="str">
        <v/>
      </c>
      <c r="CS15" t="str">
        <v/>
      </c>
      <c r="CT15" t="str">
        <v/>
      </c>
      <c r="CU15" t="str">
        <v/>
      </c>
      <c r="CV15" t="str">
        <v/>
      </c>
      <c r="CW15" t="str">
        <v/>
      </c>
      <c r="CX15" t="str">
        <v/>
      </c>
      <c r="CY15" t="str">
        <v/>
      </c>
      <c r="CZ15" t="str">
        <v/>
      </c>
      <c r="DA15" t="str">
        <v/>
      </c>
      <c r="DB15" t="str">
        <v/>
      </c>
      <c r="DC15" t="str">
        <v/>
      </c>
      <c r="DD15" t="str">
        <v/>
      </c>
      <c r="DE15" t="str">
        <v/>
      </c>
      <c r="DF15" t="str">
        <v/>
      </c>
      <c r="DG15" t="str">
        <v/>
      </c>
      <c r="DH15" t="str">
        <v/>
      </c>
      <c r="DI15" t="str">
        <v/>
      </c>
      <c r="DJ15" t="str">
        <v/>
      </c>
      <c r="DK15" t="str">
        <v/>
      </c>
      <c r="DL15" t="str">
        <v/>
      </c>
      <c r="DM15" t="str">
        <v/>
      </c>
      <c r="DN15" t="str">
        <v/>
      </c>
      <c r="DO15" t="str">
        <v/>
      </c>
      <c r="DP15" t="str">
        <v/>
      </c>
      <c r="DQ15" t="str">
        <v/>
      </c>
      <c r="DR15" t="str">
        <v/>
      </c>
      <c r="DS15" t="str">
        <v/>
      </c>
      <c r="DT15" t="str">
        <v/>
      </c>
      <c r="DU15" t="str">
        <v/>
      </c>
      <c r="DV15" t="str">
        <v/>
      </c>
      <c r="DW15" t="str">
        <v/>
      </c>
      <c r="DX15" t="str">
        <v/>
      </c>
      <c r="DY15" t="str">
        <v/>
      </c>
      <c r="DZ15" t="str">
        <v/>
      </c>
      <c r="EA15" t="str">
        <v/>
      </c>
      <c r="EB15" t="str">
        <v/>
      </c>
      <c r="EC15" t="str">
        <v/>
      </c>
      <c r="ED15" t="str">
        <v/>
      </c>
      <c r="EE15" t="str">
        <v/>
      </c>
      <c r="EF15" t="str">
        <v/>
      </c>
      <c r="EG15" t="str">
        <v/>
      </c>
      <c r="EH15" t="str">
        <v/>
      </c>
      <c r="EI15" t="str">
        <v/>
      </c>
      <c r="EJ15" t="str">
        <v/>
      </c>
      <c r="EK15" t="str">
        <v/>
      </c>
      <c r="EL15" t="str">
        <v/>
      </c>
      <c r="EM15" t="str">
        <v/>
      </c>
      <c r="EN15" t="str">
        <v/>
      </c>
      <c r="EO15" t="str">
        <v/>
      </c>
      <c r="EP15" t="str">
        <v/>
      </c>
      <c r="EQ15" t="str">
        <v/>
      </c>
      <c r="ER15" t="str">
        <v/>
      </c>
      <c r="ES15" t="str">
        <v/>
      </c>
      <c r="ET15" t="str">
        <v/>
      </c>
      <c r="EU15" t="str">
        <v/>
      </c>
      <c r="EV15" t="str">
        <v/>
      </c>
      <c r="EW15" t="str">
        <v/>
      </c>
      <c r="EX15" t="str">
        <v/>
      </c>
      <c r="EY15" t="str">
        <v/>
      </c>
      <c r="EZ15" t="str">
        <v/>
      </c>
      <c r="FA15" t="str">
        <v/>
      </c>
      <c r="FB15" t="str">
        <v/>
      </c>
      <c r="FC15" t="str">
        <v/>
      </c>
      <c r="FD15" t="str">
        <v/>
      </c>
      <c r="FE15" t="str">
        <v/>
      </c>
      <c r="FF15" t="str">
        <v/>
      </c>
      <c r="FG15" t="str">
        <v/>
      </c>
      <c r="FH15" t="str">
        <v/>
      </c>
      <c r="FI15" t="str">
        <v/>
      </c>
      <c r="FJ15" t="str">
        <v/>
      </c>
      <c r="FK15" t="str">
        <v/>
      </c>
      <c r="FL15" t="str">
        <v/>
      </c>
      <c r="FM15" t="str">
        <v/>
      </c>
      <c r="FN15" t="str">
        <v/>
      </c>
      <c r="FO15" t="str">
        <v/>
      </c>
      <c r="FP15" t="str">
        <v/>
      </c>
      <c r="FQ15" t="str">
        <v/>
      </c>
      <c r="FR15" t="str">
        <v/>
      </c>
      <c r="FS15" t="str">
        <v/>
      </c>
      <c r="FT15" t="str">
        <v/>
      </c>
      <c r="FU15" t="str">
        <v/>
      </c>
      <c r="FV15" t="str">
        <v/>
      </c>
      <c r="FW15" t="str">
        <v/>
      </c>
      <c r="FX15" t="str">
        <v/>
      </c>
      <c r="FY15" t="str">
        <v/>
      </c>
      <c r="FZ15" t="str">
        <v/>
      </c>
      <c r="GA15" t="str">
        <v/>
      </c>
      <c r="GB15" t="str">
        <v/>
      </c>
      <c r="GC15" t="str">
        <v/>
      </c>
      <c r="GD15" t="str">
        <v/>
      </c>
      <c r="GE15" t="str">
        <v/>
      </c>
      <c r="GF15" t="str">
        <v/>
      </c>
      <c r="GG15" t="str">
        <v/>
      </c>
      <c r="GH15" t="str">
        <v/>
      </c>
      <c r="GI15" t="str">
        <v/>
      </c>
      <c r="GJ15" t="str">
        <v/>
      </c>
      <c r="GK15" t="str">
        <v/>
      </c>
      <c r="GL15" t="str">
        <v/>
      </c>
      <c r="GM15" t="str">
        <v/>
      </c>
      <c r="GN15" t="str">
        <v/>
      </c>
      <c r="GO15" t="str">
        <v/>
      </c>
      <c r="GP15" t="str">
        <v/>
      </c>
      <c r="GQ15" t="str">
        <v/>
      </c>
      <c r="GR15" t="str">
        <v/>
      </c>
      <c r="GS15" t="str">
        <v/>
      </c>
      <c r="GT15" t="str">
        <v/>
      </c>
      <c r="GU15" t="str">
        <v/>
      </c>
      <c r="GV15" t="str">
        <v/>
      </c>
      <c r="GW15" t="str">
        <v/>
      </c>
      <c r="GX15" t="str">
        <v/>
      </c>
      <c r="GY15" t="str">
        <v/>
      </c>
      <c r="GZ15" t="str">
        <v/>
      </c>
      <c r="HA15" t="str">
        <v/>
      </c>
      <c r="HB15" t="str">
        <v/>
      </c>
      <c r="HC15" t="str">
        <v/>
      </c>
      <c r="HD15" t="str">
        <v/>
      </c>
      <c r="HE15" t="str">
        <v/>
      </c>
      <c r="HF15" t="str">
        <v/>
      </c>
      <c r="HG15" t="str">
        <v/>
      </c>
      <c r="HH15" t="str">
        <v/>
      </c>
      <c r="HI15" t="str">
        <v/>
      </c>
      <c r="HJ15" t="str">
        <v/>
      </c>
      <c r="HK15" t="str">
        <v/>
      </c>
      <c r="HL15" t="str">
        <v/>
      </c>
      <c r="HM15" t="str">
        <v/>
      </c>
      <c r="HN15" t="str">
        <v/>
      </c>
      <c r="HO15" t="str">
        <v/>
      </c>
      <c r="HP15" t="str">
        <v/>
      </c>
      <c r="HQ15" t="str">
        <v/>
      </c>
      <c r="HR15" t="str">
        <v/>
      </c>
      <c r="HS15" t="str">
        <v/>
      </c>
      <c r="HT15" t="str">
        <v/>
      </c>
      <c r="HU15" t="str">
        <v/>
      </c>
      <c r="HV15" t="str">
        <v/>
      </c>
      <c r="HW15" t="str">
        <v/>
      </c>
      <c r="HX15" t="str">
        <v/>
      </c>
      <c r="HY15" t="str">
        <v/>
      </c>
      <c r="HZ15" t="str">
        <v/>
      </c>
      <c r="IA15" t="str">
        <v/>
      </c>
      <c r="IB15" t="str">
        <v/>
      </c>
      <c r="IC15" t="str">
        <v/>
      </c>
      <c r="ID15" t="str">
        <v/>
      </c>
      <c r="IE15" t="str">
        <v/>
      </c>
      <c r="IF15" t="str">
        <v/>
      </c>
      <c r="IG15" t="str">
        <v/>
      </c>
      <c r="IH15" t="str">
        <v/>
      </c>
      <c r="II15" t="str">
        <v/>
      </c>
      <c r="IJ15" t="str">
        <v/>
      </c>
      <c r="IK15" t="str">
        <v/>
      </c>
      <c r="IL15" t="str">
        <v/>
      </c>
      <c r="IM15" t="str">
        <v/>
      </c>
      <c r="IN15" t="str">
        <v/>
      </c>
      <c r="IO15" t="str">
        <v/>
      </c>
      <c r="IP15" t="str">
        <v/>
      </c>
      <c r="IQ15" t="str">
        <v/>
      </c>
      <c r="IR15" t="str">
        <v/>
      </c>
      <c r="IS15" t="str">
        <v/>
      </c>
      <c r="IT15" t="str">
        <v/>
      </c>
      <c r="IU15" t="str">
        <v/>
      </c>
      <c r="IV15" t="str">
        <v/>
      </c>
      <c r="IW15" t="str">
        <v/>
      </c>
      <c r="IX15" t="str">
        <v/>
      </c>
      <c r="IY15" t="str">
        <v/>
      </c>
      <c r="IZ15" t="str">
        <v/>
      </c>
      <c r="JA15" t="str">
        <v/>
      </c>
      <c r="JB15" t="str">
        <v/>
      </c>
      <c r="JC15" t="str">
        <v/>
      </c>
      <c r="JD15" t="str">
        <v/>
      </c>
      <c r="JE15" t="str">
        <v/>
      </c>
      <c r="JF15" t="str">
        <v/>
      </c>
      <c r="JG15" t="str">
        <v/>
      </c>
      <c r="JH15" t="str">
        <v/>
      </c>
      <c r="JI15" t="str">
        <v/>
      </c>
      <c r="JJ15" t="str">
        <v/>
      </c>
      <c r="JK15" t="str">
        <v/>
      </c>
      <c r="JL15" t="str">
        <v/>
      </c>
      <c r="JM15" t="str">
        <v/>
      </c>
      <c r="JN15" t="str">
        <v/>
      </c>
      <c r="JO15" t="str">
        <v/>
      </c>
      <c r="JP15" t="str">
        <v/>
      </c>
      <c r="JQ15" t="str">
        <v/>
      </c>
      <c r="JR15" t="str">
        <v/>
      </c>
      <c r="JS15" t="str">
        <v/>
      </c>
      <c r="JT15" t="str">
        <v/>
      </c>
      <c r="JU15" t="str">
        <v/>
      </c>
      <c r="JV15" t="str">
        <v/>
      </c>
      <c r="JW15" t="str">
        <v/>
      </c>
      <c r="JX15" t="str">
        <v/>
      </c>
      <c r="JY15" t="str">
        <v/>
      </c>
      <c r="JZ15" t="str">
        <v/>
      </c>
      <c r="KA15" t="str">
        <v/>
      </c>
      <c r="KB15" t="str">
        <v/>
      </c>
      <c r="KC15" t="str">
        <v/>
      </c>
      <c r="KD15" t="str">
        <v/>
      </c>
      <c r="KE15" t="str">
        <v/>
      </c>
      <c r="KF15" t="str">
        <v/>
      </c>
      <c r="KG15" t="str">
        <v/>
      </c>
      <c r="KH15" t="str">
        <v/>
      </c>
      <c r="KI15" t="str">
        <v/>
      </c>
      <c r="KJ15" t="str">
        <v/>
      </c>
      <c r="KK15" t="str">
        <v/>
      </c>
      <c r="KL15" t="str">
        <v/>
      </c>
      <c r="KM15" t="str">
        <v/>
      </c>
      <c r="KN15" t="str">
        <v/>
      </c>
      <c r="KO15" t="str">
        <v/>
      </c>
      <c r="KP15" t="str">
        <v/>
      </c>
      <c r="KQ15" t="str">
        <v/>
      </c>
      <c r="KR15" t="str">
        <v/>
      </c>
      <c r="KS15" t="str">
        <v/>
      </c>
      <c r="KT15" t="str">
        <v/>
      </c>
      <c r="KU15" t="str">
        <v/>
      </c>
      <c r="KV15" t="str">
        <v/>
      </c>
      <c r="KW15" t="str">
        <v/>
      </c>
      <c r="KX15" t="str">
        <v/>
      </c>
      <c r="KY15" t="str">
        <v/>
      </c>
      <c r="KZ15" t="str">
        <v/>
      </c>
      <c r="LA15" t="str">
        <v/>
      </c>
      <c r="LB15" t="str">
        <v/>
      </c>
      <c r="LC15" t="str">
        <v/>
      </c>
      <c r="LD15" t="str">
        <v/>
      </c>
      <c r="LE15" t="str">
        <v/>
      </c>
      <c r="LF15" t="str">
        <v/>
      </c>
      <c r="LG15" t="str">
        <v/>
      </c>
      <c r="LH15" t="str">
        <v/>
      </c>
      <c r="LI15" t="str">
        <v/>
      </c>
      <c r="LJ15" t="str">
        <v/>
      </c>
      <c r="LK15" t="str">
        <v/>
      </c>
      <c r="LL15" t="str">
        <v/>
      </c>
      <c r="LM15" t="str">
        <v/>
      </c>
      <c r="LN15" t="str">
        <v/>
      </c>
      <c r="LO15" t="str">
        <v/>
      </c>
      <c r="LP15" t="str">
        <v/>
      </c>
      <c r="LQ15" t="str">
        <v/>
      </c>
      <c r="LR15" t="str">
        <v/>
      </c>
      <c r="LS15" t="str">
        <v/>
      </c>
      <c r="LT15" t="str">
        <v/>
      </c>
      <c r="LU15" t="str">
        <v/>
      </c>
      <c r="LV15" t="str">
        <v/>
      </c>
      <c r="LW15" t="str">
        <v/>
      </c>
      <c r="LX15" t="str">
        <v/>
      </c>
      <c r="LY15" t="str">
        <v/>
      </c>
      <c r="LZ15" t="str">
        <v/>
      </c>
      <c r="MA15" t="str">
        <v/>
      </c>
      <c r="MB15" t="str">
        <v/>
      </c>
      <c r="MC15" t="str">
        <v/>
      </c>
      <c r="MD15" t="str">
        <v/>
      </c>
      <c r="ME15" t="str">
        <v/>
      </c>
      <c r="MF15" t="str">
        <v/>
      </c>
      <c r="MG15" t="str">
        <v/>
      </c>
      <c r="MH15" t="str">
        <v/>
      </c>
      <c r="MI15" t="str">
        <v/>
      </c>
      <c r="MJ15" t="str">
        <v/>
      </c>
      <c r="MK15" t="str">
        <v/>
      </c>
      <c r="ML15" t="str">
        <v/>
      </c>
      <c r="MM15" t="str">
        <v/>
      </c>
      <c r="MN15" t="str">
        <v/>
      </c>
      <c r="MO15" t="str">
        <v/>
      </c>
      <c r="MP15" t="str">
        <v/>
      </c>
      <c r="MQ15" t="str">
        <v/>
      </c>
      <c r="MR15" t="str">
        <v/>
      </c>
      <c r="MS15" t="str">
        <v/>
      </c>
      <c r="MT15" t="str">
        <v/>
      </c>
      <c r="MU15" t="str">
        <v/>
      </c>
      <c r="MV15" t="str">
        <v/>
      </c>
      <c r="MW15" t="str">
        <v/>
      </c>
      <c r="MX15" t="str">
        <v/>
      </c>
      <c r="MY15" t="str">
        <v/>
      </c>
      <c r="MZ15" t="str">
        <v/>
      </c>
      <c r="NA15" t="str">
        <v/>
      </c>
      <c r="NB15" t="str">
        <v/>
      </c>
      <c r="NC15" t="str">
        <v/>
      </c>
      <c r="ND15" t="str">
        <v/>
      </c>
      <c r="NE15" t="str">
        <v/>
      </c>
      <c r="NF15" t="str">
        <v/>
      </c>
      <c r="NG15" t="str">
        <v/>
      </c>
      <c r="NH15" t="str">
        <v/>
      </c>
      <c r="NI15" t="str">
        <v/>
      </c>
      <c r="NJ15" t="str">
        <v/>
      </c>
      <c r="NK15" t="str">
        <v/>
      </c>
      <c r="NL15" t="str">
        <v/>
      </c>
      <c r="NM15" t="str">
        <v/>
      </c>
      <c r="NN15" t="str">
        <v/>
      </c>
      <c r="NO15" t="str">
        <v/>
      </c>
      <c r="NP15" t="str">
        <v/>
      </c>
      <c r="NQ15" t="str">
        <v/>
      </c>
      <c r="NR15" t="str">
        <v/>
      </c>
      <c r="NS15" t="str">
        <v/>
      </c>
      <c r="NT15" t="str">
        <v/>
      </c>
      <c r="NU15" t="str">
        <v/>
      </c>
      <c r="NV15" t="str">
        <v/>
      </c>
      <c r="NW15" t="str">
        <v/>
      </c>
      <c r="NX15" t="str">
        <v/>
      </c>
      <c r="NY15" t="str">
        <v/>
      </c>
      <c r="NZ15" t="str">
        <v/>
      </c>
      <c r="OA15" t="str">
        <v/>
      </c>
      <c r="OB15" t="str">
        <v/>
      </c>
      <c r="OC15" t="str">
        <v/>
      </c>
      <c r="OD15" t="str">
        <v/>
      </c>
      <c r="OE15" t="str">
        <v/>
      </c>
    </row>
    <row r="16" spans="1:395" outlineLevel="1" x14ac:dyDescent="0.3">
      <c r="A16" s="14"/>
      <c r="D16" s="19" t="s">
        <v>328</v>
      </c>
      <c r="E16" s="297">
        <v>3</v>
      </c>
      <c r="F16" s="259" t="s">
        <v>352</v>
      </c>
      <c r="G16" s="76"/>
      <c r="H16" s="76"/>
      <c r="I16" s="257"/>
      <c r="J16" s="258"/>
      <c r="K16" s="65"/>
      <c r="L16" s="55"/>
      <c r="M16" s="66"/>
      <c r="N16" t="s">
        <v>329</v>
      </c>
      <c r="O16" s="8">
        <f>P15+1</f>
        <v>46692</v>
      </c>
      <c r="P16" s="208">
        <f t="shared" si="0"/>
        <v>46812</v>
      </c>
      <c r="Q16" t="str" cm="1">
        <f t="array" ref="Q16:OE16">IF(((EOMONTH(O16,-1)+1)&lt;=_xlfn.ANCHORARRAY($Q$2))*(_xlfn.ANCHORARRAY($Q$2)&lt;P16)," ","")</f>
        <v/>
      </c>
      <c r="R16" t="str">
        <v/>
      </c>
      <c r="S16" t="str">
        <v/>
      </c>
      <c r="T16" t="str">
        <v/>
      </c>
      <c r="U16" t="str">
        <v/>
      </c>
      <c r="V16" t="str">
        <v/>
      </c>
      <c r="W16" t="str">
        <v/>
      </c>
      <c r="X16" t="str">
        <v/>
      </c>
      <c r="Y16" t="str">
        <v/>
      </c>
      <c r="Z16" t="str">
        <v/>
      </c>
      <c r="AA16" t="str">
        <v/>
      </c>
      <c r="AB16" t="str">
        <v/>
      </c>
      <c r="AC16" t="str">
        <v/>
      </c>
      <c r="AD16" t="str">
        <v/>
      </c>
      <c r="AE16" t="str">
        <v/>
      </c>
      <c r="AF16" t="str">
        <v/>
      </c>
      <c r="AG16" t="str">
        <v/>
      </c>
      <c r="AH16" t="str">
        <v xml:space="preserve"> </v>
      </c>
      <c r="AI16" t="str">
        <v xml:space="preserve"> </v>
      </c>
      <c r="AJ16" t="str">
        <v xml:space="preserve"> </v>
      </c>
      <c r="AK16" t="str">
        <v xml:space="preserve"> </v>
      </c>
      <c r="AL16" t="str">
        <v/>
      </c>
      <c r="AM16" t="str">
        <v/>
      </c>
      <c r="AN16" t="str">
        <v/>
      </c>
      <c r="AO16" t="str">
        <v/>
      </c>
      <c r="AP16" t="str">
        <v/>
      </c>
      <c r="AQ16" t="str">
        <v/>
      </c>
      <c r="AR16" t="str">
        <v/>
      </c>
      <c r="AS16" t="str">
        <v/>
      </c>
      <c r="AT16" t="str">
        <v/>
      </c>
      <c r="AU16" t="str">
        <v/>
      </c>
      <c r="AV16" t="str">
        <v/>
      </c>
      <c r="AW16" t="str">
        <v/>
      </c>
      <c r="AX16" t="str">
        <v/>
      </c>
      <c r="AY16" t="str">
        <v/>
      </c>
      <c r="AZ16" t="str">
        <v/>
      </c>
      <c r="BA16" t="str">
        <v/>
      </c>
      <c r="BB16" t="str">
        <v/>
      </c>
      <c r="BC16" t="str">
        <v/>
      </c>
      <c r="BD16" t="str">
        <v/>
      </c>
      <c r="BE16" t="str">
        <v/>
      </c>
      <c r="BF16" t="str">
        <v/>
      </c>
      <c r="BG16" t="str">
        <v/>
      </c>
      <c r="BH16" t="str">
        <v/>
      </c>
      <c r="BI16" t="str">
        <v/>
      </c>
      <c r="BJ16" t="str">
        <v/>
      </c>
      <c r="BK16" t="str">
        <v/>
      </c>
      <c r="BL16" t="str">
        <v/>
      </c>
      <c r="BM16" t="str">
        <v/>
      </c>
      <c r="BN16" t="str">
        <v/>
      </c>
      <c r="BO16" t="str">
        <v/>
      </c>
      <c r="BP16" t="str">
        <v/>
      </c>
      <c r="BQ16" t="str">
        <v/>
      </c>
      <c r="BR16" t="str">
        <v/>
      </c>
      <c r="BS16" t="str">
        <v/>
      </c>
      <c r="BT16" t="str">
        <v/>
      </c>
      <c r="BU16" t="str">
        <v/>
      </c>
      <c r="BV16" t="str">
        <v/>
      </c>
      <c r="BW16" t="str">
        <v/>
      </c>
      <c r="BX16" t="str">
        <v/>
      </c>
      <c r="BY16" t="str">
        <v/>
      </c>
      <c r="BZ16" t="str">
        <v/>
      </c>
      <c r="CA16" t="str">
        <v/>
      </c>
      <c r="CB16" t="str">
        <v/>
      </c>
      <c r="CC16" t="str">
        <v/>
      </c>
      <c r="CD16" t="str">
        <v/>
      </c>
      <c r="CE16" t="str">
        <v/>
      </c>
      <c r="CF16" t="str">
        <v/>
      </c>
      <c r="CG16" t="str">
        <v/>
      </c>
      <c r="CH16" t="str">
        <v/>
      </c>
      <c r="CI16" t="str">
        <v/>
      </c>
      <c r="CJ16" t="str">
        <v/>
      </c>
      <c r="CK16" t="str">
        <v/>
      </c>
      <c r="CL16" t="str">
        <v/>
      </c>
      <c r="CM16" t="str">
        <v/>
      </c>
      <c r="CN16" t="str">
        <v/>
      </c>
      <c r="CO16" t="str">
        <v/>
      </c>
      <c r="CP16" t="str">
        <v/>
      </c>
      <c r="CQ16" t="str">
        <v/>
      </c>
      <c r="CR16" t="str">
        <v/>
      </c>
      <c r="CS16" t="str">
        <v/>
      </c>
      <c r="CT16" t="str">
        <v/>
      </c>
      <c r="CU16" t="str">
        <v/>
      </c>
      <c r="CV16" t="str">
        <v/>
      </c>
      <c r="CW16" t="str">
        <v/>
      </c>
      <c r="CX16" t="str">
        <v/>
      </c>
      <c r="CY16" t="str">
        <v/>
      </c>
      <c r="CZ16" t="str">
        <v/>
      </c>
      <c r="DA16" t="str">
        <v/>
      </c>
      <c r="DB16" t="str">
        <v/>
      </c>
      <c r="DC16" t="str">
        <v/>
      </c>
      <c r="DD16" t="str">
        <v/>
      </c>
      <c r="DE16" t="str">
        <v/>
      </c>
      <c r="DF16" t="str">
        <v/>
      </c>
      <c r="DG16" t="str">
        <v/>
      </c>
      <c r="DH16" t="str">
        <v/>
      </c>
      <c r="DI16" t="str">
        <v/>
      </c>
      <c r="DJ16" t="str">
        <v/>
      </c>
      <c r="DK16" t="str">
        <v/>
      </c>
      <c r="DL16" t="str">
        <v/>
      </c>
      <c r="DM16" t="str">
        <v/>
      </c>
      <c r="DN16" t="str">
        <v/>
      </c>
      <c r="DO16" t="str">
        <v/>
      </c>
      <c r="DP16" t="str">
        <v/>
      </c>
      <c r="DQ16" t="str">
        <v/>
      </c>
      <c r="DR16" t="str">
        <v/>
      </c>
      <c r="DS16" t="str">
        <v/>
      </c>
      <c r="DT16" t="str">
        <v/>
      </c>
      <c r="DU16" t="str">
        <v/>
      </c>
      <c r="DV16" t="str">
        <v/>
      </c>
      <c r="DW16" t="str">
        <v/>
      </c>
      <c r="DX16" t="str">
        <v/>
      </c>
      <c r="DY16" t="str">
        <v/>
      </c>
      <c r="DZ16" t="str">
        <v/>
      </c>
      <c r="EA16" t="str">
        <v/>
      </c>
      <c r="EB16" t="str">
        <v/>
      </c>
      <c r="EC16" t="str">
        <v/>
      </c>
      <c r="ED16" t="str">
        <v/>
      </c>
      <c r="EE16" t="str">
        <v/>
      </c>
      <c r="EF16" t="str">
        <v/>
      </c>
      <c r="EG16" t="str">
        <v/>
      </c>
      <c r="EH16" t="str">
        <v/>
      </c>
      <c r="EI16" t="str">
        <v/>
      </c>
      <c r="EJ16" t="str">
        <v/>
      </c>
      <c r="EK16" t="str">
        <v/>
      </c>
      <c r="EL16" t="str">
        <v/>
      </c>
      <c r="EM16" t="str">
        <v/>
      </c>
      <c r="EN16" t="str">
        <v/>
      </c>
      <c r="EO16" t="str">
        <v/>
      </c>
      <c r="EP16" t="str">
        <v/>
      </c>
      <c r="EQ16" t="str">
        <v/>
      </c>
      <c r="ER16" t="str">
        <v/>
      </c>
      <c r="ES16" t="str">
        <v/>
      </c>
      <c r="ET16" t="str">
        <v/>
      </c>
      <c r="EU16" t="str">
        <v/>
      </c>
      <c r="EV16" t="str">
        <v/>
      </c>
      <c r="EW16" t="str">
        <v/>
      </c>
      <c r="EX16" t="str">
        <v/>
      </c>
      <c r="EY16" t="str">
        <v/>
      </c>
      <c r="EZ16" t="str">
        <v/>
      </c>
      <c r="FA16" t="str">
        <v/>
      </c>
      <c r="FB16" t="str">
        <v/>
      </c>
      <c r="FC16" t="str">
        <v/>
      </c>
      <c r="FD16" t="str">
        <v/>
      </c>
      <c r="FE16" t="str">
        <v/>
      </c>
      <c r="FF16" t="str">
        <v/>
      </c>
      <c r="FG16" t="str">
        <v/>
      </c>
      <c r="FH16" t="str">
        <v/>
      </c>
      <c r="FI16" t="str">
        <v/>
      </c>
      <c r="FJ16" t="str">
        <v/>
      </c>
      <c r="FK16" t="str">
        <v/>
      </c>
      <c r="FL16" t="str">
        <v/>
      </c>
      <c r="FM16" t="str">
        <v/>
      </c>
      <c r="FN16" t="str">
        <v/>
      </c>
      <c r="FO16" t="str">
        <v/>
      </c>
      <c r="FP16" t="str">
        <v/>
      </c>
      <c r="FQ16" t="str">
        <v/>
      </c>
      <c r="FR16" t="str">
        <v/>
      </c>
      <c r="FS16" t="str">
        <v/>
      </c>
      <c r="FT16" t="str">
        <v/>
      </c>
      <c r="FU16" t="str">
        <v/>
      </c>
      <c r="FV16" t="str">
        <v/>
      </c>
      <c r="FW16" t="str">
        <v/>
      </c>
      <c r="FX16" t="str">
        <v/>
      </c>
      <c r="FY16" t="str">
        <v/>
      </c>
      <c r="FZ16" t="str">
        <v/>
      </c>
      <c r="GA16" t="str">
        <v/>
      </c>
      <c r="GB16" t="str">
        <v/>
      </c>
      <c r="GC16" t="str">
        <v/>
      </c>
      <c r="GD16" t="str">
        <v/>
      </c>
      <c r="GE16" t="str">
        <v/>
      </c>
      <c r="GF16" t="str">
        <v/>
      </c>
      <c r="GG16" t="str">
        <v/>
      </c>
      <c r="GH16" t="str">
        <v/>
      </c>
      <c r="GI16" t="str">
        <v/>
      </c>
      <c r="GJ16" t="str">
        <v/>
      </c>
      <c r="GK16" t="str">
        <v/>
      </c>
      <c r="GL16" t="str">
        <v/>
      </c>
      <c r="GM16" t="str">
        <v/>
      </c>
      <c r="GN16" t="str">
        <v/>
      </c>
      <c r="GO16" t="str">
        <v/>
      </c>
      <c r="GP16" t="str">
        <v/>
      </c>
      <c r="GQ16" t="str">
        <v/>
      </c>
      <c r="GR16" t="str">
        <v/>
      </c>
      <c r="GS16" t="str">
        <v/>
      </c>
      <c r="GT16" t="str">
        <v/>
      </c>
      <c r="GU16" t="str">
        <v/>
      </c>
      <c r="GV16" t="str">
        <v/>
      </c>
      <c r="GW16" t="str">
        <v/>
      </c>
      <c r="GX16" t="str">
        <v/>
      </c>
      <c r="GY16" t="str">
        <v/>
      </c>
      <c r="GZ16" t="str">
        <v/>
      </c>
      <c r="HA16" t="str">
        <v/>
      </c>
      <c r="HB16" t="str">
        <v/>
      </c>
      <c r="HC16" t="str">
        <v/>
      </c>
      <c r="HD16" t="str">
        <v/>
      </c>
      <c r="HE16" t="str">
        <v/>
      </c>
      <c r="HF16" t="str">
        <v/>
      </c>
      <c r="HG16" t="str">
        <v/>
      </c>
      <c r="HH16" t="str">
        <v/>
      </c>
      <c r="HI16" t="str">
        <v/>
      </c>
      <c r="HJ16" t="str">
        <v/>
      </c>
      <c r="HK16" t="str">
        <v/>
      </c>
      <c r="HL16" t="str">
        <v/>
      </c>
      <c r="HM16" t="str">
        <v/>
      </c>
      <c r="HN16" t="str">
        <v/>
      </c>
      <c r="HO16" t="str">
        <v/>
      </c>
      <c r="HP16" t="str">
        <v/>
      </c>
      <c r="HQ16" t="str">
        <v/>
      </c>
      <c r="HR16" t="str">
        <v/>
      </c>
      <c r="HS16" t="str">
        <v/>
      </c>
      <c r="HT16" t="str">
        <v/>
      </c>
      <c r="HU16" t="str">
        <v/>
      </c>
      <c r="HV16" t="str">
        <v/>
      </c>
      <c r="HW16" t="str">
        <v/>
      </c>
      <c r="HX16" t="str">
        <v/>
      </c>
      <c r="HY16" t="str">
        <v/>
      </c>
      <c r="HZ16" t="str">
        <v/>
      </c>
      <c r="IA16" t="str">
        <v/>
      </c>
      <c r="IB16" t="str">
        <v/>
      </c>
      <c r="IC16" t="str">
        <v/>
      </c>
      <c r="ID16" t="str">
        <v/>
      </c>
      <c r="IE16" t="str">
        <v/>
      </c>
      <c r="IF16" t="str">
        <v/>
      </c>
      <c r="IG16" t="str">
        <v/>
      </c>
      <c r="IH16" t="str">
        <v/>
      </c>
      <c r="II16" t="str">
        <v/>
      </c>
      <c r="IJ16" t="str">
        <v/>
      </c>
      <c r="IK16" t="str">
        <v/>
      </c>
      <c r="IL16" t="str">
        <v/>
      </c>
      <c r="IM16" t="str">
        <v/>
      </c>
      <c r="IN16" t="str">
        <v/>
      </c>
      <c r="IO16" t="str">
        <v/>
      </c>
      <c r="IP16" t="str">
        <v/>
      </c>
      <c r="IQ16" t="str">
        <v/>
      </c>
      <c r="IR16" t="str">
        <v/>
      </c>
      <c r="IS16" t="str">
        <v/>
      </c>
      <c r="IT16" t="str">
        <v/>
      </c>
      <c r="IU16" t="str">
        <v/>
      </c>
      <c r="IV16" t="str">
        <v/>
      </c>
      <c r="IW16" t="str">
        <v/>
      </c>
      <c r="IX16" t="str">
        <v/>
      </c>
      <c r="IY16" t="str">
        <v/>
      </c>
      <c r="IZ16" t="str">
        <v/>
      </c>
      <c r="JA16" t="str">
        <v/>
      </c>
      <c r="JB16" t="str">
        <v/>
      </c>
      <c r="JC16" t="str">
        <v/>
      </c>
      <c r="JD16" t="str">
        <v/>
      </c>
      <c r="JE16" t="str">
        <v/>
      </c>
      <c r="JF16" t="str">
        <v/>
      </c>
      <c r="JG16" t="str">
        <v/>
      </c>
      <c r="JH16" t="str">
        <v/>
      </c>
      <c r="JI16" t="str">
        <v/>
      </c>
      <c r="JJ16" t="str">
        <v/>
      </c>
      <c r="JK16" t="str">
        <v/>
      </c>
      <c r="JL16" t="str">
        <v/>
      </c>
      <c r="JM16" t="str">
        <v/>
      </c>
      <c r="JN16" t="str">
        <v/>
      </c>
      <c r="JO16" t="str">
        <v/>
      </c>
      <c r="JP16" t="str">
        <v/>
      </c>
      <c r="JQ16" t="str">
        <v/>
      </c>
      <c r="JR16" t="str">
        <v/>
      </c>
      <c r="JS16" t="str">
        <v/>
      </c>
      <c r="JT16" t="str">
        <v/>
      </c>
      <c r="JU16" t="str">
        <v/>
      </c>
      <c r="JV16" t="str">
        <v/>
      </c>
      <c r="JW16" t="str">
        <v/>
      </c>
      <c r="JX16" t="str">
        <v/>
      </c>
      <c r="JY16" t="str">
        <v/>
      </c>
      <c r="JZ16" t="str">
        <v/>
      </c>
      <c r="KA16" t="str">
        <v/>
      </c>
      <c r="KB16" t="str">
        <v/>
      </c>
      <c r="KC16" t="str">
        <v/>
      </c>
      <c r="KD16" t="str">
        <v/>
      </c>
      <c r="KE16" t="str">
        <v/>
      </c>
      <c r="KF16" t="str">
        <v/>
      </c>
      <c r="KG16" t="str">
        <v/>
      </c>
      <c r="KH16" t="str">
        <v/>
      </c>
      <c r="KI16" t="str">
        <v/>
      </c>
      <c r="KJ16" t="str">
        <v/>
      </c>
      <c r="KK16" t="str">
        <v/>
      </c>
      <c r="KL16" t="str">
        <v/>
      </c>
      <c r="KM16" t="str">
        <v/>
      </c>
      <c r="KN16" t="str">
        <v/>
      </c>
      <c r="KO16" t="str">
        <v/>
      </c>
      <c r="KP16" t="str">
        <v/>
      </c>
      <c r="KQ16" t="str">
        <v/>
      </c>
      <c r="KR16" t="str">
        <v/>
      </c>
      <c r="KS16" t="str">
        <v/>
      </c>
      <c r="KT16" t="str">
        <v/>
      </c>
      <c r="KU16" t="str">
        <v/>
      </c>
      <c r="KV16" t="str">
        <v/>
      </c>
      <c r="KW16" t="str">
        <v/>
      </c>
      <c r="KX16" t="str">
        <v/>
      </c>
      <c r="KY16" t="str">
        <v/>
      </c>
      <c r="KZ16" t="str">
        <v/>
      </c>
      <c r="LA16" t="str">
        <v/>
      </c>
      <c r="LB16" t="str">
        <v/>
      </c>
      <c r="LC16" t="str">
        <v/>
      </c>
      <c r="LD16" t="str">
        <v/>
      </c>
      <c r="LE16" t="str">
        <v/>
      </c>
      <c r="LF16" t="str">
        <v/>
      </c>
      <c r="LG16" t="str">
        <v/>
      </c>
      <c r="LH16" t="str">
        <v/>
      </c>
      <c r="LI16" t="str">
        <v/>
      </c>
      <c r="LJ16" t="str">
        <v/>
      </c>
      <c r="LK16" t="str">
        <v/>
      </c>
      <c r="LL16" t="str">
        <v/>
      </c>
      <c r="LM16" t="str">
        <v/>
      </c>
      <c r="LN16" t="str">
        <v/>
      </c>
      <c r="LO16" t="str">
        <v/>
      </c>
      <c r="LP16" t="str">
        <v/>
      </c>
      <c r="LQ16" t="str">
        <v/>
      </c>
      <c r="LR16" t="str">
        <v/>
      </c>
      <c r="LS16" t="str">
        <v/>
      </c>
      <c r="LT16" t="str">
        <v/>
      </c>
      <c r="LU16" t="str">
        <v/>
      </c>
      <c r="LV16" t="str">
        <v/>
      </c>
      <c r="LW16" t="str">
        <v/>
      </c>
      <c r="LX16" t="str">
        <v/>
      </c>
      <c r="LY16" t="str">
        <v/>
      </c>
      <c r="LZ16" t="str">
        <v/>
      </c>
      <c r="MA16" t="str">
        <v/>
      </c>
      <c r="MB16" t="str">
        <v/>
      </c>
      <c r="MC16" t="str">
        <v/>
      </c>
      <c r="MD16" t="str">
        <v/>
      </c>
      <c r="ME16" t="str">
        <v/>
      </c>
      <c r="MF16" t="str">
        <v/>
      </c>
      <c r="MG16" t="str">
        <v/>
      </c>
      <c r="MH16" t="str">
        <v/>
      </c>
      <c r="MI16" t="str">
        <v/>
      </c>
      <c r="MJ16" t="str">
        <v/>
      </c>
      <c r="MK16" t="str">
        <v/>
      </c>
      <c r="ML16" t="str">
        <v/>
      </c>
      <c r="MM16" t="str">
        <v/>
      </c>
      <c r="MN16" t="str">
        <v/>
      </c>
      <c r="MO16" t="str">
        <v/>
      </c>
      <c r="MP16" t="str">
        <v/>
      </c>
      <c r="MQ16" t="str">
        <v/>
      </c>
      <c r="MR16" t="str">
        <v/>
      </c>
      <c r="MS16" t="str">
        <v/>
      </c>
      <c r="MT16" t="str">
        <v/>
      </c>
      <c r="MU16" t="str">
        <v/>
      </c>
      <c r="MV16" t="str">
        <v/>
      </c>
      <c r="MW16" t="str">
        <v/>
      </c>
      <c r="MX16" t="str">
        <v/>
      </c>
      <c r="MY16" t="str">
        <v/>
      </c>
      <c r="MZ16" t="str">
        <v/>
      </c>
      <c r="NA16" t="str">
        <v/>
      </c>
      <c r="NB16" t="str">
        <v/>
      </c>
      <c r="NC16" t="str">
        <v/>
      </c>
      <c r="ND16" t="str">
        <v/>
      </c>
      <c r="NE16" t="str">
        <v/>
      </c>
      <c r="NF16" t="str">
        <v/>
      </c>
      <c r="NG16" t="str">
        <v/>
      </c>
      <c r="NH16" t="str">
        <v/>
      </c>
      <c r="NI16" t="str">
        <v/>
      </c>
      <c r="NJ16" t="str">
        <v/>
      </c>
      <c r="NK16" t="str">
        <v/>
      </c>
      <c r="NL16" t="str">
        <v/>
      </c>
      <c r="NM16" t="str">
        <v/>
      </c>
      <c r="NN16" t="str">
        <v/>
      </c>
      <c r="NO16" t="str">
        <v/>
      </c>
      <c r="NP16" t="str">
        <v/>
      </c>
      <c r="NQ16" t="str">
        <v/>
      </c>
      <c r="NR16" t="str">
        <v/>
      </c>
      <c r="NS16" t="str">
        <v/>
      </c>
      <c r="NT16" t="str">
        <v/>
      </c>
      <c r="NU16" t="str">
        <v/>
      </c>
      <c r="NV16" t="str">
        <v/>
      </c>
      <c r="NW16" t="str">
        <v/>
      </c>
      <c r="NX16" t="str">
        <v/>
      </c>
      <c r="NY16" t="str">
        <v/>
      </c>
      <c r="NZ16" t="str">
        <v/>
      </c>
      <c r="OA16" t="str">
        <v/>
      </c>
      <c r="OB16" t="str">
        <v/>
      </c>
      <c r="OC16" t="str">
        <v/>
      </c>
      <c r="OD16" t="str">
        <v/>
      </c>
      <c r="OE16" t="str">
        <v/>
      </c>
    </row>
    <row r="17" spans="1:395" outlineLevel="1" x14ac:dyDescent="0.3">
      <c r="A17" s="14"/>
      <c r="D17" s="19" t="s">
        <v>332</v>
      </c>
      <c r="E17" s="297">
        <v>2</v>
      </c>
      <c r="F17" s="259" t="s">
        <v>352</v>
      </c>
      <c r="G17" s="76"/>
      <c r="H17" s="76"/>
      <c r="I17" s="257"/>
      <c r="J17" s="258"/>
      <c r="K17" s="65"/>
      <c r="L17" s="55"/>
      <c r="M17" s="66"/>
      <c r="N17" t="s">
        <v>333</v>
      </c>
      <c r="O17" s="8">
        <f>P16+1</f>
        <v>46813</v>
      </c>
      <c r="P17" s="208">
        <f t="shared" si="0"/>
        <v>46904</v>
      </c>
      <c r="Q17" t="str" cm="1">
        <f t="array" ref="Q17:OE17">IF(((EOMONTH(O17,-1)+1)&lt;=_xlfn.ANCHORARRAY($Q$2))*(_xlfn.ANCHORARRAY($Q$2)&lt;P17)," ","")</f>
        <v/>
      </c>
      <c r="R17" t="str">
        <v/>
      </c>
      <c r="S17" t="str">
        <v/>
      </c>
      <c r="T17" t="str">
        <v/>
      </c>
      <c r="U17" t="str">
        <v/>
      </c>
      <c r="V17" t="str">
        <v/>
      </c>
      <c r="W17" t="str">
        <v/>
      </c>
      <c r="X17" t="str">
        <v/>
      </c>
      <c r="Y17" t="str">
        <v/>
      </c>
      <c r="Z17" t="str">
        <v/>
      </c>
      <c r="AA17" t="str">
        <v/>
      </c>
      <c r="AB17" t="str">
        <v/>
      </c>
      <c r="AC17" t="str">
        <v/>
      </c>
      <c r="AD17" t="str">
        <v/>
      </c>
      <c r="AE17" t="str">
        <v/>
      </c>
      <c r="AF17" t="str">
        <v/>
      </c>
      <c r="AG17" t="str">
        <v/>
      </c>
      <c r="AH17" t="str">
        <v/>
      </c>
      <c r="AI17" t="str">
        <v/>
      </c>
      <c r="AJ17" t="str">
        <v/>
      </c>
      <c r="AK17" t="str">
        <v/>
      </c>
      <c r="AL17" t="str">
        <v xml:space="preserve"> </v>
      </c>
      <c r="AM17" t="str">
        <v xml:space="preserve"> </v>
      </c>
      <c r="AN17" t="str">
        <v xml:space="preserve"> </v>
      </c>
      <c r="AO17" t="str">
        <v/>
      </c>
      <c r="AP17" t="str">
        <v/>
      </c>
      <c r="AQ17" t="str">
        <v/>
      </c>
      <c r="AR17" t="str">
        <v/>
      </c>
      <c r="AS17" t="str">
        <v/>
      </c>
      <c r="AT17" t="str">
        <v/>
      </c>
      <c r="AU17" t="str">
        <v/>
      </c>
      <c r="AV17" t="str">
        <v/>
      </c>
      <c r="AW17" t="str">
        <v/>
      </c>
      <c r="AX17" t="str">
        <v/>
      </c>
      <c r="AY17" t="str">
        <v/>
      </c>
      <c r="AZ17" t="str">
        <v/>
      </c>
      <c r="BA17" t="str">
        <v/>
      </c>
      <c r="BB17" t="str">
        <v/>
      </c>
      <c r="BC17" t="str">
        <v/>
      </c>
      <c r="BD17" t="str">
        <v/>
      </c>
      <c r="BE17" t="str">
        <v/>
      </c>
      <c r="BF17" t="str">
        <v/>
      </c>
      <c r="BG17" t="str">
        <v/>
      </c>
      <c r="BH17" t="str">
        <v/>
      </c>
      <c r="BI17" t="str">
        <v/>
      </c>
      <c r="BJ17" t="str">
        <v/>
      </c>
      <c r="BK17" t="str">
        <v/>
      </c>
      <c r="BL17" t="str">
        <v/>
      </c>
      <c r="BM17" t="str">
        <v/>
      </c>
      <c r="BN17" t="str">
        <v/>
      </c>
      <c r="BO17" t="str">
        <v/>
      </c>
      <c r="BP17" t="str">
        <v/>
      </c>
      <c r="BQ17" t="str">
        <v/>
      </c>
      <c r="BR17" t="str">
        <v/>
      </c>
      <c r="BS17" t="str">
        <v/>
      </c>
      <c r="BT17" t="str">
        <v/>
      </c>
      <c r="BU17" t="str">
        <v/>
      </c>
      <c r="BV17" t="str">
        <v/>
      </c>
      <c r="BW17" t="str">
        <v/>
      </c>
      <c r="BX17" t="str">
        <v/>
      </c>
      <c r="BY17" t="str">
        <v/>
      </c>
      <c r="BZ17" t="str">
        <v/>
      </c>
      <c r="CA17" t="str">
        <v/>
      </c>
      <c r="CB17" t="str">
        <v/>
      </c>
      <c r="CC17" t="str">
        <v/>
      </c>
      <c r="CD17" t="str">
        <v/>
      </c>
      <c r="CE17" t="str">
        <v/>
      </c>
      <c r="CF17" t="str">
        <v/>
      </c>
      <c r="CG17" t="str">
        <v/>
      </c>
      <c r="CH17" t="str">
        <v/>
      </c>
      <c r="CI17" t="str">
        <v/>
      </c>
      <c r="CJ17" t="str">
        <v/>
      </c>
      <c r="CK17" t="str">
        <v/>
      </c>
      <c r="CL17" t="str">
        <v/>
      </c>
      <c r="CM17" t="str">
        <v/>
      </c>
      <c r="CN17" t="str">
        <v/>
      </c>
      <c r="CO17" t="str">
        <v/>
      </c>
      <c r="CP17" t="str">
        <v/>
      </c>
      <c r="CQ17" t="str">
        <v/>
      </c>
      <c r="CR17" t="str">
        <v/>
      </c>
      <c r="CS17" t="str">
        <v/>
      </c>
      <c r="CT17" t="str">
        <v/>
      </c>
      <c r="CU17" t="str">
        <v/>
      </c>
      <c r="CV17" t="str">
        <v/>
      </c>
      <c r="CW17" t="str">
        <v/>
      </c>
      <c r="CX17" t="str">
        <v/>
      </c>
      <c r="CY17" t="str">
        <v/>
      </c>
      <c r="CZ17" t="str">
        <v/>
      </c>
      <c r="DA17" t="str">
        <v/>
      </c>
      <c r="DB17" t="str">
        <v/>
      </c>
      <c r="DC17" t="str">
        <v/>
      </c>
      <c r="DD17" t="str">
        <v/>
      </c>
      <c r="DE17" t="str">
        <v/>
      </c>
      <c r="DF17" t="str">
        <v/>
      </c>
      <c r="DG17" t="str">
        <v/>
      </c>
      <c r="DH17" t="str">
        <v/>
      </c>
      <c r="DI17" t="str">
        <v/>
      </c>
      <c r="DJ17" t="str">
        <v/>
      </c>
      <c r="DK17" t="str">
        <v/>
      </c>
      <c r="DL17" t="str">
        <v/>
      </c>
      <c r="DM17" t="str">
        <v/>
      </c>
      <c r="DN17" t="str">
        <v/>
      </c>
      <c r="DO17" t="str">
        <v/>
      </c>
      <c r="DP17" t="str">
        <v/>
      </c>
      <c r="DQ17" t="str">
        <v/>
      </c>
      <c r="DR17" t="str">
        <v/>
      </c>
      <c r="DS17" t="str">
        <v/>
      </c>
      <c r="DT17" t="str">
        <v/>
      </c>
      <c r="DU17" t="str">
        <v/>
      </c>
      <c r="DV17" t="str">
        <v/>
      </c>
      <c r="DW17" t="str">
        <v/>
      </c>
      <c r="DX17" t="str">
        <v/>
      </c>
      <c r="DY17" t="str">
        <v/>
      </c>
      <c r="DZ17" t="str">
        <v/>
      </c>
      <c r="EA17" t="str">
        <v/>
      </c>
      <c r="EB17" t="str">
        <v/>
      </c>
      <c r="EC17" t="str">
        <v/>
      </c>
      <c r="ED17" t="str">
        <v/>
      </c>
      <c r="EE17" t="str">
        <v/>
      </c>
      <c r="EF17" t="str">
        <v/>
      </c>
      <c r="EG17" t="str">
        <v/>
      </c>
      <c r="EH17" t="str">
        <v/>
      </c>
      <c r="EI17" t="str">
        <v/>
      </c>
      <c r="EJ17" t="str">
        <v/>
      </c>
      <c r="EK17" t="str">
        <v/>
      </c>
      <c r="EL17" t="str">
        <v/>
      </c>
      <c r="EM17" t="str">
        <v/>
      </c>
      <c r="EN17" t="str">
        <v/>
      </c>
      <c r="EO17" t="str">
        <v/>
      </c>
      <c r="EP17" t="str">
        <v/>
      </c>
      <c r="EQ17" t="str">
        <v/>
      </c>
      <c r="ER17" t="str">
        <v/>
      </c>
      <c r="ES17" t="str">
        <v/>
      </c>
      <c r="ET17" t="str">
        <v/>
      </c>
      <c r="EU17" t="str">
        <v/>
      </c>
      <c r="EV17" t="str">
        <v/>
      </c>
      <c r="EW17" t="str">
        <v/>
      </c>
      <c r="EX17" t="str">
        <v/>
      </c>
      <c r="EY17" t="str">
        <v/>
      </c>
      <c r="EZ17" t="str">
        <v/>
      </c>
      <c r="FA17" t="str">
        <v/>
      </c>
      <c r="FB17" t="str">
        <v/>
      </c>
      <c r="FC17" t="str">
        <v/>
      </c>
      <c r="FD17" t="str">
        <v/>
      </c>
      <c r="FE17" t="str">
        <v/>
      </c>
      <c r="FF17" t="str">
        <v/>
      </c>
      <c r="FG17" t="str">
        <v/>
      </c>
      <c r="FH17" t="str">
        <v/>
      </c>
      <c r="FI17" t="str">
        <v/>
      </c>
      <c r="FJ17" t="str">
        <v/>
      </c>
      <c r="FK17" t="str">
        <v/>
      </c>
      <c r="FL17" t="str">
        <v/>
      </c>
      <c r="FM17" t="str">
        <v/>
      </c>
      <c r="FN17" t="str">
        <v/>
      </c>
      <c r="FO17" t="str">
        <v/>
      </c>
      <c r="FP17" t="str">
        <v/>
      </c>
      <c r="FQ17" t="str">
        <v/>
      </c>
      <c r="FR17" t="str">
        <v/>
      </c>
      <c r="FS17" t="str">
        <v/>
      </c>
      <c r="FT17" t="str">
        <v/>
      </c>
      <c r="FU17" t="str">
        <v/>
      </c>
      <c r="FV17" t="str">
        <v/>
      </c>
      <c r="FW17" t="str">
        <v/>
      </c>
      <c r="FX17" t="str">
        <v/>
      </c>
      <c r="FY17" t="str">
        <v/>
      </c>
      <c r="FZ17" t="str">
        <v/>
      </c>
      <c r="GA17" t="str">
        <v/>
      </c>
      <c r="GB17" t="str">
        <v/>
      </c>
      <c r="GC17" t="str">
        <v/>
      </c>
      <c r="GD17" t="str">
        <v/>
      </c>
      <c r="GE17" t="str">
        <v/>
      </c>
      <c r="GF17" t="str">
        <v/>
      </c>
      <c r="GG17" t="str">
        <v/>
      </c>
      <c r="GH17" t="str">
        <v/>
      </c>
      <c r="GI17" t="str">
        <v/>
      </c>
      <c r="GJ17" t="str">
        <v/>
      </c>
      <c r="GK17" t="str">
        <v/>
      </c>
      <c r="GL17" t="str">
        <v/>
      </c>
      <c r="GM17" t="str">
        <v/>
      </c>
      <c r="GN17" t="str">
        <v/>
      </c>
      <c r="GO17" t="str">
        <v/>
      </c>
      <c r="GP17" t="str">
        <v/>
      </c>
      <c r="GQ17" t="str">
        <v/>
      </c>
      <c r="GR17" t="str">
        <v/>
      </c>
      <c r="GS17" t="str">
        <v/>
      </c>
      <c r="GT17" t="str">
        <v/>
      </c>
      <c r="GU17" t="str">
        <v/>
      </c>
      <c r="GV17" t="str">
        <v/>
      </c>
      <c r="GW17" t="str">
        <v/>
      </c>
      <c r="GX17" t="str">
        <v/>
      </c>
      <c r="GY17" t="str">
        <v/>
      </c>
      <c r="GZ17" t="str">
        <v/>
      </c>
      <c r="HA17" t="str">
        <v/>
      </c>
      <c r="HB17" t="str">
        <v/>
      </c>
      <c r="HC17" t="str">
        <v/>
      </c>
      <c r="HD17" t="str">
        <v/>
      </c>
      <c r="HE17" t="str">
        <v/>
      </c>
      <c r="HF17" t="str">
        <v/>
      </c>
      <c r="HG17" t="str">
        <v/>
      </c>
      <c r="HH17" t="str">
        <v/>
      </c>
      <c r="HI17" t="str">
        <v/>
      </c>
      <c r="HJ17" t="str">
        <v/>
      </c>
      <c r="HK17" t="str">
        <v/>
      </c>
      <c r="HL17" t="str">
        <v/>
      </c>
      <c r="HM17" t="str">
        <v/>
      </c>
      <c r="HN17" t="str">
        <v/>
      </c>
      <c r="HO17" t="str">
        <v/>
      </c>
      <c r="HP17" t="str">
        <v/>
      </c>
      <c r="HQ17" t="str">
        <v/>
      </c>
      <c r="HR17" t="str">
        <v/>
      </c>
      <c r="HS17" t="str">
        <v/>
      </c>
      <c r="HT17" t="str">
        <v/>
      </c>
      <c r="HU17" t="str">
        <v/>
      </c>
      <c r="HV17" t="str">
        <v/>
      </c>
      <c r="HW17" t="str">
        <v/>
      </c>
      <c r="HX17" t="str">
        <v/>
      </c>
      <c r="HY17" t="str">
        <v/>
      </c>
      <c r="HZ17" t="str">
        <v/>
      </c>
      <c r="IA17" t="str">
        <v/>
      </c>
      <c r="IB17" t="str">
        <v/>
      </c>
      <c r="IC17" t="str">
        <v/>
      </c>
      <c r="ID17" t="str">
        <v/>
      </c>
      <c r="IE17" t="str">
        <v/>
      </c>
      <c r="IF17" t="str">
        <v/>
      </c>
      <c r="IG17" t="str">
        <v/>
      </c>
      <c r="IH17" t="str">
        <v/>
      </c>
      <c r="II17" t="str">
        <v/>
      </c>
      <c r="IJ17" t="str">
        <v/>
      </c>
      <c r="IK17" t="str">
        <v/>
      </c>
      <c r="IL17" t="str">
        <v/>
      </c>
      <c r="IM17" t="str">
        <v/>
      </c>
      <c r="IN17" t="str">
        <v/>
      </c>
      <c r="IO17" t="str">
        <v/>
      </c>
      <c r="IP17" t="str">
        <v/>
      </c>
      <c r="IQ17" t="str">
        <v/>
      </c>
      <c r="IR17" t="str">
        <v/>
      </c>
      <c r="IS17" t="str">
        <v/>
      </c>
      <c r="IT17" t="str">
        <v/>
      </c>
      <c r="IU17" t="str">
        <v/>
      </c>
      <c r="IV17" t="str">
        <v/>
      </c>
      <c r="IW17" t="str">
        <v/>
      </c>
      <c r="IX17" t="str">
        <v/>
      </c>
      <c r="IY17" t="str">
        <v/>
      </c>
      <c r="IZ17" t="str">
        <v/>
      </c>
      <c r="JA17" t="str">
        <v/>
      </c>
      <c r="JB17" t="str">
        <v/>
      </c>
      <c r="JC17" t="str">
        <v/>
      </c>
      <c r="JD17" t="str">
        <v/>
      </c>
      <c r="JE17" t="str">
        <v/>
      </c>
      <c r="JF17" t="str">
        <v/>
      </c>
      <c r="JG17" t="str">
        <v/>
      </c>
      <c r="JH17" t="str">
        <v/>
      </c>
      <c r="JI17" t="str">
        <v/>
      </c>
      <c r="JJ17" t="str">
        <v/>
      </c>
      <c r="JK17" t="str">
        <v/>
      </c>
      <c r="JL17" t="str">
        <v/>
      </c>
      <c r="JM17" t="str">
        <v/>
      </c>
      <c r="JN17" t="str">
        <v/>
      </c>
      <c r="JO17" t="str">
        <v/>
      </c>
      <c r="JP17" t="str">
        <v/>
      </c>
      <c r="JQ17" t="str">
        <v/>
      </c>
      <c r="JR17" t="str">
        <v/>
      </c>
      <c r="JS17" t="str">
        <v/>
      </c>
      <c r="JT17" t="str">
        <v/>
      </c>
      <c r="JU17" t="str">
        <v/>
      </c>
      <c r="JV17" t="str">
        <v/>
      </c>
      <c r="JW17" t="str">
        <v/>
      </c>
      <c r="JX17" t="str">
        <v/>
      </c>
      <c r="JY17" t="str">
        <v/>
      </c>
      <c r="JZ17" t="str">
        <v/>
      </c>
      <c r="KA17" t="str">
        <v/>
      </c>
      <c r="KB17" t="str">
        <v/>
      </c>
      <c r="KC17" t="str">
        <v/>
      </c>
      <c r="KD17" t="str">
        <v/>
      </c>
      <c r="KE17" t="str">
        <v/>
      </c>
      <c r="KF17" t="str">
        <v/>
      </c>
      <c r="KG17" t="str">
        <v/>
      </c>
      <c r="KH17" t="str">
        <v/>
      </c>
      <c r="KI17" t="str">
        <v/>
      </c>
      <c r="KJ17" t="str">
        <v/>
      </c>
      <c r="KK17" t="str">
        <v/>
      </c>
      <c r="KL17" t="str">
        <v/>
      </c>
      <c r="KM17" t="str">
        <v/>
      </c>
      <c r="KN17" t="str">
        <v/>
      </c>
      <c r="KO17" t="str">
        <v/>
      </c>
      <c r="KP17" t="str">
        <v/>
      </c>
      <c r="KQ17" t="str">
        <v/>
      </c>
      <c r="KR17" t="str">
        <v/>
      </c>
      <c r="KS17" t="str">
        <v/>
      </c>
      <c r="KT17" t="str">
        <v/>
      </c>
      <c r="KU17" t="str">
        <v/>
      </c>
      <c r="KV17" t="str">
        <v/>
      </c>
      <c r="KW17" t="str">
        <v/>
      </c>
      <c r="KX17" t="str">
        <v/>
      </c>
      <c r="KY17" t="str">
        <v/>
      </c>
      <c r="KZ17" t="str">
        <v/>
      </c>
      <c r="LA17" t="str">
        <v/>
      </c>
      <c r="LB17" t="str">
        <v/>
      </c>
      <c r="LC17" t="str">
        <v/>
      </c>
      <c r="LD17" t="str">
        <v/>
      </c>
      <c r="LE17" t="str">
        <v/>
      </c>
      <c r="LF17" t="str">
        <v/>
      </c>
      <c r="LG17" t="str">
        <v/>
      </c>
      <c r="LH17" t="str">
        <v/>
      </c>
      <c r="LI17" t="str">
        <v/>
      </c>
      <c r="LJ17" t="str">
        <v/>
      </c>
      <c r="LK17" t="str">
        <v/>
      </c>
      <c r="LL17" t="str">
        <v/>
      </c>
      <c r="LM17" t="str">
        <v/>
      </c>
      <c r="LN17" t="str">
        <v/>
      </c>
      <c r="LO17" t="str">
        <v/>
      </c>
      <c r="LP17" t="str">
        <v/>
      </c>
      <c r="LQ17" t="str">
        <v/>
      </c>
      <c r="LR17" t="str">
        <v/>
      </c>
      <c r="LS17" t="str">
        <v/>
      </c>
      <c r="LT17" t="str">
        <v/>
      </c>
      <c r="LU17" t="str">
        <v/>
      </c>
      <c r="LV17" t="str">
        <v/>
      </c>
      <c r="LW17" t="str">
        <v/>
      </c>
      <c r="LX17" t="str">
        <v/>
      </c>
      <c r="LY17" t="str">
        <v/>
      </c>
      <c r="LZ17" t="str">
        <v/>
      </c>
      <c r="MA17" t="str">
        <v/>
      </c>
      <c r="MB17" t="str">
        <v/>
      </c>
      <c r="MC17" t="str">
        <v/>
      </c>
      <c r="MD17" t="str">
        <v/>
      </c>
      <c r="ME17" t="str">
        <v/>
      </c>
      <c r="MF17" t="str">
        <v/>
      </c>
      <c r="MG17" t="str">
        <v/>
      </c>
      <c r="MH17" t="str">
        <v/>
      </c>
      <c r="MI17" t="str">
        <v/>
      </c>
      <c r="MJ17" t="str">
        <v/>
      </c>
      <c r="MK17" t="str">
        <v/>
      </c>
      <c r="ML17" t="str">
        <v/>
      </c>
      <c r="MM17" t="str">
        <v/>
      </c>
      <c r="MN17" t="str">
        <v/>
      </c>
      <c r="MO17" t="str">
        <v/>
      </c>
      <c r="MP17" t="str">
        <v/>
      </c>
      <c r="MQ17" t="str">
        <v/>
      </c>
      <c r="MR17" t="str">
        <v/>
      </c>
      <c r="MS17" t="str">
        <v/>
      </c>
      <c r="MT17" t="str">
        <v/>
      </c>
      <c r="MU17" t="str">
        <v/>
      </c>
      <c r="MV17" t="str">
        <v/>
      </c>
      <c r="MW17" t="str">
        <v/>
      </c>
      <c r="MX17" t="str">
        <v/>
      </c>
      <c r="MY17" t="str">
        <v/>
      </c>
      <c r="MZ17" t="str">
        <v/>
      </c>
      <c r="NA17" t="str">
        <v/>
      </c>
      <c r="NB17" t="str">
        <v/>
      </c>
      <c r="NC17" t="str">
        <v/>
      </c>
      <c r="ND17" t="str">
        <v/>
      </c>
      <c r="NE17" t="str">
        <v/>
      </c>
      <c r="NF17" t="str">
        <v/>
      </c>
      <c r="NG17" t="str">
        <v/>
      </c>
      <c r="NH17" t="str">
        <v/>
      </c>
      <c r="NI17" t="str">
        <v/>
      </c>
      <c r="NJ17" t="str">
        <v/>
      </c>
      <c r="NK17" t="str">
        <v/>
      </c>
      <c r="NL17" t="str">
        <v/>
      </c>
      <c r="NM17" t="str">
        <v/>
      </c>
      <c r="NN17" t="str">
        <v/>
      </c>
      <c r="NO17" t="str">
        <v/>
      </c>
      <c r="NP17" t="str">
        <v/>
      </c>
      <c r="NQ17" t="str">
        <v/>
      </c>
      <c r="NR17" t="str">
        <v/>
      </c>
      <c r="NS17" t="str">
        <v/>
      </c>
      <c r="NT17" t="str">
        <v/>
      </c>
      <c r="NU17" t="str">
        <v/>
      </c>
      <c r="NV17" t="str">
        <v/>
      </c>
      <c r="NW17" t="str">
        <v/>
      </c>
      <c r="NX17" t="str">
        <v/>
      </c>
      <c r="NY17" t="str">
        <v/>
      </c>
      <c r="NZ17" t="str">
        <v/>
      </c>
      <c r="OA17" t="str">
        <v/>
      </c>
      <c r="OB17" t="str">
        <v/>
      </c>
      <c r="OC17" t="str">
        <v/>
      </c>
      <c r="OD17" t="str">
        <v/>
      </c>
      <c r="OE17" t="str">
        <v/>
      </c>
    </row>
    <row r="18" spans="1:395" outlineLevel="1" x14ac:dyDescent="0.3">
      <c r="A18" s="14"/>
      <c r="D18" s="19" t="s">
        <v>290</v>
      </c>
      <c r="E18" s="297">
        <v>2</v>
      </c>
      <c r="F18" s="259" t="s">
        <v>352</v>
      </c>
      <c r="G18" s="76"/>
      <c r="H18" s="76"/>
      <c r="I18" s="257"/>
      <c r="J18" s="258"/>
      <c r="K18" s="65"/>
      <c r="L18" s="55"/>
      <c r="M18" s="66"/>
      <c r="N18" t="s">
        <v>290</v>
      </c>
      <c r="O18" s="8">
        <f>P17+1</f>
        <v>46905</v>
      </c>
      <c r="P18" s="208">
        <f t="shared" si="0"/>
        <v>46996</v>
      </c>
      <c r="Q18" t="str" cm="1">
        <f t="array" ref="Q18:OE18">IF(((EOMONTH(O18,-1)+1)&lt;=_xlfn.ANCHORARRAY($Q$2))*(_xlfn.ANCHORARRAY($Q$2)&lt;P18)," ","")</f>
        <v/>
      </c>
      <c r="R18" t="str">
        <v/>
      </c>
      <c r="S18" t="str">
        <v/>
      </c>
      <c r="T18" t="str">
        <v/>
      </c>
      <c r="U18" t="str">
        <v/>
      </c>
      <c r="V18" t="str">
        <v/>
      </c>
      <c r="W18" t="str">
        <v/>
      </c>
      <c r="X18" t="str">
        <v/>
      </c>
      <c r="Y18" t="str">
        <v/>
      </c>
      <c r="Z18" t="str">
        <v/>
      </c>
      <c r="AA18" t="str">
        <v/>
      </c>
      <c r="AB18" t="str">
        <v/>
      </c>
      <c r="AC18" t="str">
        <v/>
      </c>
      <c r="AD18" t="str">
        <v/>
      </c>
      <c r="AE18" t="str">
        <v/>
      </c>
      <c r="AF18" t="str">
        <v/>
      </c>
      <c r="AG18" t="str">
        <v/>
      </c>
      <c r="AH18" t="str">
        <v/>
      </c>
      <c r="AI18" t="str">
        <v/>
      </c>
      <c r="AJ18" t="str">
        <v/>
      </c>
      <c r="AK18" t="str">
        <v/>
      </c>
      <c r="AL18" t="str">
        <v/>
      </c>
      <c r="AM18" t="str">
        <v/>
      </c>
      <c r="AN18" t="str">
        <v/>
      </c>
      <c r="AO18" t="str">
        <v xml:space="preserve"> </v>
      </c>
      <c r="AP18" t="str">
        <v xml:space="preserve"> </v>
      </c>
      <c r="AQ18" t="str">
        <v xml:space="preserve"> </v>
      </c>
      <c r="AR18" t="str">
        <v/>
      </c>
      <c r="AS18" t="str">
        <v/>
      </c>
      <c r="AT18" t="str">
        <v/>
      </c>
      <c r="AU18" t="str">
        <v/>
      </c>
      <c r="AV18" t="str">
        <v/>
      </c>
      <c r="AW18" t="str">
        <v/>
      </c>
      <c r="AX18" t="str">
        <v/>
      </c>
      <c r="AY18" t="str">
        <v/>
      </c>
      <c r="AZ18" t="str">
        <v/>
      </c>
      <c r="BA18" t="str">
        <v/>
      </c>
      <c r="BB18" t="str">
        <v/>
      </c>
      <c r="BC18" t="str">
        <v/>
      </c>
      <c r="BD18" t="str">
        <v/>
      </c>
      <c r="BE18" t="str">
        <v/>
      </c>
      <c r="BF18" t="str">
        <v/>
      </c>
      <c r="BG18" t="str">
        <v/>
      </c>
      <c r="BH18" t="str">
        <v/>
      </c>
      <c r="BI18" t="str">
        <v/>
      </c>
      <c r="BJ18" t="str">
        <v/>
      </c>
      <c r="BK18" t="str">
        <v/>
      </c>
      <c r="BL18" t="str">
        <v/>
      </c>
      <c r="BM18" t="str">
        <v/>
      </c>
      <c r="BN18" t="str">
        <v/>
      </c>
      <c r="BO18" t="str">
        <v/>
      </c>
      <c r="BP18" t="str">
        <v/>
      </c>
      <c r="BQ18" t="str">
        <v/>
      </c>
      <c r="BR18" t="str">
        <v/>
      </c>
      <c r="BS18" t="str">
        <v/>
      </c>
      <c r="BT18" t="str">
        <v/>
      </c>
      <c r="BU18" t="str">
        <v/>
      </c>
      <c r="BV18" t="str">
        <v/>
      </c>
      <c r="BW18" t="str">
        <v/>
      </c>
      <c r="BX18" t="str">
        <v/>
      </c>
      <c r="BY18" t="str">
        <v/>
      </c>
      <c r="BZ18" t="str">
        <v/>
      </c>
      <c r="CA18" t="str">
        <v/>
      </c>
      <c r="CB18" t="str">
        <v/>
      </c>
      <c r="CC18" t="str">
        <v/>
      </c>
      <c r="CD18" t="str">
        <v/>
      </c>
      <c r="CE18" t="str">
        <v/>
      </c>
      <c r="CF18" t="str">
        <v/>
      </c>
      <c r="CG18" t="str">
        <v/>
      </c>
      <c r="CH18" t="str">
        <v/>
      </c>
      <c r="CI18" t="str">
        <v/>
      </c>
      <c r="CJ18" t="str">
        <v/>
      </c>
      <c r="CK18" t="str">
        <v/>
      </c>
      <c r="CL18" t="str">
        <v/>
      </c>
      <c r="CM18" t="str">
        <v/>
      </c>
      <c r="CN18" t="str">
        <v/>
      </c>
      <c r="CO18" t="str">
        <v/>
      </c>
      <c r="CP18" t="str">
        <v/>
      </c>
      <c r="CQ18" t="str">
        <v/>
      </c>
      <c r="CR18" t="str">
        <v/>
      </c>
      <c r="CS18" t="str">
        <v/>
      </c>
      <c r="CT18" t="str">
        <v/>
      </c>
      <c r="CU18" t="str">
        <v/>
      </c>
      <c r="CV18" t="str">
        <v/>
      </c>
      <c r="CW18" t="str">
        <v/>
      </c>
      <c r="CX18" t="str">
        <v/>
      </c>
      <c r="CY18" t="str">
        <v/>
      </c>
      <c r="CZ18" t="str">
        <v/>
      </c>
      <c r="DA18" t="str">
        <v/>
      </c>
      <c r="DB18" t="str">
        <v/>
      </c>
      <c r="DC18" t="str">
        <v/>
      </c>
      <c r="DD18" t="str">
        <v/>
      </c>
      <c r="DE18" t="str">
        <v/>
      </c>
      <c r="DF18" t="str">
        <v/>
      </c>
      <c r="DG18" t="str">
        <v/>
      </c>
      <c r="DH18" t="str">
        <v/>
      </c>
      <c r="DI18" t="str">
        <v/>
      </c>
      <c r="DJ18" t="str">
        <v/>
      </c>
      <c r="DK18" t="str">
        <v/>
      </c>
      <c r="DL18" t="str">
        <v/>
      </c>
      <c r="DM18" t="str">
        <v/>
      </c>
      <c r="DN18" t="str">
        <v/>
      </c>
      <c r="DO18" t="str">
        <v/>
      </c>
      <c r="DP18" t="str">
        <v/>
      </c>
      <c r="DQ18" t="str">
        <v/>
      </c>
      <c r="DR18" t="str">
        <v/>
      </c>
      <c r="DS18" t="str">
        <v/>
      </c>
      <c r="DT18" t="str">
        <v/>
      </c>
      <c r="DU18" t="str">
        <v/>
      </c>
      <c r="DV18" t="str">
        <v/>
      </c>
      <c r="DW18" t="str">
        <v/>
      </c>
      <c r="DX18" t="str">
        <v/>
      </c>
      <c r="DY18" t="str">
        <v/>
      </c>
      <c r="DZ18" t="str">
        <v/>
      </c>
      <c r="EA18" t="str">
        <v/>
      </c>
      <c r="EB18" t="str">
        <v/>
      </c>
      <c r="EC18" t="str">
        <v/>
      </c>
      <c r="ED18" t="str">
        <v/>
      </c>
      <c r="EE18" t="str">
        <v/>
      </c>
      <c r="EF18" t="str">
        <v/>
      </c>
      <c r="EG18" t="str">
        <v/>
      </c>
      <c r="EH18" t="str">
        <v/>
      </c>
      <c r="EI18" t="str">
        <v/>
      </c>
      <c r="EJ18" t="str">
        <v/>
      </c>
      <c r="EK18" t="str">
        <v/>
      </c>
      <c r="EL18" t="str">
        <v/>
      </c>
      <c r="EM18" t="str">
        <v/>
      </c>
      <c r="EN18" t="str">
        <v/>
      </c>
      <c r="EO18" t="str">
        <v/>
      </c>
      <c r="EP18" t="str">
        <v/>
      </c>
      <c r="EQ18" t="str">
        <v/>
      </c>
      <c r="ER18" t="str">
        <v/>
      </c>
      <c r="ES18" t="str">
        <v/>
      </c>
      <c r="ET18" t="str">
        <v/>
      </c>
      <c r="EU18" t="str">
        <v/>
      </c>
      <c r="EV18" t="str">
        <v/>
      </c>
      <c r="EW18" t="str">
        <v/>
      </c>
      <c r="EX18" t="str">
        <v/>
      </c>
      <c r="EY18" t="str">
        <v/>
      </c>
      <c r="EZ18" t="str">
        <v/>
      </c>
      <c r="FA18" t="str">
        <v/>
      </c>
      <c r="FB18" t="str">
        <v/>
      </c>
      <c r="FC18" t="str">
        <v/>
      </c>
      <c r="FD18" t="str">
        <v/>
      </c>
      <c r="FE18" t="str">
        <v/>
      </c>
      <c r="FF18" t="str">
        <v/>
      </c>
      <c r="FG18" t="str">
        <v/>
      </c>
      <c r="FH18" t="str">
        <v/>
      </c>
      <c r="FI18" t="str">
        <v/>
      </c>
      <c r="FJ18" t="str">
        <v/>
      </c>
      <c r="FK18" t="str">
        <v/>
      </c>
      <c r="FL18" t="str">
        <v/>
      </c>
      <c r="FM18" t="str">
        <v/>
      </c>
      <c r="FN18" t="str">
        <v/>
      </c>
      <c r="FO18" t="str">
        <v/>
      </c>
      <c r="FP18" t="str">
        <v/>
      </c>
      <c r="FQ18" t="str">
        <v/>
      </c>
      <c r="FR18" t="str">
        <v/>
      </c>
      <c r="FS18" t="str">
        <v/>
      </c>
      <c r="FT18" t="str">
        <v/>
      </c>
      <c r="FU18" t="str">
        <v/>
      </c>
      <c r="FV18" t="str">
        <v/>
      </c>
      <c r="FW18" t="str">
        <v/>
      </c>
      <c r="FX18" t="str">
        <v/>
      </c>
      <c r="FY18" t="str">
        <v/>
      </c>
      <c r="FZ18" t="str">
        <v/>
      </c>
      <c r="GA18" t="str">
        <v/>
      </c>
      <c r="GB18" t="str">
        <v/>
      </c>
      <c r="GC18" t="str">
        <v/>
      </c>
      <c r="GD18" t="str">
        <v/>
      </c>
      <c r="GE18" t="str">
        <v/>
      </c>
      <c r="GF18" t="str">
        <v/>
      </c>
      <c r="GG18" t="str">
        <v/>
      </c>
      <c r="GH18" t="str">
        <v/>
      </c>
      <c r="GI18" t="str">
        <v/>
      </c>
      <c r="GJ18" t="str">
        <v/>
      </c>
      <c r="GK18" t="str">
        <v/>
      </c>
      <c r="GL18" t="str">
        <v/>
      </c>
      <c r="GM18" t="str">
        <v/>
      </c>
      <c r="GN18" t="str">
        <v/>
      </c>
      <c r="GO18" t="str">
        <v/>
      </c>
      <c r="GP18" t="str">
        <v/>
      </c>
      <c r="GQ18" t="str">
        <v/>
      </c>
      <c r="GR18" t="str">
        <v/>
      </c>
      <c r="GS18" t="str">
        <v/>
      </c>
      <c r="GT18" t="str">
        <v/>
      </c>
      <c r="GU18" t="str">
        <v/>
      </c>
      <c r="GV18" t="str">
        <v/>
      </c>
      <c r="GW18" t="str">
        <v/>
      </c>
      <c r="GX18" t="str">
        <v/>
      </c>
      <c r="GY18" t="str">
        <v/>
      </c>
      <c r="GZ18" t="str">
        <v/>
      </c>
      <c r="HA18" t="str">
        <v/>
      </c>
      <c r="HB18" t="str">
        <v/>
      </c>
      <c r="HC18" t="str">
        <v/>
      </c>
      <c r="HD18" t="str">
        <v/>
      </c>
      <c r="HE18" t="str">
        <v/>
      </c>
      <c r="HF18" t="str">
        <v/>
      </c>
      <c r="HG18" t="str">
        <v/>
      </c>
      <c r="HH18" t="str">
        <v/>
      </c>
      <c r="HI18" t="str">
        <v/>
      </c>
      <c r="HJ18" t="str">
        <v/>
      </c>
      <c r="HK18" t="str">
        <v/>
      </c>
      <c r="HL18" t="str">
        <v/>
      </c>
      <c r="HM18" t="str">
        <v/>
      </c>
      <c r="HN18" t="str">
        <v/>
      </c>
      <c r="HO18" t="str">
        <v/>
      </c>
      <c r="HP18" t="str">
        <v/>
      </c>
      <c r="HQ18" t="str">
        <v/>
      </c>
      <c r="HR18" t="str">
        <v/>
      </c>
      <c r="HS18" t="str">
        <v/>
      </c>
      <c r="HT18" t="str">
        <v/>
      </c>
      <c r="HU18" t="str">
        <v/>
      </c>
      <c r="HV18" t="str">
        <v/>
      </c>
      <c r="HW18" t="str">
        <v/>
      </c>
      <c r="HX18" t="str">
        <v/>
      </c>
      <c r="HY18" t="str">
        <v/>
      </c>
      <c r="HZ18" t="str">
        <v/>
      </c>
      <c r="IA18" t="str">
        <v/>
      </c>
      <c r="IB18" t="str">
        <v/>
      </c>
      <c r="IC18" t="str">
        <v/>
      </c>
      <c r="ID18" t="str">
        <v/>
      </c>
      <c r="IE18" t="str">
        <v/>
      </c>
      <c r="IF18" t="str">
        <v/>
      </c>
      <c r="IG18" t="str">
        <v/>
      </c>
      <c r="IH18" t="str">
        <v/>
      </c>
      <c r="II18" t="str">
        <v/>
      </c>
      <c r="IJ18" t="str">
        <v/>
      </c>
      <c r="IK18" t="str">
        <v/>
      </c>
      <c r="IL18" t="str">
        <v/>
      </c>
      <c r="IM18" t="str">
        <v/>
      </c>
      <c r="IN18" t="str">
        <v/>
      </c>
      <c r="IO18" t="str">
        <v/>
      </c>
      <c r="IP18" t="str">
        <v/>
      </c>
      <c r="IQ18" t="str">
        <v/>
      </c>
      <c r="IR18" t="str">
        <v/>
      </c>
      <c r="IS18" t="str">
        <v/>
      </c>
      <c r="IT18" t="str">
        <v/>
      </c>
      <c r="IU18" t="str">
        <v/>
      </c>
      <c r="IV18" t="str">
        <v/>
      </c>
      <c r="IW18" t="str">
        <v/>
      </c>
      <c r="IX18" t="str">
        <v/>
      </c>
      <c r="IY18" t="str">
        <v/>
      </c>
      <c r="IZ18" t="str">
        <v/>
      </c>
      <c r="JA18" t="str">
        <v/>
      </c>
      <c r="JB18" t="str">
        <v/>
      </c>
      <c r="JC18" t="str">
        <v/>
      </c>
      <c r="JD18" t="str">
        <v/>
      </c>
      <c r="JE18" t="str">
        <v/>
      </c>
      <c r="JF18" t="str">
        <v/>
      </c>
      <c r="JG18" t="str">
        <v/>
      </c>
      <c r="JH18" t="str">
        <v/>
      </c>
      <c r="JI18" t="str">
        <v/>
      </c>
      <c r="JJ18" t="str">
        <v/>
      </c>
      <c r="JK18" t="str">
        <v/>
      </c>
      <c r="JL18" t="str">
        <v/>
      </c>
      <c r="JM18" t="str">
        <v/>
      </c>
      <c r="JN18" t="str">
        <v/>
      </c>
      <c r="JO18" t="str">
        <v/>
      </c>
      <c r="JP18" t="str">
        <v/>
      </c>
      <c r="JQ18" t="str">
        <v/>
      </c>
      <c r="JR18" t="str">
        <v/>
      </c>
      <c r="JS18" t="str">
        <v/>
      </c>
      <c r="JT18" t="str">
        <v/>
      </c>
      <c r="JU18" t="str">
        <v/>
      </c>
      <c r="JV18" t="str">
        <v/>
      </c>
      <c r="JW18" t="str">
        <v/>
      </c>
      <c r="JX18" t="str">
        <v/>
      </c>
      <c r="JY18" t="str">
        <v/>
      </c>
      <c r="JZ18" t="str">
        <v/>
      </c>
      <c r="KA18" t="str">
        <v/>
      </c>
      <c r="KB18" t="str">
        <v/>
      </c>
      <c r="KC18" t="str">
        <v/>
      </c>
      <c r="KD18" t="str">
        <v/>
      </c>
      <c r="KE18" t="str">
        <v/>
      </c>
      <c r="KF18" t="str">
        <v/>
      </c>
      <c r="KG18" t="str">
        <v/>
      </c>
      <c r="KH18" t="str">
        <v/>
      </c>
      <c r="KI18" t="str">
        <v/>
      </c>
      <c r="KJ18" t="str">
        <v/>
      </c>
      <c r="KK18" t="str">
        <v/>
      </c>
      <c r="KL18" t="str">
        <v/>
      </c>
      <c r="KM18" t="str">
        <v/>
      </c>
      <c r="KN18" t="str">
        <v/>
      </c>
      <c r="KO18" t="str">
        <v/>
      </c>
      <c r="KP18" t="str">
        <v/>
      </c>
      <c r="KQ18" t="str">
        <v/>
      </c>
      <c r="KR18" t="str">
        <v/>
      </c>
      <c r="KS18" t="str">
        <v/>
      </c>
      <c r="KT18" t="str">
        <v/>
      </c>
      <c r="KU18" t="str">
        <v/>
      </c>
      <c r="KV18" t="str">
        <v/>
      </c>
      <c r="KW18" t="str">
        <v/>
      </c>
      <c r="KX18" t="str">
        <v/>
      </c>
      <c r="KY18" t="str">
        <v/>
      </c>
      <c r="KZ18" t="str">
        <v/>
      </c>
      <c r="LA18" t="str">
        <v/>
      </c>
      <c r="LB18" t="str">
        <v/>
      </c>
      <c r="LC18" t="str">
        <v/>
      </c>
      <c r="LD18" t="str">
        <v/>
      </c>
      <c r="LE18" t="str">
        <v/>
      </c>
      <c r="LF18" t="str">
        <v/>
      </c>
      <c r="LG18" t="str">
        <v/>
      </c>
      <c r="LH18" t="str">
        <v/>
      </c>
      <c r="LI18" t="str">
        <v/>
      </c>
      <c r="LJ18" t="str">
        <v/>
      </c>
      <c r="LK18" t="str">
        <v/>
      </c>
      <c r="LL18" t="str">
        <v/>
      </c>
      <c r="LM18" t="str">
        <v/>
      </c>
      <c r="LN18" t="str">
        <v/>
      </c>
      <c r="LO18" t="str">
        <v/>
      </c>
      <c r="LP18" t="str">
        <v/>
      </c>
      <c r="LQ18" t="str">
        <v/>
      </c>
      <c r="LR18" t="str">
        <v/>
      </c>
      <c r="LS18" t="str">
        <v/>
      </c>
      <c r="LT18" t="str">
        <v/>
      </c>
      <c r="LU18" t="str">
        <v/>
      </c>
      <c r="LV18" t="str">
        <v/>
      </c>
      <c r="LW18" t="str">
        <v/>
      </c>
      <c r="LX18" t="str">
        <v/>
      </c>
      <c r="LY18" t="str">
        <v/>
      </c>
      <c r="LZ18" t="str">
        <v/>
      </c>
      <c r="MA18" t="str">
        <v/>
      </c>
      <c r="MB18" t="str">
        <v/>
      </c>
      <c r="MC18" t="str">
        <v/>
      </c>
      <c r="MD18" t="str">
        <v/>
      </c>
      <c r="ME18" t="str">
        <v/>
      </c>
      <c r="MF18" t="str">
        <v/>
      </c>
      <c r="MG18" t="str">
        <v/>
      </c>
      <c r="MH18" t="str">
        <v/>
      </c>
      <c r="MI18" t="str">
        <v/>
      </c>
      <c r="MJ18" t="str">
        <v/>
      </c>
      <c r="MK18" t="str">
        <v/>
      </c>
      <c r="ML18" t="str">
        <v/>
      </c>
      <c r="MM18" t="str">
        <v/>
      </c>
      <c r="MN18" t="str">
        <v/>
      </c>
      <c r="MO18" t="str">
        <v/>
      </c>
      <c r="MP18" t="str">
        <v/>
      </c>
      <c r="MQ18" t="str">
        <v/>
      </c>
      <c r="MR18" t="str">
        <v/>
      </c>
      <c r="MS18" t="str">
        <v/>
      </c>
      <c r="MT18" t="str">
        <v/>
      </c>
      <c r="MU18" t="str">
        <v/>
      </c>
      <c r="MV18" t="str">
        <v/>
      </c>
      <c r="MW18" t="str">
        <v/>
      </c>
      <c r="MX18" t="str">
        <v/>
      </c>
      <c r="MY18" t="str">
        <v/>
      </c>
      <c r="MZ18" t="str">
        <v/>
      </c>
      <c r="NA18" t="str">
        <v/>
      </c>
      <c r="NB18" t="str">
        <v/>
      </c>
      <c r="NC18" t="str">
        <v/>
      </c>
      <c r="ND18" t="str">
        <v/>
      </c>
      <c r="NE18" t="str">
        <v/>
      </c>
      <c r="NF18" t="str">
        <v/>
      </c>
      <c r="NG18" t="str">
        <v/>
      </c>
      <c r="NH18" t="str">
        <v/>
      </c>
      <c r="NI18" t="str">
        <v/>
      </c>
      <c r="NJ18" t="str">
        <v/>
      </c>
      <c r="NK18" t="str">
        <v/>
      </c>
      <c r="NL18" t="str">
        <v/>
      </c>
      <c r="NM18" t="str">
        <v/>
      </c>
      <c r="NN18" t="str">
        <v/>
      </c>
      <c r="NO18" t="str">
        <v/>
      </c>
      <c r="NP18" t="str">
        <v/>
      </c>
      <c r="NQ18" t="str">
        <v/>
      </c>
      <c r="NR18" t="str">
        <v/>
      </c>
      <c r="NS18" t="str">
        <v/>
      </c>
      <c r="NT18" t="str">
        <v/>
      </c>
      <c r="NU18" t="str">
        <v/>
      </c>
      <c r="NV18" t="str">
        <v/>
      </c>
      <c r="NW18" t="str">
        <v/>
      </c>
      <c r="NX18" t="str">
        <v/>
      </c>
      <c r="NY18" t="str">
        <v/>
      </c>
      <c r="NZ18" t="str">
        <v/>
      </c>
      <c r="OA18" t="str">
        <v/>
      </c>
      <c r="OB18" t="str">
        <v/>
      </c>
      <c r="OC18" t="str">
        <v/>
      </c>
      <c r="OD18" t="str">
        <v/>
      </c>
      <c r="OE18" t="str">
        <v/>
      </c>
    </row>
    <row r="19" spans="1:395" outlineLevel="1" x14ac:dyDescent="0.3">
      <c r="A19" s="14"/>
      <c r="C19"/>
      <c r="D19" s="119" t="s">
        <v>289</v>
      </c>
      <c r="E19" s="297">
        <v>2</v>
      </c>
      <c r="F19" s="259" t="s">
        <v>352</v>
      </c>
      <c r="G19" s="76"/>
      <c r="H19" s="76"/>
      <c r="I19" s="257"/>
      <c r="J19" s="258"/>
      <c r="K19" s="65"/>
      <c r="L19" s="55"/>
      <c r="M19" s="66"/>
      <c r="N19" t="s">
        <v>296</v>
      </c>
      <c r="O19" s="8">
        <f>P18+1</f>
        <v>46997</v>
      </c>
      <c r="P19" s="208">
        <f t="shared" si="0"/>
        <v>47087</v>
      </c>
      <c r="Q19" t="str" cm="1">
        <f t="array" ref="Q19:OE19">IF(((EOMONTH(O19,-1)+1)&lt;=_xlfn.ANCHORARRAY($Q$2))*(_xlfn.ANCHORARRAY($Q$2)&lt;P19)," ","")</f>
        <v/>
      </c>
      <c r="R19" t="str">
        <v/>
      </c>
      <c r="S19" t="str">
        <v/>
      </c>
      <c r="T19" t="str">
        <v/>
      </c>
      <c r="U19" t="str">
        <v/>
      </c>
      <c r="V19" t="str">
        <v/>
      </c>
      <c r="W19" t="str">
        <v/>
      </c>
      <c r="X19" t="str">
        <v/>
      </c>
      <c r="Y19" t="str">
        <v/>
      </c>
      <c r="Z19" t="str">
        <v/>
      </c>
      <c r="AA19" t="str">
        <v/>
      </c>
      <c r="AB19" t="str">
        <v/>
      </c>
      <c r="AC19" t="str">
        <v/>
      </c>
      <c r="AD19" t="str">
        <v/>
      </c>
      <c r="AE19" t="str">
        <v/>
      </c>
      <c r="AF19" t="str">
        <v/>
      </c>
      <c r="AG19" t="str">
        <v/>
      </c>
      <c r="AH19" t="str">
        <v/>
      </c>
      <c r="AI19" t="str">
        <v/>
      </c>
      <c r="AJ19" t="str">
        <v/>
      </c>
      <c r="AK19" t="str">
        <v/>
      </c>
      <c r="AL19" t="str">
        <v/>
      </c>
      <c r="AM19" t="str">
        <v/>
      </c>
      <c r="AN19" t="str">
        <v/>
      </c>
      <c r="AO19" t="str">
        <v/>
      </c>
      <c r="AP19" t="str">
        <v/>
      </c>
      <c r="AQ19" t="str">
        <v/>
      </c>
      <c r="AR19" t="str">
        <v xml:space="preserve"> </v>
      </c>
      <c r="AS19" t="str">
        <v xml:space="preserve"> </v>
      </c>
      <c r="AT19" t="str">
        <v xml:space="preserve"> </v>
      </c>
      <c r="AU19" t="str">
        <v/>
      </c>
      <c r="AV19" t="str">
        <v/>
      </c>
      <c r="AW19" t="str">
        <v/>
      </c>
      <c r="AX19" t="str">
        <v/>
      </c>
      <c r="AY19" t="str">
        <v/>
      </c>
      <c r="AZ19" t="str">
        <v/>
      </c>
      <c r="BA19" t="str">
        <v/>
      </c>
      <c r="BB19" t="str">
        <v/>
      </c>
      <c r="BC19" t="str">
        <v/>
      </c>
      <c r="BD19" t="str">
        <v/>
      </c>
      <c r="BE19" t="str">
        <v/>
      </c>
      <c r="BF19" t="str">
        <v/>
      </c>
      <c r="BG19" t="str">
        <v/>
      </c>
      <c r="BH19" t="str">
        <v/>
      </c>
      <c r="BI19" t="str">
        <v/>
      </c>
      <c r="BJ19" t="str">
        <v/>
      </c>
      <c r="BK19" t="str">
        <v/>
      </c>
      <c r="BL19" t="str">
        <v/>
      </c>
      <c r="BM19" t="str">
        <v/>
      </c>
      <c r="BN19" t="str">
        <v/>
      </c>
      <c r="BO19" t="str">
        <v/>
      </c>
      <c r="BP19" t="str">
        <v/>
      </c>
      <c r="BQ19" t="str">
        <v/>
      </c>
      <c r="BR19" t="str">
        <v/>
      </c>
      <c r="BS19" t="str">
        <v/>
      </c>
      <c r="BT19" t="str">
        <v/>
      </c>
      <c r="BU19" t="str">
        <v/>
      </c>
      <c r="BV19" t="str">
        <v/>
      </c>
      <c r="BW19" t="str">
        <v/>
      </c>
      <c r="BX19" t="str">
        <v/>
      </c>
      <c r="BY19" t="str">
        <v/>
      </c>
      <c r="BZ19" t="str">
        <v/>
      </c>
      <c r="CA19" t="str">
        <v/>
      </c>
      <c r="CB19" t="str">
        <v/>
      </c>
      <c r="CC19" t="str">
        <v/>
      </c>
      <c r="CD19" t="str">
        <v/>
      </c>
      <c r="CE19" t="str">
        <v/>
      </c>
      <c r="CF19" t="str">
        <v/>
      </c>
      <c r="CG19" t="str">
        <v/>
      </c>
      <c r="CH19" t="str">
        <v/>
      </c>
      <c r="CI19" t="str">
        <v/>
      </c>
      <c r="CJ19" t="str">
        <v/>
      </c>
      <c r="CK19" t="str">
        <v/>
      </c>
      <c r="CL19" t="str">
        <v/>
      </c>
      <c r="CM19" t="str">
        <v/>
      </c>
      <c r="CN19" t="str">
        <v/>
      </c>
      <c r="CO19" t="str">
        <v/>
      </c>
      <c r="CP19" t="str">
        <v/>
      </c>
      <c r="CQ19" t="str">
        <v/>
      </c>
      <c r="CR19" t="str">
        <v/>
      </c>
      <c r="CS19" t="str">
        <v/>
      </c>
      <c r="CT19" t="str">
        <v/>
      </c>
      <c r="CU19" t="str">
        <v/>
      </c>
      <c r="CV19" t="str">
        <v/>
      </c>
      <c r="CW19" t="str">
        <v/>
      </c>
      <c r="CX19" t="str">
        <v/>
      </c>
      <c r="CY19" t="str">
        <v/>
      </c>
      <c r="CZ19" t="str">
        <v/>
      </c>
      <c r="DA19" t="str">
        <v/>
      </c>
      <c r="DB19" t="str">
        <v/>
      </c>
      <c r="DC19" t="str">
        <v/>
      </c>
      <c r="DD19" t="str">
        <v/>
      </c>
      <c r="DE19" t="str">
        <v/>
      </c>
      <c r="DF19" t="str">
        <v/>
      </c>
      <c r="DG19" t="str">
        <v/>
      </c>
      <c r="DH19" t="str">
        <v/>
      </c>
      <c r="DI19" t="str">
        <v/>
      </c>
      <c r="DJ19" t="str">
        <v/>
      </c>
      <c r="DK19" t="str">
        <v/>
      </c>
      <c r="DL19" t="str">
        <v/>
      </c>
      <c r="DM19" t="str">
        <v/>
      </c>
      <c r="DN19" t="str">
        <v/>
      </c>
      <c r="DO19" t="str">
        <v/>
      </c>
      <c r="DP19" t="str">
        <v/>
      </c>
      <c r="DQ19" t="str">
        <v/>
      </c>
      <c r="DR19" t="str">
        <v/>
      </c>
      <c r="DS19" t="str">
        <v/>
      </c>
      <c r="DT19" t="str">
        <v/>
      </c>
      <c r="DU19" t="str">
        <v/>
      </c>
      <c r="DV19" t="str">
        <v/>
      </c>
      <c r="DW19" t="str">
        <v/>
      </c>
      <c r="DX19" t="str">
        <v/>
      </c>
      <c r="DY19" t="str">
        <v/>
      </c>
      <c r="DZ19" t="str">
        <v/>
      </c>
      <c r="EA19" t="str">
        <v/>
      </c>
      <c r="EB19" t="str">
        <v/>
      </c>
      <c r="EC19" t="str">
        <v/>
      </c>
      <c r="ED19" t="str">
        <v/>
      </c>
      <c r="EE19" t="str">
        <v/>
      </c>
      <c r="EF19" t="str">
        <v/>
      </c>
      <c r="EG19" t="str">
        <v/>
      </c>
      <c r="EH19" t="str">
        <v/>
      </c>
      <c r="EI19" t="str">
        <v/>
      </c>
      <c r="EJ19" t="str">
        <v/>
      </c>
      <c r="EK19" t="str">
        <v/>
      </c>
      <c r="EL19" t="str">
        <v/>
      </c>
      <c r="EM19" t="str">
        <v/>
      </c>
      <c r="EN19" t="str">
        <v/>
      </c>
      <c r="EO19" t="str">
        <v/>
      </c>
      <c r="EP19" t="str">
        <v/>
      </c>
      <c r="EQ19" t="str">
        <v/>
      </c>
      <c r="ER19" t="str">
        <v/>
      </c>
      <c r="ES19" t="str">
        <v/>
      </c>
      <c r="ET19" t="str">
        <v/>
      </c>
      <c r="EU19" t="str">
        <v/>
      </c>
      <c r="EV19" t="str">
        <v/>
      </c>
      <c r="EW19" t="str">
        <v/>
      </c>
      <c r="EX19" t="str">
        <v/>
      </c>
      <c r="EY19" t="str">
        <v/>
      </c>
      <c r="EZ19" t="str">
        <v/>
      </c>
      <c r="FA19" t="str">
        <v/>
      </c>
      <c r="FB19" t="str">
        <v/>
      </c>
      <c r="FC19" t="str">
        <v/>
      </c>
      <c r="FD19" t="str">
        <v/>
      </c>
      <c r="FE19" t="str">
        <v/>
      </c>
      <c r="FF19" t="str">
        <v/>
      </c>
      <c r="FG19" t="str">
        <v/>
      </c>
      <c r="FH19" t="str">
        <v/>
      </c>
      <c r="FI19" t="str">
        <v/>
      </c>
      <c r="FJ19" t="str">
        <v/>
      </c>
      <c r="FK19" t="str">
        <v/>
      </c>
      <c r="FL19" t="str">
        <v/>
      </c>
      <c r="FM19" t="str">
        <v/>
      </c>
      <c r="FN19" t="str">
        <v/>
      </c>
      <c r="FO19" t="str">
        <v/>
      </c>
      <c r="FP19" t="str">
        <v/>
      </c>
      <c r="FQ19" t="str">
        <v/>
      </c>
      <c r="FR19" t="str">
        <v/>
      </c>
      <c r="FS19" t="str">
        <v/>
      </c>
      <c r="FT19" t="str">
        <v/>
      </c>
      <c r="FU19" t="str">
        <v/>
      </c>
      <c r="FV19" t="str">
        <v/>
      </c>
      <c r="FW19" t="str">
        <v/>
      </c>
      <c r="FX19" t="str">
        <v/>
      </c>
      <c r="FY19" t="str">
        <v/>
      </c>
      <c r="FZ19" t="str">
        <v/>
      </c>
      <c r="GA19" t="str">
        <v/>
      </c>
      <c r="GB19" t="str">
        <v/>
      </c>
      <c r="GC19" t="str">
        <v/>
      </c>
      <c r="GD19" t="str">
        <v/>
      </c>
      <c r="GE19" t="str">
        <v/>
      </c>
      <c r="GF19" t="str">
        <v/>
      </c>
      <c r="GG19" t="str">
        <v/>
      </c>
      <c r="GH19" t="str">
        <v/>
      </c>
      <c r="GI19" t="str">
        <v/>
      </c>
      <c r="GJ19" t="str">
        <v/>
      </c>
      <c r="GK19" t="str">
        <v/>
      </c>
      <c r="GL19" t="str">
        <v/>
      </c>
      <c r="GM19" t="str">
        <v/>
      </c>
      <c r="GN19" t="str">
        <v/>
      </c>
      <c r="GO19" t="str">
        <v/>
      </c>
      <c r="GP19" t="str">
        <v/>
      </c>
      <c r="GQ19" t="str">
        <v/>
      </c>
      <c r="GR19" t="str">
        <v/>
      </c>
      <c r="GS19" t="str">
        <v/>
      </c>
      <c r="GT19" t="str">
        <v/>
      </c>
      <c r="GU19" t="str">
        <v/>
      </c>
      <c r="GV19" t="str">
        <v/>
      </c>
      <c r="GW19" t="str">
        <v/>
      </c>
      <c r="GX19" t="str">
        <v/>
      </c>
      <c r="GY19" t="str">
        <v/>
      </c>
      <c r="GZ19" t="str">
        <v/>
      </c>
      <c r="HA19" t="str">
        <v/>
      </c>
      <c r="HB19" t="str">
        <v/>
      </c>
      <c r="HC19" t="str">
        <v/>
      </c>
      <c r="HD19" t="str">
        <v/>
      </c>
      <c r="HE19" t="str">
        <v/>
      </c>
      <c r="HF19" t="str">
        <v/>
      </c>
      <c r="HG19" t="str">
        <v/>
      </c>
      <c r="HH19" t="str">
        <v/>
      </c>
      <c r="HI19" t="str">
        <v/>
      </c>
      <c r="HJ19" t="str">
        <v/>
      </c>
      <c r="HK19" t="str">
        <v/>
      </c>
      <c r="HL19" t="str">
        <v/>
      </c>
      <c r="HM19" t="str">
        <v/>
      </c>
      <c r="HN19" t="str">
        <v/>
      </c>
      <c r="HO19" t="str">
        <v/>
      </c>
      <c r="HP19" t="str">
        <v/>
      </c>
      <c r="HQ19" t="str">
        <v/>
      </c>
      <c r="HR19" t="str">
        <v/>
      </c>
      <c r="HS19" t="str">
        <v/>
      </c>
      <c r="HT19" t="str">
        <v/>
      </c>
      <c r="HU19" t="str">
        <v/>
      </c>
      <c r="HV19" t="str">
        <v/>
      </c>
      <c r="HW19" t="str">
        <v/>
      </c>
      <c r="HX19" t="str">
        <v/>
      </c>
      <c r="HY19" t="str">
        <v/>
      </c>
      <c r="HZ19" t="str">
        <v/>
      </c>
      <c r="IA19" t="str">
        <v/>
      </c>
      <c r="IB19" t="str">
        <v/>
      </c>
      <c r="IC19" t="str">
        <v/>
      </c>
      <c r="ID19" t="str">
        <v/>
      </c>
      <c r="IE19" t="str">
        <v/>
      </c>
      <c r="IF19" t="str">
        <v/>
      </c>
      <c r="IG19" t="str">
        <v/>
      </c>
      <c r="IH19" t="str">
        <v/>
      </c>
      <c r="II19" t="str">
        <v/>
      </c>
      <c r="IJ19" t="str">
        <v/>
      </c>
      <c r="IK19" t="str">
        <v/>
      </c>
      <c r="IL19" t="str">
        <v/>
      </c>
      <c r="IM19" t="str">
        <v/>
      </c>
      <c r="IN19" t="str">
        <v/>
      </c>
      <c r="IO19" t="str">
        <v/>
      </c>
      <c r="IP19" t="str">
        <v/>
      </c>
      <c r="IQ19" t="str">
        <v/>
      </c>
      <c r="IR19" t="str">
        <v/>
      </c>
      <c r="IS19" t="str">
        <v/>
      </c>
      <c r="IT19" t="str">
        <v/>
      </c>
      <c r="IU19" t="str">
        <v/>
      </c>
      <c r="IV19" t="str">
        <v/>
      </c>
      <c r="IW19" t="str">
        <v/>
      </c>
      <c r="IX19" t="str">
        <v/>
      </c>
      <c r="IY19" t="str">
        <v/>
      </c>
      <c r="IZ19" t="str">
        <v/>
      </c>
      <c r="JA19" t="str">
        <v/>
      </c>
      <c r="JB19" t="str">
        <v/>
      </c>
      <c r="JC19" t="str">
        <v/>
      </c>
      <c r="JD19" t="str">
        <v/>
      </c>
      <c r="JE19" t="str">
        <v/>
      </c>
      <c r="JF19" t="str">
        <v/>
      </c>
      <c r="JG19" t="str">
        <v/>
      </c>
      <c r="JH19" t="str">
        <v/>
      </c>
      <c r="JI19" t="str">
        <v/>
      </c>
      <c r="JJ19" t="str">
        <v/>
      </c>
      <c r="JK19" t="str">
        <v/>
      </c>
      <c r="JL19" t="str">
        <v/>
      </c>
      <c r="JM19" t="str">
        <v/>
      </c>
      <c r="JN19" t="str">
        <v/>
      </c>
      <c r="JO19" t="str">
        <v/>
      </c>
      <c r="JP19" t="str">
        <v/>
      </c>
      <c r="JQ19" t="str">
        <v/>
      </c>
      <c r="JR19" t="str">
        <v/>
      </c>
      <c r="JS19" t="str">
        <v/>
      </c>
      <c r="JT19" t="str">
        <v/>
      </c>
      <c r="JU19" t="str">
        <v/>
      </c>
      <c r="JV19" t="str">
        <v/>
      </c>
      <c r="JW19" t="str">
        <v/>
      </c>
      <c r="JX19" t="str">
        <v/>
      </c>
      <c r="JY19" t="str">
        <v/>
      </c>
      <c r="JZ19" t="str">
        <v/>
      </c>
      <c r="KA19" t="str">
        <v/>
      </c>
      <c r="KB19" t="str">
        <v/>
      </c>
      <c r="KC19" t="str">
        <v/>
      </c>
      <c r="KD19" t="str">
        <v/>
      </c>
      <c r="KE19" t="str">
        <v/>
      </c>
      <c r="KF19" t="str">
        <v/>
      </c>
      <c r="KG19" t="str">
        <v/>
      </c>
      <c r="KH19" t="str">
        <v/>
      </c>
      <c r="KI19" t="str">
        <v/>
      </c>
      <c r="KJ19" t="str">
        <v/>
      </c>
      <c r="KK19" t="str">
        <v/>
      </c>
      <c r="KL19" t="str">
        <v/>
      </c>
      <c r="KM19" t="str">
        <v/>
      </c>
      <c r="KN19" t="str">
        <v/>
      </c>
      <c r="KO19" t="str">
        <v/>
      </c>
      <c r="KP19" t="str">
        <v/>
      </c>
      <c r="KQ19" t="str">
        <v/>
      </c>
      <c r="KR19" t="str">
        <v/>
      </c>
      <c r="KS19" t="str">
        <v/>
      </c>
      <c r="KT19" t="str">
        <v/>
      </c>
      <c r="KU19" t="str">
        <v/>
      </c>
      <c r="KV19" t="str">
        <v/>
      </c>
      <c r="KW19" t="str">
        <v/>
      </c>
      <c r="KX19" t="str">
        <v/>
      </c>
      <c r="KY19" t="str">
        <v/>
      </c>
      <c r="KZ19" t="str">
        <v/>
      </c>
      <c r="LA19" t="str">
        <v/>
      </c>
      <c r="LB19" t="str">
        <v/>
      </c>
      <c r="LC19" t="str">
        <v/>
      </c>
      <c r="LD19" t="str">
        <v/>
      </c>
      <c r="LE19" t="str">
        <v/>
      </c>
      <c r="LF19" t="str">
        <v/>
      </c>
      <c r="LG19" t="str">
        <v/>
      </c>
      <c r="LH19" t="str">
        <v/>
      </c>
      <c r="LI19" t="str">
        <v/>
      </c>
      <c r="LJ19" t="str">
        <v/>
      </c>
      <c r="LK19" t="str">
        <v/>
      </c>
      <c r="LL19" t="str">
        <v/>
      </c>
      <c r="LM19" t="str">
        <v/>
      </c>
      <c r="LN19" t="str">
        <v/>
      </c>
      <c r="LO19" t="str">
        <v/>
      </c>
      <c r="LP19" t="str">
        <v/>
      </c>
      <c r="LQ19" t="str">
        <v/>
      </c>
      <c r="LR19" t="str">
        <v/>
      </c>
      <c r="LS19" t="str">
        <v/>
      </c>
      <c r="LT19" t="str">
        <v/>
      </c>
      <c r="LU19" t="str">
        <v/>
      </c>
      <c r="LV19" t="str">
        <v/>
      </c>
      <c r="LW19" t="str">
        <v/>
      </c>
      <c r="LX19" t="str">
        <v/>
      </c>
      <c r="LY19" t="str">
        <v/>
      </c>
      <c r="LZ19" t="str">
        <v/>
      </c>
      <c r="MA19" t="str">
        <v/>
      </c>
      <c r="MB19" t="str">
        <v/>
      </c>
      <c r="MC19" t="str">
        <v/>
      </c>
      <c r="MD19" t="str">
        <v/>
      </c>
      <c r="ME19" t="str">
        <v/>
      </c>
      <c r="MF19" t="str">
        <v/>
      </c>
      <c r="MG19" t="str">
        <v/>
      </c>
      <c r="MH19" t="str">
        <v/>
      </c>
      <c r="MI19" t="str">
        <v/>
      </c>
      <c r="MJ19" t="str">
        <v/>
      </c>
      <c r="MK19" t="str">
        <v/>
      </c>
      <c r="ML19" t="str">
        <v/>
      </c>
      <c r="MM19" t="str">
        <v/>
      </c>
      <c r="MN19" t="str">
        <v/>
      </c>
      <c r="MO19" t="str">
        <v/>
      </c>
      <c r="MP19" t="str">
        <v/>
      </c>
      <c r="MQ19" t="str">
        <v/>
      </c>
      <c r="MR19" t="str">
        <v/>
      </c>
      <c r="MS19" t="str">
        <v/>
      </c>
      <c r="MT19" t="str">
        <v/>
      </c>
      <c r="MU19" t="str">
        <v/>
      </c>
      <c r="MV19" t="str">
        <v/>
      </c>
      <c r="MW19" t="str">
        <v/>
      </c>
      <c r="MX19" t="str">
        <v/>
      </c>
      <c r="MY19" t="str">
        <v/>
      </c>
      <c r="MZ19" t="str">
        <v/>
      </c>
      <c r="NA19" t="str">
        <v/>
      </c>
      <c r="NB19" t="str">
        <v/>
      </c>
      <c r="NC19" t="str">
        <v/>
      </c>
      <c r="ND19" t="str">
        <v/>
      </c>
      <c r="NE19" t="str">
        <v/>
      </c>
      <c r="NF19" t="str">
        <v/>
      </c>
      <c r="NG19" t="str">
        <v/>
      </c>
      <c r="NH19" t="str">
        <v/>
      </c>
      <c r="NI19" t="str">
        <v/>
      </c>
      <c r="NJ19" t="str">
        <v/>
      </c>
      <c r="NK19" t="str">
        <v/>
      </c>
      <c r="NL19" t="str">
        <v/>
      </c>
      <c r="NM19" t="str">
        <v/>
      </c>
      <c r="NN19" t="str">
        <v/>
      </c>
      <c r="NO19" t="str">
        <v/>
      </c>
      <c r="NP19" t="str">
        <v/>
      </c>
      <c r="NQ19" t="str">
        <v/>
      </c>
      <c r="NR19" t="str">
        <v/>
      </c>
      <c r="NS19" t="str">
        <v/>
      </c>
      <c r="NT19" t="str">
        <v/>
      </c>
      <c r="NU19" t="str">
        <v/>
      </c>
      <c r="NV19" t="str">
        <v/>
      </c>
      <c r="NW19" t="str">
        <v/>
      </c>
      <c r="NX19" t="str">
        <v/>
      </c>
      <c r="NY19" t="str">
        <v/>
      </c>
      <c r="NZ19" t="str">
        <v/>
      </c>
      <c r="OA19" t="str">
        <v/>
      </c>
      <c r="OB19" t="str">
        <v/>
      </c>
      <c r="OC19" t="str">
        <v/>
      </c>
      <c r="OD19" t="str">
        <v/>
      </c>
      <c r="OE19" t="str">
        <v/>
      </c>
    </row>
    <row r="20" spans="1:395" outlineLevel="1" x14ac:dyDescent="0.3">
      <c r="A20" s="14"/>
      <c r="C20" s="14" t="s">
        <v>187</v>
      </c>
      <c r="D20" s="119"/>
      <c r="E20" s="119"/>
      <c r="F20" s="262"/>
      <c r="G20" s="76"/>
      <c r="H20" s="76"/>
      <c r="I20" s="257"/>
      <c r="J20" s="258"/>
      <c r="K20" s="65"/>
      <c r="L20" s="55"/>
      <c r="M20" s="66"/>
      <c r="N20" s="263" t="s">
        <v>187</v>
      </c>
      <c r="O20" s="206">
        <f>O23</f>
        <v>46357</v>
      </c>
      <c r="P20" s="207">
        <f>P32</f>
        <v>47229</v>
      </c>
      <c r="Q20" t="str" cm="1">
        <f t="array" ref="Q20:OE20">IF(((EOMONTH(O20,-1)+1)&lt;=_xlfn.ANCHORARRAY($Q$2))*(_xlfn.ANCHORARRAY($Q$2)&lt;P20)," ","")</f>
        <v/>
      </c>
      <c r="R20" t="str">
        <v/>
      </c>
      <c r="S20" t="str">
        <v/>
      </c>
      <c r="T20" t="str">
        <v/>
      </c>
      <c r="U20" t="str">
        <v/>
      </c>
      <c r="V20" t="str">
        <v/>
      </c>
      <c r="W20" t="str">
        <v xml:space="preserve"> </v>
      </c>
      <c r="X20" t="str">
        <v xml:space="preserve"> </v>
      </c>
      <c r="Y20" t="str">
        <v xml:space="preserve"> </v>
      </c>
      <c r="Z20" t="str">
        <v xml:space="preserve"> </v>
      </c>
      <c r="AA20" t="str">
        <v xml:space="preserve"> </v>
      </c>
      <c r="AB20" t="str">
        <v xml:space="preserve"> </v>
      </c>
      <c r="AC20" t="str">
        <v xml:space="preserve"> </v>
      </c>
      <c r="AD20" t="str">
        <v xml:space="preserve"> </v>
      </c>
      <c r="AE20" t="str">
        <v xml:space="preserve"> </v>
      </c>
      <c r="AF20" t="str">
        <v xml:space="preserve"> </v>
      </c>
      <c r="AG20" t="str">
        <v xml:space="preserve"> </v>
      </c>
      <c r="AH20" t="str">
        <v xml:space="preserve"> </v>
      </c>
      <c r="AI20" t="str">
        <v xml:space="preserve"> </v>
      </c>
      <c r="AJ20" t="str">
        <v xml:space="preserve"> </v>
      </c>
      <c r="AK20" t="str">
        <v xml:space="preserve"> </v>
      </c>
      <c r="AL20" t="str">
        <v xml:space="preserve"> </v>
      </c>
      <c r="AM20" t="str">
        <v xml:space="preserve"> </v>
      </c>
      <c r="AN20" t="str">
        <v xml:space="preserve"> </v>
      </c>
      <c r="AO20" t="str">
        <v xml:space="preserve"> </v>
      </c>
      <c r="AP20" t="str">
        <v xml:space="preserve"> </v>
      </c>
      <c r="AQ20" t="str">
        <v xml:space="preserve"> </v>
      </c>
      <c r="AR20" t="str">
        <v xml:space="preserve"> </v>
      </c>
      <c r="AS20" t="str">
        <v xml:space="preserve"> </v>
      </c>
      <c r="AT20" t="str">
        <v xml:space="preserve"> </v>
      </c>
      <c r="AU20" t="str">
        <v xml:space="preserve"> </v>
      </c>
      <c r="AV20" t="str">
        <v xml:space="preserve"> </v>
      </c>
      <c r="AW20" t="str">
        <v xml:space="preserve"> </v>
      </c>
      <c r="AX20" t="str">
        <v xml:space="preserve"> </v>
      </c>
      <c r="AY20" t="str">
        <v xml:space="preserve"> </v>
      </c>
      <c r="AZ20" t="str">
        <v/>
      </c>
      <c r="BA20" t="str">
        <v/>
      </c>
      <c r="BB20" t="str">
        <v/>
      </c>
      <c r="BC20" t="str">
        <v/>
      </c>
      <c r="BD20" t="str">
        <v/>
      </c>
      <c r="BE20" t="str">
        <v/>
      </c>
      <c r="BF20" t="str">
        <v/>
      </c>
      <c r="BG20" t="str">
        <v/>
      </c>
      <c r="BH20" t="str">
        <v/>
      </c>
      <c r="BI20" t="str">
        <v/>
      </c>
      <c r="BJ20" t="str">
        <v/>
      </c>
      <c r="BK20" t="str">
        <v/>
      </c>
      <c r="BL20" t="str">
        <v/>
      </c>
      <c r="BM20" t="str">
        <v/>
      </c>
      <c r="BN20" t="str">
        <v/>
      </c>
      <c r="BO20" t="str">
        <v/>
      </c>
      <c r="BP20" t="str">
        <v/>
      </c>
      <c r="BQ20" t="str">
        <v/>
      </c>
      <c r="BR20" t="str">
        <v/>
      </c>
      <c r="BS20" t="str">
        <v/>
      </c>
      <c r="BT20" t="str">
        <v/>
      </c>
      <c r="BU20" t="str">
        <v/>
      </c>
      <c r="BV20" t="str">
        <v/>
      </c>
      <c r="BW20" t="str">
        <v/>
      </c>
      <c r="BX20" t="str">
        <v/>
      </c>
      <c r="BY20" t="str">
        <v/>
      </c>
      <c r="BZ20" t="str">
        <v/>
      </c>
      <c r="CA20" t="str">
        <v/>
      </c>
      <c r="CB20" t="str">
        <v/>
      </c>
      <c r="CC20" t="str">
        <v/>
      </c>
      <c r="CD20" t="str">
        <v/>
      </c>
      <c r="CE20" t="str">
        <v/>
      </c>
      <c r="CF20" t="str">
        <v/>
      </c>
      <c r="CG20" t="str">
        <v/>
      </c>
      <c r="CH20" t="str">
        <v/>
      </c>
      <c r="CI20" t="str">
        <v/>
      </c>
      <c r="CJ20" t="str">
        <v/>
      </c>
      <c r="CK20" t="str">
        <v/>
      </c>
      <c r="CL20" t="str">
        <v/>
      </c>
      <c r="CM20" t="str">
        <v/>
      </c>
      <c r="CN20" t="str">
        <v/>
      </c>
      <c r="CO20" t="str">
        <v/>
      </c>
      <c r="CP20" t="str">
        <v/>
      </c>
      <c r="CQ20" t="str">
        <v/>
      </c>
      <c r="CR20" t="str">
        <v/>
      </c>
      <c r="CS20" t="str">
        <v/>
      </c>
      <c r="CT20" t="str">
        <v/>
      </c>
      <c r="CU20" t="str">
        <v/>
      </c>
      <c r="CV20" t="str">
        <v/>
      </c>
      <c r="CW20" t="str">
        <v/>
      </c>
      <c r="CX20" t="str">
        <v/>
      </c>
      <c r="CY20" t="str">
        <v/>
      </c>
      <c r="CZ20" t="str">
        <v/>
      </c>
      <c r="DA20" t="str">
        <v/>
      </c>
      <c r="DB20" t="str">
        <v/>
      </c>
      <c r="DC20" t="str">
        <v/>
      </c>
      <c r="DD20" t="str">
        <v/>
      </c>
      <c r="DE20" t="str">
        <v/>
      </c>
      <c r="DF20" t="str">
        <v/>
      </c>
      <c r="DG20" t="str">
        <v/>
      </c>
      <c r="DH20" t="str">
        <v/>
      </c>
      <c r="DI20" t="str">
        <v/>
      </c>
      <c r="DJ20" t="str">
        <v/>
      </c>
      <c r="DK20" t="str">
        <v/>
      </c>
      <c r="DL20" t="str">
        <v/>
      </c>
      <c r="DM20" t="str">
        <v/>
      </c>
      <c r="DN20" t="str">
        <v/>
      </c>
      <c r="DO20" t="str">
        <v/>
      </c>
      <c r="DP20" t="str">
        <v/>
      </c>
      <c r="DQ20" t="str">
        <v/>
      </c>
      <c r="DR20" t="str">
        <v/>
      </c>
      <c r="DS20" t="str">
        <v/>
      </c>
      <c r="DT20" t="str">
        <v/>
      </c>
      <c r="DU20" t="str">
        <v/>
      </c>
      <c r="DV20" t="str">
        <v/>
      </c>
      <c r="DW20" t="str">
        <v/>
      </c>
      <c r="DX20" t="str">
        <v/>
      </c>
      <c r="DY20" t="str">
        <v/>
      </c>
      <c r="DZ20" t="str">
        <v/>
      </c>
      <c r="EA20" t="str">
        <v/>
      </c>
      <c r="EB20" t="str">
        <v/>
      </c>
      <c r="EC20" t="str">
        <v/>
      </c>
      <c r="ED20" t="str">
        <v/>
      </c>
      <c r="EE20" t="str">
        <v/>
      </c>
      <c r="EF20" t="str">
        <v/>
      </c>
      <c r="EG20" t="str">
        <v/>
      </c>
      <c r="EH20" t="str">
        <v/>
      </c>
      <c r="EI20" t="str">
        <v/>
      </c>
      <c r="EJ20" t="str">
        <v/>
      </c>
      <c r="EK20" t="str">
        <v/>
      </c>
      <c r="EL20" t="str">
        <v/>
      </c>
      <c r="EM20" t="str">
        <v/>
      </c>
      <c r="EN20" t="str">
        <v/>
      </c>
      <c r="EO20" t="str">
        <v/>
      </c>
      <c r="EP20" t="str">
        <v/>
      </c>
      <c r="EQ20" t="str">
        <v/>
      </c>
      <c r="ER20" t="str">
        <v/>
      </c>
      <c r="ES20" t="str">
        <v/>
      </c>
      <c r="ET20" t="str">
        <v/>
      </c>
      <c r="EU20" t="str">
        <v/>
      </c>
      <c r="EV20" t="str">
        <v/>
      </c>
      <c r="EW20" t="str">
        <v/>
      </c>
      <c r="EX20" t="str">
        <v/>
      </c>
      <c r="EY20" t="str">
        <v/>
      </c>
      <c r="EZ20" t="str">
        <v/>
      </c>
      <c r="FA20" t="str">
        <v/>
      </c>
      <c r="FB20" t="str">
        <v/>
      </c>
      <c r="FC20" t="str">
        <v/>
      </c>
      <c r="FD20" t="str">
        <v/>
      </c>
      <c r="FE20" t="str">
        <v/>
      </c>
      <c r="FF20" t="str">
        <v/>
      </c>
      <c r="FG20" t="str">
        <v/>
      </c>
      <c r="FH20" t="str">
        <v/>
      </c>
      <c r="FI20" t="str">
        <v/>
      </c>
      <c r="FJ20" t="str">
        <v/>
      </c>
      <c r="FK20" t="str">
        <v/>
      </c>
      <c r="FL20" t="str">
        <v/>
      </c>
      <c r="FM20" t="str">
        <v/>
      </c>
      <c r="FN20" t="str">
        <v/>
      </c>
      <c r="FO20" t="str">
        <v/>
      </c>
      <c r="FP20" t="str">
        <v/>
      </c>
      <c r="FQ20" t="str">
        <v/>
      </c>
      <c r="FR20" t="str">
        <v/>
      </c>
      <c r="FS20" t="str">
        <v/>
      </c>
      <c r="FT20" t="str">
        <v/>
      </c>
      <c r="FU20" t="str">
        <v/>
      </c>
      <c r="FV20" t="str">
        <v/>
      </c>
      <c r="FW20" t="str">
        <v/>
      </c>
      <c r="FX20" t="str">
        <v/>
      </c>
      <c r="FY20" t="str">
        <v/>
      </c>
      <c r="FZ20" t="str">
        <v/>
      </c>
      <c r="GA20" t="str">
        <v/>
      </c>
      <c r="GB20" t="str">
        <v/>
      </c>
      <c r="GC20" t="str">
        <v/>
      </c>
      <c r="GD20" t="str">
        <v/>
      </c>
      <c r="GE20" t="str">
        <v/>
      </c>
      <c r="GF20" t="str">
        <v/>
      </c>
      <c r="GG20" t="str">
        <v/>
      </c>
      <c r="GH20" t="str">
        <v/>
      </c>
      <c r="GI20" t="str">
        <v/>
      </c>
      <c r="GJ20" t="str">
        <v/>
      </c>
      <c r="GK20" t="str">
        <v/>
      </c>
      <c r="GL20" t="str">
        <v/>
      </c>
      <c r="GM20" t="str">
        <v/>
      </c>
      <c r="GN20" t="str">
        <v/>
      </c>
      <c r="GO20" t="str">
        <v/>
      </c>
      <c r="GP20" t="str">
        <v/>
      </c>
      <c r="GQ20" t="str">
        <v/>
      </c>
      <c r="GR20" t="str">
        <v/>
      </c>
      <c r="GS20" t="str">
        <v/>
      </c>
      <c r="GT20" t="str">
        <v/>
      </c>
      <c r="GU20" t="str">
        <v/>
      </c>
      <c r="GV20" t="str">
        <v/>
      </c>
      <c r="GW20" t="str">
        <v/>
      </c>
      <c r="GX20" t="str">
        <v/>
      </c>
      <c r="GY20" t="str">
        <v/>
      </c>
      <c r="GZ20" t="str">
        <v/>
      </c>
      <c r="HA20" t="str">
        <v/>
      </c>
      <c r="HB20" t="str">
        <v/>
      </c>
      <c r="HC20" t="str">
        <v/>
      </c>
      <c r="HD20" t="str">
        <v/>
      </c>
      <c r="HE20" t="str">
        <v/>
      </c>
      <c r="HF20" t="str">
        <v/>
      </c>
      <c r="HG20" t="str">
        <v/>
      </c>
      <c r="HH20" t="str">
        <v/>
      </c>
      <c r="HI20" t="str">
        <v/>
      </c>
      <c r="HJ20" t="str">
        <v/>
      </c>
      <c r="HK20" t="str">
        <v/>
      </c>
      <c r="HL20" t="str">
        <v/>
      </c>
      <c r="HM20" t="str">
        <v/>
      </c>
      <c r="HN20" t="str">
        <v/>
      </c>
      <c r="HO20" t="str">
        <v/>
      </c>
      <c r="HP20" t="str">
        <v/>
      </c>
      <c r="HQ20" t="str">
        <v/>
      </c>
      <c r="HR20" t="str">
        <v/>
      </c>
      <c r="HS20" t="str">
        <v/>
      </c>
      <c r="HT20" t="str">
        <v/>
      </c>
      <c r="HU20" t="str">
        <v/>
      </c>
      <c r="HV20" t="str">
        <v/>
      </c>
      <c r="HW20" t="str">
        <v/>
      </c>
      <c r="HX20" t="str">
        <v/>
      </c>
      <c r="HY20" t="str">
        <v/>
      </c>
      <c r="HZ20" t="str">
        <v/>
      </c>
      <c r="IA20" t="str">
        <v/>
      </c>
      <c r="IB20" t="str">
        <v/>
      </c>
      <c r="IC20" t="str">
        <v/>
      </c>
      <c r="ID20" t="str">
        <v/>
      </c>
      <c r="IE20" t="str">
        <v/>
      </c>
      <c r="IF20" t="str">
        <v/>
      </c>
      <c r="IG20" t="str">
        <v/>
      </c>
      <c r="IH20" t="str">
        <v/>
      </c>
      <c r="II20" t="str">
        <v/>
      </c>
      <c r="IJ20" t="str">
        <v/>
      </c>
      <c r="IK20" t="str">
        <v/>
      </c>
      <c r="IL20" t="str">
        <v/>
      </c>
      <c r="IM20" t="str">
        <v/>
      </c>
      <c r="IN20" t="str">
        <v/>
      </c>
      <c r="IO20" t="str">
        <v/>
      </c>
      <c r="IP20" t="str">
        <v/>
      </c>
      <c r="IQ20" t="str">
        <v/>
      </c>
      <c r="IR20" t="str">
        <v/>
      </c>
      <c r="IS20" t="str">
        <v/>
      </c>
      <c r="IT20" t="str">
        <v/>
      </c>
      <c r="IU20" t="str">
        <v/>
      </c>
      <c r="IV20" t="str">
        <v/>
      </c>
      <c r="IW20" t="str">
        <v/>
      </c>
      <c r="IX20" t="str">
        <v/>
      </c>
      <c r="IY20" t="str">
        <v/>
      </c>
      <c r="IZ20" t="str">
        <v/>
      </c>
      <c r="JA20" t="str">
        <v/>
      </c>
      <c r="JB20" t="str">
        <v/>
      </c>
      <c r="JC20" t="str">
        <v/>
      </c>
      <c r="JD20" t="str">
        <v/>
      </c>
      <c r="JE20" t="str">
        <v/>
      </c>
      <c r="JF20" t="str">
        <v/>
      </c>
      <c r="JG20" t="str">
        <v/>
      </c>
      <c r="JH20" t="str">
        <v/>
      </c>
      <c r="JI20" t="str">
        <v/>
      </c>
      <c r="JJ20" t="str">
        <v/>
      </c>
      <c r="JK20" t="str">
        <v/>
      </c>
      <c r="JL20" t="str">
        <v/>
      </c>
      <c r="JM20" t="str">
        <v/>
      </c>
      <c r="JN20" t="str">
        <v/>
      </c>
      <c r="JO20" t="str">
        <v/>
      </c>
      <c r="JP20" t="str">
        <v/>
      </c>
      <c r="JQ20" t="str">
        <v/>
      </c>
      <c r="JR20" t="str">
        <v/>
      </c>
      <c r="JS20" t="str">
        <v/>
      </c>
      <c r="JT20" t="str">
        <v/>
      </c>
      <c r="JU20" t="str">
        <v/>
      </c>
      <c r="JV20" t="str">
        <v/>
      </c>
      <c r="JW20" t="str">
        <v/>
      </c>
      <c r="JX20" t="str">
        <v/>
      </c>
      <c r="JY20" t="str">
        <v/>
      </c>
      <c r="JZ20" t="str">
        <v/>
      </c>
      <c r="KA20" t="str">
        <v/>
      </c>
      <c r="KB20" t="str">
        <v/>
      </c>
      <c r="KC20" t="str">
        <v/>
      </c>
      <c r="KD20" t="str">
        <v/>
      </c>
      <c r="KE20" t="str">
        <v/>
      </c>
      <c r="KF20" t="str">
        <v/>
      </c>
      <c r="KG20" t="str">
        <v/>
      </c>
      <c r="KH20" t="str">
        <v/>
      </c>
      <c r="KI20" t="str">
        <v/>
      </c>
      <c r="KJ20" t="str">
        <v/>
      </c>
      <c r="KK20" t="str">
        <v/>
      </c>
      <c r="KL20" t="str">
        <v/>
      </c>
      <c r="KM20" t="str">
        <v/>
      </c>
      <c r="KN20" t="str">
        <v/>
      </c>
      <c r="KO20" t="str">
        <v/>
      </c>
      <c r="KP20" t="str">
        <v/>
      </c>
      <c r="KQ20" t="str">
        <v/>
      </c>
      <c r="KR20" t="str">
        <v/>
      </c>
      <c r="KS20" t="str">
        <v/>
      </c>
      <c r="KT20" t="str">
        <v/>
      </c>
      <c r="KU20" t="str">
        <v/>
      </c>
      <c r="KV20" t="str">
        <v/>
      </c>
      <c r="KW20" t="str">
        <v/>
      </c>
      <c r="KX20" t="str">
        <v/>
      </c>
      <c r="KY20" t="str">
        <v/>
      </c>
      <c r="KZ20" t="str">
        <v/>
      </c>
      <c r="LA20" t="str">
        <v/>
      </c>
      <c r="LB20" t="str">
        <v/>
      </c>
      <c r="LC20" t="str">
        <v/>
      </c>
      <c r="LD20" t="str">
        <v/>
      </c>
      <c r="LE20" t="str">
        <v/>
      </c>
      <c r="LF20" t="str">
        <v/>
      </c>
      <c r="LG20" t="str">
        <v/>
      </c>
      <c r="LH20" t="str">
        <v/>
      </c>
      <c r="LI20" t="str">
        <v/>
      </c>
      <c r="LJ20" t="str">
        <v/>
      </c>
      <c r="LK20" t="str">
        <v/>
      </c>
      <c r="LL20" t="str">
        <v/>
      </c>
      <c r="LM20" t="str">
        <v/>
      </c>
      <c r="LN20" t="str">
        <v/>
      </c>
      <c r="LO20" t="str">
        <v/>
      </c>
      <c r="LP20" t="str">
        <v/>
      </c>
      <c r="LQ20" t="str">
        <v/>
      </c>
      <c r="LR20" t="str">
        <v/>
      </c>
      <c r="LS20" t="str">
        <v/>
      </c>
      <c r="LT20" t="str">
        <v/>
      </c>
      <c r="LU20" t="str">
        <v/>
      </c>
      <c r="LV20" t="str">
        <v/>
      </c>
      <c r="LW20" t="str">
        <v/>
      </c>
      <c r="LX20" t="str">
        <v/>
      </c>
      <c r="LY20" t="str">
        <v/>
      </c>
      <c r="LZ20" t="str">
        <v/>
      </c>
      <c r="MA20" t="str">
        <v/>
      </c>
      <c r="MB20" t="str">
        <v/>
      </c>
      <c r="MC20" t="str">
        <v/>
      </c>
      <c r="MD20" t="str">
        <v/>
      </c>
      <c r="ME20" t="str">
        <v/>
      </c>
      <c r="MF20" t="str">
        <v/>
      </c>
      <c r="MG20" t="str">
        <v/>
      </c>
      <c r="MH20" t="str">
        <v/>
      </c>
      <c r="MI20" t="str">
        <v/>
      </c>
      <c r="MJ20" t="str">
        <v/>
      </c>
      <c r="MK20" t="str">
        <v/>
      </c>
      <c r="ML20" t="str">
        <v/>
      </c>
      <c r="MM20" t="str">
        <v/>
      </c>
      <c r="MN20" t="str">
        <v/>
      </c>
      <c r="MO20" t="str">
        <v/>
      </c>
      <c r="MP20" t="str">
        <v/>
      </c>
      <c r="MQ20" t="str">
        <v/>
      </c>
      <c r="MR20" t="str">
        <v/>
      </c>
      <c r="MS20" t="str">
        <v/>
      </c>
      <c r="MT20" t="str">
        <v/>
      </c>
      <c r="MU20" t="str">
        <v/>
      </c>
      <c r="MV20" t="str">
        <v/>
      </c>
      <c r="MW20" t="str">
        <v/>
      </c>
      <c r="MX20" t="str">
        <v/>
      </c>
      <c r="MY20" t="str">
        <v/>
      </c>
      <c r="MZ20" t="str">
        <v/>
      </c>
      <c r="NA20" t="str">
        <v/>
      </c>
      <c r="NB20" t="str">
        <v/>
      </c>
      <c r="NC20" t="str">
        <v/>
      </c>
      <c r="ND20" t="str">
        <v/>
      </c>
      <c r="NE20" t="str">
        <v/>
      </c>
      <c r="NF20" t="str">
        <v/>
      </c>
      <c r="NG20" t="str">
        <v/>
      </c>
      <c r="NH20" t="str">
        <v/>
      </c>
      <c r="NI20" t="str">
        <v/>
      </c>
      <c r="NJ20" t="str">
        <v/>
      </c>
      <c r="NK20" t="str">
        <v/>
      </c>
      <c r="NL20" t="str">
        <v/>
      </c>
      <c r="NM20" t="str">
        <v/>
      </c>
      <c r="NN20" t="str">
        <v/>
      </c>
      <c r="NO20" t="str">
        <v/>
      </c>
      <c r="NP20" t="str">
        <v/>
      </c>
      <c r="NQ20" t="str">
        <v/>
      </c>
      <c r="NR20" t="str">
        <v/>
      </c>
      <c r="NS20" t="str">
        <v/>
      </c>
      <c r="NT20" t="str">
        <v/>
      </c>
      <c r="NU20" t="str">
        <v/>
      </c>
      <c r="NV20" t="str">
        <v/>
      </c>
      <c r="NW20" t="str">
        <v/>
      </c>
      <c r="NX20" t="str">
        <v/>
      </c>
      <c r="NY20" t="str">
        <v/>
      </c>
      <c r="NZ20" t="str">
        <v/>
      </c>
      <c r="OA20" t="str">
        <v/>
      </c>
      <c r="OB20" t="str">
        <v/>
      </c>
      <c r="OC20" t="str">
        <v/>
      </c>
      <c r="OD20" t="str">
        <v/>
      </c>
      <c r="OE20" t="str">
        <v/>
      </c>
    </row>
    <row r="21" spans="1:395" outlineLevel="1" x14ac:dyDescent="0.3">
      <c r="A21" s="14"/>
      <c r="C21" s="14"/>
      <c r="D21" s="119" t="s">
        <v>185</v>
      </c>
      <c r="E21" s="297">
        <v>3</v>
      </c>
      <c r="F21" s="259" t="s">
        <v>352</v>
      </c>
      <c r="G21" s="76"/>
      <c r="H21" s="76"/>
      <c r="I21" s="257"/>
      <c r="J21" s="258"/>
      <c r="K21" s="65"/>
      <c r="L21" s="55"/>
      <c r="M21" s="66"/>
      <c r="N21" t="s">
        <v>376</v>
      </c>
      <c r="O21" s="8">
        <f>P13+1</f>
        <v>46357</v>
      </c>
      <c r="P21" s="208">
        <f>EOMONTH(O21,E21)</f>
        <v>46477</v>
      </c>
      <c r="Q21" t="str" cm="1">
        <f t="array" ref="Q21:OE21">IF(((EOMONTH(O21,-1)+1)&lt;=_xlfn.ANCHORARRAY($Q$2))*(_xlfn.ANCHORARRAY($Q$2)&lt;P21)," ","")</f>
        <v/>
      </c>
      <c r="R21" t="str">
        <v/>
      </c>
      <c r="S21" t="str">
        <v/>
      </c>
      <c r="T21" t="str">
        <v/>
      </c>
      <c r="U21" t="str">
        <v/>
      </c>
      <c r="V21" t="str">
        <v/>
      </c>
      <c r="W21" t="str">
        <v xml:space="preserve"> </v>
      </c>
      <c r="X21" t="str">
        <v xml:space="preserve"> </v>
      </c>
      <c r="Y21" t="str">
        <v xml:space="preserve"> </v>
      </c>
      <c r="Z21" t="str">
        <v xml:space="preserve"> </v>
      </c>
      <c r="AA21" t="str">
        <v/>
      </c>
      <c r="AB21" t="str">
        <v/>
      </c>
      <c r="AC21" t="str">
        <v/>
      </c>
      <c r="AD21" t="str">
        <v/>
      </c>
      <c r="AE21" t="str">
        <v/>
      </c>
      <c r="AF21" t="str">
        <v/>
      </c>
      <c r="AG21" t="str">
        <v/>
      </c>
      <c r="AH21" t="str">
        <v/>
      </c>
      <c r="AI21" t="str">
        <v/>
      </c>
      <c r="AJ21" t="str">
        <v/>
      </c>
      <c r="AK21" t="str">
        <v/>
      </c>
      <c r="AL21" t="str">
        <v/>
      </c>
      <c r="AM21" t="str">
        <v/>
      </c>
      <c r="AN21" t="str">
        <v/>
      </c>
      <c r="AO21" t="str">
        <v/>
      </c>
      <c r="AP21" t="str">
        <v/>
      </c>
      <c r="AQ21" t="str">
        <v/>
      </c>
      <c r="AR21" t="str">
        <v/>
      </c>
      <c r="AS21" t="str">
        <v/>
      </c>
      <c r="AT21" t="str">
        <v/>
      </c>
      <c r="AU21" t="str">
        <v/>
      </c>
      <c r="AV21" t="str">
        <v/>
      </c>
      <c r="AW21" t="str">
        <v/>
      </c>
      <c r="AX21" t="str">
        <v/>
      </c>
      <c r="AY21" t="str">
        <v/>
      </c>
      <c r="AZ21" t="str">
        <v/>
      </c>
      <c r="BA21" t="str">
        <v/>
      </c>
      <c r="BB21" t="str">
        <v/>
      </c>
      <c r="BC21" t="str">
        <v/>
      </c>
      <c r="BD21" t="str">
        <v/>
      </c>
      <c r="BE21" t="str">
        <v/>
      </c>
      <c r="BF21" t="str">
        <v/>
      </c>
      <c r="BG21" t="str">
        <v/>
      </c>
      <c r="BH21" t="str">
        <v/>
      </c>
      <c r="BI21" t="str">
        <v/>
      </c>
      <c r="BJ21" t="str">
        <v/>
      </c>
      <c r="BK21" t="str">
        <v/>
      </c>
      <c r="BL21" t="str">
        <v/>
      </c>
      <c r="BM21" t="str">
        <v/>
      </c>
      <c r="BN21" t="str">
        <v/>
      </c>
      <c r="BO21" t="str">
        <v/>
      </c>
      <c r="BP21" t="str">
        <v/>
      </c>
      <c r="BQ21" t="str">
        <v/>
      </c>
      <c r="BR21" t="str">
        <v/>
      </c>
      <c r="BS21" t="str">
        <v/>
      </c>
      <c r="BT21" t="str">
        <v/>
      </c>
      <c r="BU21" t="str">
        <v/>
      </c>
      <c r="BV21" t="str">
        <v/>
      </c>
      <c r="BW21" t="str">
        <v/>
      </c>
      <c r="BX21" t="str">
        <v/>
      </c>
      <c r="BY21" t="str">
        <v/>
      </c>
      <c r="BZ21" t="str">
        <v/>
      </c>
      <c r="CA21" t="str">
        <v/>
      </c>
      <c r="CB21" t="str">
        <v/>
      </c>
      <c r="CC21" t="str">
        <v/>
      </c>
      <c r="CD21" t="str">
        <v/>
      </c>
      <c r="CE21" t="str">
        <v/>
      </c>
      <c r="CF21" t="str">
        <v/>
      </c>
      <c r="CG21" t="str">
        <v/>
      </c>
      <c r="CH21" t="str">
        <v/>
      </c>
      <c r="CI21" t="str">
        <v/>
      </c>
      <c r="CJ21" t="str">
        <v/>
      </c>
      <c r="CK21" t="str">
        <v/>
      </c>
      <c r="CL21" t="str">
        <v/>
      </c>
      <c r="CM21" t="str">
        <v/>
      </c>
      <c r="CN21" t="str">
        <v/>
      </c>
      <c r="CO21" t="str">
        <v/>
      </c>
      <c r="CP21" t="str">
        <v/>
      </c>
      <c r="CQ21" t="str">
        <v/>
      </c>
      <c r="CR21" t="str">
        <v/>
      </c>
      <c r="CS21" t="str">
        <v/>
      </c>
      <c r="CT21" t="str">
        <v/>
      </c>
      <c r="CU21" t="str">
        <v/>
      </c>
      <c r="CV21" t="str">
        <v/>
      </c>
      <c r="CW21" t="str">
        <v/>
      </c>
      <c r="CX21" t="str">
        <v/>
      </c>
      <c r="CY21" t="str">
        <v/>
      </c>
      <c r="CZ21" t="str">
        <v/>
      </c>
      <c r="DA21" t="str">
        <v/>
      </c>
      <c r="DB21" t="str">
        <v/>
      </c>
      <c r="DC21" t="str">
        <v/>
      </c>
      <c r="DD21" t="str">
        <v/>
      </c>
      <c r="DE21" t="str">
        <v/>
      </c>
      <c r="DF21" t="str">
        <v/>
      </c>
      <c r="DG21" t="str">
        <v/>
      </c>
      <c r="DH21" t="str">
        <v/>
      </c>
      <c r="DI21" t="str">
        <v/>
      </c>
      <c r="DJ21" t="str">
        <v/>
      </c>
      <c r="DK21" t="str">
        <v/>
      </c>
      <c r="DL21" t="str">
        <v/>
      </c>
      <c r="DM21" t="str">
        <v/>
      </c>
      <c r="DN21" t="str">
        <v/>
      </c>
      <c r="DO21" t="str">
        <v/>
      </c>
      <c r="DP21" t="str">
        <v/>
      </c>
      <c r="DQ21" t="str">
        <v/>
      </c>
      <c r="DR21" t="str">
        <v/>
      </c>
      <c r="DS21" t="str">
        <v/>
      </c>
      <c r="DT21" t="str">
        <v/>
      </c>
      <c r="DU21" t="str">
        <v/>
      </c>
      <c r="DV21" t="str">
        <v/>
      </c>
      <c r="DW21" t="str">
        <v/>
      </c>
      <c r="DX21" t="str">
        <v/>
      </c>
      <c r="DY21" t="str">
        <v/>
      </c>
      <c r="DZ21" t="str">
        <v/>
      </c>
      <c r="EA21" t="str">
        <v/>
      </c>
      <c r="EB21" t="str">
        <v/>
      </c>
      <c r="EC21" t="str">
        <v/>
      </c>
      <c r="ED21" t="str">
        <v/>
      </c>
      <c r="EE21" t="str">
        <v/>
      </c>
      <c r="EF21" t="str">
        <v/>
      </c>
      <c r="EG21" t="str">
        <v/>
      </c>
      <c r="EH21" t="str">
        <v/>
      </c>
      <c r="EI21" t="str">
        <v/>
      </c>
      <c r="EJ21" t="str">
        <v/>
      </c>
      <c r="EK21" t="str">
        <v/>
      </c>
      <c r="EL21" t="str">
        <v/>
      </c>
      <c r="EM21" t="str">
        <v/>
      </c>
      <c r="EN21" t="str">
        <v/>
      </c>
      <c r="EO21" t="str">
        <v/>
      </c>
      <c r="EP21" t="str">
        <v/>
      </c>
      <c r="EQ21" t="str">
        <v/>
      </c>
      <c r="ER21" t="str">
        <v/>
      </c>
      <c r="ES21" t="str">
        <v/>
      </c>
      <c r="ET21" t="str">
        <v/>
      </c>
      <c r="EU21" t="str">
        <v/>
      </c>
      <c r="EV21" t="str">
        <v/>
      </c>
      <c r="EW21" t="str">
        <v/>
      </c>
      <c r="EX21" t="str">
        <v/>
      </c>
      <c r="EY21" t="str">
        <v/>
      </c>
      <c r="EZ21" t="str">
        <v/>
      </c>
      <c r="FA21" t="str">
        <v/>
      </c>
      <c r="FB21" t="str">
        <v/>
      </c>
      <c r="FC21" t="str">
        <v/>
      </c>
      <c r="FD21" t="str">
        <v/>
      </c>
      <c r="FE21" t="str">
        <v/>
      </c>
      <c r="FF21" t="str">
        <v/>
      </c>
      <c r="FG21" t="str">
        <v/>
      </c>
      <c r="FH21" t="str">
        <v/>
      </c>
      <c r="FI21" t="str">
        <v/>
      </c>
      <c r="FJ21" t="str">
        <v/>
      </c>
      <c r="FK21" t="str">
        <v/>
      </c>
      <c r="FL21" t="str">
        <v/>
      </c>
      <c r="FM21" t="str">
        <v/>
      </c>
      <c r="FN21" t="str">
        <v/>
      </c>
      <c r="FO21" t="str">
        <v/>
      </c>
      <c r="FP21" t="str">
        <v/>
      </c>
      <c r="FQ21" t="str">
        <v/>
      </c>
      <c r="FR21" t="str">
        <v/>
      </c>
      <c r="FS21" t="str">
        <v/>
      </c>
      <c r="FT21" t="str">
        <v/>
      </c>
      <c r="FU21" t="str">
        <v/>
      </c>
      <c r="FV21" t="str">
        <v/>
      </c>
      <c r="FW21" t="str">
        <v/>
      </c>
      <c r="FX21" t="str">
        <v/>
      </c>
      <c r="FY21" t="str">
        <v/>
      </c>
      <c r="FZ21" t="str">
        <v/>
      </c>
      <c r="GA21" t="str">
        <v/>
      </c>
      <c r="GB21" t="str">
        <v/>
      </c>
      <c r="GC21" t="str">
        <v/>
      </c>
      <c r="GD21" t="str">
        <v/>
      </c>
      <c r="GE21" t="str">
        <v/>
      </c>
      <c r="GF21" t="str">
        <v/>
      </c>
      <c r="GG21" t="str">
        <v/>
      </c>
      <c r="GH21" t="str">
        <v/>
      </c>
      <c r="GI21" t="str">
        <v/>
      </c>
      <c r="GJ21" t="str">
        <v/>
      </c>
      <c r="GK21" t="str">
        <v/>
      </c>
      <c r="GL21" t="str">
        <v/>
      </c>
      <c r="GM21" t="str">
        <v/>
      </c>
      <c r="GN21" t="str">
        <v/>
      </c>
      <c r="GO21" t="str">
        <v/>
      </c>
      <c r="GP21" t="str">
        <v/>
      </c>
      <c r="GQ21" t="str">
        <v/>
      </c>
      <c r="GR21" t="str">
        <v/>
      </c>
      <c r="GS21" t="str">
        <v/>
      </c>
      <c r="GT21" t="str">
        <v/>
      </c>
      <c r="GU21" t="str">
        <v/>
      </c>
      <c r="GV21" t="str">
        <v/>
      </c>
      <c r="GW21" t="str">
        <v/>
      </c>
      <c r="GX21" t="str">
        <v/>
      </c>
      <c r="GY21" t="str">
        <v/>
      </c>
      <c r="GZ21" t="str">
        <v/>
      </c>
      <c r="HA21" t="str">
        <v/>
      </c>
      <c r="HB21" t="str">
        <v/>
      </c>
      <c r="HC21" t="str">
        <v/>
      </c>
      <c r="HD21" t="str">
        <v/>
      </c>
      <c r="HE21" t="str">
        <v/>
      </c>
      <c r="HF21" t="str">
        <v/>
      </c>
      <c r="HG21" t="str">
        <v/>
      </c>
      <c r="HH21" t="str">
        <v/>
      </c>
      <c r="HI21" t="str">
        <v/>
      </c>
      <c r="HJ21" t="str">
        <v/>
      </c>
      <c r="HK21" t="str">
        <v/>
      </c>
      <c r="HL21" t="str">
        <v/>
      </c>
      <c r="HM21" t="str">
        <v/>
      </c>
      <c r="HN21" t="str">
        <v/>
      </c>
      <c r="HO21" t="str">
        <v/>
      </c>
      <c r="HP21" t="str">
        <v/>
      </c>
      <c r="HQ21" t="str">
        <v/>
      </c>
      <c r="HR21" t="str">
        <v/>
      </c>
      <c r="HS21" t="str">
        <v/>
      </c>
      <c r="HT21" t="str">
        <v/>
      </c>
      <c r="HU21" t="str">
        <v/>
      </c>
      <c r="HV21" t="str">
        <v/>
      </c>
      <c r="HW21" t="str">
        <v/>
      </c>
      <c r="HX21" t="str">
        <v/>
      </c>
      <c r="HY21" t="str">
        <v/>
      </c>
      <c r="HZ21" t="str">
        <v/>
      </c>
      <c r="IA21" t="str">
        <v/>
      </c>
      <c r="IB21" t="str">
        <v/>
      </c>
      <c r="IC21" t="str">
        <v/>
      </c>
      <c r="ID21" t="str">
        <v/>
      </c>
      <c r="IE21" t="str">
        <v/>
      </c>
      <c r="IF21" t="str">
        <v/>
      </c>
      <c r="IG21" t="str">
        <v/>
      </c>
      <c r="IH21" t="str">
        <v/>
      </c>
      <c r="II21" t="str">
        <v/>
      </c>
      <c r="IJ21" t="str">
        <v/>
      </c>
      <c r="IK21" t="str">
        <v/>
      </c>
      <c r="IL21" t="str">
        <v/>
      </c>
      <c r="IM21" t="str">
        <v/>
      </c>
      <c r="IN21" t="str">
        <v/>
      </c>
      <c r="IO21" t="str">
        <v/>
      </c>
      <c r="IP21" t="str">
        <v/>
      </c>
      <c r="IQ21" t="str">
        <v/>
      </c>
      <c r="IR21" t="str">
        <v/>
      </c>
      <c r="IS21" t="str">
        <v/>
      </c>
      <c r="IT21" t="str">
        <v/>
      </c>
      <c r="IU21" t="str">
        <v/>
      </c>
      <c r="IV21" t="str">
        <v/>
      </c>
      <c r="IW21" t="str">
        <v/>
      </c>
      <c r="IX21" t="str">
        <v/>
      </c>
      <c r="IY21" t="str">
        <v/>
      </c>
      <c r="IZ21" t="str">
        <v/>
      </c>
      <c r="JA21" t="str">
        <v/>
      </c>
      <c r="JB21" t="str">
        <v/>
      </c>
      <c r="JC21" t="str">
        <v/>
      </c>
      <c r="JD21" t="str">
        <v/>
      </c>
      <c r="JE21" t="str">
        <v/>
      </c>
      <c r="JF21" t="str">
        <v/>
      </c>
      <c r="JG21" t="str">
        <v/>
      </c>
      <c r="JH21" t="str">
        <v/>
      </c>
      <c r="JI21" t="str">
        <v/>
      </c>
      <c r="JJ21" t="str">
        <v/>
      </c>
      <c r="JK21" t="str">
        <v/>
      </c>
      <c r="JL21" t="str">
        <v/>
      </c>
      <c r="JM21" t="str">
        <v/>
      </c>
      <c r="JN21" t="str">
        <v/>
      </c>
      <c r="JO21" t="str">
        <v/>
      </c>
      <c r="JP21" t="str">
        <v/>
      </c>
      <c r="JQ21" t="str">
        <v/>
      </c>
      <c r="JR21" t="str">
        <v/>
      </c>
      <c r="JS21" t="str">
        <v/>
      </c>
      <c r="JT21" t="str">
        <v/>
      </c>
      <c r="JU21" t="str">
        <v/>
      </c>
      <c r="JV21" t="str">
        <v/>
      </c>
      <c r="JW21" t="str">
        <v/>
      </c>
      <c r="JX21" t="str">
        <v/>
      </c>
      <c r="JY21" t="str">
        <v/>
      </c>
      <c r="JZ21" t="str">
        <v/>
      </c>
      <c r="KA21" t="str">
        <v/>
      </c>
      <c r="KB21" t="str">
        <v/>
      </c>
      <c r="KC21" t="str">
        <v/>
      </c>
      <c r="KD21" t="str">
        <v/>
      </c>
      <c r="KE21" t="str">
        <v/>
      </c>
      <c r="KF21" t="str">
        <v/>
      </c>
      <c r="KG21" t="str">
        <v/>
      </c>
      <c r="KH21" t="str">
        <v/>
      </c>
      <c r="KI21" t="str">
        <v/>
      </c>
      <c r="KJ21" t="str">
        <v/>
      </c>
      <c r="KK21" t="str">
        <v/>
      </c>
      <c r="KL21" t="str">
        <v/>
      </c>
      <c r="KM21" t="str">
        <v/>
      </c>
      <c r="KN21" t="str">
        <v/>
      </c>
      <c r="KO21" t="str">
        <v/>
      </c>
      <c r="KP21" t="str">
        <v/>
      </c>
      <c r="KQ21" t="str">
        <v/>
      </c>
      <c r="KR21" t="str">
        <v/>
      </c>
      <c r="KS21" t="str">
        <v/>
      </c>
      <c r="KT21" t="str">
        <v/>
      </c>
      <c r="KU21" t="str">
        <v/>
      </c>
      <c r="KV21" t="str">
        <v/>
      </c>
      <c r="KW21" t="str">
        <v/>
      </c>
      <c r="KX21" t="str">
        <v/>
      </c>
      <c r="KY21" t="str">
        <v/>
      </c>
      <c r="KZ21" t="str">
        <v/>
      </c>
      <c r="LA21" t="str">
        <v/>
      </c>
      <c r="LB21" t="str">
        <v/>
      </c>
      <c r="LC21" t="str">
        <v/>
      </c>
      <c r="LD21" t="str">
        <v/>
      </c>
      <c r="LE21" t="str">
        <v/>
      </c>
      <c r="LF21" t="str">
        <v/>
      </c>
      <c r="LG21" t="str">
        <v/>
      </c>
      <c r="LH21" t="str">
        <v/>
      </c>
      <c r="LI21" t="str">
        <v/>
      </c>
      <c r="LJ21" t="str">
        <v/>
      </c>
      <c r="LK21" t="str">
        <v/>
      </c>
      <c r="LL21" t="str">
        <v/>
      </c>
      <c r="LM21" t="str">
        <v/>
      </c>
      <c r="LN21" t="str">
        <v/>
      </c>
      <c r="LO21" t="str">
        <v/>
      </c>
      <c r="LP21" t="str">
        <v/>
      </c>
      <c r="LQ21" t="str">
        <v/>
      </c>
      <c r="LR21" t="str">
        <v/>
      </c>
      <c r="LS21" t="str">
        <v/>
      </c>
      <c r="LT21" t="str">
        <v/>
      </c>
      <c r="LU21" t="str">
        <v/>
      </c>
      <c r="LV21" t="str">
        <v/>
      </c>
      <c r="LW21" t="str">
        <v/>
      </c>
      <c r="LX21" t="str">
        <v/>
      </c>
      <c r="LY21" t="str">
        <v/>
      </c>
      <c r="LZ21" t="str">
        <v/>
      </c>
      <c r="MA21" t="str">
        <v/>
      </c>
      <c r="MB21" t="str">
        <v/>
      </c>
      <c r="MC21" t="str">
        <v/>
      </c>
      <c r="MD21" t="str">
        <v/>
      </c>
      <c r="ME21" t="str">
        <v/>
      </c>
      <c r="MF21" t="str">
        <v/>
      </c>
      <c r="MG21" t="str">
        <v/>
      </c>
      <c r="MH21" t="str">
        <v/>
      </c>
      <c r="MI21" t="str">
        <v/>
      </c>
      <c r="MJ21" t="str">
        <v/>
      </c>
      <c r="MK21" t="str">
        <v/>
      </c>
      <c r="ML21" t="str">
        <v/>
      </c>
      <c r="MM21" t="str">
        <v/>
      </c>
      <c r="MN21" t="str">
        <v/>
      </c>
      <c r="MO21" t="str">
        <v/>
      </c>
      <c r="MP21" t="str">
        <v/>
      </c>
      <c r="MQ21" t="str">
        <v/>
      </c>
      <c r="MR21" t="str">
        <v/>
      </c>
      <c r="MS21" t="str">
        <v/>
      </c>
      <c r="MT21" t="str">
        <v/>
      </c>
      <c r="MU21" t="str">
        <v/>
      </c>
      <c r="MV21" t="str">
        <v/>
      </c>
      <c r="MW21" t="str">
        <v/>
      </c>
      <c r="MX21" t="str">
        <v/>
      </c>
      <c r="MY21" t="str">
        <v/>
      </c>
      <c r="MZ21" t="str">
        <v/>
      </c>
      <c r="NA21" t="str">
        <v/>
      </c>
      <c r="NB21" t="str">
        <v/>
      </c>
      <c r="NC21" t="str">
        <v/>
      </c>
      <c r="ND21" t="str">
        <v/>
      </c>
      <c r="NE21" t="str">
        <v/>
      </c>
      <c r="NF21" t="str">
        <v/>
      </c>
      <c r="NG21" t="str">
        <v/>
      </c>
      <c r="NH21" t="str">
        <v/>
      </c>
      <c r="NI21" t="str">
        <v/>
      </c>
      <c r="NJ21" t="str">
        <v/>
      </c>
      <c r="NK21" t="str">
        <v/>
      </c>
      <c r="NL21" t="str">
        <v/>
      </c>
      <c r="NM21" t="str">
        <v/>
      </c>
      <c r="NN21" t="str">
        <v/>
      </c>
      <c r="NO21" t="str">
        <v/>
      </c>
      <c r="NP21" t="str">
        <v/>
      </c>
      <c r="NQ21" t="str">
        <v/>
      </c>
      <c r="NR21" t="str">
        <v/>
      </c>
      <c r="NS21" t="str">
        <v/>
      </c>
      <c r="NT21" t="str">
        <v/>
      </c>
      <c r="NU21" t="str">
        <v/>
      </c>
      <c r="NV21" t="str">
        <v/>
      </c>
      <c r="NW21" t="str">
        <v/>
      </c>
      <c r="NX21" t="str">
        <v/>
      </c>
      <c r="NY21" t="str">
        <v/>
      </c>
      <c r="NZ21" t="str">
        <v/>
      </c>
      <c r="OA21" t="str">
        <v/>
      </c>
      <c r="OB21" t="str">
        <v/>
      </c>
      <c r="OC21" t="str">
        <v/>
      </c>
      <c r="OD21" t="str">
        <v/>
      </c>
      <c r="OE21" t="str">
        <v/>
      </c>
    </row>
    <row r="22" spans="1:395" outlineLevel="1" x14ac:dyDescent="0.3">
      <c r="A22" s="14"/>
      <c r="C22" s="14"/>
      <c r="D22" s="119" t="s">
        <v>379</v>
      </c>
      <c r="E22" s="297">
        <v>12</v>
      </c>
      <c r="F22" s="259" t="s">
        <v>352</v>
      </c>
      <c r="G22" s="76"/>
      <c r="H22" s="76"/>
      <c r="I22" s="257"/>
      <c r="J22" s="258"/>
      <c r="K22" s="65"/>
      <c r="L22" s="55"/>
      <c r="M22" s="66"/>
      <c r="N22" t="s">
        <v>383</v>
      </c>
      <c r="O22" s="8">
        <f>EDATE(EOMONTH(O31,-1)+1,-E22)</f>
        <v>46722</v>
      </c>
      <c r="P22" s="208">
        <f>O31-1</f>
        <v>47094</v>
      </c>
      <c r="Q22" t="str" cm="1">
        <f t="array" ref="Q22:OE22">IF(((EOMONTH(O22,-1)+1)&lt;=_xlfn.ANCHORARRAY($Q$2))*(_xlfn.ANCHORARRAY($Q$2)&lt;P22)," ","")</f>
        <v/>
      </c>
      <c r="R22" t="str">
        <v/>
      </c>
      <c r="S22" t="str">
        <v/>
      </c>
      <c r="T22" t="str">
        <v/>
      </c>
      <c r="U22" t="str">
        <v/>
      </c>
      <c r="V22" t="str">
        <v/>
      </c>
      <c r="W22" t="str">
        <v/>
      </c>
      <c r="X22" t="str">
        <v/>
      </c>
      <c r="Y22" t="str">
        <v/>
      </c>
      <c r="Z22" t="str">
        <v/>
      </c>
      <c r="AA22" t="str">
        <v/>
      </c>
      <c r="AB22" t="str">
        <v/>
      </c>
      <c r="AC22" t="str">
        <v/>
      </c>
      <c r="AD22" t="str">
        <v/>
      </c>
      <c r="AE22" t="str">
        <v/>
      </c>
      <c r="AF22" t="str">
        <v/>
      </c>
      <c r="AG22" t="str">
        <v/>
      </c>
      <c r="AH22" t="str">
        <v/>
      </c>
      <c r="AI22" t="str">
        <v xml:space="preserve"> </v>
      </c>
      <c r="AJ22" t="str">
        <v xml:space="preserve"> </v>
      </c>
      <c r="AK22" t="str">
        <v xml:space="preserve"> </v>
      </c>
      <c r="AL22" t="str">
        <v xml:space="preserve"> </v>
      </c>
      <c r="AM22" t="str">
        <v xml:space="preserve"> </v>
      </c>
      <c r="AN22" t="str">
        <v xml:space="preserve"> </v>
      </c>
      <c r="AO22" t="str">
        <v xml:space="preserve"> </v>
      </c>
      <c r="AP22" t="str">
        <v xml:space="preserve"> </v>
      </c>
      <c r="AQ22" t="str">
        <v xml:space="preserve"> </v>
      </c>
      <c r="AR22" t="str">
        <v xml:space="preserve"> </v>
      </c>
      <c r="AS22" t="str">
        <v xml:space="preserve"> </v>
      </c>
      <c r="AT22" t="str">
        <v xml:space="preserve"> </v>
      </c>
      <c r="AU22" t="str">
        <v xml:space="preserve"> </v>
      </c>
      <c r="AV22" t="str">
        <v/>
      </c>
      <c r="AW22" t="str">
        <v/>
      </c>
      <c r="AX22" t="str">
        <v/>
      </c>
      <c r="AY22" t="str">
        <v/>
      </c>
      <c r="AZ22" t="str">
        <v/>
      </c>
      <c r="BA22" t="str">
        <v/>
      </c>
      <c r="BB22" t="str">
        <v/>
      </c>
      <c r="BC22" t="str">
        <v/>
      </c>
      <c r="BD22" t="str">
        <v/>
      </c>
      <c r="BE22" t="str">
        <v/>
      </c>
      <c r="BF22" t="str">
        <v/>
      </c>
      <c r="BG22" t="str">
        <v/>
      </c>
      <c r="BH22" t="str">
        <v/>
      </c>
      <c r="BI22" t="str">
        <v/>
      </c>
      <c r="BJ22" t="str">
        <v/>
      </c>
      <c r="BK22" t="str">
        <v/>
      </c>
      <c r="BL22" t="str">
        <v/>
      </c>
      <c r="BM22" t="str">
        <v/>
      </c>
      <c r="BN22" t="str">
        <v/>
      </c>
      <c r="BO22" t="str">
        <v/>
      </c>
      <c r="BP22" t="str">
        <v/>
      </c>
      <c r="BQ22" t="str">
        <v/>
      </c>
      <c r="BR22" t="str">
        <v/>
      </c>
      <c r="BS22" t="str">
        <v/>
      </c>
      <c r="BT22" t="str">
        <v/>
      </c>
      <c r="BU22" t="str">
        <v/>
      </c>
      <c r="BV22" t="str">
        <v/>
      </c>
      <c r="BW22" t="str">
        <v/>
      </c>
      <c r="BX22" t="str">
        <v/>
      </c>
      <c r="BY22" t="str">
        <v/>
      </c>
      <c r="BZ22" t="str">
        <v/>
      </c>
      <c r="CA22" t="str">
        <v/>
      </c>
      <c r="CB22" t="str">
        <v/>
      </c>
      <c r="CC22" t="str">
        <v/>
      </c>
      <c r="CD22" t="str">
        <v/>
      </c>
      <c r="CE22" t="str">
        <v/>
      </c>
      <c r="CF22" t="str">
        <v/>
      </c>
      <c r="CG22" t="str">
        <v/>
      </c>
      <c r="CH22" t="str">
        <v/>
      </c>
      <c r="CI22" t="str">
        <v/>
      </c>
      <c r="CJ22" t="str">
        <v/>
      </c>
      <c r="CK22" t="str">
        <v/>
      </c>
      <c r="CL22" t="str">
        <v/>
      </c>
      <c r="CM22" t="str">
        <v/>
      </c>
      <c r="CN22" t="str">
        <v/>
      </c>
      <c r="CO22" t="str">
        <v/>
      </c>
      <c r="CP22" t="str">
        <v/>
      </c>
      <c r="CQ22" t="str">
        <v/>
      </c>
      <c r="CR22" t="str">
        <v/>
      </c>
      <c r="CS22" t="str">
        <v/>
      </c>
      <c r="CT22" t="str">
        <v/>
      </c>
      <c r="CU22" t="str">
        <v/>
      </c>
      <c r="CV22" t="str">
        <v/>
      </c>
      <c r="CW22" t="str">
        <v/>
      </c>
      <c r="CX22" t="str">
        <v/>
      </c>
      <c r="CY22" t="str">
        <v/>
      </c>
      <c r="CZ22" t="str">
        <v/>
      </c>
      <c r="DA22" t="str">
        <v/>
      </c>
      <c r="DB22" t="str">
        <v/>
      </c>
      <c r="DC22" t="str">
        <v/>
      </c>
      <c r="DD22" t="str">
        <v/>
      </c>
      <c r="DE22" t="str">
        <v/>
      </c>
      <c r="DF22" t="str">
        <v/>
      </c>
      <c r="DG22" t="str">
        <v/>
      </c>
      <c r="DH22" t="str">
        <v/>
      </c>
      <c r="DI22" t="str">
        <v/>
      </c>
      <c r="DJ22" t="str">
        <v/>
      </c>
      <c r="DK22" t="str">
        <v/>
      </c>
      <c r="DL22" t="str">
        <v/>
      </c>
      <c r="DM22" t="str">
        <v/>
      </c>
      <c r="DN22" t="str">
        <v/>
      </c>
      <c r="DO22" t="str">
        <v/>
      </c>
      <c r="DP22" t="str">
        <v/>
      </c>
      <c r="DQ22" t="str">
        <v/>
      </c>
      <c r="DR22" t="str">
        <v/>
      </c>
      <c r="DS22" t="str">
        <v/>
      </c>
      <c r="DT22" t="str">
        <v/>
      </c>
      <c r="DU22" t="str">
        <v/>
      </c>
      <c r="DV22" t="str">
        <v/>
      </c>
      <c r="DW22" t="str">
        <v/>
      </c>
      <c r="DX22" t="str">
        <v/>
      </c>
      <c r="DY22" t="str">
        <v/>
      </c>
      <c r="DZ22" t="str">
        <v/>
      </c>
      <c r="EA22" t="str">
        <v/>
      </c>
      <c r="EB22" t="str">
        <v/>
      </c>
      <c r="EC22" t="str">
        <v/>
      </c>
      <c r="ED22" t="str">
        <v/>
      </c>
      <c r="EE22" t="str">
        <v/>
      </c>
      <c r="EF22" t="str">
        <v/>
      </c>
      <c r="EG22" t="str">
        <v/>
      </c>
      <c r="EH22" t="str">
        <v/>
      </c>
      <c r="EI22" t="str">
        <v/>
      </c>
      <c r="EJ22" t="str">
        <v/>
      </c>
      <c r="EK22" t="str">
        <v/>
      </c>
      <c r="EL22" t="str">
        <v/>
      </c>
      <c r="EM22" t="str">
        <v/>
      </c>
      <c r="EN22" t="str">
        <v/>
      </c>
      <c r="EO22" t="str">
        <v/>
      </c>
      <c r="EP22" t="str">
        <v/>
      </c>
      <c r="EQ22" t="str">
        <v/>
      </c>
      <c r="ER22" t="str">
        <v/>
      </c>
      <c r="ES22" t="str">
        <v/>
      </c>
      <c r="ET22" t="str">
        <v/>
      </c>
      <c r="EU22" t="str">
        <v/>
      </c>
      <c r="EV22" t="str">
        <v/>
      </c>
      <c r="EW22" t="str">
        <v/>
      </c>
      <c r="EX22" t="str">
        <v/>
      </c>
      <c r="EY22" t="str">
        <v/>
      </c>
      <c r="EZ22" t="str">
        <v/>
      </c>
      <c r="FA22" t="str">
        <v/>
      </c>
      <c r="FB22" t="str">
        <v/>
      </c>
      <c r="FC22" t="str">
        <v/>
      </c>
      <c r="FD22" t="str">
        <v/>
      </c>
      <c r="FE22" t="str">
        <v/>
      </c>
      <c r="FF22" t="str">
        <v/>
      </c>
      <c r="FG22" t="str">
        <v/>
      </c>
      <c r="FH22" t="str">
        <v/>
      </c>
      <c r="FI22" t="str">
        <v/>
      </c>
      <c r="FJ22" t="str">
        <v/>
      </c>
      <c r="FK22" t="str">
        <v/>
      </c>
      <c r="FL22" t="str">
        <v/>
      </c>
      <c r="FM22" t="str">
        <v/>
      </c>
      <c r="FN22" t="str">
        <v/>
      </c>
      <c r="FO22" t="str">
        <v/>
      </c>
      <c r="FP22" t="str">
        <v/>
      </c>
      <c r="FQ22" t="str">
        <v/>
      </c>
      <c r="FR22" t="str">
        <v/>
      </c>
      <c r="FS22" t="str">
        <v/>
      </c>
      <c r="FT22" t="str">
        <v/>
      </c>
      <c r="FU22" t="str">
        <v/>
      </c>
      <c r="FV22" t="str">
        <v/>
      </c>
      <c r="FW22" t="str">
        <v/>
      </c>
      <c r="FX22" t="str">
        <v/>
      </c>
      <c r="FY22" t="str">
        <v/>
      </c>
      <c r="FZ22" t="str">
        <v/>
      </c>
      <c r="GA22" t="str">
        <v/>
      </c>
      <c r="GB22" t="str">
        <v/>
      </c>
      <c r="GC22" t="str">
        <v/>
      </c>
      <c r="GD22" t="str">
        <v/>
      </c>
      <c r="GE22" t="str">
        <v/>
      </c>
      <c r="GF22" t="str">
        <v/>
      </c>
      <c r="GG22" t="str">
        <v/>
      </c>
      <c r="GH22" t="str">
        <v/>
      </c>
      <c r="GI22" t="str">
        <v/>
      </c>
      <c r="GJ22" t="str">
        <v/>
      </c>
      <c r="GK22" t="str">
        <v/>
      </c>
      <c r="GL22" t="str">
        <v/>
      </c>
      <c r="GM22" t="str">
        <v/>
      </c>
      <c r="GN22" t="str">
        <v/>
      </c>
      <c r="GO22" t="str">
        <v/>
      </c>
      <c r="GP22" t="str">
        <v/>
      </c>
      <c r="GQ22" t="str">
        <v/>
      </c>
      <c r="GR22" t="str">
        <v/>
      </c>
      <c r="GS22" t="str">
        <v/>
      </c>
      <c r="GT22" t="str">
        <v/>
      </c>
      <c r="GU22" t="str">
        <v/>
      </c>
      <c r="GV22" t="str">
        <v/>
      </c>
      <c r="GW22" t="str">
        <v/>
      </c>
      <c r="GX22" t="str">
        <v/>
      </c>
      <c r="GY22" t="str">
        <v/>
      </c>
      <c r="GZ22" t="str">
        <v/>
      </c>
      <c r="HA22" t="str">
        <v/>
      </c>
      <c r="HB22" t="str">
        <v/>
      </c>
      <c r="HC22" t="str">
        <v/>
      </c>
      <c r="HD22" t="str">
        <v/>
      </c>
      <c r="HE22" t="str">
        <v/>
      </c>
      <c r="HF22" t="str">
        <v/>
      </c>
      <c r="HG22" t="str">
        <v/>
      </c>
      <c r="HH22" t="str">
        <v/>
      </c>
      <c r="HI22" t="str">
        <v/>
      </c>
      <c r="HJ22" t="str">
        <v/>
      </c>
      <c r="HK22" t="str">
        <v/>
      </c>
      <c r="HL22" t="str">
        <v/>
      </c>
      <c r="HM22" t="str">
        <v/>
      </c>
      <c r="HN22" t="str">
        <v/>
      </c>
      <c r="HO22" t="str">
        <v/>
      </c>
      <c r="HP22" t="str">
        <v/>
      </c>
      <c r="HQ22" t="str">
        <v/>
      </c>
      <c r="HR22" t="str">
        <v/>
      </c>
      <c r="HS22" t="str">
        <v/>
      </c>
      <c r="HT22" t="str">
        <v/>
      </c>
      <c r="HU22" t="str">
        <v/>
      </c>
      <c r="HV22" t="str">
        <v/>
      </c>
      <c r="HW22" t="str">
        <v/>
      </c>
      <c r="HX22" t="str">
        <v/>
      </c>
      <c r="HY22" t="str">
        <v/>
      </c>
      <c r="HZ22" t="str">
        <v/>
      </c>
      <c r="IA22" t="str">
        <v/>
      </c>
      <c r="IB22" t="str">
        <v/>
      </c>
      <c r="IC22" t="str">
        <v/>
      </c>
      <c r="ID22" t="str">
        <v/>
      </c>
      <c r="IE22" t="str">
        <v/>
      </c>
      <c r="IF22" t="str">
        <v/>
      </c>
      <c r="IG22" t="str">
        <v/>
      </c>
      <c r="IH22" t="str">
        <v/>
      </c>
      <c r="II22" t="str">
        <v/>
      </c>
      <c r="IJ22" t="str">
        <v/>
      </c>
      <c r="IK22" t="str">
        <v/>
      </c>
      <c r="IL22" t="str">
        <v/>
      </c>
      <c r="IM22" t="str">
        <v/>
      </c>
      <c r="IN22" t="str">
        <v/>
      </c>
      <c r="IO22" t="str">
        <v/>
      </c>
      <c r="IP22" t="str">
        <v/>
      </c>
      <c r="IQ22" t="str">
        <v/>
      </c>
      <c r="IR22" t="str">
        <v/>
      </c>
      <c r="IS22" t="str">
        <v/>
      </c>
      <c r="IT22" t="str">
        <v/>
      </c>
      <c r="IU22" t="str">
        <v/>
      </c>
      <c r="IV22" t="str">
        <v/>
      </c>
      <c r="IW22" t="str">
        <v/>
      </c>
      <c r="IX22" t="str">
        <v/>
      </c>
      <c r="IY22" t="str">
        <v/>
      </c>
      <c r="IZ22" t="str">
        <v/>
      </c>
      <c r="JA22" t="str">
        <v/>
      </c>
      <c r="JB22" t="str">
        <v/>
      </c>
      <c r="JC22" t="str">
        <v/>
      </c>
      <c r="JD22" t="str">
        <v/>
      </c>
      <c r="JE22" t="str">
        <v/>
      </c>
      <c r="JF22" t="str">
        <v/>
      </c>
      <c r="JG22" t="str">
        <v/>
      </c>
      <c r="JH22" t="str">
        <v/>
      </c>
      <c r="JI22" t="str">
        <v/>
      </c>
      <c r="JJ22" t="str">
        <v/>
      </c>
      <c r="JK22" t="str">
        <v/>
      </c>
      <c r="JL22" t="str">
        <v/>
      </c>
      <c r="JM22" t="str">
        <v/>
      </c>
      <c r="JN22" t="str">
        <v/>
      </c>
      <c r="JO22" t="str">
        <v/>
      </c>
      <c r="JP22" t="str">
        <v/>
      </c>
      <c r="JQ22" t="str">
        <v/>
      </c>
      <c r="JR22" t="str">
        <v/>
      </c>
      <c r="JS22" t="str">
        <v/>
      </c>
      <c r="JT22" t="str">
        <v/>
      </c>
      <c r="JU22" t="str">
        <v/>
      </c>
      <c r="JV22" t="str">
        <v/>
      </c>
      <c r="JW22" t="str">
        <v/>
      </c>
      <c r="JX22" t="str">
        <v/>
      </c>
      <c r="JY22" t="str">
        <v/>
      </c>
      <c r="JZ22" t="str">
        <v/>
      </c>
      <c r="KA22" t="str">
        <v/>
      </c>
      <c r="KB22" t="str">
        <v/>
      </c>
      <c r="KC22" t="str">
        <v/>
      </c>
      <c r="KD22" t="str">
        <v/>
      </c>
      <c r="KE22" t="str">
        <v/>
      </c>
      <c r="KF22" t="str">
        <v/>
      </c>
      <c r="KG22" t="str">
        <v/>
      </c>
      <c r="KH22" t="str">
        <v/>
      </c>
      <c r="KI22" t="str">
        <v/>
      </c>
      <c r="KJ22" t="str">
        <v/>
      </c>
      <c r="KK22" t="str">
        <v/>
      </c>
      <c r="KL22" t="str">
        <v/>
      </c>
      <c r="KM22" t="str">
        <v/>
      </c>
      <c r="KN22" t="str">
        <v/>
      </c>
      <c r="KO22" t="str">
        <v/>
      </c>
      <c r="KP22" t="str">
        <v/>
      </c>
      <c r="KQ22" t="str">
        <v/>
      </c>
      <c r="KR22" t="str">
        <v/>
      </c>
      <c r="KS22" t="str">
        <v/>
      </c>
      <c r="KT22" t="str">
        <v/>
      </c>
      <c r="KU22" t="str">
        <v/>
      </c>
      <c r="KV22" t="str">
        <v/>
      </c>
      <c r="KW22" t="str">
        <v/>
      </c>
      <c r="KX22" t="str">
        <v/>
      </c>
      <c r="KY22" t="str">
        <v/>
      </c>
      <c r="KZ22" t="str">
        <v/>
      </c>
      <c r="LA22" t="str">
        <v/>
      </c>
      <c r="LB22" t="str">
        <v/>
      </c>
      <c r="LC22" t="str">
        <v/>
      </c>
      <c r="LD22" t="str">
        <v/>
      </c>
      <c r="LE22" t="str">
        <v/>
      </c>
      <c r="LF22" t="str">
        <v/>
      </c>
      <c r="LG22" t="str">
        <v/>
      </c>
      <c r="LH22" t="str">
        <v/>
      </c>
      <c r="LI22" t="str">
        <v/>
      </c>
      <c r="LJ22" t="str">
        <v/>
      </c>
      <c r="LK22" t="str">
        <v/>
      </c>
      <c r="LL22" t="str">
        <v/>
      </c>
      <c r="LM22" t="str">
        <v/>
      </c>
      <c r="LN22" t="str">
        <v/>
      </c>
      <c r="LO22" t="str">
        <v/>
      </c>
      <c r="LP22" t="str">
        <v/>
      </c>
      <c r="LQ22" t="str">
        <v/>
      </c>
      <c r="LR22" t="str">
        <v/>
      </c>
      <c r="LS22" t="str">
        <v/>
      </c>
      <c r="LT22" t="str">
        <v/>
      </c>
      <c r="LU22" t="str">
        <v/>
      </c>
      <c r="LV22" t="str">
        <v/>
      </c>
      <c r="LW22" t="str">
        <v/>
      </c>
      <c r="LX22" t="str">
        <v/>
      </c>
      <c r="LY22" t="str">
        <v/>
      </c>
      <c r="LZ22" t="str">
        <v/>
      </c>
      <c r="MA22" t="str">
        <v/>
      </c>
      <c r="MB22" t="str">
        <v/>
      </c>
      <c r="MC22" t="str">
        <v/>
      </c>
      <c r="MD22" t="str">
        <v/>
      </c>
      <c r="ME22" t="str">
        <v/>
      </c>
      <c r="MF22" t="str">
        <v/>
      </c>
      <c r="MG22" t="str">
        <v/>
      </c>
      <c r="MH22" t="str">
        <v/>
      </c>
      <c r="MI22" t="str">
        <v/>
      </c>
      <c r="MJ22" t="str">
        <v/>
      </c>
      <c r="MK22" t="str">
        <v/>
      </c>
      <c r="ML22" t="str">
        <v/>
      </c>
      <c r="MM22" t="str">
        <v/>
      </c>
      <c r="MN22" t="str">
        <v/>
      </c>
      <c r="MO22" t="str">
        <v/>
      </c>
      <c r="MP22" t="str">
        <v/>
      </c>
      <c r="MQ22" t="str">
        <v/>
      </c>
      <c r="MR22" t="str">
        <v/>
      </c>
      <c r="MS22" t="str">
        <v/>
      </c>
      <c r="MT22" t="str">
        <v/>
      </c>
      <c r="MU22" t="str">
        <v/>
      </c>
      <c r="MV22" t="str">
        <v/>
      </c>
      <c r="MW22" t="str">
        <v/>
      </c>
      <c r="MX22" t="str">
        <v/>
      </c>
      <c r="MY22" t="str">
        <v/>
      </c>
      <c r="MZ22" t="str">
        <v/>
      </c>
      <c r="NA22" t="str">
        <v/>
      </c>
      <c r="NB22" t="str">
        <v/>
      </c>
      <c r="NC22" t="str">
        <v/>
      </c>
      <c r="ND22" t="str">
        <v/>
      </c>
      <c r="NE22" t="str">
        <v/>
      </c>
      <c r="NF22" t="str">
        <v/>
      </c>
      <c r="NG22" t="str">
        <v/>
      </c>
      <c r="NH22" t="str">
        <v/>
      </c>
      <c r="NI22" t="str">
        <v/>
      </c>
      <c r="NJ22" t="str">
        <v/>
      </c>
      <c r="NK22" t="str">
        <v/>
      </c>
      <c r="NL22" t="str">
        <v/>
      </c>
      <c r="NM22" t="str">
        <v/>
      </c>
      <c r="NN22" t="str">
        <v/>
      </c>
      <c r="NO22" t="str">
        <v/>
      </c>
      <c r="NP22" t="str">
        <v/>
      </c>
      <c r="NQ22" t="str">
        <v/>
      </c>
      <c r="NR22" t="str">
        <v/>
      </c>
      <c r="NS22" t="str">
        <v/>
      </c>
      <c r="NT22" t="str">
        <v/>
      </c>
      <c r="NU22" t="str">
        <v/>
      </c>
      <c r="NV22" t="str">
        <v/>
      </c>
      <c r="NW22" t="str">
        <v/>
      </c>
      <c r="NX22" t="str">
        <v/>
      </c>
      <c r="NY22" t="str">
        <v/>
      </c>
      <c r="NZ22" t="str">
        <v/>
      </c>
      <c r="OA22" t="str">
        <v/>
      </c>
      <c r="OB22" t="str">
        <v/>
      </c>
      <c r="OC22" t="str">
        <v/>
      </c>
      <c r="OD22" t="str">
        <v/>
      </c>
      <c r="OE22" t="str">
        <v/>
      </c>
    </row>
    <row r="23" spans="1:395" outlineLevel="1" x14ac:dyDescent="0.3">
      <c r="A23" s="14"/>
      <c r="C23" s="14"/>
      <c r="D23" s="119" t="s">
        <v>384</v>
      </c>
      <c r="E23" s="297">
        <v>3</v>
      </c>
      <c r="F23" s="259" t="s">
        <v>352</v>
      </c>
      <c r="G23" s="76"/>
      <c r="H23" s="76"/>
      <c r="I23" s="257"/>
      <c r="J23" s="258"/>
      <c r="K23" s="65"/>
      <c r="L23" s="55"/>
      <c r="M23" s="66"/>
      <c r="N23" t="s">
        <v>384</v>
      </c>
      <c r="O23" s="8">
        <f>P13+1</f>
        <v>46357</v>
      </c>
      <c r="P23" s="208">
        <f>EOMONTH(O23,E23)</f>
        <v>46477</v>
      </c>
      <c r="Q23" t="str" cm="1">
        <f t="array" ref="Q23:OE23">IF(((EOMONTH(O23,-1)+1)&lt;=_xlfn.ANCHORARRAY($Q$2))*(_xlfn.ANCHORARRAY($Q$2)&lt;P23)," ","")</f>
        <v/>
      </c>
      <c r="R23" t="str">
        <v/>
      </c>
      <c r="S23" t="str">
        <v/>
      </c>
      <c r="T23" t="str">
        <v/>
      </c>
      <c r="U23" t="str">
        <v/>
      </c>
      <c r="V23" t="str">
        <v/>
      </c>
      <c r="W23" t="str">
        <v xml:space="preserve"> </v>
      </c>
      <c r="X23" t="str">
        <v xml:space="preserve"> </v>
      </c>
      <c r="Y23" t="str">
        <v xml:space="preserve"> </v>
      </c>
      <c r="Z23" t="str">
        <v xml:space="preserve"> </v>
      </c>
      <c r="AA23" t="str">
        <v/>
      </c>
      <c r="AB23" t="str">
        <v/>
      </c>
      <c r="AC23" t="str">
        <v/>
      </c>
      <c r="AD23" t="str">
        <v/>
      </c>
      <c r="AE23" t="str">
        <v/>
      </c>
      <c r="AF23" t="str">
        <v/>
      </c>
      <c r="AG23" t="str">
        <v/>
      </c>
      <c r="AH23" t="str">
        <v/>
      </c>
      <c r="AI23" t="str">
        <v/>
      </c>
      <c r="AJ23" t="str">
        <v/>
      </c>
      <c r="AK23" t="str">
        <v/>
      </c>
      <c r="AL23" t="str">
        <v/>
      </c>
      <c r="AM23" t="str">
        <v/>
      </c>
      <c r="AN23" t="str">
        <v/>
      </c>
      <c r="AO23" t="str">
        <v/>
      </c>
      <c r="AP23" t="str">
        <v/>
      </c>
      <c r="AQ23" t="str">
        <v/>
      </c>
      <c r="AR23" t="str">
        <v/>
      </c>
      <c r="AS23" t="str">
        <v/>
      </c>
      <c r="AT23" t="str">
        <v/>
      </c>
      <c r="AU23" t="str">
        <v/>
      </c>
      <c r="AV23" t="str">
        <v/>
      </c>
      <c r="AW23" t="str">
        <v/>
      </c>
      <c r="AX23" t="str">
        <v/>
      </c>
      <c r="AY23" t="str">
        <v/>
      </c>
      <c r="AZ23" t="str">
        <v/>
      </c>
      <c r="BA23" t="str">
        <v/>
      </c>
      <c r="BB23" t="str">
        <v/>
      </c>
      <c r="BC23" t="str">
        <v/>
      </c>
      <c r="BD23" t="str">
        <v/>
      </c>
      <c r="BE23" t="str">
        <v/>
      </c>
      <c r="BF23" t="str">
        <v/>
      </c>
      <c r="BG23" t="str">
        <v/>
      </c>
      <c r="BH23" t="str">
        <v/>
      </c>
      <c r="BI23" t="str">
        <v/>
      </c>
      <c r="BJ23" t="str">
        <v/>
      </c>
      <c r="BK23" t="str">
        <v/>
      </c>
      <c r="BL23" t="str">
        <v/>
      </c>
      <c r="BM23" t="str">
        <v/>
      </c>
      <c r="BN23" t="str">
        <v/>
      </c>
      <c r="BO23" t="str">
        <v/>
      </c>
      <c r="BP23" t="str">
        <v/>
      </c>
      <c r="BQ23" t="str">
        <v/>
      </c>
      <c r="BR23" t="str">
        <v/>
      </c>
      <c r="BS23" t="str">
        <v/>
      </c>
      <c r="BT23" t="str">
        <v/>
      </c>
      <c r="BU23" t="str">
        <v/>
      </c>
      <c r="BV23" t="str">
        <v/>
      </c>
      <c r="BW23" t="str">
        <v/>
      </c>
      <c r="BX23" t="str">
        <v/>
      </c>
      <c r="BY23" t="str">
        <v/>
      </c>
      <c r="BZ23" t="str">
        <v/>
      </c>
      <c r="CA23" t="str">
        <v/>
      </c>
      <c r="CB23" t="str">
        <v/>
      </c>
      <c r="CC23" t="str">
        <v/>
      </c>
      <c r="CD23" t="str">
        <v/>
      </c>
      <c r="CE23" t="str">
        <v/>
      </c>
      <c r="CF23" t="str">
        <v/>
      </c>
      <c r="CG23" t="str">
        <v/>
      </c>
      <c r="CH23" t="str">
        <v/>
      </c>
      <c r="CI23" t="str">
        <v/>
      </c>
      <c r="CJ23" t="str">
        <v/>
      </c>
      <c r="CK23" t="str">
        <v/>
      </c>
      <c r="CL23" t="str">
        <v/>
      </c>
      <c r="CM23" t="str">
        <v/>
      </c>
      <c r="CN23" t="str">
        <v/>
      </c>
      <c r="CO23" t="str">
        <v/>
      </c>
      <c r="CP23" t="str">
        <v/>
      </c>
      <c r="CQ23" t="str">
        <v/>
      </c>
      <c r="CR23" t="str">
        <v/>
      </c>
      <c r="CS23" t="str">
        <v/>
      </c>
      <c r="CT23" t="str">
        <v/>
      </c>
      <c r="CU23" t="str">
        <v/>
      </c>
      <c r="CV23" t="str">
        <v/>
      </c>
      <c r="CW23" t="str">
        <v/>
      </c>
      <c r="CX23" t="str">
        <v/>
      </c>
      <c r="CY23" t="str">
        <v/>
      </c>
      <c r="CZ23" t="str">
        <v/>
      </c>
      <c r="DA23" t="str">
        <v/>
      </c>
      <c r="DB23" t="str">
        <v/>
      </c>
      <c r="DC23" t="str">
        <v/>
      </c>
      <c r="DD23" t="str">
        <v/>
      </c>
      <c r="DE23" t="str">
        <v/>
      </c>
      <c r="DF23" t="str">
        <v/>
      </c>
      <c r="DG23" t="str">
        <v/>
      </c>
      <c r="DH23" t="str">
        <v/>
      </c>
      <c r="DI23" t="str">
        <v/>
      </c>
      <c r="DJ23" t="str">
        <v/>
      </c>
      <c r="DK23" t="str">
        <v/>
      </c>
      <c r="DL23" t="str">
        <v/>
      </c>
      <c r="DM23" t="str">
        <v/>
      </c>
      <c r="DN23" t="str">
        <v/>
      </c>
      <c r="DO23" t="str">
        <v/>
      </c>
      <c r="DP23" t="str">
        <v/>
      </c>
      <c r="DQ23" t="str">
        <v/>
      </c>
      <c r="DR23" t="str">
        <v/>
      </c>
      <c r="DS23" t="str">
        <v/>
      </c>
      <c r="DT23" t="str">
        <v/>
      </c>
      <c r="DU23" t="str">
        <v/>
      </c>
      <c r="DV23" t="str">
        <v/>
      </c>
      <c r="DW23" t="str">
        <v/>
      </c>
      <c r="DX23" t="str">
        <v/>
      </c>
      <c r="DY23" t="str">
        <v/>
      </c>
      <c r="DZ23" t="str">
        <v/>
      </c>
      <c r="EA23" t="str">
        <v/>
      </c>
      <c r="EB23" t="str">
        <v/>
      </c>
      <c r="EC23" t="str">
        <v/>
      </c>
      <c r="ED23" t="str">
        <v/>
      </c>
      <c r="EE23" t="str">
        <v/>
      </c>
      <c r="EF23" t="str">
        <v/>
      </c>
      <c r="EG23" t="str">
        <v/>
      </c>
      <c r="EH23" t="str">
        <v/>
      </c>
      <c r="EI23" t="str">
        <v/>
      </c>
      <c r="EJ23" t="str">
        <v/>
      </c>
      <c r="EK23" t="str">
        <v/>
      </c>
      <c r="EL23" t="str">
        <v/>
      </c>
      <c r="EM23" t="str">
        <v/>
      </c>
      <c r="EN23" t="str">
        <v/>
      </c>
      <c r="EO23" t="str">
        <v/>
      </c>
      <c r="EP23" t="str">
        <v/>
      </c>
      <c r="EQ23" t="str">
        <v/>
      </c>
      <c r="ER23" t="str">
        <v/>
      </c>
      <c r="ES23" t="str">
        <v/>
      </c>
      <c r="ET23" t="str">
        <v/>
      </c>
      <c r="EU23" t="str">
        <v/>
      </c>
      <c r="EV23" t="str">
        <v/>
      </c>
      <c r="EW23" t="str">
        <v/>
      </c>
      <c r="EX23" t="str">
        <v/>
      </c>
      <c r="EY23" t="str">
        <v/>
      </c>
      <c r="EZ23" t="str">
        <v/>
      </c>
      <c r="FA23" t="str">
        <v/>
      </c>
      <c r="FB23" t="str">
        <v/>
      </c>
      <c r="FC23" t="str">
        <v/>
      </c>
      <c r="FD23" t="str">
        <v/>
      </c>
      <c r="FE23" t="str">
        <v/>
      </c>
      <c r="FF23" t="str">
        <v/>
      </c>
      <c r="FG23" t="str">
        <v/>
      </c>
      <c r="FH23" t="str">
        <v/>
      </c>
      <c r="FI23" t="str">
        <v/>
      </c>
      <c r="FJ23" t="str">
        <v/>
      </c>
      <c r="FK23" t="str">
        <v/>
      </c>
      <c r="FL23" t="str">
        <v/>
      </c>
      <c r="FM23" t="str">
        <v/>
      </c>
      <c r="FN23" t="str">
        <v/>
      </c>
      <c r="FO23" t="str">
        <v/>
      </c>
      <c r="FP23" t="str">
        <v/>
      </c>
      <c r="FQ23" t="str">
        <v/>
      </c>
      <c r="FR23" t="str">
        <v/>
      </c>
      <c r="FS23" t="str">
        <v/>
      </c>
      <c r="FT23" t="str">
        <v/>
      </c>
      <c r="FU23" t="str">
        <v/>
      </c>
      <c r="FV23" t="str">
        <v/>
      </c>
      <c r="FW23" t="str">
        <v/>
      </c>
      <c r="FX23" t="str">
        <v/>
      </c>
      <c r="FY23" t="str">
        <v/>
      </c>
      <c r="FZ23" t="str">
        <v/>
      </c>
      <c r="GA23" t="str">
        <v/>
      </c>
      <c r="GB23" t="str">
        <v/>
      </c>
      <c r="GC23" t="str">
        <v/>
      </c>
      <c r="GD23" t="str">
        <v/>
      </c>
      <c r="GE23" t="str">
        <v/>
      </c>
      <c r="GF23" t="str">
        <v/>
      </c>
      <c r="GG23" t="str">
        <v/>
      </c>
      <c r="GH23" t="str">
        <v/>
      </c>
      <c r="GI23" t="str">
        <v/>
      </c>
      <c r="GJ23" t="str">
        <v/>
      </c>
      <c r="GK23" t="str">
        <v/>
      </c>
      <c r="GL23" t="str">
        <v/>
      </c>
      <c r="GM23" t="str">
        <v/>
      </c>
      <c r="GN23" t="str">
        <v/>
      </c>
      <c r="GO23" t="str">
        <v/>
      </c>
      <c r="GP23" t="str">
        <v/>
      </c>
      <c r="GQ23" t="str">
        <v/>
      </c>
      <c r="GR23" t="str">
        <v/>
      </c>
      <c r="GS23" t="str">
        <v/>
      </c>
      <c r="GT23" t="str">
        <v/>
      </c>
      <c r="GU23" t="str">
        <v/>
      </c>
      <c r="GV23" t="str">
        <v/>
      </c>
      <c r="GW23" t="str">
        <v/>
      </c>
      <c r="GX23" t="str">
        <v/>
      </c>
      <c r="GY23" t="str">
        <v/>
      </c>
      <c r="GZ23" t="str">
        <v/>
      </c>
      <c r="HA23" t="str">
        <v/>
      </c>
      <c r="HB23" t="str">
        <v/>
      </c>
      <c r="HC23" t="str">
        <v/>
      </c>
      <c r="HD23" t="str">
        <v/>
      </c>
      <c r="HE23" t="str">
        <v/>
      </c>
      <c r="HF23" t="str">
        <v/>
      </c>
      <c r="HG23" t="str">
        <v/>
      </c>
      <c r="HH23" t="str">
        <v/>
      </c>
      <c r="HI23" t="str">
        <v/>
      </c>
      <c r="HJ23" t="str">
        <v/>
      </c>
      <c r="HK23" t="str">
        <v/>
      </c>
      <c r="HL23" t="str">
        <v/>
      </c>
      <c r="HM23" t="str">
        <v/>
      </c>
      <c r="HN23" t="str">
        <v/>
      </c>
      <c r="HO23" t="str">
        <v/>
      </c>
      <c r="HP23" t="str">
        <v/>
      </c>
      <c r="HQ23" t="str">
        <v/>
      </c>
      <c r="HR23" t="str">
        <v/>
      </c>
      <c r="HS23" t="str">
        <v/>
      </c>
      <c r="HT23" t="str">
        <v/>
      </c>
      <c r="HU23" t="str">
        <v/>
      </c>
      <c r="HV23" t="str">
        <v/>
      </c>
      <c r="HW23" t="str">
        <v/>
      </c>
      <c r="HX23" t="str">
        <v/>
      </c>
      <c r="HY23" t="str">
        <v/>
      </c>
      <c r="HZ23" t="str">
        <v/>
      </c>
      <c r="IA23" t="str">
        <v/>
      </c>
      <c r="IB23" t="str">
        <v/>
      </c>
      <c r="IC23" t="str">
        <v/>
      </c>
      <c r="ID23" t="str">
        <v/>
      </c>
      <c r="IE23" t="str">
        <v/>
      </c>
      <c r="IF23" t="str">
        <v/>
      </c>
      <c r="IG23" t="str">
        <v/>
      </c>
      <c r="IH23" t="str">
        <v/>
      </c>
      <c r="II23" t="str">
        <v/>
      </c>
      <c r="IJ23" t="str">
        <v/>
      </c>
      <c r="IK23" t="str">
        <v/>
      </c>
      <c r="IL23" t="str">
        <v/>
      </c>
      <c r="IM23" t="str">
        <v/>
      </c>
      <c r="IN23" t="str">
        <v/>
      </c>
      <c r="IO23" t="str">
        <v/>
      </c>
      <c r="IP23" t="str">
        <v/>
      </c>
      <c r="IQ23" t="str">
        <v/>
      </c>
      <c r="IR23" t="str">
        <v/>
      </c>
      <c r="IS23" t="str">
        <v/>
      </c>
      <c r="IT23" t="str">
        <v/>
      </c>
      <c r="IU23" t="str">
        <v/>
      </c>
      <c r="IV23" t="str">
        <v/>
      </c>
      <c r="IW23" t="str">
        <v/>
      </c>
      <c r="IX23" t="str">
        <v/>
      </c>
      <c r="IY23" t="str">
        <v/>
      </c>
      <c r="IZ23" t="str">
        <v/>
      </c>
      <c r="JA23" t="str">
        <v/>
      </c>
      <c r="JB23" t="str">
        <v/>
      </c>
      <c r="JC23" t="str">
        <v/>
      </c>
      <c r="JD23" t="str">
        <v/>
      </c>
      <c r="JE23" t="str">
        <v/>
      </c>
      <c r="JF23" t="str">
        <v/>
      </c>
      <c r="JG23" t="str">
        <v/>
      </c>
      <c r="JH23" t="str">
        <v/>
      </c>
      <c r="JI23" t="str">
        <v/>
      </c>
      <c r="JJ23" t="str">
        <v/>
      </c>
      <c r="JK23" t="str">
        <v/>
      </c>
      <c r="JL23" t="str">
        <v/>
      </c>
      <c r="JM23" t="str">
        <v/>
      </c>
      <c r="JN23" t="str">
        <v/>
      </c>
      <c r="JO23" t="str">
        <v/>
      </c>
      <c r="JP23" t="str">
        <v/>
      </c>
      <c r="JQ23" t="str">
        <v/>
      </c>
      <c r="JR23" t="str">
        <v/>
      </c>
      <c r="JS23" t="str">
        <v/>
      </c>
      <c r="JT23" t="str">
        <v/>
      </c>
      <c r="JU23" t="str">
        <v/>
      </c>
      <c r="JV23" t="str">
        <v/>
      </c>
      <c r="JW23" t="str">
        <v/>
      </c>
      <c r="JX23" t="str">
        <v/>
      </c>
      <c r="JY23" t="str">
        <v/>
      </c>
      <c r="JZ23" t="str">
        <v/>
      </c>
      <c r="KA23" t="str">
        <v/>
      </c>
      <c r="KB23" t="str">
        <v/>
      </c>
      <c r="KC23" t="str">
        <v/>
      </c>
      <c r="KD23" t="str">
        <v/>
      </c>
      <c r="KE23" t="str">
        <v/>
      </c>
      <c r="KF23" t="str">
        <v/>
      </c>
      <c r="KG23" t="str">
        <v/>
      </c>
      <c r="KH23" t="str">
        <v/>
      </c>
      <c r="KI23" t="str">
        <v/>
      </c>
      <c r="KJ23" t="str">
        <v/>
      </c>
      <c r="KK23" t="str">
        <v/>
      </c>
      <c r="KL23" t="str">
        <v/>
      </c>
      <c r="KM23" t="str">
        <v/>
      </c>
      <c r="KN23" t="str">
        <v/>
      </c>
      <c r="KO23" t="str">
        <v/>
      </c>
      <c r="KP23" t="str">
        <v/>
      </c>
      <c r="KQ23" t="str">
        <v/>
      </c>
      <c r="KR23" t="str">
        <v/>
      </c>
      <c r="KS23" t="str">
        <v/>
      </c>
      <c r="KT23" t="str">
        <v/>
      </c>
      <c r="KU23" t="str">
        <v/>
      </c>
      <c r="KV23" t="str">
        <v/>
      </c>
      <c r="KW23" t="str">
        <v/>
      </c>
      <c r="KX23" t="str">
        <v/>
      </c>
      <c r="KY23" t="str">
        <v/>
      </c>
      <c r="KZ23" t="str">
        <v/>
      </c>
      <c r="LA23" t="str">
        <v/>
      </c>
      <c r="LB23" t="str">
        <v/>
      </c>
      <c r="LC23" t="str">
        <v/>
      </c>
      <c r="LD23" t="str">
        <v/>
      </c>
      <c r="LE23" t="str">
        <v/>
      </c>
      <c r="LF23" t="str">
        <v/>
      </c>
      <c r="LG23" t="str">
        <v/>
      </c>
      <c r="LH23" t="str">
        <v/>
      </c>
      <c r="LI23" t="str">
        <v/>
      </c>
      <c r="LJ23" t="str">
        <v/>
      </c>
      <c r="LK23" t="str">
        <v/>
      </c>
      <c r="LL23" t="str">
        <v/>
      </c>
      <c r="LM23" t="str">
        <v/>
      </c>
      <c r="LN23" t="str">
        <v/>
      </c>
      <c r="LO23" t="str">
        <v/>
      </c>
      <c r="LP23" t="str">
        <v/>
      </c>
      <c r="LQ23" t="str">
        <v/>
      </c>
      <c r="LR23" t="str">
        <v/>
      </c>
      <c r="LS23" t="str">
        <v/>
      </c>
      <c r="LT23" t="str">
        <v/>
      </c>
      <c r="LU23" t="str">
        <v/>
      </c>
      <c r="LV23" t="str">
        <v/>
      </c>
      <c r="LW23" t="str">
        <v/>
      </c>
      <c r="LX23" t="str">
        <v/>
      </c>
      <c r="LY23" t="str">
        <v/>
      </c>
      <c r="LZ23" t="str">
        <v/>
      </c>
      <c r="MA23" t="str">
        <v/>
      </c>
      <c r="MB23" t="str">
        <v/>
      </c>
      <c r="MC23" t="str">
        <v/>
      </c>
      <c r="MD23" t="str">
        <v/>
      </c>
      <c r="ME23" t="str">
        <v/>
      </c>
      <c r="MF23" t="str">
        <v/>
      </c>
      <c r="MG23" t="str">
        <v/>
      </c>
      <c r="MH23" t="str">
        <v/>
      </c>
      <c r="MI23" t="str">
        <v/>
      </c>
      <c r="MJ23" t="str">
        <v/>
      </c>
      <c r="MK23" t="str">
        <v/>
      </c>
      <c r="ML23" t="str">
        <v/>
      </c>
      <c r="MM23" t="str">
        <v/>
      </c>
      <c r="MN23" t="str">
        <v/>
      </c>
      <c r="MO23" t="str">
        <v/>
      </c>
      <c r="MP23" t="str">
        <v/>
      </c>
      <c r="MQ23" t="str">
        <v/>
      </c>
      <c r="MR23" t="str">
        <v/>
      </c>
      <c r="MS23" t="str">
        <v/>
      </c>
      <c r="MT23" t="str">
        <v/>
      </c>
      <c r="MU23" t="str">
        <v/>
      </c>
      <c r="MV23" t="str">
        <v/>
      </c>
      <c r="MW23" t="str">
        <v/>
      </c>
      <c r="MX23" t="str">
        <v/>
      </c>
      <c r="MY23" t="str">
        <v/>
      </c>
      <c r="MZ23" t="str">
        <v/>
      </c>
      <c r="NA23" t="str">
        <v/>
      </c>
      <c r="NB23" t="str">
        <v/>
      </c>
      <c r="NC23" t="str">
        <v/>
      </c>
      <c r="ND23" t="str">
        <v/>
      </c>
      <c r="NE23" t="str">
        <v/>
      </c>
      <c r="NF23" t="str">
        <v/>
      </c>
      <c r="NG23" t="str">
        <v/>
      </c>
      <c r="NH23" t="str">
        <v/>
      </c>
      <c r="NI23" t="str">
        <v/>
      </c>
      <c r="NJ23" t="str">
        <v/>
      </c>
      <c r="NK23" t="str">
        <v/>
      </c>
      <c r="NL23" t="str">
        <v/>
      </c>
      <c r="NM23" t="str">
        <v/>
      </c>
      <c r="NN23" t="str">
        <v/>
      </c>
      <c r="NO23" t="str">
        <v/>
      </c>
      <c r="NP23" t="str">
        <v/>
      </c>
      <c r="NQ23" t="str">
        <v/>
      </c>
      <c r="NR23" t="str">
        <v/>
      </c>
      <c r="NS23" t="str">
        <v/>
      </c>
      <c r="NT23" t="str">
        <v/>
      </c>
      <c r="NU23" t="str">
        <v/>
      </c>
      <c r="NV23" t="str">
        <v/>
      </c>
      <c r="NW23" t="str">
        <v/>
      </c>
      <c r="NX23" t="str">
        <v/>
      </c>
      <c r="NY23" t="str">
        <v/>
      </c>
      <c r="NZ23" t="str">
        <v/>
      </c>
      <c r="OA23" t="str">
        <v/>
      </c>
      <c r="OB23" t="str">
        <v/>
      </c>
      <c r="OC23" t="str">
        <v/>
      </c>
      <c r="OD23" t="str">
        <v/>
      </c>
      <c r="OE23" t="str">
        <v/>
      </c>
    </row>
    <row r="24" spans="1:395" outlineLevel="1" x14ac:dyDescent="0.3">
      <c r="A24" s="14"/>
      <c r="C24" s="14"/>
      <c r="D24" s="119" t="s">
        <v>191</v>
      </c>
      <c r="E24" s="297">
        <v>3</v>
      </c>
      <c r="F24" s="259" t="s">
        <v>352</v>
      </c>
      <c r="G24" s="76"/>
      <c r="H24" s="76"/>
      <c r="I24" s="257"/>
      <c r="J24" s="258"/>
      <c r="K24" s="65"/>
      <c r="L24" s="55"/>
      <c r="M24" s="66"/>
      <c r="N24" t="s">
        <v>191</v>
      </c>
      <c r="O24" s="8">
        <f>P13+1</f>
        <v>46357</v>
      </c>
      <c r="P24" s="208">
        <f>EOMONTH(O24,E24)</f>
        <v>46477</v>
      </c>
      <c r="Q24" t="str" cm="1">
        <f t="array" ref="Q24:OE24">IF(((EOMONTH(O24,-1)+1)&lt;=_xlfn.ANCHORARRAY($Q$2))*(_xlfn.ANCHORARRAY($Q$2)&lt;P24)," ","")</f>
        <v/>
      </c>
      <c r="R24" t="str">
        <v/>
      </c>
      <c r="S24" t="str">
        <v/>
      </c>
      <c r="T24" t="str">
        <v/>
      </c>
      <c r="U24" t="str">
        <v/>
      </c>
      <c r="V24" t="str">
        <v/>
      </c>
      <c r="W24" t="str">
        <v xml:space="preserve"> </v>
      </c>
      <c r="X24" t="str">
        <v xml:space="preserve"> </v>
      </c>
      <c r="Y24" t="str">
        <v xml:space="preserve"> </v>
      </c>
      <c r="Z24" t="str">
        <v xml:space="preserve"> </v>
      </c>
      <c r="AA24" t="str">
        <v/>
      </c>
      <c r="AB24" t="str">
        <v/>
      </c>
      <c r="AC24" t="str">
        <v/>
      </c>
      <c r="AD24" t="str">
        <v/>
      </c>
      <c r="AE24" t="str">
        <v/>
      </c>
      <c r="AF24" t="str">
        <v/>
      </c>
      <c r="AG24" t="str">
        <v/>
      </c>
      <c r="AH24" t="str">
        <v/>
      </c>
      <c r="AI24" t="str">
        <v/>
      </c>
      <c r="AJ24" t="str">
        <v/>
      </c>
      <c r="AK24" t="str">
        <v/>
      </c>
      <c r="AL24" t="str">
        <v/>
      </c>
      <c r="AM24" t="str">
        <v/>
      </c>
      <c r="AN24" t="str">
        <v/>
      </c>
      <c r="AO24" t="str">
        <v/>
      </c>
      <c r="AP24" t="str">
        <v/>
      </c>
      <c r="AQ24" t="str">
        <v/>
      </c>
      <c r="AR24" t="str">
        <v/>
      </c>
      <c r="AS24" t="str">
        <v/>
      </c>
      <c r="AT24" t="str">
        <v/>
      </c>
      <c r="AU24" t="str">
        <v/>
      </c>
      <c r="AV24" t="str">
        <v/>
      </c>
      <c r="AW24" t="str">
        <v/>
      </c>
      <c r="AX24" t="str">
        <v/>
      </c>
      <c r="AY24" t="str">
        <v/>
      </c>
      <c r="AZ24" t="str">
        <v/>
      </c>
      <c r="BA24" t="str">
        <v/>
      </c>
      <c r="BB24" t="str">
        <v/>
      </c>
      <c r="BC24" t="str">
        <v/>
      </c>
      <c r="BD24" t="str">
        <v/>
      </c>
      <c r="BE24" t="str">
        <v/>
      </c>
      <c r="BF24" t="str">
        <v/>
      </c>
      <c r="BG24" t="str">
        <v/>
      </c>
      <c r="BH24" t="str">
        <v/>
      </c>
      <c r="BI24" t="str">
        <v/>
      </c>
      <c r="BJ24" t="str">
        <v/>
      </c>
      <c r="BK24" t="str">
        <v/>
      </c>
      <c r="BL24" t="str">
        <v/>
      </c>
      <c r="BM24" t="str">
        <v/>
      </c>
      <c r="BN24" t="str">
        <v/>
      </c>
      <c r="BO24" t="str">
        <v/>
      </c>
      <c r="BP24" t="str">
        <v/>
      </c>
      <c r="BQ24" t="str">
        <v/>
      </c>
      <c r="BR24" t="str">
        <v/>
      </c>
      <c r="BS24" t="str">
        <v/>
      </c>
      <c r="BT24" t="str">
        <v/>
      </c>
      <c r="BU24" t="str">
        <v/>
      </c>
      <c r="BV24" t="str">
        <v/>
      </c>
      <c r="BW24" t="str">
        <v/>
      </c>
      <c r="BX24" t="str">
        <v/>
      </c>
      <c r="BY24" t="str">
        <v/>
      </c>
      <c r="BZ24" t="str">
        <v/>
      </c>
      <c r="CA24" t="str">
        <v/>
      </c>
      <c r="CB24" t="str">
        <v/>
      </c>
      <c r="CC24" t="str">
        <v/>
      </c>
      <c r="CD24" t="str">
        <v/>
      </c>
      <c r="CE24" t="str">
        <v/>
      </c>
      <c r="CF24" t="str">
        <v/>
      </c>
      <c r="CG24" t="str">
        <v/>
      </c>
      <c r="CH24" t="str">
        <v/>
      </c>
      <c r="CI24" t="str">
        <v/>
      </c>
      <c r="CJ24" t="str">
        <v/>
      </c>
      <c r="CK24" t="str">
        <v/>
      </c>
      <c r="CL24" t="str">
        <v/>
      </c>
      <c r="CM24" t="str">
        <v/>
      </c>
      <c r="CN24" t="str">
        <v/>
      </c>
      <c r="CO24" t="str">
        <v/>
      </c>
      <c r="CP24" t="str">
        <v/>
      </c>
      <c r="CQ24" t="str">
        <v/>
      </c>
      <c r="CR24" t="str">
        <v/>
      </c>
      <c r="CS24" t="str">
        <v/>
      </c>
      <c r="CT24" t="str">
        <v/>
      </c>
      <c r="CU24" t="str">
        <v/>
      </c>
      <c r="CV24" t="str">
        <v/>
      </c>
      <c r="CW24" t="str">
        <v/>
      </c>
      <c r="CX24" t="str">
        <v/>
      </c>
      <c r="CY24" t="str">
        <v/>
      </c>
      <c r="CZ24" t="str">
        <v/>
      </c>
      <c r="DA24" t="str">
        <v/>
      </c>
      <c r="DB24" t="str">
        <v/>
      </c>
      <c r="DC24" t="str">
        <v/>
      </c>
      <c r="DD24" t="str">
        <v/>
      </c>
      <c r="DE24" t="str">
        <v/>
      </c>
      <c r="DF24" t="str">
        <v/>
      </c>
      <c r="DG24" t="str">
        <v/>
      </c>
      <c r="DH24" t="str">
        <v/>
      </c>
      <c r="DI24" t="str">
        <v/>
      </c>
      <c r="DJ24" t="str">
        <v/>
      </c>
      <c r="DK24" t="str">
        <v/>
      </c>
      <c r="DL24" t="str">
        <v/>
      </c>
      <c r="DM24" t="str">
        <v/>
      </c>
      <c r="DN24" t="str">
        <v/>
      </c>
      <c r="DO24" t="str">
        <v/>
      </c>
      <c r="DP24" t="str">
        <v/>
      </c>
      <c r="DQ24" t="str">
        <v/>
      </c>
      <c r="DR24" t="str">
        <v/>
      </c>
      <c r="DS24" t="str">
        <v/>
      </c>
      <c r="DT24" t="str">
        <v/>
      </c>
      <c r="DU24" t="str">
        <v/>
      </c>
      <c r="DV24" t="str">
        <v/>
      </c>
      <c r="DW24" t="str">
        <v/>
      </c>
      <c r="DX24" t="str">
        <v/>
      </c>
      <c r="DY24" t="str">
        <v/>
      </c>
      <c r="DZ24" t="str">
        <v/>
      </c>
      <c r="EA24" t="str">
        <v/>
      </c>
      <c r="EB24" t="str">
        <v/>
      </c>
      <c r="EC24" t="str">
        <v/>
      </c>
      <c r="ED24" t="str">
        <v/>
      </c>
      <c r="EE24" t="str">
        <v/>
      </c>
      <c r="EF24" t="str">
        <v/>
      </c>
      <c r="EG24" t="str">
        <v/>
      </c>
      <c r="EH24" t="str">
        <v/>
      </c>
      <c r="EI24" t="str">
        <v/>
      </c>
      <c r="EJ24" t="str">
        <v/>
      </c>
      <c r="EK24" t="str">
        <v/>
      </c>
      <c r="EL24" t="str">
        <v/>
      </c>
      <c r="EM24" t="str">
        <v/>
      </c>
      <c r="EN24" t="str">
        <v/>
      </c>
      <c r="EO24" t="str">
        <v/>
      </c>
      <c r="EP24" t="str">
        <v/>
      </c>
      <c r="EQ24" t="str">
        <v/>
      </c>
      <c r="ER24" t="str">
        <v/>
      </c>
      <c r="ES24" t="str">
        <v/>
      </c>
      <c r="ET24" t="str">
        <v/>
      </c>
      <c r="EU24" t="str">
        <v/>
      </c>
      <c r="EV24" t="str">
        <v/>
      </c>
      <c r="EW24" t="str">
        <v/>
      </c>
      <c r="EX24" t="str">
        <v/>
      </c>
      <c r="EY24" t="str">
        <v/>
      </c>
      <c r="EZ24" t="str">
        <v/>
      </c>
      <c r="FA24" t="str">
        <v/>
      </c>
      <c r="FB24" t="str">
        <v/>
      </c>
      <c r="FC24" t="str">
        <v/>
      </c>
      <c r="FD24" t="str">
        <v/>
      </c>
      <c r="FE24" t="str">
        <v/>
      </c>
      <c r="FF24" t="str">
        <v/>
      </c>
      <c r="FG24" t="str">
        <v/>
      </c>
      <c r="FH24" t="str">
        <v/>
      </c>
      <c r="FI24" t="str">
        <v/>
      </c>
      <c r="FJ24" t="str">
        <v/>
      </c>
      <c r="FK24" t="str">
        <v/>
      </c>
      <c r="FL24" t="str">
        <v/>
      </c>
      <c r="FM24" t="str">
        <v/>
      </c>
      <c r="FN24" t="str">
        <v/>
      </c>
      <c r="FO24" t="str">
        <v/>
      </c>
      <c r="FP24" t="str">
        <v/>
      </c>
      <c r="FQ24" t="str">
        <v/>
      </c>
      <c r="FR24" t="str">
        <v/>
      </c>
      <c r="FS24" t="str">
        <v/>
      </c>
      <c r="FT24" t="str">
        <v/>
      </c>
      <c r="FU24" t="str">
        <v/>
      </c>
      <c r="FV24" t="str">
        <v/>
      </c>
      <c r="FW24" t="str">
        <v/>
      </c>
      <c r="FX24" t="str">
        <v/>
      </c>
      <c r="FY24" t="str">
        <v/>
      </c>
      <c r="FZ24" t="str">
        <v/>
      </c>
      <c r="GA24" t="str">
        <v/>
      </c>
      <c r="GB24" t="str">
        <v/>
      </c>
      <c r="GC24" t="str">
        <v/>
      </c>
      <c r="GD24" t="str">
        <v/>
      </c>
      <c r="GE24" t="str">
        <v/>
      </c>
      <c r="GF24" t="str">
        <v/>
      </c>
      <c r="GG24" t="str">
        <v/>
      </c>
      <c r="GH24" t="str">
        <v/>
      </c>
      <c r="GI24" t="str">
        <v/>
      </c>
      <c r="GJ24" t="str">
        <v/>
      </c>
      <c r="GK24" t="str">
        <v/>
      </c>
      <c r="GL24" t="str">
        <v/>
      </c>
      <c r="GM24" t="str">
        <v/>
      </c>
      <c r="GN24" t="str">
        <v/>
      </c>
      <c r="GO24" t="str">
        <v/>
      </c>
      <c r="GP24" t="str">
        <v/>
      </c>
      <c r="GQ24" t="str">
        <v/>
      </c>
      <c r="GR24" t="str">
        <v/>
      </c>
      <c r="GS24" t="str">
        <v/>
      </c>
      <c r="GT24" t="str">
        <v/>
      </c>
      <c r="GU24" t="str">
        <v/>
      </c>
      <c r="GV24" t="str">
        <v/>
      </c>
      <c r="GW24" t="str">
        <v/>
      </c>
      <c r="GX24" t="str">
        <v/>
      </c>
      <c r="GY24" t="str">
        <v/>
      </c>
      <c r="GZ24" t="str">
        <v/>
      </c>
      <c r="HA24" t="str">
        <v/>
      </c>
      <c r="HB24" t="str">
        <v/>
      </c>
      <c r="HC24" t="str">
        <v/>
      </c>
      <c r="HD24" t="str">
        <v/>
      </c>
      <c r="HE24" t="str">
        <v/>
      </c>
      <c r="HF24" t="str">
        <v/>
      </c>
      <c r="HG24" t="str">
        <v/>
      </c>
      <c r="HH24" t="str">
        <v/>
      </c>
      <c r="HI24" t="str">
        <v/>
      </c>
      <c r="HJ24" t="str">
        <v/>
      </c>
      <c r="HK24" t="str">
        <v/>
      </c>
      <c r="HL24" t="str">
        <v/>
      </c>
      <c r="HM24" t="str">
        <v/>
      </c>
      <c r="HN24" t="str">
        <v/>
      </c>
      <c r="HO24" t="str">
        <v/>
      </c>
      <c r="HP24" t="str">
        <v/>
      </c>
      <c r="HQ24" t="str">
        <v/>
      </c>
      <c r="HR24" t="str">
        <v/>
      </c>
      <c r="HS24" t="str">
        <v/>
      </c>
      <c r="HT24" t="str">
        <v/>
      </c>
      <c r="HU24" t="str">
        <v/>
      </c>
      <c r="HV24" t="str">
        <v/>
      </c>
      <c r="HW24" t="str">
        <v/>
      </c>
      <c r="HX24" t="str">
        <v/>
      </c>
      <c r="HY24" t="str">
        <v/>
      </c>
      <c r="HZ24" t="str">
        <v/>
      </c>
      <c r="IA24" t="str">
        <v/>
      </c>
      <c r="IB24" t="str">
        <v/>
      </c>
      <c r="IC24" t="str">
        <v/>
      </c>
      <c r="ID24" t="str">
        <v/>
      </c>
      <c r="IE24" t="str">
        <v/>
      </c>
      <c r="IF24" t="str">
        <v/>
      </c>
      <c r="IG24" t="str">
        <v/>
      </c>
      <c r="IH24" t="str">
        <v/>
      </c>
      <c r="II24" t="str">
        <v/>
      </c>
      <c r="IJ24" t="str">
        <v/>
      </c>
      <c r="IK24" t="str">
        <v/>
      </c>
      <c r="IL24" t="str">
        <v/>
      </c>
      <c r="IM24" t="str">
        <v/>
      </c>
      <c r="IN24" t="str">
        <v/>
      </c>
      <c r="IO24" t="str">
        <v/>
      </c>
      <c r="IP24" t="str">
        <v/>
      </c>
      <c r="IQ24" t="str">
        <v/>
      </c>
      <c r="IR24" t="str">
        <v/>
      </c>
      <c r="IS24" t="str">
        <v/>
      </c>
      <c r="IT24" t="str">
        <v/>
      </c>
      <c r="IU24" t="str">
        <v/>
      </c>
      <c r="IV24" t="str">
        <v/>
      </c>
      <c r="IW24" t="str">
        <v/>
      </c>
      <c r="IX24" t="str">
        <v/>
      </c>
      <c r="IY24" t="str">
        <v/>
      </c>
      <c r="IZ24" t="str">
        <v/>
      </c>
      <c r="JA24" t="str">
        <v/>
      </c>
      <c r="JB24" t="str">
        <v/>
      </c>
      <c r="JC24" t="str">
        <v/>
      </c>
      <c r="JD24" t="str">
        <v/>
      </c>
      <c r="JE24" t="str">
        <v/>
      </c>
      <c r="JF24" t="str">
        <v/>
      </c>
      <c r="JG24" t="str">
        <v/>
      </c>
      <c r="JH24" t="str">
        <v/>
      </c>
      <c r="JI24" t="str">
        <v/>
      </c>
      <c r="JJ24" t="str">
        <v/>
      </c>
      <c r="JK24" t="str">
        <v/>
      </c>
      <c r="JL24" t="str">
        <v/>
      </c>
      <c r="JM24" t="str">
        <v/>
      </c>
      <c r="JN24" t="str">
        <v/>
      </c>
      <c r="JO24" t="str">
        <v/>
      </c>
      <c r="JP24" t="str">
        <v/>
      </c>
      <c r="JQ24" t="str">
        <v/>
      </c>
      <c r="JR24" t="str">
        <v/>
      </c>
      <c r="JS24" t="str">
        <v/>
      </c>
      <c r="JT24" t="str">
        <v/>
      </c>
      <c r="JU24" t="str">
        <v/>
      </c>
      <c r="JV24" t="str">
        <v/>
      </c>
      <c r="JW24" t="str">
        <v/>
      </c>
      <c r="JX24" t="str">
        <v/>
      </c>
      <c r="JY24" t="str">
        <v/>
      </c>
      <c r="JZ24" t="str">
        <v/>
      </c>
      <c r="KA24" t="str">
        <v/>
      </c>
      <c r="KB24" t="str">
        <v/>
      </c>
      <c r="KC24" t="str">
        <v/>
      </c>
      <c r="KD24" t="str">
        <v/>
      </c>
      <c r="KE24" t="str">
        <v/>
      </c>
      <c r="KF24" t="str">
        <v/>
      </c>
      <c r="KG24" t="str">
        <v/>
      </c>
      <c r="KH24" t="str">
        <v/>
      </c>
      <c r="KI24" t="str">
        <v/>
      </c>
      <c r="KJ24" t="str">
        <v/>
      </c>
      <c r="KK24" t="str">
        <v/>
      </c>
      <c r="KL24" t="str">
        <v/>
      </c>
      <c r="KM24" t="str">
        <v/>
      </c>
      <c r="KN24" t="str">
        <v/>
      </c>
      <c r="KO24" t="str">
        <v/>
      </c>
      <c r="KP24" t="str">
        <v/>
      </c>
      <c r="KQ24" t="str">
        <v/>
      </c>
      <c r="KR24" t="str">
        <v/>
      </c>
      <c r="KS24" t="str">
        <v/>
      </c>
      <c r="KT24" t="str">
        <v/>
      </c>
      <c r="KU24" t="str">
        <v/>
      </c>
      <c r="KV24" t="str">
        <v/>
      </c>
      <c r="KW24" t="str">
        <v/>
      </c>
      <c r="KX24" t="str">
        <v/>
      </c>
      <c r="KY24" t="str">
        <v/>
      </c>
      <c r="KZ24" t="str">
        <v/>
      </c>
      <c r="LA24" t="str">
        <v/>
      </c>
      <c r="LB24" t="str">
        <v/>
      </c>
      <c r="LC24" t="str">
        <v/>
      </c>
      <c r="LD24" t="str">
        <v/>
      </c>
      <c r="LE24" t="str">
        <v/>
      </c>
      <c r="LF24" t="str">
        <v/>
      </c>
      <c r="LG24" t="str">
        <v/>
      </c>
      <c r="LH24" t="str">
        <v/>
      </c>
      <c r="LI24" t="str">
        <v/>
      </c>
      <c r="LJ24" t="str">
        <v/>
      </c>
      <c r="LK24" t="str">
        <v/>
      </c>
      <c r="LL24" t="str">
        <v/>
      </c>
      <c r="LM24" t="str">
        <v/>
      </c>
      <c r="LN24" t="str">
        <v/>
      </c>
      <c r="LO24" t="str">
        <v/>
      </c>
      <c r="LP24" t="str">
        <v/>
      </c>
      <c r="LQ24" t="str">
        <v/>
      </c>
      <c r="LR24" t="str">
        <v/>
      </c>
      <c r="LS24" t="str">
        <v/>
      </c>
      <c r="LT24" t="str">
        <v/>
      </c>
      <c r="LU24" t="str">
        <v/>
      </c>
      <c r="LV24" t="str">
        <v/>
      </c>
      <c r="LW24" t="str">
        <v/>
      </c>
      <c r="LX24" t="str">
        <v/>
      </c>
      <c r="LY24" t="str">
        <v/>
      </c>
      <c r="LZ24" t="str">
        <v/>
      </c>
      <c r="MA24" t="str">
        <v/>
      </c>
      <c r="MB24" t="str">
        <v/>
      </c>
      <c r="MC24" t="str">
        <v/>
      </c>
      <c r="MD24" t="str">
        <v/>
      </c>
      <c r="ME24" t="str">
        <v/>
      </c>
      <c r="MF24" t="str">
        <v/>
      </c>
      <c r="MG24" t="str">
        <v/>
      </c>
      <c r="MH24" t="str">
        <v/>
      </c>
      <c r="MI24" t="str">
        <v/>
      </c>
      <c r="MJ24" t="str">
        <v/>
      </c>
      <c r="MK24" t="str">
        <v/>
      </c>
      <c r="ML24" t="str">
        <v/>
      </c>
      <c r="MM24" t="str">
        <v/>
      </c>
      <c r="MN24" t="str">
        <v/>
      </c>
      <c r="MO24" t="str">
        <v/>
      </c>
      <c r="MP24" t="str">
        <v/>
      </c>
      <c r="MQ24" t="str">
        <v/>
      </c>
      <c r="MR24" t="str">
        <v/>
      </c>
      <c r="MS24" t="str">
        <v/>
      </c>
      <c r="MT24" t="str">
        <v/>
      </c>
      <c r="MU24" t="str">
        <v/>
      </c>
      <c r="MV24" t="str">
        <v/>
      </c>
      <c r="MW24" t="str">
        <v/>
      </c>
      <c r="MX24" t="str">
        <v/>
      </c>
      <c r="MY24" t="str">
        <v/>
      </c>
      <c r="MZ24" t="str">
        <v/>
      </c>
      <c r="NA24" t="str">
        <v/>
      </c>
      <c r="NB24" t="str">
        <v/>
      </c>
      <c r="NC24" t="str">
        <v/>
      </c>
      <c r="ND24" t="str">
        <v/>
      </c>
      <c r="NE24" t="str">
        <v/>
      </c>
      <c r="NF24" t="str">
        <v/>
      </c>
      <c r="NG24" t="str">
        <v/>
      </c>
      <c r="NH24" t="str">
        <v/>
      </c>
      <c r="NI24" t="str">
        <v/>
      </c>
      <c r="NJ24" t="str">
        <v/>
      </c>
      <c r="NK24" t="str">
        <v/>
      </c>
      <c r="NL24" t="str">
        <v/>
      </c>
      <c r="NM24" t="str">
        <v/>
      </c>
      <c r="NN24" t="str">
        <v/>
      </c>
      <c r="NO24" t="str">
        <v/>
      </c>
      <c r="NP24" t="str">
        <v/>
      </c>
      <c r="NQ24" t="str">
        <v/>
      </c>
      <c r="NR24" t="str">
        <v/>
      </c>
      <c r="NS24" t="str">
        <v/>
      </c>
      <c r="NT24" t="str">
        <v/>
      </c>
      <c r="NU24" t="str">
        <v/>
      </c>
      <c r="NV24" t="str">
        <v/>
      </c>
      <c r="NW24" t="str">
        <v/>
      </c>
      <c r="NX24" t="str">
        <v/>
      </c>
      <c r="NY24" t="str">
        <v/>
      </c>
      <c r="NZ24" t="str">
        <v/>
      </c>
      <c r="OA24" t="str">
        <v/>
      </c>
      <c r="OB24" t="str">
        <v/>
      </c>
      <c r="OC24" t="str">
        <v/>
      </c>
      <c r="OD24" t="str">
        <v/>
      </c>
      <c r="OE24" t="str">
        <v/>
      </c>
    </row>
    <row r="25" spans="1:395" outlineLevel="1" x14ac:dyDescent="0.3">
      <c r="A25" s="14"/>
      <c r="C25" s="14"/>
      <c r="D25" s="119" t="s">
        <v>184</v>
      </c>
      <c r="E25" s="297">
        <v>3</v>
      </c>
      <c r="F25" s="259" t="s">
        <v>352</v>
      </c>
      <c r="G25" s="76"/>
      <c r="H25" s="76"/>
      <c r="I25" s="257"/>
      <c r="J25" s="258"/>
      <c r="K25" s="65"/>
      <c r="L25" s="55"/>
      <c r="M25" s="66"/>
      <c r="N25" t="s">
        <v>184</v>
      </c>
      <c r="O25" s="8">
        <f>P19+1</f>
        <v>47088</v>
      </c>
      <c r="P25" s="208">
        <f>EOMONTH(O25,E25)</f>
        <v>47208</v>
      </c>
      <c r="Q25" t="str" cm="1">
        <f t="array" ref="Q25:OE25">IF(((EOMONTH(O25,-1)+1)&lt;=_xlfn.ANCHORARRAY($Q$2))*(_xlfn.ANCHORARRAY($Q$2)&lt;P25)," ","")</f>
        <v/>
      </c>
      <c r="R25" t="str">
        <v/>
      </c>
      <c r="S25" t="str">
        <v/>
      </c>
      <c r="T25" t="str">
        <v/>
      </c>
      <c r="U25" t="str">
        <v/>
      </c>
      <c r="V25" t="str">
        <v/>
      </c>
      <c r="W25" t="str">
        <v/>
      </c>
      <c r="X25" t="str">
        <v/>
      </c>
      <c r="Y25" t="str">
        <v/>
      </c>
      <c r="Z25" t="str">
        <v/>
      </c>
      <c r="AA25" t="str">
        <v/>
      </c>
      <c r="AB25" t="str">
        <v/>
      </c>
      <c r="AC25" t="str">
        <v/>
      </c>
      <c r="AD25" t="str">
        <v/>
      </c>
      <c r="AE25" t="str">
        <v/>
      </c>
      <c r="AF25" t="str">
        <v/>
      </c>
      <c r="AG25" t="str">
        <v/>
      </c>
      <c r="AH25" t="str">
        <v/>
      </c>
      <c r="AI25" t="str">
        <v/>
      </c>
      <c r="AJ25" t="str">
        <v/>
      </c>
      <c r="AK25" t="str">
        <v/>
      </c>
      <c r="AL25" t="str">
        <v/>
      </c>
      <c r="AM25" t="str">
        <v/>
      </c>
      <c r="AN25" t="str">
        <v/>
      </c>
      <c r="AO25" t="str">
        <v/>
      </c>
      <c r="AP25" t="str">
        <v/>
      </c>
      <c r="AQ25" t="str">
        <v/>
      </c>
      <c r="AR25" t="str">
        <v/>
      </c>
      <c r="AS25" t="str">
        <v/>
      </c>
      <c r="AT25" t="str">
        <v/>
      </c>
      <c r="AU25" t="str">
        <v xml:space="preserve"> </v>
      </c>
      <c r="AV25" t="str">
        <v xml:space="preserve"> </v>
      </c>
      <c r="AW25" t="str">
        <v xml:space="preserve"> </v>
      </c>
      <c r="AX25" t="str">
        <v xml:space="preserve"> </v>
      </c>
      <c r="AY25" t="str">
        <v/>
      </c>
      <c r="AZ25" t="str">
        <v/>
      </c>
      <c r="BA25" t="str">
        <v/>
      </c>
      <c r="BB25" t="str">
        <v/>
      </c>
      <c r="BC25" t="str">
        <v/>
      </c>
      <c r="BD25" t="str">
        <v/>
      </c>
      <c r="BE25" t="str">
        <v/>
      </c>
      <c r="BF25" t="str">
        <v/>
      </c>
      <c r="BG25" t="str">
        <v/>
      </c>
      <c r="BH25" t="str">
        <v/>
      </c>
      <c r="BI25" t="str">
        <v/>
      </c>
      <c r="BJ25" t="str">
        <v/>
      </c>
      <c r="BK25" t="str">
        <v/>
      </c>
      <c r="BL25" t="str">
        <v/>
      </c>
      <c r="BM25" t="str">
        <v/>
      </c>
      <c r="BN25" t="str">
        <v/>
      </c>
      <c r="BO25" t="str">
        <v/>
      </c>
      <c r="BP25" t="str">
        <v/>
      </c>
      <c r="BQ25" t="str">
        <v/>
      </c>
      <c r="BR25" t="str">
        <v/>
      </c>
      <c r="BS25" t="str">
        <v/>
      </c>
      <c r="BT25" t="str">
        <v/>
      </c>
      <c r="BU25" t="str">
        <v/>
      </c>
      <c r="BV25" t="str">
        <v/>
      </c>
      <c r="BW25" t="str">
        <v/>
      </c>
      <c r="BX25" t="str">
        <v/>
      </c>
      <c r="BY25" t="str">
        <v/>
      </c>
      <c r="BZ25" t="str">
        <v/>
      </c>
      <c r="CA25" t="str">
        <v/>
      </c>
      <c r="CB25" t="str">
        <v/>
      </c>
      <c r="CC25" t="str">
        <v/>
      </c>
      <c r="CD25" t="str">
        <v/>
      </c>
      <c r="CE25" t="str">
        <v/>
      </c>
      <c r="CF25" t="str">
        <v/>
      </c>
      <c r="CG25" t="str">
        <v/>
      </c>
      <c r="CH25" t="str">
        <v/>
      </c>
      <c r="CI25" t="str">
        <v/>
      </c>
      <c r="CJ25" t="str">
        <v/>
      </c>
      <c r="CK25" t="str">
        <v/>
      </c>
      <c r="CL25" t="str">
        <v/>
      </c>
      <c r="CM25" t="str">
        <v/>
      </c>
      <c r="CN25" t="str">
        <v/>
      </c>
      <c r="CO25" t="str">
        <v/>
      </c>
      <c r="CP25" t="str">
        <v/>
      </c>
      <c r="CQ25" t="str">
        <v/>
      </c>
      <c r="CR25" t="str">
        <v/>
      </c>
      <c r="CS25" t="str">
        <v/>
      </c>
      <c r="CT25" t="str">
        <v/>
      </c>
      <c r="CU25" t="str">
        <v/>
      </c>
      <c r="CV25" t="str">
        <v/>
      </c>
      <c r="CW25" t="str">
        <v/>
      </c>
      <c r="CX25" t="str">
        <v/>
      </c>
      <c r="CY25" t="str">
        <v/>
      </c>
      <c r="CZ25" t="str">
        <v/>
      </c>
      <c r="DA25" t="str">
        <v/>
      </c>
      <c r="DB25" t="str">
        <v/>
      </c>
      <c r="DC25" t="str">
        <v/>
      </c>
      <c r="DD25" t="str">
        <v/>
      </c>
      <c r="DE25" t="str">
        <v/>
      </c>
      <c r="DF25" t="str">
        <v/>
      </c>
      <c r="DG25" t="str">
        <v/>
      </c>
      <c r="DH25" t="str">
        <v/>
      </c>
      <c r="DI25" t="str">
        <v/>
      </c>
      <c r="DJ25" t="str">
        <v/>
      </c>
      <c r="DK25" t="str">
        <v/>
      </c>
      <c r="DL25" t="str">
        <v/>
      </c>
      <c r="DM25" t="str">
        <v/>
      </c>
      <c r="DN25" t="str">
        <v/>
      </c>
      <c r="DO25" t="str">
        <v/>
      </c>
      <c r="DP25" t="str">
        <v/>
      </c>
      <c r="DQ25" t="str">
        <v/>
      </c>
      <c r="DR25" t="str">
        <v/>
      </c>
      <c r="DS25" t="str">
        <v/>
      </c>
      <c r="DT25" t="str">
        <v/>
      </c>
      <c r="DU25" t="str">
        <v/>
      </c>
      <c r="DV25" t="str">
        <v/>
      </c>
      <c r="DW25" t="str">
        <v/>
      </c>
      <c r="DX25" t="str">
        <v/>
      </c>
      <c r="DY25" t="str">
        <v/>
      </c>
      <c r="DZ25" t="str">
        <v/>
      </c>
      <c r="EA25" t="str">
        <v/>
      </c>
      <c r="EB25" t="str">
        <v/>
      </c>
      <c r="EC25" t="str">
        <v/>
      </c>
      <c r="ED25" t="str">
        <v/>
      </c>
      <c r="EE25" t="str">
        <v/>
      </c>
      <c r="EF25" t="str">
        <v/>
      </c>
      <c r="EG25" t="str">
        <v/>
      </c>
      <c r="EH25" t="str">
        <v/>
      </c>
      <c r="EI25" t="str">
        <v/>
      </c>
      <c r="EJ25" t="str">
        <v/>
      </c>
      <c r="EK25" t="str">
        <v/>
      </c>
      <c r="EL25" t="str">
        <v/>
      </c>
      <c r="EM25" t="str">
        <v/>
      </c>
      <c r="EN25" t="str">
        <v/>
      </c>
      <c r="EO25" t="str">
        <v/>
      </c>
      <c r="EP25" t="str">
        <v/>
      </c>
      <c r="EQ25" t="str">
        <v/>
      </c>
      <c r="ER25" t="str">
        <v/>
      </c>
      <c r="ES25" t="str">
        <v/>
      </c>
      <c r="ET25" t="str">
        <v/>
      </c>
      <c r="EU25" t="str">
        <v/>
      </c>
      <c r="EV25" t="str">
        <v/>
      </c>
      <c r="EW25" t="str">
        <v/>
      </c>
      <c r="EX25" t="str">
        <v/>
      </c>
      <c r="EY25" t="str">
        <v/>
      </c>
      <c r="EZ25" t="str">
        <v/>
      </c>
      <c r="FA25" t="str">
        <v/>
      </c>
      <c r="FB25" t="str">
        <v/>
      </c>
      <c r="FC25" t="str">
        <v/>
      </c>
      <c r="FD25" t="str">
        <v/>
      </c>
      <c r="FE25" t="str">
        <v/>
      </c>
      <c r="FF25" t="str">
        <v/>
      </c>
      <c r="FG25" t="str">
        <v/>
      </c>
      <c r="FH25" t="str">
        <v/>
      </c>
      <c r="FI25" t="str">
        <v/>
      </c>
      <c r="FJ25" t="str">
        <v/>
      </c>
      <c r="FK25" t="str">
        <v/>
      </c>
      <c r="FL25" t="str">
        <v/>
      </c>
      <c r="FM25" t="str">
        <v/>
      </c>
      <c r="FN25" t="str">
        <v/>
      </c>
      <c r="FO25" t="str">
        <v/>
      </c>
      <c r="FP25" t="str">
        <v/>
      </c>
      <c r="FQ25" t="str">
        <v/>
      </c>
      <c r="FR25" t="str">
        <v/>
      </c>
      <c r="FS25" t="str">
        <v/>
      </c>
      <c r="FT25" t="str">
        <v/>
      </c>
      <c r="FU25" t="str">
        <v/>
      </c>
      <c r="FV25" t="str">
        <v/>
      </c>
      <c r="FW25" t="str">
        <v/>
      </c>
      <c r="FX25" t="str">
        <v/>
      </c>
      <c r="FY25" t="str">
        <v/>
      </c>
      <c r="FZ25" t="str">
        <v/>
      </c>
      <c r="GA25" t="str">
        <v/>
      </c>
      <c r="GB25" t="str">
        <v/>
      </c>
      <c r="GC25" t="str">
        <v/>
      </c>
      <c r="GD25" t="str">
        <v/>
      </c>
      <c r="GE25" t="str">
        <v/>
      </c>
      <c r="GF25" t="str">
        <v/>
      </c>
      <c r="GG25" t="str">
        <v/>
      </c>
      <c r="GH25" t="str">
        <v/>
      </c>
      <c r="GI25" t="str">
        <v/>
      </c>
      <c r="GJ25" t="str">
        <v/>
      </c>
      <c r="GK25" t="str">
        <v/>
      </c>
      <c r="GL25" t="str">
        <v/>
      </c>
      <c r="GM25" t="str">
        <v/>
      </c>
      <c r="GN25" t="str">
        <v/>
      </c>
      <c r="GO25" t="str">
        <v/>
      </c>
      <c r="GP25" t="str">
        <v/>
      </c>
      <c r="GQ25" t="str">
        <v/>
      </c>
      <c r="GR25" t="str">
        <v/>
      </c>
      <c r="GS25" t="str">
        <v/>
      </c>
      <c r="GT25" t="str">
        <v/>
      </c>
      <c r="GU25" t="str">
        <v/>
      </c>
      <c r="GV25" t="str">
        <v/>
      </c>
      <c r="GW25" t="str">
        <v/>
      </c>
      <c r="GX25" t="str">
        <v/>
      </c>
      <c r="GY25" t="str">
        <v/>
      </c>
      <c r="GZ25" t="str">
        <v/>
      </c>
      <c r="HA25" t="str">
        <v/>
      </c>
      <c r="HB25" t="str">
        <v/>
      </c>
      <c r="HC25" t="str">
        <v/>
      </c>
      <c r="HD25" t="str">
        <v/>
      </c>
      <c r="HE25" t="str">
        <v/>
      </c>
      <c r="HF25" t="str">
        <v/>
      </c>
      <c r="HG25" t="str">
        <v/>
      </c>
      <c r="HH25" t="str">
        <v/>
      </c>
      <c r="HI25" t="str">
        <v/>
      </c>
      <c r="HJ25" t="str">
        <v/>
      </c>
      <c r="HK25" t="str">
        <v/>
      </c>
      <c r="HL25" t="str">
        <v/>
      </c>
      <c r="HM25" t="str">
        <v/>
      </c>
      <c r="HN25" t="str">
        <v/>
      </c>
      <c r="HO25" t="str">
        <v/>
      </c>
      <c r="HP25" t="str">
        <v/>
      </c>
      <c r="HQ25" t="str">
        <v/>
      </c>
      <c r="HR25" t="str">
        <v/>
      </c>
      <c r="HS25" t="str">
        <v/>
      </c>
      <c r="HT25" t="str">
        <v/>
      </c>
      <c r="HU25" t="str">
        <v/>
      </c>
      <c r="HV25" t="str">
        <v/>
      </c>
      <c r="HW25" t="str">
        <v/>
      </c>
      <c r="HX25" t="str">
        <v/>
      </c>
      <c r="HY25" t="str">
        <v/>
      </c>
      <c r="HZ25" t="str">
        <v/>
      </c>
      <c r="IA25" t="str">
        <v/>
      </c>
      <c r="IB25" t="str">
        <v/>
      </c>
      <c r="IC25" t="str">
        <v/>
      </c>
      <c r="ID25" t="str">
        <v/>
      </c>
      <c r="IE25" t="str">
        <v/>
      </c>
      <c r="IF25" t="str">
        <v/>
      </c>
      <c r="IG25" t="str">
        <v/>
      </c>
      <c r="IH25" t="str">
        <v/>
      </c>
      <c r="II25" t="str">
        <v/>
      </c>
      <c r="IJ25" t="str">
        <v/>
      </c>
      <c r="IK25" t="str">
        <v/>
      </c>
      <c r="IL25" t="str">
        <v/>
      </c>
      <c r="IM25" t="str">
        <v/>
      </c>
      <c r="IN25" t="str">
        <v/>
      </c>
      <c r="IO25" t="str">
        <v/>
      </c>
      <c r="IP25" t="str">
        <v/>
      </c>
      <c r="IQ25" t="str">
        <v/>
      </c>
      <c r="IR25" t="str">
        <v/>
      </c>
      <c r="IS25" t="str">
        <v/>
      </c>
      <c r="IT25" t="str">
        <v/>
      </c>
      <c r="IU25" t="str">
        <v/>
      </c>
      <c r="IV25" t="str">
        <v/>
      </c>
      <c r="IW25" t="str">
        <v/>
      </c>
      <c r="IX25" t="str">
        <v/>
      </c>
      <c r="IY25" t="str">
        <v/>
      </c>
      <c r="IZ25" t="str">
        <v/>
      </c>
      <c r="JA25" t="str">
        <v/>
      </c>
      <c r="JB25" t="str">
        <v/>
      </c>
      <c r="JC25" t="str">
        <v/>
      </c>
      <c r="JD25" t="str">
        <v/>
      </c>
      <c r="JE25" t="str">
        <v/>
      </c>
      <c r="JF25" t="str">
        <v/>
      </c>
      <c r="JG25" t="str">
        <v/>
      </c>
      <c r="JH25" t="str">
        <v/>
      </c>
      <c r="JI25" t="str">
        <v/>
      </c>
      <c r="JJ25" t="str">
        <v/>
      </c>
      <c r="JK25" t="str">
        <v/>
      </c>
      <c r="JL25" t="str">
        <v/>
      </c>
      <c r="JM25" t="str">
        <v/>
      </c>
      <c r="JN25" t="str">
        <v/>
      </c>
      <c r="JO25" t="str">
        <v/>
      </c>
      <c r="JP25" t="str">
        <v/>
      </c>
      <c r="JQ25" t="str">
        <v/>
      </c>
      <c r="JR25" t="str">
        <v/>
      </c>
      <c r="JS25" t="str">
        <v/>
      </c>
      <c r="JT25" t="str">
        <v/>
      </c>
      <c r="JU25" t="str">
        <v/>
      </c>
      <c r="JV25" t="str">
        <v/>
      </c>
      <c r="JW25" t="str">
        <v/>
      </c>
      <c r="JX25" t="str">
        <v/>
      </c>
      <c r="JY25" t="str">
        <v/>
      </c>
      <c r="JZ25" t="str">
        <v/>
      </c>
      <c r="KA25" t="str">
        <v/>
      </c>
      <c r="KB25" t="str">
        <v/>
      </c>
      <c r="KC25" t="str">
        <v/>
      </c>
      <c r="KD25" t="str">
        <v/>
      </c>
      <c r="KE25" t="str">
        <v/>
      </c>
      <c r="KF25" t="str">
        <v/>
      </c>
      <c r="KG25" t="str">
        <v/>
      </c>
      <c r="KH25" t="str">
        <v/>
      </c>
      <c r="KI25" t="str">
        <v/>
      </c>
      <c r="KJ25" t="str">
        <v/>
      </c>
      <c r="KK25" t="str">
        <v/>
      </c>
      <c r="KL25" t="str">
        <v/>
      </c>
      <c r="KM25" t="str">
        <v/>
      </c>
      <c r="KN25" t="str">
        <v/>
      </c>
      <c r="KO25" t="str">
        <v/>
      </c>
      <c r="KP25" t="str">
        <v/>
      </c>
      <c r="KQ25" t="str">
        <v/>
      </c>
      <c r="KR25" t="str">
        <v/>
      </c>
      <c r="KS25" t="str">
        <v/>
      </c>
      <c r="KT25" t="str">
        <v/>
      </c>
      <c r="KU25" t="str">
        <v/>
      </c>
      <c r="KV25" t="str">
        <v/>
      </c>
      <c r="KW25" t="str">
        <v/>
      </c>
      <c r="KX25" t="str">
        <v/>
      </c>
      <c r="KY25" t="str">
        <v/>
      </c>
      <c r="KZ25" t="str">
        <v/>
      </c>
      <c r="LA25" t="str">
        <v/>
      </c>
      <c r="LB25" t="str">
        <v/>
      </c>
      <c r="LC25" t="str">
        <v/>
      </c>
      <c r="LD25" t="str">
        <v/>
      </c>
      <c r="LE25" t="str">
        <v/>
      </c>
      <c r="LF25" t="str">
        <v/>
      </c>
      <c r="LG25" t="str">
        <v/>
      </c>
      <c r="LH25" t="str">
        <v/>
      </c>
      <c r="LI25" t="str">
        <v/>
      </c>
      <c r="LJ25" t="str">
        <v/>
      </c>
      <c r="LK25" t="str">
        <v/>
      </c>
      <c r="LL25" t="str">
        <v/>
      </c>
      <c r="LM25" t="str">
        <v/>
      </c>
      <c r="LN25" t="str">
        <v/>
      </c>
      <c r="LO25" t="str">
        <v/>
      </c>
      <c r="LP25" t="str">
        <v/>
      </c>
      <c r="LQ25" t="str">
        <v/>
      </c>
      <c r="LR25" t="str">
        <v/>
      </c>
      <c r="LS25" t="str">
        <v/>
      </c>
      <c r="LT25" t="str">
        <v/>
      </c>
      <c r="LU25" t="str">
        <v/>
      </c>
      <c r="LV25" t="str">
        <v/>
      </c>
      <c r="LW25" t="str">
        <v/>
      </c>
      <c r="LX25" t="str">
        <v/>
      </c>
      <c r="LY25" t="str">
        <v/>
      </c>
      <c r="LZ25" t="str">
        <v/>
      </c>
      <c r="MA25" t="str">
        <v/>
      </c>
      <c r="MB25" t="str">
        <v/>
      </c>
      <c r="MC25" t="str">
        <v/>
      </c>
      <c r="MD25" t="str">
        <v/>
      </c>
      <c r="ME25" t="str">
        <v/>
      </c>
      <c r="MF25" t="str">
        <v/>
      </c>
      <c r="MG25" t="str">
        <v/>
      </c>
      <c r="MH25" t="str">
        <v/>
      </c>
      <c r="MI25" t="str">
        <v/>
      </c>
      <c r="MJ25" t="str">
        <v/>
      </c>
      <c r="MK25" t="str">
        <v/>
      </c>
      <c r="ML25" t="str">
        <v/>
      </c>
      <c r="MM25" t="str">
        <v/>
      </c>
      <c r="MN25" t="str">
        <v/>
      </c>
      <c r="MO25" t="str">
        <v/>
      </c>
      <c r="MP25" t="str">
        <v/>
      </c>
      <c r="MQ25" t="str">
        <v/>
      </c>
      <c r="MR25" t="str">
        <v/>
      </c>
      <c r="MS25" t="str">
        <v/>
      </c>
      <c r="MT25" t="str">
        <v/>
      </c>
      <c r="MU25" t="str">
        <v/>
      </c>
      <c r="MV25" t="str">
        <v/>
      </c>
      <c r="MW25" t="str">
        <v/>
      </c>
      <c r="MX25" t="str">
        <v/>
      </c>
      <c r="MY25" t="str">
        <v/>
      </c>
      <c r="MZ25" t="str">
        <v/>
      </c>
      <c r="NA25" t="str">
        <v/>
      </c>
      <c r="NB25" t="str">
        <v/>
      </c>
      <c r="NC25" t="str">
        <v/>
      </c>
      <c r="ND25" t="str">
        <v/>
      </c>
      <c r="NE25" t="str">
        <v/>
      </c>
      <c r="NF25" t="str">
        <v/>
      </c>
      <c r="NG25" t="str">
        <v/>
      </c>
      <c r="NH25" t="str">
        <v/>
      </c>
      <c r="NI25" t="str">
        <v/>
      </c>
      <c r="NJ25" t="str">
        <v/>
      </c>
      <c r="NK25" t="str">
        <v/>
      </c>
      <c r="NL25" t="str">
        <v/>
      </c>
      <c r="NM25" t="str">
        <v/>
      </c>
      <c r="NN25" t="str">
        <v/>
      </c>
      <c r="NO25" t="str">
        <v/>
      </c>
      <c r="NP25" t="str">
        <v/>
      </c>
      <c r="NQ25" t="str">
        <v/>
      </c>
      <c r="NR25" t="str">
        <v/>
      </c>
      <c r="NS25" t="str">
        <v/>
      </c>
      <c r="NT25" t="str">
        <v/>
      </c>
      <c r="NU25" t="str">
        <v/>
      </c>
      <c r="NV25" t="str">
        <v/>
      </c>
      <c r="NW25" t="str">
        <v/>
      </c>
      <c r="NX25" t="str">
        <v/>
      </c>
      <c r="NY25" t="str">
        <v/>
      </c>
      <c r="NZ25" t="str">
        <v/>
      </c>
      <c r="OA25" t="str">
        <v/>
      </c>
      <c r="OB25" t="str">
        <v/>
      </c>
      <c r="OC25" t="str">
        <v/>
      </c>
      <c r="OD25" t="str">
        <v/>
      </c>
      <c r="OE25" t="str">
        <v/>
      </c>
    </row>
    <row r="26" spans="1:395" outlineLevel="1" x14ac:dyDescent="0.3">
      <c r="A26" s="14"/>
      <c r="C26" s="14"/>
      <c r="D26" s="119" t="s">
        <v>380</v>
      </c>
      <c r="E26" s="297">
        <v>3</v>
      </c>
      <c r="F26" s="259" t="s">
        <v>352</v>
      </c>
      <c r="G26" s="76"/>
      <c r="H26" s="76"/>
      <c r="I26" s="257"/>
      <c r="J26" s="258"/>
      <c r="K26" s="65"/>
      <c r="L26" s="55"/>
      <c r="M26" s="66"/>
      <c r="N26" t="s">
        <v>382</v>
      </c>
      <c r="O26" s="8">
        <f>EDATE(EOMONTH(O27,-1)+1,-E26)</f>
        <v>47119</v>
      </c>
      <c r="P26" s="208">
        <f>O27-1</f>
        <v>47208</v>
      </c>
      <c r="Q26" t="str" cm="1">
        <f t="array" ref="Q26:OE26">IF(((EOMONTH(O26,-1)+1)&lt;=_xlfn.ANCHORARRAY($Q$2))*(_xlfn.ANCHORARRAY($Q$2)&lt;P26)," ","")</f>
        <v/>
      </c>
      <c r="R26" t="str">
        <v/>
      </c>
      <c r="S26" t="str">
        <v/>
      </c>
      <c r="T26" t="str">
        <v/>
      </c>
      <c r="U26" t="str">
        <v/>
      </c>
      <c r="V26" t="str">
        <v/>
      </c>
      <c r="W26" t="str">
        <v/>
      </c>
      <c r="X26" t="str">
        <v/>
      </c>
      <c r="Y26" t="str">
        <v/>
      </c>
      <c r="Z26" t="str">
        <v/>
      </c>
      <c r="AA26" t="str">
        <v/>
      </c>
      <c r="AB26" t="str">
        <v/>
      </c>
      <c r="AC26" t="str">
        <v/>
      </c>
      <c r="AD26" t="str">
        <v/>
      </c>
      <c r="AE26" t="str">
        <v/>
      </c>
      <c r="AF26" t="str">
        <v/>
      </c>
      <c r="AG26" t="str">
        <v/>
      </c>
      <c r="AH26" t="str">
        <v/>
      </c>
      <c r="AI26" t="str">
        <v/>
      </c>
      <c r="AJ26" t="str">
        <v/>
      </c>
      <c r="AK26" t="str">
        <v/>
      </c>
      <c r="AL26" t="str">
        <v/>
      </c>
      <c r="AM26" t="str">
        <v/>
      </c>
      <c r="AN26" t="str">
        <v/>
      </c>
      <c r="AO26" t="str">
        <v/>
      </c>
      <c r="AP26" t="str">
        <v/>
      </c>
      <c r="AQ26" t="str">
        <v/>
      </c>
      <c r="AR26" t="str">
        <v/>
      </c>
      <c r="AS26" t="str">
        <v/>
      </c>
      <c r="AT26" t="str">
        <v/>
      </c>
      <c r="AU26" t="str">
        <v/>
      </c>
      <c r="AV26" t="str">
        <v xml:space="preserve"> </v>
      </c>
      <c r="AW26" t="str">
        <v xml:space="preserve"> </v>
      </c>
      <c r="AX26" t="str">
        <v xml:space="preserve"> </v>
      </c>
      <c r="AY26" t="str">
        <v/>
      </c>
      <c r="AZ26" t="str">
        <v/>
      </c>
      <c r="BA26" t="str">
        <v/>
      </c>
      <c r="BB26" t="str">
        <v/>
      </c>
      <c r="BC26" t="str">
        <v/>
      </c>
      <c r="BD26" t="str">
        <v/>
      </c>
      <c r="BE26" t="str">
        <v/>
      </c>
      <c r="BF26" t="str">
        <v/>
      </c>
      <c r="BG26" t="str">
        <v/>
      </c>
      <c r="BH26" t="str">
        <v/>
      </c>
      <c r="BI26" t="str">
        <v/>
      </c>
      <c r="BJ26" t="str">
        <v/>
      </c>
      <c r="BK26" t="str">
        <v/>
      </c>
      <c r="BL26" t="str">
        <v/>
      </c>
      <c r="BM26" t="str">
        <v/>
      </c>
      <c r="BN26" t="str">
        <v/>
      </c>
      <c r="BO26" t="str">
        <v/>
      </c>
      <c r="BP26" t="str">
        <v/>
      </c>
      <c r="BQ26" t="str">
        <v/>
      </c>
      <c r="BR26" t="str">
        <v/>
      </c>
      <c r="BS26" t="str">
        <v/>
      </c>
      <c r="BT26" t="str">
        <v/>
      </c>
      <c r="BU26" t="str">
        <v/>
      </c>
      <c r="BV26" t="str">
        <v/>
      </c>
      <c r="BW26" t="str">
        <v/>
      </c>
      <c r="BX26" t="str">
        <v/>
      </c>
      <c r="BY26" t="str">
        <v/>
      </c>
      <c r="BZ26" t="str">
        <v/>
      </c>
      <c r="CA26" t="str">
        <v/>
      </c>
      <c r="CB26" t="str">
        <v/>
      </c>
      <c r="CC26" t="str">
        <v/>
      </c>
      <c r="CD26" t="str">
        <v/>
      </c>
      <c r="CE26" t="str">
        <v/>
      </c>
      <c r="CF26" t="str">
        <v/>
      </c>
      <c r="CG26" t="str">
        <v/>
      </c>
      <c r="CH26" t="str">
        <v/>
      </c>
      <c r="CI26" t="str">
        <v/>
      </c>
      <c r="CJ26" t="str">
        <v/>
      </c>
      <c r="CK26" t="str">
        <v/>
      </c>
      <c r="CL26" t="str">
        <v/>
      </c>
      <c r="CM26" t="str">
        <v/>
      </c>
      <c r="CN26" t="str">
        <v/>
      </c>
      <c r="CO26" t="str">
        <v/>
      </c>
      <c r="CP26" t="str">
        <v/>
      </c>
      <c r="CQ26" t="str">
        <v/>
      </c>
      <c r="CR26" t="str">
        <v/>
      </c>
      <c r="CS26" t="str">
        <v/>
      </c>
      <c r="CT26" t="str">
        <v/>
      </c>
      <c r="CU26" t="str">
        <v/>
      </c>
      <c r="CV26" t="str">
        <v/>
      </c>
      <c r="CW26" t="str">
        <v/>
      </c>
      <c r="CX26" t="str">
        <v/>
      </c>
      <c r="CY26" t="str">
        <v/>
      </c>
      <c r="CZ26" t="str">
        <v/>
      </c>
      <c r="DA26" t="str">
        <v/>
      </c>
      <c r="DB26" t="str">
        <v/>
      </c>
      <c r="DC26" t="str">
        <v/>
      </c>
      <c r="DD26" t="str">
        <v/>
      </c>
      <c r="DE26" t="str">
        <v/>
      </c>
      <c r="DF26" t="str">
        <v/>
      </c>
      <c r="DG26" t="str">
        <v/>
      </c>
      <c r="DH26" t="str">
        <v/>
      </c>
      <c r="DI26" t="str">
        <v/>
      </c>
      <c r="DJ26" t="str">
        <v/>
      </c>
      <c r="DK26" t="str">
        <v/>
      </c>
      <c r="DL26" t="str">
        <v/>
      </c>
      <c r="DM26" t="str">
        <v/>
      </c>
      <c r="DN26" t="str">
        <v/>
      </c>
      <c r="DO26" t="str">
        <v/>
      </c>
      <c r="DP26" t="str">
        <v/>
      </c>
      <c r="DQ26" t="str">
        <v/>
      </c>
      <c r="DR26" t="str">
        <v/>
      </c>
      <c r="DS26" t="str">
        <v/>
      </c>
      <c r="DT26" t="str">
        <v/>
      </c>
      <c r="DU26" t="str">
        <v/>
      </c>
      <c r="DV26" t="str">
        <v/>
      </c>
      <c r="DW26" t="str">
        <v/>
      </c>
      <c r="DX26" t="str">
        <v/>
      </c>
      <c r="DY26" t="str">
        <v/>
      </c>
      <c r="DZ26" t="str">
        <v/>
      </c>
      <c r="EA26" t="str">
        <v/>
      </c>
      <c r="EB26" t="str">
        <v/>
      </c>
      <c r="EC26" t="str">
        <v/>
      </c>
      <c r="ED26" t="str">
        <v/>
      </c>
      <c r="EE26" t="str">
        <v/>
      </c>
      <c r="EF26" t="str">
        <v/>
      </c>
      <c r="EG26" t="str">
        <v/>
      </c>
      <c r="EH26" t="str">
        <v/>
      </c>
      <c r="EI26" t="str">
        <v/>
      </c>
      <c r="EJ26" t="str">
        <v/>
      </c>
      <c r="EK26" t="str">
        <v/>
      </c>
      <c r="EL26" t="str">
        <v/>
      </c>
      <c r="EM26" t="str">
        <v/>
      </c>
      <c r="EN26" t="str">
        <v/>
      </c>
      <c r="EO26" t="str">
        <v/>
      </c>
      <c r="EP26" t="str">
        <v/>
      </c>
      <c r="EQ26" t="str">
        <v/>
      </c>
      <c r="ER26" t="str">
        <v/>
      </c>
      <c r="ES26" t="str">
        <v/>
      </c>
      <c r="ET26" t="str">
        <v/>
      </c>
      <c r="EU26" t="str">
        <v/>
      </c>
      <c r="EV26" t="str">
        <v/>
      </c>
      <c r="EW26" t="str">
        <v/>
      </c>
      <c r="EX26" t="str">
        <v/>
      </c>
      <c r="EY26" t="str">
        <v/>
      </c>
      <c r="EZ26" t="str">
        <v/>
      </c>
      <c r="FA26" t="str">
        <v/>
      </c>
      <c r="FB26" t="str">
        <v/>
      </c>
      <c r="FC26" t="str">
        <v/>
      </c>
      <c r="FD26" t="str">
        <v/>
      </c>
      <c r="FE26" t="str">
        <v/>
      </c>
      <c r="FF26" t="str">
        <v/>
      </c>
      <c r="FG26" t="str">
        <v/>
      </c>
      <c r="FH26" t="str">
        <v/>
      </c>
      <c r="FI26" t="str">
        <v/>
      </c>
      <c r="FJ26" t="str">
        <v/>
      </c>
      <c r="FK26" t="str">
        <v/>
      </c>
      <c r="FL26" t="str">
        <v/>
      </c>
      <c r="FM26" t="str">
        <v/>
      </c>
      <c r="FN26" t="str">
        <v/>
      </c>
      <c r="FO26" t="str">
        <v/>
      </c>
      <c r="FP26" t="str">
        <v/>
      </c>
      <c r="FQ26" t="str">
        <v/>
      </c>
      <c r="FR26" t="str">
        <v/>
      </c>
      <c r="FS26" t="str">
        <v/>
      </c>
      <c r="FT26" t="str">
        <v/>
      </c>
      <c r="FU26" t="str">
        <v/>
      </c>
      <c r="FV26" t="str">
        <v/>
      </c>
      <c r="FW26" t="str">
        <v/>
      </c>
      <c r="FX26" t="str">
        <v/>
      </c>
      <c r="FY26" t="str">
        <v/>
      </c>
      <c r="FZ26" t="str">
        <v/>
      </c>
      <c r="GA26" t="str">
        <v/>
      </c>
      <c r="GB26" t="str">
        <v/>
      </c>
      <c r="GC26" t="str">
        <v/>
      </c>
      <c r="GD26" t="str">
        <v/>
      </c>
      <c r="GE26" t="str">
        <v/>
      </c>
      <c r="GF26" t="str">
        <v/>
      </c>
      <c r="GG26" t="str">
        <v/>
      </c>
      <c r="GH26" t="str">
        <v/>
      </c>
      <c r="GI26" t="str">
        <v/>
      </c>
      <c r="GJ26" t="str">
        <v/>
      </c>
      <c r="GK26" t="str">
        <v/>
      </c>
      <c r="GL26" t="str">
        <v/>
      </c>
      <c r="GM26" t="str">
        <v/>
      </c>
      <c r="GN26" t="str">
        <v/>
      </c>
      <c r="GO26" t="str">
        <v/>
      </c>
      <c r="GP26" t="str">
        <v/>
      </c>
      <c r="GQ26" t="str">
        <v/>
      </c>
      <c r="GR26" t="str">
        <v/>
      </c>
      <c r="GS26" t="str">
        <v/>
      </c>
      <c r="GT26" t="str">
        <v/>
      </c>
      <c r="GU26" t="str">
        <v/>
      </c>
      <c r="GV26" t="str">
        <v/>
      </c>
      <c r="GW26" t="str">
        <v/>
      </c>
      <c r="GX26" t="str">
        <v/>
      </c>
      <c r="GY26" t="str">
        <v/>
      </c>
      <c r="GZ26" t="str">
        <v/>
      </c>
      <c r="HA26" t="str">
        <v/>
      </c>
      <c r="HB26" t="str">
        <v/>
      </c>
      <c r="HC26" t="str">
        <v/>
      </c>
      <c r="HD26" t="str">
        <v/>
      </c>
      <c r="HE26" t="str">
        <v/>
      </c>
      <c r="HF26" t="str">
        <v/>
      </c>
      <c r="HG26" t="str">
        <v/>
      </c>
      <c r="HH26" t="str">
        <v/>
      </c>
      <c r="HI26" t="str">
        <v/>
      </c>
      <c r="HJ26" t="str">
        <v/>
      </c>
      <c r="HK26" t="str">
        <v/>
      </c>
      <c r="HL26" t="str">
        <v/>
      </c>
      <c r="HM26" t="str">
        <v/>
      </c>
      <c r="HN26" t="str">
        <v/>
      </c>
      <c r="HO26" t="str">
        <v/>
      </c>
      <c r="HP26" t="str">
        <v/>
      </c>
      <c r="HQ26" t="str">
        <v/>
      </c>
      <c r="HR26" t="str">
        <v/>
      </c>
      <c r="HS26" t="str">
        <v/>
      </c>
      <c r="HT26" t="str">
        <v/>
      </c>
      <c r="HU26" t="str">
        <v/>
      </c>
      <c r="HV26" t="str">
        <v/>
      </c>
      <c r="HW26" t="str">
        <v/>
      </c>
      <c r="HX26" t="str">
        <v/>
      </c>
      <c r="HY26" t="str">
        <v/>
      </c>
      <c r="HZ26" t="str">
        <v/>
      </c>
      <c r="IA26" t="str">
        <v/>
      </c>
      <c r="IB26" t="str">
        <v/>
      </c>
      <c r="IC26" t="str">
        <v/>
      </c>
      <c r="ID26" t="str">
        <v/>
      </c>
      <c r="IE26" t="str">
        <v/>
      </c>
      <c r="IF26" t="str">
        <v/>
      </c>
      <c r="IG26" t="str">
        <v/>
      </c>
      <c r="IH26" t="str">
        <v/>
      </c>
      <c r="II26" t="str">
        <v/>
      </c>
      <c r="IJ26" t="str">
        <v/>
      </c>
      <c r="IK26" t="str">
        <v/>
      </c>
      <c r="IL26" t="str">
        <v/>
      </c>
      <c r="IM26" t="str">
        <v/>
      </c>
      <c r="IN26" t="str">
        <v/>
      </c>
      <c r="IO26" t="str">
        <v/>
      </c>
      <c r="IP26" t="str">
        <v/>
      </c>
      <c r="IQ26" t="str">
        <v/>
      </c>
      <c r="IR26" t="str">
        <v/>
      </c>
      <c r="IS26" t="str">
        <v/>
      </c>
      <c r="IT26" t="str">
        <v/>
      </c>
      <c r="IU26" t="str">
        <v/>
      </c>
      <c r="IV26" t="str">
        <v/>
      </c>
      <c r="IW26" t="str">
        <v/>
      </c>
      <c r="IX26" t="str">
        <v/>
      </c>
      <c r="IY26" t="str">
        <v/>
      </c>
      <c r="IZ26" t="str">
        <v/>
      </c>
      <c r="JA26" t="str">
        <v/>
      </c>
      <c r="JB26" t="str">
        <v/>
      </c>
      <c r="JC26" t="str">
        <v/>
      </c>
      <c r="JD26" t="str">
        <v/>
      </c>
      <c r="JE26" t="str">
        <v/>
      </c>
      <c r="JF26" t="str">
        <v/>
      </c>
      <c r="JG26" t="str">
        <v/>
      </c>
      <c r="JH26" t="str">
        <v/>
      </c>
      <c r="JI26" t="str">
        <v/>
      </c>
      <c r="JJ26" t="str">
        <v/>
      </c>
      <c r="JK26" t="str">
        <v/>
      </c>
      <c r="JL26" t="str">
        <v/>
      </c>
      <c r="JM26" t="str">
        <v/>
      </c>
      <c r="JN26" t="str">
        <v/>
      </c>
      <c r="JO26" t="str">
        <v/>
      </c>
      <c r="JP26" t="str">
        <v/>
      </c>
      <c r="JQ26" t="str">
        <v/>
      </c>
      <c r="JR26" t="str">
        <v/>
      </c>
      <c r="JS26" t="str">
        <v/>
      </c>
      <c r="JT26" t="str">
        <v/>
      </c>
      <c r="JU26" t="str">
        <v/>
      </c>
      <c r="JV26" t="str">
        <v/>
      </c>
      <c r="JW26" t="str">
        <v/>
      </c>
      <c r="JX26" t="str">
        <v/>
      </c>
      <c r="JY26" t="str">
        <v/>
      </c>
      <c r="JZ26" t="str">
        <v/>
      </c>
      <c r="KA26" t="str">
        <v/>
      </c>
      <c r="KB26" t="str">
        <v/>
      </c>
      <c r="KC26" t="str">
        <v/>
      </c>
      <c r="KD26" t="str">
        <v/>
      </c>
      <c r="KE26" t="str">
        <v/>
      </c>
      <c r="KF26" t="str">
        <v/>
      </c>
      <c r="KG26" t="str">
        <v/>
      </c>
      <c r="KH26" t="str">
        <v/>
      </c>
      <c r="KI26" t="str">
        <v/>
      </c>
      <c r="KJ26" t="str">
        <v/>
      </c>
      <c r="KK26" t="str">
        <v/>
      </c>
      <c r="KL26" t="str">
        <v/>
      </c>
      <c r="KM26" t="str">
        <v/>
      </c>
      <c r="KN26" t="str">
        <v/>
      </c>
      <c r="KO26" t="str">
        <v/>
      </c>
      <c r="KP26" t="str">
        <v/>
      </c>
      <c r="KQ26" t="str">
        <v/>
      </c>
      <c r="KR26" t="str">
        <v/>
      </c>
      <c r="KS26" t="str">
        <v/>
      </c>
      <c r="KT26" t="str">
        <v/>
      </c>
      <c r="KU26" t="str">
        <v/>
      </c>
      <c r="KV26" t="str">
        <v/>
      </c>
      <c r="KW26" t="str">
        <v/>
      </c>
      <c r="KX26" t="str">
        <v/>
      </c>
      <c r="KY26" t="str">
        <v/>
      </c>
      <c r="KZ26" t="str">
        <v/>
      </c>
      <c r="LA26" t="str">
        <v/>
      </c>
      <c r="LB26" t="str">
        <v/>
      </c>
      <c r="LC26" t="str">
        <v/>
      </c>
      <c r="LD26" t="str">
        <v/>
      </c>
      <c r="LE26" t="str">
        <v/>
      </c>
      <c r="LF26" t="str">
        <v/>
      </c>
      <c r="LG26" t="str">
        <v/>
      </c>
      <c r="LH26" t="str">
        <v/>
      </c>
      <c r="LI26" t="str">
        <v/>
      </c>
      <c r="LJ26" t="str">
        <v/>
      </c>
      <c r="LK26" t="str">
        <v/>
      </c>
      <c r="LL26" t="str">
        <v/>
      </c>
      <c r="LM26" t="str">
        <v/>
      </c>
      <c r="LN26" t="str">
        <v/>
      </c>
      <c r="LO26" t="str">
        <v/>
      </c>
      <c r="LP26" t="str">
        <v/>
      </c>
      <c r="LQ26" t="str">
        <v/>
      </c>
      <c r="LR26" t="str">
        <v/>
      </c>
      <c r="LS26" t="str">
        <v/>
      </c>
      <c r="LT26" t="str">
        <v/>
      </c>
      <c r="LU26" t="str">
        <v/>
      </c>
      <c r="LV26" t="str">
        <v/>
      </c>
      <c r="LW26" t="str">
        <v/>
      </c>
      <c r="LX26" t="str">
        <v/>
      </c>
      <c r="LY26" t="str">
        <v/>
      </c>
      <c r="LZ26" t="str">
        <v/>
      </c>
      <c r="MA26" t="str">
        <v/>
      </c>
      <c r="MB26" t="str">
        <v/>
      </c>
      <c r="MC26" t="str">
        <v/>
      </c>
      <c r="MD26" t="str">
        <v/>
      </c>
      <c r="ME26" t="str">
        <v/>
      </c>
      <c r="MF26" t="str">
        <v/>
      </c>
      <c r="MG26" t="str">
        <v/>
      </c>
      <c r="MH26" t="str">
        <v/>
      </c>
      <c r="MI26" t="str">
        <v/>
      </c>
      <c r="MJ26" t="str">
        <v/>
      </c>
      <c r="MK26" t="str">
        <v/>
      </c>
      <c r="ML26" t="str">
        <v/>
      </c>
      <c r="MM26" t="str">
        <v/>
      </c>
      <c r="MN26" t="str">
        <v/>
      </c>
      <c r="MO26" t="str">
        <v/>
      </c>
      <c r="MP26" t="str">
        <v/>
      </c>
      <c r="MQ26" t="str">
        <v/>
      </c>
      <c r="MR26" t="str">
        <v/>
      </c>
      <c r="MS26" t="str">
        <v/>
      </c>
      <c r="MT26" t="str">
        <v/>
      </c>
      <c r="MU26" t="str">
        <v/>
      </c>
      <c r="MV26" t="str">
        <v/>
      </c>
      <c r="MW26" t="str">
        <v/>
      </c>
      <c r="MX26" t="str">
        <v/>
      </c>
      <c r="MY26" t="str">
        <v/>
      </c>
      <c r="MZ26" t="str">
        <v/>
      </c>
      <c r="NA26" t="str">
        <v/>
      </c>
      <c r="NB26" t="str">
        <v/>
      </c>
      <c r="NC26" t="str">
        <v/>
      </c>
      <c r="ND26" t="str">
        <v/>
      </c>
      <c r="NE26" t="str">
        <v/>
      </c>
      <c r="NF26" t="str">
        <v/>
      </c>
      <c r="NG26" t="str">
        <v/>
      </c>
      <c r="NH26" t="str">
        <v/>
      </c>
      <c r="NI26" t="str">
        <v/>
      </c>
      <c r="NJ26" t="str">
        <v/>
      </c>
      <c r="NK26" t="str">
        <v/>
      </c>
      <c r="NL26" t="str">
        <v/>
      </c>
      <c r="NM26" t="str">
        <v/>
      </c>
      <c r="NN26" t="str">
        <v/>
      </c>
      <c r="NO26" t="str">
        <v/>
      </c>
      <c r="NP26" t="str">
        <v/>
      </c>
      <c r="NQ26" t="str">
        <v/>
      </c>
      <c r="NR26" t="str">
        <v/>
      </c>
      <c r="NS26" t="str">
        <v/>
      </c>
      <c r="NT26" t="str">
        <v/>
      </c>
      <c r="NU26" t="str">
        <v/>
      </c>
      <c r="NV26" t="str">
        <v/>
      </c>
      <c r="NW26" t="str">
        <v/>
      </c>
      <c r="NX26" t="str">
        <v/>
      </c>
      <c r="NY26" t="str">
        <v/>
      </c>
      <c r="NZ26" t="str">
        <v/>
      </c>
      <c r="OA26" t="str">
        <v/>
      </c>
      <c r="OB26" t="str">
        <v/>
      </c>
      <c r="OC26" t="str">
        <v/>
      </c>
      <c r="OD26" t="str">
        <v/>
      </c>
      <c r="OE26" t="str">
        <v/>
      </c>
    </row>
    <row r="27" spans="1:395" outlineLevel="1" x14ac:dyDescent="0.3">
      <c r="A27" s="14"/>
      <c r="C27" s="14"/>
      <c r="D27" s="119" t="s">
        <v>381</v>
      </c>
      <c r="E27" s="297">
        <v>3</v>
      </c>
      <c r="F27" s="259" t="s">
        <v>352</v>
      </c>
      <c r="G27" s="76"/>
      <c r="H27" s="76"/>
      <c r="I27" s="257"/>
      <c r="J27" s="258"/>
      <c r="K27" s="65"/>
      <c r="L27" s="55"/>
      <c r="M27" s="66"/>
      <c r="N27" t="s">
        <v>381</v>
      </c>
      <c r="O27" s="8">
        <f>P25+1</f>
        <v>47209</v>
      </c>
      <c r="P27" s="208">
        <f>EOMONTH(O27,E27)</f>
        <v>47330</v>
      </c>
      <c r="Q27" t="str" cm="1">
        <f t="array" ref="Q27:OE27">IF(((EOMONTH(O27,-1)+1)&lt;=_xlfn.ANCHORARRAY($Q$2))*(_xlfn.ANCHORARRAY($Q$2)&lt;P27)," ","")</f>
        <v/>
      </c>
      <c r="R27" t="str">
        <v/>
      </c>
      <c r="S27" t="str">
        <v/>
      </c>
      <c r="T27" t="str">
        <v/>
      </c>
      <c r="U27" t="str">
        <v/>
      </c>
      <c r="V27" t="str">
        <v/>
      </c>
      <c r="W27" t="str">
        <v/>
      </c>
      <c r="X27" t="str">
        <v/>
      </c>
      <c r="Y27" t="str">
        <v/>
      </c>
      <c r="Z27" t="str">
        <v/>
      </c>
      <c r="AA27" t="str">
        <v/>
      </c>
      <c r="AB27" t="str">
        <v/>
      </c>
      <c r="AC27" t="str">
        <v/>
      </c>
      <c r="AD27" t="str">
        <v/>
      </c>
      <c r="AE27" t="str">
        <v/>
      </c>
      <c r="AF27" t="str">
        <v/>
      </c>
      <c r="AG27" t="str">
        <v/>
      </c>
      <c r="AH27" t="str">
        <v/>
      </c>
      <c r="AI27" t="str">
        <v/>
      </c>
      <c r="AJ27" t="str">
        <v/>
      </c>
      <c r="AK27" t="str">
        <v/>
      </c>
      <c r="AL27" t="str">
        <v/>
      </c>
      <c r="AM27" t="str">
        <v/>
      </c>
      <c r="AN27" t="str">
        <v/>
      </c>
      <c r="AO27" t="str">
        <v/>
      </c>
      <c r="AP27" t="str">
        <v/>
      </c>
      <c r="AQ27" t="str">
        <v/>
      </c>
      <c r="AR27" t="str">
        <v/>
      </c>
      <c r="AS27" t="str">
        <v/>
      </c>
      <c r="AT27" t="str">
        <v/>
      </c>
      <c r="AU27" t="str">
        <v/>
      </c>
      <c r="AV27" t="str">
        <v/>
      </c>
      <c r="AW27" t="str">
        <v/>
      </c>
      <c r="AX27" t="str">
        <v/>
      </c>
      <c r="AY27" t="str">
        <v xml:space="preserve"> </v>
      </c>
      <c r="AZ27" t="str">
        <v xml:space="preserve"> </v>
      </c>
      <c r="BA27" t="str">
        <v xml:space="preserve"> </v>
      </c>
      <c r="BB27" t="str">
        <v xml:space="preserve"> </v>
      </c>
      <c r="BC27" t="str">
        <v/>
      </c>
      <c r="BD27" t="str">
        <v/>
      </c>
      <c r="BE27" t="str">
        <v/>
      </c>
      <c r="BF27" t="str">
        <v/>
      </c>
      <c r="BG27" t="str">
        <v/>
      </c>
      <c r="BH27" t="str">
        <v/>
      </c>
      <c r="BI27" t="str">
        <v/>
      </c>
      <c r="BJ27" t="str">
        <v/>
      </c>
      <c r="BK27" t="str">
        <v/>
      </c>
      <c r="BL27" t="str">
        <v/>
      </c>
      <c r="BM27" t="str">
        <v/>
      </c>
      <c r="BN27" t="str">
        <v/>
      </c>
      <c r="BO27" t="str">
        <v/>
      </c>
      <c r="BP27" t="str">
        <v/>
      </c>
      <c r="BQ27" t="str">
        <v/>
      </c>
      <c r="BR27" t="str">
        <v/>
      </c>
      <c r="BS27" t="str">
        <v/>
      </c>
      <c r="BT27" t="str">
        <v/>
      </c>
      <c r="BU27" t="str">
        <v/>
      </c>
      <c r="BV27" t="str">
        <v/>
      </c>
      <c r="BW27" t="str">
        <v/>
      </c>
      <c r="BX27" t="str">
        <v/>
      </c>
      <c r="BY27" t="str">
        <v/>
      </c>
      <c r="BZ27" t="str">
        <v/>
      </c>
      <c r="CA27" t="str">
        <v/>
      </c>
      <c r="CB27" t="str">
        <v/>
      </c>
      <c r="CC27" t="str">
        <v/>
      </c>
      <c r="CD27" t="str">
        <v/>
      </c>
      <c r="CE27" t="str">
        <v/>
      </c>
      <c r="CF27" t="str">
        <v/>
      </c>
      <c r="CG27" t="str">
        <v/>
      </c>
      <c r="CH27" t="str">
        <v/>
      </c>
      <c r="CI27" t="str">
        <v/>
      </c>
      <c r="CJ27" t="str">
        <v/>
      </c>
      <c r="CK27" t="str">
        <v/>
      </c>
      <c r="CL27" t="str">
        <v/>
      </c>
      <c r="CM27" t="str">
        <v/>
      </c>
      <c r="CN27" t="str">
        <v/>
      </c>
      <c r="CO27" t="str">
        <v/>
      </c>
      <c r="CP27" t="str">
        <v/>
      </c>
      <c r="CQ27" t="str">
        <v/>
      </c>
      <c r="CR27" t="str">
        <v/>
      </c>
      <c r="CS27" t="str">
        <v/>
      </c>
      <c r="CT27" t="str">
        <v/>
      </c>
      <c r="CU27" t="str">
        <v/>
      </c>
      <c r="CV27" t="str">
        <v/>
      </c>
      <c r="CW27" t="str">
        <v/>
      </c>
      <c r="CX27" t="str">
        <v/>
      </c>
      <c r="CY27" t="str">
        <v/>
      </c>
      <c r="CZ27" t="str">
        <v/>
      </c>
      <c r="DA27" t="str">
        <v/>
      </c>
      <c r="DB27" t="str">
        <v/>
      </c>
      <c r="DC27" t="str">
        <v/>
      </c>
      <c r="DD27" t="str">
        <v/>
      </c>
      <c r="DE27" t="str">
        <v/>
      </c>
      <c r="DF27" t="str">
        <v/>
      </c>
      <c r="DG27" t="str">
        <v/>
      </c>
      <c r="DH27" t="str">
        <v/>
      </c>
      <c r="DI27" t="str">
        <v/>
      </c>
      <c r="DJ27" t="str">
        <v/>
      </c>
      <c r="DK27" t="str">
        <v/>
      </c>
      <c r="DL27" t="str">
        <v/>
      </c>
      <c r="DM27" t="str">
        <v/>
      </c>
      <c r="DN27" t="str">
        <v/>
      </c>
      <c r="DO27" t="str">
        <v/>
      </c>
      <c r="DP27" t="str">
        <v/>
      </c>
      <c r="DQ27" t="str">
        <v/>
      </c>
      <c r="DR27" t="str">
        <v/>
      </c>
      <c r="DS27" t="str">
        <v/>
      </c>
      <c r="DT27" t="str">
        <v/>
      </c>
      <c r="DU27" t="str">
        <v/>
      </c>
      <c r="DV27" t="str">
        <v/>
      </c>
      <c r="DW27" t="str">
        <v/>
      </c>
      <c r="DX27" t="str">
        <v/>
      </c>
      <c r="DY27" t="str">
        <v/>
      </c>
      <c r="DZ27" t="str">
        <v/>
      </c>
      <c r="EA27" t="str">
        <v/>
      </c>
      <c r="EB27" t="str">
        <v/>
      </c>
      <c r="EC27" t="str">
        <v/>
      </c>
      <c r="ED27" t="str">
        <v/>
      </c>
      <c r="EE27" t="str">
        <v/>
      </c>
      <c r="EF27" t="str">
        <v/>
      </c>
      <c r="EG27" t="str">
        <v/>
      </c>
      <c r="EH27" t="str">
        <v/>
      </c>
      <c r="EI27" t="str">
        <v/>
      </c>
      <c r="EJ27" t="str">
        <v/>
      </c>
      <c r="EK27" t="str">
        <v/>
      </c>
      <c r="EL27" t="str">
        <v/>
      </c>
      <c r="EM27" t="str">
        <v/>
      </c>
      <c r="EN27" t="str">
        <v/>
      </c>
      <c r="EO27" t="str">
        <v/>
      </c>
      <c r="EP27" t="str">
        <v/>
      </c>
      <c r="EQ27" t="str">
        <v/>
      </c>
      <c r="ER27" t="str">
        <v/>
      </c>
      <c r="ES27" t="str">
        <v/>
      </c>
      <c r="ET27" t="str">
        <v/>
      </c>
      <c r="EU27" t="str">
        <v/>
      </c>
      <c r="EV27" t="str">
        <v/>
      </c>
      <c r="EW27" t="str">
        <v/>
      </c>
      <c r="EX27" t="str">
        <v/>
      </c>
      <c r="EY27" t="str">
        <v/>
      </c>
      <c r="EZ27" t="str">
        <v/>
      </c>
      <c r="FA27" t="str">
        <v/>
      </c>
      <c r="FB27" t="str">
        <v/>
      </c>
      <c r="FC27" t="str">
        <v/>
      </c>
      <c r="FD27" t="str">
        <v/>
      </c>
      <c r="FE27" t="str">
        <v/>
      </c>
      <c r="FF27" t="str">
        <v/>
      </c>
      <c r="FG27" t="str">
        <v/>
      </c>
      <c r="FH27" t="str">
        <v/>
      </c>
      <c r="FI27" t="str">
        <v/>
      </c>
      <c r="FJ27" t="str">
        <v/>
      </c>
      <c r="FK27" t="str">
        <v/>
      </c>
      <c r="FL27" t="str">
        <v/>
      </c>
      <c r="FM27" t="str">
        <v/>
      </c>
      <c r="FN27" t="str">
        <v/>
      </c>
      <c r="FO27" t="str">
        <v/>
      </c>
      <c r="FP27" t="str">
        <v/>
      </c>
      <c r="FQ27" t="str">
        <v/>
      </c>
      <c r="FR27" t="str">
        <v/>
      </c>
      <c r="FS27" t="str">
        <v/>
      </c>
      <c r="FT27" t="str">
        <v/>
      </c>
      <c r="FU27" t="str">
        <v/>
      </c>
      <c r="FV27" t="str">
        <v/>
      </c>
      <c r="FW27" t="str">
        <v/>
      </c>
      <c r="FX27" t="str">
        <v/>
      </c>
      <c r="FY27" t="str">
        <v/>
      </c>
      <c r="FZ27" t="str">
        <v/>
      </c>
      <c r="GA27" t="str">
        <v/>
      </c>
      <c r="GB27" t="str">
        <v/>
      </c>
      <c r="GC27" t="str">
        <v/>
      </c>
      <c r="GD27" t="str">
        <v/>
      </c>
      <c r="GE27" t="str">
        <v/>
      </c>
      <c r="GF27" t="str">
        <v/>
      </c>
      <c r="GG27" t="str">
        <v/>
      </c>
      <c r="GH27" t="str">
        <v/>
      </c>
      <c r="GI27" t="str">
        <v/>
      </c>
      <c r="GJ27" t="str">
        <v/>
      </c>
      <c r="GK27" t="str">
        <v/>
      </c>
      <c r="GL27" t="str">
        <v/>
      </c>
      <c r="GM27" t="str">
        <v/>
      </c>
      <c r="GN27" t="str">
        <v/>
      </c>
      <c r="GO27" t="str">
        <v/>
      </c>
      <c r="GP27" t="str">
        <v/>
      </c>
      <c r="GQ27" t="str">
        <v/>
      </c>
      <c r="GR27" t="str">
        <v/>
      </c>
      <c r="GS27" t="str">
        <v/>
      </c>
      <c r="GT27" t="str">
        <v/>
      </c>
      <c r="GU27" t="str">
        <v/>
      </c>
      <c r="GV27" t="str">
        <v/>
      </c>
      <c r="GW27" t="str">
        <v/>
      </c>
      <c r="GX27" t="str">
        <v/>
      </c>
      <c r="GY27" t="str">
        <v/>
      </c>
      <c r="GZ27" t="str">
        <v/>
      </c>
      <c r="HA27" t="str">
        <v/>
      </c>
      <c r="HB27" t="str">
        <v/>
      </c>
      <c r="HC27" t="str">
        <v/>
      </c>
      <c r="HD27" t="str">
        <v/>
      </c>
      <c r="HE27" t="str">
        <v/>
      </c>
      <c r="HF27" t="str">
        <v/>
      </c>
      <c r="HG27" t="str">
        <v/>
      </c>
      <c r="HH27" t="str">
        <v/>
      </c>
      <c r="HI27" t="str">
        <v/>
      </c>
      <c r="HJ27" t="str">
        <v/>
      </c>
      <c r="HK27" t="str">
        <v/>
      </c>
      <c r="HL27" t="str">
        <v/>
      </c>
      <c r="HM27" t="str">
        <v/>
      </c>
      <c r="HN27" t="str">
        <v/>
      </c>
      <c r="HO27" t="str">
        <v/>
      </c>
      <c r="HP27" t="str">
        <v/>
      </c>
      <c r="HQ27" t="str">
        <v/>
      </c>
      <c r="HR27" t="str">
        <v/>
      </c>
      <c r="HS27" t="str">
        <v/>
      </c>
      <c r="HT27" t="str">
        <v/>
      </c>
      <c r="HU27" t="str">
        <v/>
      </c>
      <c r="HV27" t="str">
        <v/>
      </c>
      <c r="HW27" t="str">
        <v/>
      </c>
      <c r="HX27" t="str">
        <v/>
      </c>
      <c r="HY27" t="str">
        <v/>
      </c>
      <c r="HZ27" t="str">
        <v/>
      </c>
      <c r="IA27" t="str">
        <v/>
      </c>
      <c r="IB27" t="str">
        <v/>
      </c>
      <c r="IC27" t="str">
        <v/>
      </c>
      <c r="ID27" t="str">
        <v/>
      </c>
      <c r="IE27" t="str">
        <v/>
      </c>
      <c r="IF27" t="str">
        <v/>
      </c>
      <c r="IG27" t="str">
        <v/>
      </c>
      <c r="IH27" t="str">
        <v/>
      </c>
      <c r="II27" t="str">
        <v/>
      </c>
      <c r="IJ27" t="str">
        <v/>
      </c>
      <c r="IK27" t="str">
        <v/>
      </c>
      <c r="IL27" t="str">
        <v/>
      </c>
      <c r="IM27" t="str">
        <v/>
      </c>
      <c r="IN27" t="str">
        <v/>
      </c>
      <c r="IO27" t="str">
        <v/>
      </c>
      <c r="IP27" t="str">
        <v/>
      </c>
      <c r="IQ27" t="str">
        <v/>
      </c>
      <c r="IR27" t="str">
        <v/>
      </c>
      <c r="IS27" t="str">
        <v/>
      </c>
      <c r="IT27" t="str">
        <v/>
      </c>
      <c r="IU27" t="str">
        <v/>
      </c>
      <c r="IV27" t="str">
        <v/>
      </c>
      <c r="IW27" t="str">
        <v/>
      </c>
      <c r="IX27" t="str">
        <v/>
      </c>
      <c r="IY27" t="str">
        <v/>
      </c>
      <c r="IZ27" t="str">
        <v/>
      </c>
      <c r="JA27" t="str">
        <v/>
      </c>
      <c r="JB27" t="str">
        <v/>
      </c>
      <c r="JC27" t="str">
        <v/>
      </c>
      <c r="JD27" t="str">
        <v/>
      </c>
      <c r="JE27" t="str">
        <v/>
      </c>
      <c r="JF27" t="str">
        <v/>
      </c>
      <c r="JG27" t="str">
        <v/>
      </c>
      <c r="JH27" t="str">
        <v/>
      </c>
      <c r="JI27" t="str">
        <v/>
      </c>
      <c r="JJ27" t="str">
        <v/>
      </c>
      <c r="JK27" t="str">
        <v/>
      </c>
      <c r="JL27" t="str">
        <v/>
      </c>
      <c r="JM27" t="str">
        <v/>
      </c>
      <c r="JN27" t="str">
        <v/>
      </c>
      <c r="JO27" t="str">
        <v/>
      </c>
      <c r="JP27" t="str">
        <v/>
      </c>
      <c r="JQ27" t="str">
        <v/>
      </c>
      <c r="JR27" t="str">
        <v/>
      </c>
      <c r="JS27" t="str">
        <v/>
      </c>
      <c r="JT27" t="str">
        <v/>
      </c>
      <c r="JU27" t="str">
        <v/>
      </c>
      <c r="JV27" t="str">
        <v/>
      </c>
      <c r="JW27" t="str">
        <v/>
      </c>
      <c r="JX27" t="str">
        <v/>
      </c>
      <c r="JY27" t="str">
        <v/>
      </c>
      <c r="JZ27" t="str">
        <v/>
      </c>
      <c r="KA27" t="str">
        <v/>
      </c>
      <c r="KB27" t="str">
        <v/>
      </c>
      <c r="KC27" t="str">
        <v/>
      </c>
      <c r="KD27" t="str">
        <v/>
      </c>
      <c r="KE27" t="str">
        <v/>
      </c>
      <c r="KF27" t="str">
        <v/>
      </c>
      <c r="KG27" t="str">
        <v/>
      </c>
      <c r="KH27" t="str">
        <v/>
      </c>
      <c r="KI27" t="str">
        <v/>
      </c>
      <c r="KJ27" t="str">
        <v/>
      </c>
      <c r="KK27" t="str">
        <v/>
      </c>
      <c r="KL27" t="str">
        <v/>
      </c>
      <c r="KM27" t="str">
        <v/>
      </c>
      <c r="KN27" t="str">
        <v/>
      </c>
      <c r="KO27" t="str">
        <v/>
      </c>
      <c r="KP27" t="str">
        <v/>
      </c>
      <c r="KQ27" t="str">
        <v/>
      </c>
      <c r="KR27" t="str">
        <v/>
      </c>
      <c r="KS27" t="str">
        <v/>
      </c>
      <c r="KT27" t="str">
        <v/>
      </c>
      <c r="KU27" t="str">
        <v/>
      </c>
      <c r="KV27" t="str">
        <v/>
      </c>
      <c r="KW27" t="str">
        <v/>
      </c>
      <c r="KX27" t="str">
        <v/>
      </c>
      <c r="KY27" t="str">
        <v/>
      </c>
      <c r="KZ27" t="str">
        <v/>
      </c>
      <c r="LA27" t="str">
        <v/>
      </c>
      <c r="LB27" t="str">
        <v/>
      </c>
      <c r="LC27" t="str">
        <v/>
      </c>
      <c r="LD27" t="str">
        <v/>
      </c>
      <c r="LE27" t="str">
        <v/>
      </c>
      <c r="LF27" t="str">
        <v/>
      </c>
      <c r="LG27" t="str">
        <v/>
      </c>
      <c r="LH27" t="str">
        <v/>
      </c>
      <c r="LI27" t="str">
        <v/>
      </c>
      <c r="LJ27" t="str">
        <v/>
      </c>
      <c r="LK27" t="str">
        <v/>
      </c>
      <c r="LL27" t="str">
        <v/>
      </c>
      <c r="LM27" t="str">
        <v/>
      </c>
      <c r="LN27" t="str">
        <v/>
      </c>
      <c r="LO27" t="str">
        <v/>
      </c>
      <c r="LP27" t="str">
        <v/>
      </c>
      <c r="LQ27" t="str">
        <v/>
      </c>
      <c r="LR27" t="str">
        <v/>
      </c>
      <c r="LS27" t="str">
        <v/>
      </c>
      <c r="LT27" t="str">
        <v/>
      </c>
      <c r="LU27" t="str">
        <v/>
      </c>
      <c r="LV27" t="str">
        <v/>
      </c>
      <c r="LW27" t="str">
        <v/>
      </c>
      <c r="LX27" t="str">
        <v/>
      </c>
      <c r="LY27" t="str">
        <v/>
      </c>
      <c r="LZ27" t="str">
        <v/>
      </c>
      <c r="MA27" t="str">
        <v/>
      </c>
      <c r="MB27" t="str">
        <v/>
      </c>
      <c r="MC27" t="str">
        <v/>
      </c>
      <c r="MD27" t="str">
        <v/>
      </c>
      <c r="ME27" t="str">
        <v/>
      </c>
      <c r="MF27" t="str">
        <v/>
      </c>
      <c r="MG27" t="str">
        <v/>
      </c>
      <c r="MH27" t="str">
        <v/>
      </c>
      <c r="MI27" t="str">
        <v/>
      </c>
      <c r="MJ27" t="str">
        <v/>
      </c>
      <c r="MK27" t="str">
        <v/>
      </c>
      <c r="ML27" t="str">
        <v/>
      </c>
      <c r="MM27" t="str">
        <v/>
      </c>
      <c r="MN27" t="str">
        <v/>
      </c>
      <c r="MO27" t="str">
        <v/>
      </c>
      <c r="MP27" t="str">
        <v/>
      </c>
      <c r="MQ27" t="str">
        <v/>
      </c>
      <c r="MR27" t="str">
        <v/>
      </c>
      <c r="MS27" t="str">
        <v/>
      </c>
      <c r="MT27" t="str">
        <v/>
      </c>
      <c r="MU27" t="str">
        <v/>
      </c>
      <c r="MV27" t="str">
        <v/>
      </c>
      <c r="MW27" t="str">
        <v/>
      </c>
      <c r="MX27" t="str">
        <v/>
      </c>
      <c r="MY27" t="str">
        <v/>
      </c>
      <c r="MZ27" t="str">
        <v/>
      </c>
      <c r="NA27" t="str">
        <v/>
      </c>
      <c r="NB27" t="str">
        <v/>
      </c>
      <c r="NC27" t="str">
        <v/>
      </c>
      <c r="ND27" t="str">
        <v/>
      </c>
      <c r="NE27" t="str">
        <v/>
      </c>
      <c r="NF27" t="str">
        <v/>
      </c>
      <c r="NG27" t="str">
        <v/>
      </c>
      <c r="NH27" t="str">
        <v/>
      </c>
      <c r="NI27" t="str">
        <v/>
      </c>
      <c r="NJ27" t="str">
        <v/>
      </c>
      <c r="NK27" t="str">
        <v/>
      </c>
      <c r="NL27" t="str">
        <v/>
      </c>
      <c r="NM27" t="str">
        <v/>
      </c>
      <c r="NN27" t="str">
        <v/>
      </c>
      <c r="NO27" t="str">
        <v/>
      </c>
      <c r="NP27" t="str">
        <v/>
      </c>
      <c r="NQ27" t="str">
        <v/>
      </c>
      <c r="NR27" t="str">
        <v/>
      </c>
      <c r="NS27" t="str">
        <v/>
      </c>
      <c r="NT27" t="str">
        <v/>
      </c>
      <c r="NU27" t="str">
        <v/>
      </c>
      <c r="NV27" t="str">
        <v/>
      </c>
      <c r="NW27" t="str">
        <v/>
      </c>
      <c r="NX27" t="str">
        <v/>
      </c>
      <c r="NY27" t="str">
        <v/>
      </c>
      <c r="NZ27" t="str">
        <v/>
      </c>
      <c r="OA27" t="str">
        <v/>
      </c>
      <c r="OB27" t="str">
        <v/>
      </c>
      <c r="OC27" t="str">
        <v/>
      </c>
      <c r="OD27" t="str">
        <v/>
      </c>
      <c r="OE27" t="str">
        <v/>
      </c>
    </row>
    <row r="28" spans="1:395" outlineLevel="1" x14ac:dyDescent="0.3">
      <c r="A28" s="14"/>
      <c r="C28" s="14"/>
      <c r="D28" s="19" t="s">
        <v>189</v>
      </c>
      <c r="E28" s="297">
        <v>3</v>
      </c>
      <c r="F28" s="259" t="s">
        <v>352</v>
      </c>
      <c r="G28" s="76"/>
      <c r="H28" s="76"/>
      <c r="I28" s="257"/>
      <c r="J28" s="258"/>
      <c r="K28" s="65"/>
      <c r="L28" s="55"/>
      <c r="M28" s="66"/>
      <c r="N28" t="s">
        <v>189</v>
      </c>
      <c r="O28" s="8">
        <f>P27+1</f>
        <v>47331</v>
      </c>
      <c r="P28" s="208">
        <f>EOMONTH(O28,E28)</f>
        <v>47452</v>
      </c>
      <c r="Q28" t="str" cm="1">
        <f t="array" ref="Q28:OE28">IF(((EOMONTH(O28,-1)+1)&lt;=_xlfn.ANCHORARRAY($Q$2))*(_xlfn.ANCHORARRAY($Q$2)&lt;P28)," ","")</f>
        <v/>
      </c>
      <c r="R28" t="str">
        <v/>
      </c>
      <c r="S28" t="str">
        <v/>
      </c>
      <c r="T28" t="str">
        <v/>
      </c>
      <c r="U28" t="str">
        <v/>
      </c>
      <c r="V28" t="str">
        <v/>
      </c>
      <c r="W28" t="str">
        <v/>
      </c>
      <c r="X28" t="str">
        <v/>
      </c>
      <c r="Y28" t="str">
        <v/>
      </c>
      <c r="Z28" t="str">
        <v/>
      </c>
      <c r="AA28" t="str">
        <v/>
      </c>
      <c r="AB28" t="str">
        <v/>
      </c>
      <c r="AC28" t="str">
        <v/>
      </c>
      <c r="AD28" t="str">
        <v/>
      </c>
      <c r="AE28" t="str">
        <v/>
      </c>
      <c r="AF28" t="str">
        <v/>
      </c>
      <c r="AG28" t="str">
        <v/>
      </c>
      <c r="AH28" t="str">
        <v/>
      </c>
      <c r="AI28" t="str">
        <v/>
      </c>
      <c r="AJ28" t="str">
        <v/>
      </c>
      <c r="AK28" t="str">
        <v/>
      </c>
      <c r="AL28" t="str">
        <v/>
      </c>
      <c r="AM28" t="str">
        <v/>
      </c>
      <c r="AN28" t="str">
        <v/>
      </c>
      <c r="AO28" t="str">
        <v/>
      </c>
      <c r="AP28" t="str">
        <v/>
      </c>
      <c r="AQ28" t="str">
        <v/>
      </c>
      <c r="AR28" t="str">
        <v/>
      </c>
      <c r="AS28" t="str">
        <v/>
      </c>
      <c r="AT28" t="str">
        <v/>
      </c>
      <c r="AU28" t="str">
        <v/>
      </c>
      <c r="AV28" t="str">
        <v/>
      </c>
      <c r="AW28" t="str">
        <v/>
      </c>
      <c r="AX28" t="str">
        <v/>
      </c>
      <c r="AY28" t="str">
        <v/>
      </c>
      <c r="AZ28" t="str">
        <v/>
      </c>
      <c r="BA28" t="str">
        <v/>
      </c>
      <c r="BB28" t="str">
        <v/>
      </c>
      <c r="BC28" t="str">
        <v xml:space="preserve"> </v>
      </c>
      <c r="BD28" t="str">
        <v xml:space="preserve"> </v>
      </c>
      <c r="BE28" t="str">
        <v xml:space="preserve"> </v>
      </c>
      <c r="BF28" t="str">
        <v xml:space="preserve"> </v>
      </c>
      <c r="BG28" t="str">
        <v/>
      </c>
      <c r="BH28" t="str">
        <v/>
      </c>
      <c r="BI28" t="str">
        <v/>
      </c>
      <c r="BJ28" t="str">
        <v/>
      </c>
      <c r="BK28" t="str">
        <v/>
      </c>
      <c r="BL28" t="str">
        <v/>
      </c>
      <c r="BM28" t="str">
        <v/>
      </c>
      <c r="BN28" t="str">
        <v/>
      </c>
      <c r="BO28" t="str">
        <v/>
      </c>
      <c r="BP28" t="str">
        <v/>
      </c>
      <c r="BQ28" t="str">
        <v/>
      </c>
      <c r="BR28" t="str">
        <v/>
      </c>
      <c r="BS28" t="str">
        <v/>
      </c>
      <c r="BT28" t="str">
        <v/>
      </c>
      <c r="BU28" t="str">
        <v/>
      </c>
      <c r="BV28" t="str">
        <v/>
      </c>
      <c r="BW28" t="str">
        <v/>
      </c>
      <c r="BX28" t="str">
        <v/>
      </c>
      <c r="BY28" t="str">
        <v/>
      </c>
      <c r="BZ28" t="str">
        <v/>
      </c>
      <c r="CA28" t="str">
        <v/>
      </c>
      <c r="CB28" t="str">
        <v/>
      </c>
      <c r="CC28" t="str">
        <v/>
      </c>
      <c r="CD28" t="str">
        <v/>
      </c>
      <c r="CE28" t="str">
        <v/>
      </c>
      <c r="CF28" t="str">
        <v/>
      </c>
      <c r="CG28" t="str">
        <v/>
      </c>
      <c r="CH28" t="str">
        <v/>
      </c>
      <c r="CI28" t="str">
        <v/>
      </c>
      <c r="CJ28" t="str">
        <v/>
      </c>
      <c r="CK28" t="str">
        <v/>
      </c>
      <c r="CL28" t="str">
        <v/>
      </c>
      <c r="CM28" t="str">
        <v/>
      </c>
      <c r="CN28" t="str">
        <v/>
      </c>
      <c r="CO28" t="str">
        <v/>
      </c>
      <c r="CP28" t="str">
        <v/>
      </c>
      <c r="CQ28" t="str">
        <v/>
      </c>
      <c r="CR28" t="str">
        <v/>
      </c>
      <c r="CS28" t="str">
        <v/>
      </c>
      <c r="CT28" t="str">
        <v/>
      </c>
      <c r="CU28" t="str">
        <v/>
      </c>
      <c r="CV28" t="str">
        <v/>
      </c>
      <c r="CW28" t="str">
        <v/>
      </c>
      <c r="CX28" t="str">
        <v/>
      </c>
      <c r="CY28" t="str">
        <v/>
      </c>
      <c r="CZ28" t="str">
        <v/>
      </c>
      <c r="DA28" t="str">
        <v/>
      </c>
      <c r="DB28" t="str">
        <v/>
      </c>
      <c r="DC28" t="str">
        <v/>
      </c>
      <c r="DD28" t="str">
        <v/>
      </c>
      <c r="DE28" t="str">
        <v/>
      </c>
      <c r="DF28" t="str">
        <v/>
      </c>
      <c r="DG28" t="str">
        <v/>
      </c>
      <c r="DH28" t="str">
        <v/>
      </c>
      <c r="DI28" t="str">
        <v/>
      </c>
      <c r="DJ28" t="str">
        <v/>
      </c>
      <c r="DK28" t="str">
        <v/>
      </c>
      <c r="DL28" t="str">
        <v/>
      </c>
      <c r="DM28" t="str">
        <v/>
      </c>
      <c r="DN28" t="str">
        <v/>
      </c>
      <c r="DO28" t="str">
        <v/>
      </c>
      <c r="DP28" t="str">
        <v/>
      </c>
      <c r="DQ28" t="str">
        <v/>
      </c>
      <c r="DR28" t="str">
        <v/>
      </c>
      <c r="DS28" t="str">
        <v/>
      </c>
      <c r="DT28" t="str">
        <v/>
      </c>
      <c r="DU28" t="str">
        <v/>
      </c>
      <c r="DV28" t="str">
        <v/>
      </c>
      <c r="DW28" t="str">
        <v/>
      </c>
      <c r="DX28" t="str">
        <v/>
      </c>
      <c r="DY28" t="str">
        <v/>
      </c>
      <c r="DZ28" t="str">
        <v/>
      </c>
      <c r="EA28" t="str">
        <v/>
      </c>
      <c r="EB28" t="str">
        <v/>
      </c>
      <c r="EC28" t="str">
        <v/>
      </c>
      <c r="ED28" t="str">
        <v/>
      </c>
      <c r="EE28" t="str">
        <v/>
      </c>
      <c r="EF28" t="str">
        <v/>
      </c>
      <c r="EG28" t="str">
        <v/>
      </c>
      <c r="EH28" t="str">
        <v/>
      </c>
      <c r="EI28" t="str">
        <v/>
      </c>
      <c r="EJ28" t="str">
        <v/>
      </c>
      <c r="EK28" t="str">
        <v/>
      </c>
      <c r="EL28" t="str">
        <v/>
      </c>
      <c r="EM28" t="str">
        <v/>
      </c>
      <c r="EN28" t="str">
        <v/>
      </c>
      <c r="EO28" t="str">
        <v/>
      </c>
      <c r="EP28" t="str">
        <v/>
      </c>
      <c r="EQ28" t="str">
        <v/>
      </c>
      <c r="ER28" t="str">
        <v/>
      </c>
      <c r="ES28" t="str">
        <v/>
      </c>
      <c r="ET28" t="str">
        <v/>
      </c>
      <c r="EU28" t="str">
        <v/>
      </c>
      <c r="EV28" t="str">
        <v/>
      </c>
      <c r="EW28" t="str">
        <v/>
      </c>
      <c r="EX28" t="str">
        <v/>
      </c>
      <c r="EY28" t="str">
        <v/>
      </c>
      <c r="EZ28" t="str">
        <v/>
      </c>
      <c r="FA28" t="str">
        <v/>
      </c>
      <c r="FB28" t="str">
        <v/>
      </c>
      <c r="FC28" t="str">
        <v/>
      </c>
      <c r="FD28" t="str">
        <v/>
      </c>
      <c r="FE28" t="str">
        <v/>
      </c>
      <c r="FF28" t="str">
        <v/>
      </c>
      <c r="FG28" t="str">
        <v/>
      </c>
      <c r="FH28" t="str">
        <v/>
      </c>
      <c r="FI28" t="str">
        <v/>
      </c>
      <c r="FJ28" t="str">
        <v/>
      </c>
      <c r="FK28" t="str">
        <v/>
      </c>
      <c r="FL28" t="str">
        <v/>
      </c>
      <c r="FM28" t="str">
        <v/>
      </c>
      <c r="FN28" t="str">
        <v/>
      </c>
      <c r="FO28" t="str">
        <v/>
      </c>
      <c r="FP28" t="str">
        <v/>
      </c>
      <c r="FQ28" t="str">
        <v/>
      </c>
      <c r="FR28" t="str">
        <v/>
      </c>
      <c r="FS28" t="str">
        <v/>
      </c>
      <c r="FT28" t="str">
        <v/>
      </c>
      <c r="FU28" t="str">
        <v/>
      </c>
      <c r="FV28" t="str">
        <v/>
      </c>
      <c r="FW28" t="str">
        <v/>
      </c>
      <c r="FX28" t="str">
        <v/>
      </c>
      <c r="FY28" t="str">
        <v/>
      </c>
      <c r="FZ28" t="str">
        <v/>
      </c>
      <c r="GA28" t="str">
        <v/>
      </c>
      <c r="GB28" t="str">
        <v/>
      </c>
      <c r="GC28" t="str">
        <v/>
      </c>
      <c r="GD28" t="str">
        <v/>
      </c>
      <c r="GE28" t="str">
        <v/>
      </c>
      <c r="GF28" t="str">
        <v/>
      </c>
      <c r="GG28" t="str">
        <v/>
      </c>
      <c r="GH28" t="str">
        <v/>
      </c>
      <c r="GI28" t="str">
        <v/>
      </c>
      <c r="GJ28" t="str">
        <v/>
      </c>
      <c r="GK28" t="str">
        <v/>
      </c>
      <c r="GL28" t="str">
        <v/>
      </c>
      <c r="GM28" t="str">
        <v/>
      </c>
      <c r="GN28" t="str">
        <v/>
      </c>
      <c r="GO28" t="str">
        <v/>
      </c>
      <c r="GP28" t="str">
        <v/>
      </c>
      <c r="GQ28" t="str">
        <v/>
      </c>
      <c r="GR28" t="str">
        <v/>
      </c>
      <c r="GS28" t="str">
        <v/>
      </c>
      <c r="GT28" t="str">
        <v/>
      </c>
      <c r="GU28" t="str">
        <v/>
      </c>
      <c r="GV28" t="str">
        <v/>
      </c>
      <c r="GW28" t="str">
        <v/>
      </c>
      <c r="GX28" t="str">
        <v/>
      </c>
      <c r="GY28" t="str">
        <v/>
      </c>
      <c r="GZ28" t="str">
        <v/>
      </c>
      <c r="HA28" t="str">
        <v/>
      </c>
      <c r="HB28" t="str">
        <v/>
      </c>
      <c r="HC28" t="str">
        <v/>
      </c>
      <c r="HD28" t="str">
        <v/>
      </c>
      <c r="HE28" t="str">
        <v/>
      </c>
      <c r="HF28" t="str">
        <v/>
      </c>
      <c r="HG28" t="str">
        <v/>
      </c>
      <c r="HH28" t="str">
        <v/>
      </c>
      <c r="HI28" t="str">
        <v/>
      </c>
      <c r="HJ28" t="str">
        <v/>
      </c>
      <c r="HK28" t="str">
        <v/>
      </c>
      <c r="HL28" t="str">
        <v/>
      </c>
      <c r="HM28" t="str">
        <v/>
      </c>
      <c r="HN28" t="str">
        <v/>
      </c>
      <c r="HO28" t="str">
        <v/>
      </c>
      <c r="HP28" t="str">
        <v/>
      </c>
      <c r="HQ28" t="str">
        <v/>
      </c>
      <c r="HR28" t="str">
        <v/>
      </c>
      <c r="HS28" t="str">
        <v/>
      </c>
      <c r="HT28" t="str">
        <v/>
      </c>
      <c r="HU28" t="str">
        <v/>
      </c>
      <c r="HV28" t="str">
        <v/>
      </c>
      <c r="HW28" t="str">
        <v/>
      </c>
      <c r="HX28" t="str">
        <v/>
      </c>
      <c r="HY28" t="str">
        <v/>
      </c>
      <c r="HZ28" t="str">
        <v/>
      </c>
      <c r="IA28" t="str">
        <v/>
      </c>
      <c r="IB28" t="str">
        <v/>
      </c>
      <c r="IC28" t="str">
        <v/>
      </c>
      <c r="ID28" t="str">
        <v/>
      </c>
      <c r="IE28" t="str">
        <v/>
      </c>
      <c r="IF28" t="str">
        <v/>
      </c>
      <c r="IG28" t="str">
        <v/>
      </c>
      <c r="IH28" t="str">
        <v/>
      </c>
      <c r="II28" t="str">
        <v/>
      </c>
      <c r="IJ28" t="str">
        <v/>
      </c>
      <c r="IK28" t="str">
        <v/>
      </c>
      <c r="IL28" t="str">
        <v/>
      </c>
      <c r="IM28" t="str">
        <v/>
      </c>
      <c r="IN28" t="str">
        <v/>
      </c>
      <c r="IO28" t="str">
        <v/>
      </c>
      <c r="IP28" t="str">
        <v/>
      </c>
      <c r="IQ28" t="str">
        <v/>
      </c>
      <c r="IR28" t="str">
        <v/>
      </c>
      <c r="IS28" t="str">
        <v/>
      </c>
      <c r="IT28" t="str">
        <v/>
      </c>
      <c r="IU28" t="str">
        <v/>
      </c>
      <c r="IV28" t="str">
        <v/>
      </c>
      <c r="IW28" t="str">
        <v/>
      </c>
      <c r="IX28" t="str">
        <v/>
      </c>
      <c r="IY28" t="str">
        <v/>
      </c>
      <c r="IZ28" t="str">
        <v/>
      </c>
      <c r="JA28" t="str">
        <v/>
      </c>
      <c r="JB28" t="str">
        <v/>
      </c>
      <c r="JC28" t="str">
        <v/>
      </c>
      <c r="JD28" t="str">
        <v/>
      </c>
      <c r="JE28" t="str">
        <v/>
      </c>
      <c r="JF28" t="str">
        <v/>
      </c>
      <c r="JG28" t="str">
        <v/>
      </c>
      <c r="JH28" t="str">
        <v/>
      </c>
      <c r="JI28" t="str">
        <v/>
      </c>
      <c r="JJ28" t="str">
        <v/>
      </c>
      <c r="JK28" t="str">
        <v/>
      </c>
      <c r="JL28" t="str">
        <v/>
      </c>
      <c r="JM28" t="str">
        <v/>
      </c>
      <c r="JN28" t="str">
        <v/>
      </c>
      <c r="JO28" t="str">
        <v/>
      </c>
      <c r="JP28" t="str">
        <v/>
      </c>
      <c r="JQ28" t="str">
        <v/>
      </c>
      <c r="JR28" t="str">
        <v/>
      </c>
      <c r="JS28" t="str">
        <v/>
      </c>
      <c r="JT28" t="str">
        <v/>
      </c>
      <c r="JU28" t="str">
        <v/>
      </c>
      <c r="JV28" t="str">
        <v/>
      </c>
      <c r="JW28" t="str">
        <v/>
      </c>
      <c r="JX28" t="str">
        <v/>
      </c>
      <c r="JY28" t="str">
        <v/>
      </c>
      <c r="JZ28" t="str">
        <v/>
      </c>
      <c r="KA28" t="str">
        <v/>
      </c>
      <c r="KB28" t="str">
        <v/>
      </c>
      <c r="KC28" t="str">
        <v/>
      </c>
      <c r="KD28" t="str">
        <v/>
      </c>
      <c r="KE28" t="str">
        <v/>
      </c>
      <c r="KF28" t="str">
        <v/>
      </c>
      <c r="KG28" t="str">
        <v/>
      </c>
      <c r="KH28" t="str">
        <v/>
      </c>
      <c r="KI28" t="str">
        <v/>
      </c>
      <c r="KJ28" t="str">
        <v/>
      </c>
      <c r="KK28" t="str">
        <v/>
      </c>
      <c r="KL28" t="str">
        <v/>
      </c>
      <c r="KM28" t="str">
        <v/>
      </c>
      <c r="KN28" t="str">
        <v/>
      </c>
      <c r="KO28" t="str">
        <v/>
      </c>
      <c r="KP28" t="str">
        <v/>
      </c>
      <c r="KQ28" t="str">
        <v/>
      </c>
      <c r="KR28" t="str">
        <v/>
      </c>
      <c r="KS28" t="str">
        <v/>
      </c>
      <c r="KT28" t="str">
        <v/>
      </c>
      <c r="KU28" t="str">
        <v/>
      </c>
      <c r="KV28" t="str">
        <v/>
      </c>
      <c r="KW28" t="str">
        <v/>
      </c>
      <c r="KX28" t="str">
        <v/>
      </c>
      <c r="KY28" t="str">
        <v/>
      </c>
      <c r="KZ28" t="str">
        <v/>
      </c>
      <c r="LA28" t="str">
        <v/>
      </c>
      <c r="LB28" t="str">
        <v/>
      </c>
      <c r="LC28" t="str">
        <v/>
      </c>
      <c r="LD28" t="str">
        <v/>
      </c>
      <c r="LE28" t="str">
        <v/>
      </c>
      <c r="LF28" t="str">
        <v/>
      </c>
      <c r="LG28" t="str">
        <v/>
      </c>
      <c r="LH28" t="str">
        <v/>
      </c>
      <c r="LI28" t="str">
        <v/>
      </c>
      <c r="LJ28" t="str">
        <v/>
      </c>
      <c r="LK28" t="str">
        <v/>
      </c>
      <c r="LL28" t="str">
        <v/>
      </c>
      <c r="LM28" t="str">
        <v/>
      </c>
      <c r="LN28" t="str">
        <v/>
      </c>
      <c r="LO28" t="str">
        <v/>
      </c>
      <c r="LP28" t="str">
        <v/>
      </c>
      <c r="LQ28" t="str">
        <v/>
      </c>
      <c r="LR28" t="str">
        <v/>
      </c>
      <c r="LS28" t="str">
        <v/>
      </c>
      <c r="LT28" t="str">
        <v/>
      </c>
      <c r="LU28" t="str">
        <v/>
      </c>
      <c r="LV28" t="str">
        <v/>
      </c>
      <c r="LW28" t="str">
        <v/>
      </c>
      <c r="LX28" t="str">
        <v/>
      </c>
      <c r="LY28" t="str">
        <v/>
      </c>
      <c r="LZ28" t="str">
        <v/>
      </c>
      <c r="MA28" t="str">
        <v/>
      </c>
      <c r="MB28" t="str">
        <v/>
      </c>
      <c r="MC28" t="str">
        <v/>
      </c>
      <c r="MD28" t="str">
        <v/>
      </c>
      <c r="ME28" t="str">
        <v/>
      </c>
      <c r="MF28" t="str">
        <v/>
      </c>
      <c r="MG28" t="str">
        <v/>
      </c>
      <c r="MH28" t="str">
        <v/>
      </c>
      <c r="MI28" t="str">
        <v/>
      </c>
      <c r="MJ28" t="str">
        <v/>
      </c>
      <c r="MK28" t="str">
        <v/>
      </c>
      <c r="ML28" t="str">
        <v/>
      </c>
      <c r="MM28" t="str">
        <v/>
      </c>
      <c r="MN28" t="str">
        <v/>
      </c>
      <c r="MO28" t="str">
        <v/>
      </c>
      <c r="MP28" t="str">
        <v/>
      </c>
      <c r="MQ28" t="str">
        <v/>
      </c>
      <c r="MR28" t="str">
        <v/>
      </c>
      <c r="MS28" t="str">
        <v/>
      </c>
      <c r="MT28" t="str">
        <v/>
      </c>
      <c r="MU28" t="str">
        <v/>
      </c>
      <c r="MV28" t="str">
        <v/>
      </c>
      <c r="MW28" t="str">
        <v/>
      </c>
      <c r="MX28" t="str">
        <v/>
      </c>
      <c r="MY28" t="str">
        <v/>
      </c>
      <c r="MZ28" t="str">
        <v/>
      </c>
      <c r="NA28" t="str">
        <v/>
      </c>
      <c r="NB28" t="str">
        <v/>
      </c>
      <c r="NC28" t="str">
        <v/>
      </c>
      <c r="ND28" t="str">
        <v/>
      </c>
      <c r="NE28" t="str">
        <v/>
      </c>
      <c r="NF28" t="str">
        <v/>
      </c>
      <c r="NG28" t="str">
        <v/>
      </c>
      <c r="NH28" t="str">
        <v/>
      </c>
      <c r="NI28" t="str">
        <v/>
      </c>
      <c r="NJ28" t="str">
        <v/>
      </c>
      <c r="NK28" t="str">
        <v/>
      </c>
      <c r="NL28" t="str">
        <v/>
      </c>
      <c r="NM28" t="str">
        <v/>
      </c>
      <c r="NN28" t="str">
        <v/>
      </c>
      <c r="NO28" t="str">
        <v/>
      </c>
      <c r="NP28" t="str">
        <v/>
      </c>
      <c r="NQ28" t="str">
        <v/>
      </c>
      <c r="NR28" t="str">
        <v/>
      </c>
      <c r="NS28" t="str">
        <v/>
      </c>
      <c r="NT28" t="str">
        <v/>
      </c>
      <c r="NU28" t="str">
        <v/>
      </c>
      <c r="NV28" t="str">
        <v/>
      </c>
      <c r="NW28" t="str">
        <v/>
      </c>
      <c r="NX28" t="str">
        <v/>
      </c>
      <c r="NY28" t="str">
        <v/>
      </c>
      <c r="NZ28" t="str">
        <v/>
      </c>
      <c r="OA28" t="str">
        <v/>
      </c>
      <c r="OB28" t="str">
        <v/>
      </c>
      <c r="OC28" t="str">
        <v/>
      </c>
      <c r="OD28" t="str">
        <v/>
      </c>
      <c r="OE28" t="str">
        <v/>
      </c>
    </row>
    <row r="29" spans="1:395" outlineLevel="1" x14ac:dyDescent="0.3">
      <c r="A29" s="14"/>
      <c r="C29" s="14"/>
      <c r="D29" s="19" t="s">
        <v>183</v>
      </c>
      <c r="E29" s="297">
        <v>3</v>
      </c>
      <c r="F29" s="259" t="s">
        <v>352</v>
      </c>
      <c r="G29" s="76"/>
      <c r="H29" s="76"/>
      <c r="I29" s="257"/>
      <c r="J29" s="258"/>
      <c r="K29" s="65"/>
      <c r="L29" s="55"/>
      <c r="M29" s="66"/>
      <c r="N29" t="s">
        <v>183</v>
      </c>
      <c r="O29" s="8">
        <f>P27+1</f>
        <v>47331</v>
      </c>
      <c r="P29" s="208">
        <f>EOMONTH(O29,E29)</f>
        <v>47452</v>
      </c>
      <c r="Q29" t="str" cm="1">
        <f t="array" ref="Q29:OE29">IF(((EOMONTH(O29,-1)+1)&lt;=_xlfn.ANCHORARRAY($Q$2))*(_xlfn.ANCHORARRAY($Q$2)&lt;P29)," ","")</f>
        <v/>
      </c>
      <c r="R29" t="str">
        <v/>
      </c>
      <c r="S29" t="str">
        <v/>
      </c>
      <c r="T29" t="str">
        <v/>
      </c>
      <c r="U29" t="str">
        <v/>
      </c>
      <c r="V29" t="str">
        <v/>
      </c>
      <c r="W29" t="str">
        <v/>
      </c>
      <c r="X29" t="str">
        <v/>
      </c>
      <c r="Y29" t="str">
        <v/>
      </c>
      <c r="Z29" t="str">
        <v/>
      </c>
      <c r="AA29" t="str">
        <v/>
      </c>
      <c r="AB29" t="str">
        <v/>
      </c>
      <c r="AC29" t="str">
        <v/>
      </c>
      <c r="AD29" t="str">
        <v/>
      </c>
      <c r="AE29" t="str">
        <v/>
      </c>
      <c r="AF29" t="str">
        <v/>
      </c>
      <c r="AG29" t="str">
        <v/>
      </c>
      <c r="AH29" t="str">
        <v/>
      </c>
      <c r="AI29" t="str">
        <v/>
      </c>
      <c r="AJ29" t="str">
        <v/>
      </c>
      <c r="AK29" t="str">
        <v/>
      </c>
      <c r="AL29" t="str">
        <v/>
      </c>
      <c r="AM29" t="str">
        <v/>
      </c>
      <c r="AN29" t="str">
        <v/>
      </c>
      <c r="AO29" t="str">
        <v/>
      </c>
      <c r="AP29" t="str">
        <v/>
      </c>
      <c r="AQ29" t="str">
        <v/>
      </c>
      <c r="AR29" t="str">
        <v/>
      </c>
      <c r="AS29" t="str">
        <v/>
      </c>
      <c r="AT29" t="str">
        <v/>
      </c>
      <c r="AU29" t="str">
        <v/>
      </c>
      <c r="AV29" t="str">
        <v/>
      </c>
      <c r="AW29" t="str">
        <v/>
      </c>
      <c r="AX29" t="str">
        <v/>
      </c>
      <c r="AY29" t="str">
        <v/>
      </c>
      <c r="AZ29" t="str">
        <v/>
      </c>
      <c r="BA29" t="str">
        <v/>
      </c>
      <c r="BB29" t="str">
        <v/>
      </c>
      <c r="BC29" t="str">
        <v xml:space="preserve"> </v>
      </c>
      <c r="BD29" t="str">
        <v xml:space="preserve"> </v>
      </c>
      <c r="BE29" t="str">
        <v xml:space="preserve"> </v>
      </c>
      <c r="BF29" t="str">
        <v xml:space="preserve"> </v>
      </c>
      <c r="BG29" t="str">
        <v/>
      </c>
      <c r="BH29" t="str">
        <v/>
      </c>
      <c r="BI29" t="str">
        <v/>
      </c>
      <c r="BJ29" t="str">
        <v/>
      </c>
      <c r="BK29" t="str">
        <v/>
      </c>
      <c r="BL29" t="str">
        <v/>
      </c>
      <c r="BM29" t="str">
        <v/>
      </c>
      <c r="BN29" t="str">
        <v/>
      </c>
      <c r="BO29" t="str">
        <v/>
      </c>
      <c r="BP29" t="str">
        <v/>
      </c>
      <c r="BQ29" t="str">
        <v/>
      </c>
      <c r="BR29" t="str">
        <v/>
      </c>
      <c r="BS29" t="str">
        <v/>
      </c>
      <c r="BT29" t="str">
        <v/>
      </c>
      <c r="BU29" t="str">
        <v/>
      </c>
      <c r="BV29" t="str">
        <v/>
      </c>
      <c r="BW29" t="str">
        <v/>
      </c>
      <c r="BX29" t="str">
        <v/>
      </c>
      <c r="BY29" t="str">
        <v/>
      </c>
      <c r="BZ29" t="str">
        <v/>
      </c>
      <c r="CA29" t="str">
        <v/>
      </c>
      <c r="CB29" t="str">
        <v/>
      </c>
      <c r="CC29" t="str">
        <v/>
      </c>
      <c r="CD29" t="str">
        <v/>
      </c>
      <c r="CE29" t="str">
        <v/>
      </c>
      <c r="CF29" t="str">
        <v/>
      </c>
      <c r="CG29" t="str">
        <v/>
      </c>
      <c r="CH29" t="str">
        <v/>
      </c>
      <c r="CI29" t="str">
        <v/>
      </c>
      <c r="CJ29" t="str">
        <v/>
      </c>
      <c r="CK29" t="str">
        <v/>
      </c>
      <c r="CL29" t="str">
        <v/>
      </c>
      <c r="CM29" t="str">
        <v/>
      </c>
      <c r="CN29" t="str">
        <v/>
      </c>
      <c r="CO29" t="str">
        <v/>
      </c>
      <c r="CP29" t="str">
        <v/>
      </c>
      <c r="CQ29" t="str">
        <v/>
      </c>
      <c r="CR29" t="str">
        <v/>
      </c>
      <c r="CS29" t="str">
        <v/>
      </c>
      <c r="CT29" t="str">
        <v/>
      </c>
      <c r="CU29" t="str">
        <v/>
      </c>
      <c r="CV29" t="str">
        <v/>
      </c>
      <c r="CW29" t="str">
        <v/>
      </c>
      <c r="CX29" t="str">
        <v/>
      </c>
      <c r="CY29" t="str">
        <v/>
      </c>
      <c r="CZ29" t="str">
        <v/>
      </c>
      <c r="DA29" t="str">
        <v/>
      </c>
      <c r="DB29" t="str">
        <v/>
      </c>
      <c r="DC29" t="str">
        <v/>
      </c>
      <c r="DD29" t="str">
        <v/>
      </c>
      <c r="DE29" t="str">
        <v/>
      </c>
      <c r="DF29" t="str">
        <v/>
      </c>
      <c r="DG29" t="str">
        <v/>
      </c>
      <c r="DH29" t="str">
        <v/>
      </c>
      <c r="DI29" t="str">
        <v/>
      </c>
      <c r="DJ29" t="str">
        <v/>
      </c>
      <c r="DK29" t="str">
        <v/>
      </c>
      <c r="DL29" t="str">
        <v/>
      </c>
      <c r="DM29" t="str">
        <v/>
      </c>
      <c r="DN29" t="str">
        <v/>
      </c>
      <c r="DO29" t="str">
        <v/>
      </c>
      <c r="DP29" t="str">
        <v/>
      </c>
      <c r="DQ29" t="str">
        <v/>
      </c>
      <c r="DR29" t="str">
        <v/>
      </c>
      <c r="DS29" t="str">
        <v/>
      </c>
      <c r="DT29" t="str">
        <v/>
      </c>
      <c r="DU29" t="str">
        <v/>
      </c>
      <c r="DV29" t="str">
        <v/>
      </c>
      <c r="DW29" t="str">
        <v/>
      </c>
      <c r="DX29" t="str">
        <v/>
      </c>
      <c r="DY29" t="str">
        <v/>
      </c>
      <c r="DZ29" t="str">
        <v/>
      </c>
      <c r="EA29" t="str">
        <v/>
      </c>
      <c r="EB29" t="str">
        <v/>
      </c>
      <c r="EC29" t="str">
        <v/>
      </c>
      <c r="ED29" t="str">
        <v/>
      </c>
      <c r="EE29" t="str">
        <v/>
      </c>
      <c r="EF29" t="str">
        <v/>
      </c>
      <c r="EG29" t="str">
        <v/>
      </c>
      <c r="EH29" t="str">
        <v/>
      </c>
      <c r="EI29" t="str">
        <v/>
      </c>
      <c r="EJ29" t="str">
        <v/>
      </c>
      <c r="EK29" t="str">
        <v/>
      </c>
      <c r="EL29" t="str">
        <v/>
      </c>
      <c r="EM29" t="str">
        <v/>
      </c>
      <c r="EN29" t="str">
        <v/>
      </c>
      <c r="EO29" t="str">
        <v/>
      </c>
      <c r="EP29" t="str">
        <v/>
      </c>
      <c r="EQ29" t="str">
        <v/>
      </c>
      <c r="ER29" t="str">
        <v/>
      </c>
      <c r="ES29" t="str">
        <v/>
      </c>
      <c r="ET29" t="str">
        <v/>
      </c>
      <c r="EU29" t="str">
        <v/>
      </c>
      <c r="EV29" t="str">
        <v/>
      </c>
      <c r="EW29" t="str">
        <v/>
      </c>
      <c r="EX29" t="str">
        <v/>
      </c>
      <c r="EY29" t="str">
        <v/>
      </c>
      <c r="EZ29" t="str">
        <v/>
      </c>
      <c r="FA29" t="str">
        <v/>
      </c>
      <c r="FB29" t="str">
        <v/>
      </c>
      <c r="FC29" t="str">
        <v/>
      </c>
      <c r="FD29" t="str">
        <v/>
      </c>
      <c r="FE29" t="str">
        <v/>
      </c>
      <c r="FF29" t="str">
        <v/>
      </c>
      <c r="FG29" t="str">
        <v/>
      </c>
      <c r="FH29" t="str">
        <v/>
      </c>
      <c r="FI29" t="str">
        <v/>
      </c>
      <c r="FJ29" t="str">
        <v/>
      </c>
      <c r="FK29" t="str">
        <v/>
      </c>
      <c r="FL29" t="str">
        <v/>
      </c>
      <c r="FM29" t="str">
        <v/>
      </c>
      <c r="FN29" t="str">
        <v/>
      </c>
      <c r="FO29" t="str">
        <v/>
      </c>
      <c r="FP29" t="str">
        <v/>
      </c>
      <c r="FQ29" t="str">
        <v/>
      </c>
      <c r="FR29" t="str">
        <v/>
      </c>
      <c r="FS29" t="str">
        <v/>
      </c>
      <c r="FT29" t="str">
        <v/>
      </c>
      <c r="FU29" t="str">
        <v/>
      </c>
      <c r="FV29" t="str">
        <v/>
      </c>
      <c r="FW29" t="str">
        <v/>
      </c>
      <c r="FX29" t="str">
        <v/>
      </c>
      <c r="FY29" t="str">
        <v/>
      </c>
      <c r="FZ29" t="str">
        <v/>
      </c>
      <c r="GA29" t="str">
        <v/>
      </c>
      <c r="GB29" t="str">
        <v/>
      </c>
      <c r="GC29" t="str">
        <v/>
      </c>
      <c r="GD29" t="str">
        <v/>
      </c>
      <c r="GE29" t="str">
        <v/>
      </c>
      <c r="GF29" t="str">
        <v/>
      </c>
      <c r="GG29" t="str">
        <v/>
      </c>
      <c r="GH29" t="str">
        <v/>
      </c>
      <c r="GI29" t="str">
        <v/>
      </c>
      <c r="GJ29" t="str">
        <v/>
      </c>
      <c r="GK29" t="str">
        <v/>
      </c>
      <c r="GL29" t="str">
        <v/>
      </c>
      <c r="GM29" t="str">
        <v/>
      </c>
      <c r="GN29" t="str">
        <v/>
      </c>
      <c r="GO29" t="str">
        <v/>
      </c>
      <c r="GP29" t="str">
        <v/>
      </c>
      <c r="GQ29" t="str">
        <v/>
      </c>
      <c r="GR29" t="str">
        <v/>
      </c>
      <c r="GS29" t="str">
        <v/>
      </c>
      <c r="GT29" t="str">
        <v/>
      </c>
      <c r="GU29" t="str">
        <v/>
      </c>
      <c r="GV29" t="str">
        <v/>
      </c>
      <c r="GW29" t="str">
        <v/>
      </c>
      <c r="GX29" t="str">
        <v/>
      </c>
      <c r="GY29" t="str">
        <v/>
      </c>
      <c r="GZ29" t="str">
        <v/>
      </c>
      <c r="HA29" t="str">
        <v/>
      </c>
      <c r="HB29" t="str">
        <v/>
      </c>
      <c r="HC29" t="str">
        <v/>
      </c>
      <c r="HD29" t="str">
        <v/>
      </c>
      <c r="HE29" t="str">
        <v/>
      </c>
      <c r="HF29" t="str">
        <v/>
      </c>
      <c r="HG29" t="str">
        <v/>
      </c>
      <c r="HH29" t="str">
        <v/>
      </c>
      <c r="HI29" t="str">
        <v/>
      </c>
      <c r="HJ29" t="str">
        <v/>
      </c>
      <c r="HK29" t="str">
        <v/>
      </c>
      <c r="HL29" t="str">
        <v/>
      </c>
      <c r="HM29" t="str">
        <v/>
      </c>
      <c r="HN29" t="str">
        <v/>
      </c>
      <c r="HO29" t="str">
        <v/>
      </c>
      <c r="HP29" t="str">
        <v/>
      </c>
      <c r="HQ29" t="str">
        <v/>
      </c>
      <c r="HR29" t="str">
        <v/>
      </c>
      <c r="HS29" t="str">
        <v/>
      </c>
      <c r="HT29" t="str">
        <v/>
      </c>
      <c r="HU29" t="str">
        <v/>
      </c>
      <c r="HV29" t="str">
        <v/>
      </c>
      <c r="HW29" t="str">
        <v/>
      </c>
      <c r="HX29" t="str">
        <v/>
      </c>
      <c r="HY29" t="str">
        <v/>
      </c>
      <c r="HZ29" t="str">
        <v/>
      </c>
      <c r="IA29" t="str">
        <v/>
      </c>
      <c r="IB29" t="str">
        <v/>
      </c>
      <c r="IC29" t="str">
        <v/>
      </c>
      <c r="ID29" t="str">
        <v/>
      </c>
      <c r="IE29" t="str">
        <v/>
      </c>
      <c r="IF29" t="str">
        <v/>
      </c>
      <c r="IG29" t="str">
        <v/>
      </c>
      <c r="IH29" t="str">
        <v/>
      </c>
      <c r="II29" t="str">
        <v/>
      </c>
      <c r="IJ29" t="str">
        <v/>
      </c>
      <c r="IK29" t="str">
        <v/>
      </c>
      <c r="IL29" t="str">
        <v/>
      </c>
      <c r="IM29" t="str">
        <v/>
      </c>
      <c r="IN29" t="str">
        <v/>
      </c>
      <c r="IO29" t="str">
        <v/>
      </c>
      <c r="IP29" t="str">
        <v/>
      </c>
      <c r="IQ29" t="str">
        <v/>
      </c>
      <c r="IR29" t="str">
        <v/>
      </c>
      <c r="IS29" t="str">
        <v/>
      </c>
      <c r="IT29" t="str">
        <v/>
      </c>
      <c r="IU29" t="str">
        <v/>
      </c>
      <c r="IV29" t="str">
        <v/>
      </c>
      <c r="IW29" t="str">
        <v/>
      </c>
      <c r="IX29" t="str">
        <v/>
      </c>
      <c r="IY29" t="str">
        <v/>
      </c>
      <c r="IZ29" t="str">
        <v/>
      </c>
      <c r="JA29" t="str">
        <v/>
      </c>
      <c r="JB29" t="str">
        <v/>
      </c>
      <c r="JC29" t="str">
        <v/>
      </c>
      <c r="JD29" t="str">
        <v/>
      </c>
      <c r="JE29" t="str">
        <v/>
      </c>
      <c r="JF29" t="str">
        <v/>
      </c>
      <c r="JG29" t="str">
        <v/>
      </c>
      <c r="JH29" t="str">
        <v/>
      </c>
      <c r="JI29" t="str">
        <v/>
      </c>
      <c r="JJ29" t="str">
        <v/>
      </c>
      <c r="JK29" t="str">
        <v/>
      </c>
      <c r="JL29" t="str">
        <v/>
      </c>
      <c r="JM29" t="str">
        <v/>
      </c>
      <c r="JN29" t="str">
        <v/>
      </c>
      <c r="JO29" t="str">
        <v/>
      </c>
      <c r="JP29" t="str">
        <v/>
      </c>
      <c r="JQ29" t="str">
        <v/>
      </c>
      <c r="JR29" t="str">
        <v/>
      </c>
      <c r="JS29" t="str">
        <v/>
      </c>
      <c r="JT29" t="str">
        <v/>
      </c>
      <c r="JU29" t="str">
        <v/>
      </c>
      <c r="JV29" t="str">
        <v/>
      </c>
      <c r="JW29" t="str">
        <v/>
      </c>
      <c r="JX29" t="str">
        <v/>
      </c>
      <c r="JY29" t="str">
        <v/>
      </c>
      <c r="JZ29" t="str">
        <v/>
      </c>
      <c r="KA29" t="str">
        <v/>
      </c>
      <c r="KB29" t="str">
        <v/>
      </c>
      <c r="KC29" t="str">
        <v/>
      </c>
      <c r="KD29" t="str">
        <v/>
      </c>
      <c r="KE29" t="str">
        <v/>
      </c>
      <c r="KF29" t="str">
        <v/>
      </c>
      <c r="KG29" t="str">
        <v/>
      </c>
      <c r="KH29" t="str">
        <v/>
      </c>
      <c r="KI29" t="str">
        <v/>
      </c>
      <c r="KJ29" t="str">
        <v/>
      </c>
      <c r="KK29" t="str">
        <v/>
      </c>
      <c r="KL29" t="str">
        <v/>
      </c>
      <c r="KM29" t="str">
        <v/>
      </c>
      <c r="KN29" t="str">
        <v/>
      </c>
      <c r="KO29" t="str">
        <v/>
      </c>
      <c r="KP29" t="str">
        <v/>
      </c>
      <c r="KQ29" t="str">
        <v/>
      </c>
      <c r="KR29" t="str">
        <v/>
      </c>
      <c r="KS29" t="str">
        <v/>
      </c>
      <c r="KT29" t="str">
        <v/>
      </c>
      <c r="KU29" t="str">
        <v/>
      </c>
      <c r="KV29" t="str">
        <v/>
      </c>
      <c r="KW29" t="str">
        <v/>
      </c>
      <c r="KX29" t="str">
        <v/>
      </c>
      <c r="KY29" t="str">
        <v/>
      </c>
      <c r="KZ29" t="str">
        <v/>
      </c>
      <c r="LA29" t="str">
        <v/>
      </c>
      <c r="LB29" t="str">
        <v/>
      </c>
      <c r="LC29" t="str">
        <v/>
      </c>
      <c r="LD29" t="str">
        <v/>
      </c>
      <c r="LE29" t="str">
        <v/>
      </c>
      <c r="LF29" t="str">
        <v/>
      </c>
      <c r="LG29" t="str">
        <v/>
      </c>
      <c r="LH29" t="str">
        <v/>
      </c>
      <c r="LI29" t="str">
        <v/>
      </c>
      <c r="LJ29" t="str">
        <v/>
      </c>
      <c r="LK29" t="str">
        <v/>
      </c>
      <c r="LL29" t="str">
        <v/>
      </c>
      <c r="LM29" t="str">
        <v/>
      </c>
      <c r="LN29" t="str">
        <v/>
      </c>
      <c r="LO29" t="str">
        <v/>
      </c>
      <c r="LP29" t="str">
        <v/>
      </c>
      <c r="LQ29" t="str">
        <v/>
      </c>
      <c r="LR29" t="str">
        <v/>
      </c>
      <c r="LS29" t="str">
        <v/>
      </c>
      <c r="LT29" t="str">
        <v/>
      </c>
      <c r="LU29" t="str">
        <v/>
      </c>
      <c r="LV29" t="str">
        <v/>
      </c>
      <c r="LW29" t="str">
        <v/>
      </c>
      <c r="LX29" t="str">
        <v/>
      </c>
      <c r="LY29" t="str">
        <v/>
      </c>
      <c r="LZ29" t="str">
        <v/>
      </c>
      <c r="MA29" t="str">
        <v/>
      </c>
      <c r="MB29" t="str">
        <v/>
      </c>
      <c r="MC29" t="str">
        <v/>
      </c>
      <c r="MD29" t="str">
        <v/>
      </c>
      <c r="ME29" t="str">
        <v/>
      </c>
      <c r="MF29" t="str">
        <v/>
      </c>
      <c r="MG29" t="str">
        <v/>
      </c>
      <c r="MH29" t="str">
        <v/>
      </c>
      <c r="MI29" t="str">
        <v/>
      </c>
      <c r="MJ29" t="str">
        <v/>
      </c>
      <c r="MK29" t="str">
        <v/>
      </c>
      <c r="ML29" t="str">
        <v/>
      </c>
      <c r="MM29" t="str">
        <v/>
      </c>
      <c r="MN29" t="str">
        <v/>
      </c>
      <c r="MO29" t="str">
        <v/>
      </c>
      <c r="MP29" t="str">
        <v/>
      </c>
      <c r="MQ29" t="str">
        <v/>
      </c>
      <c r="MR29" t="str">
        <v/>
      </c>
      <c r="MS29" t="str">
        <v/>
      </c>
      <c r="MT29" t="str">
        <v/>
      </c>
      <c r="MU29" t="str">
        <v/>
      </c>
      <c r="MV29" t="str">
        <v/>
      </c>
      <c r="MW29" t="str">
        <v/>
      </c>
      <c r="MX29" t="str">
        <v/>
      </c>
      <c r="MY29" t="str">
        <v/>
      </c>
      <c r="MZ29" t="str">
        <v/>
      </c>
      <c r="NA29" t="str">
        <v/>
      </c>
      <c r="NB29" t="str">
        <v/>
      </c>
      <c r="NC29" t="str">
        <v/>
      </c>
      <c r="ND29" t="str">
        <v/>
      </c>
      <c r="NE29" t="str">
        <v/>
      </c>
      <c r="NF29" t="str">
        <v/>
      </c>
      <c r="NG29" t="str">
        <v/>
      </c>
      <c r="NH29" t="str">
        <v/>
      </c>
      <c r="NI29" t="str">
        <v/>
      </c>
      <c r="NJ29" t="str">
        <v/>
      </c>
      <c r="NK29" t="str">
        <v/>
      </c>
      <c r="NL29" t="str">
        <v/>
      </c>
      <c r="NM29" t="str">
        <v/>
      </c>
      <c r="NN29" t="str">
        <v/>
      </c>
      <c r="NO29" t="str">
        <v/>
      </c>
      <c r="NP29" t="str">
        <v/>
      </c>
      <c r="NQ29" t="str">
        <v/>
      </c>
      <c r="NR29" t="str">
        <v/>
      </c>
      <c r="NS29" t="str">
        <v/>
      </c>
      <c r="NT29" t="str">
        <v/>
      </c>
      <c r="NU29" t="str">
        <v/>
      </c>
      <c r="NV29" t="str">
        <v/>
      </c>
      <c r="NW29" t="str">
        <v/>
      </c>
      <c r="NX29" t="str">
        <v/>
      </c>
      <c r="NY29" t="str">
        <v/>
      </c>
      <c r="NZ29" t="str">
        <v/>
      </c>
      <c r="OA29" t="str">
        <v/>
      </c>
      <c r="OB29" t="str">
        <v/>
      </c>
      <c r="OC29" t="str">
        <v/>
      </c>
      <c r="OD29" t="str">
        <v/>
      </c>
      <c r="OE29" t="str">
        <v/>
      </c>
    </row>
    <row r="30" spans="1:395" outlineLevel="1" x14ac:dyDescent="0.3">
      <c r="A30" s="14"/>
      <c r="D30" s="119" t="s">
        <v>293</v>
      </c>
      <c r="E30" s="297">
        <v>7</v>
      </c>
      <c r="F30" s="259" t="s">
        <v>362</v>
      </c>
      <c r="G30" s="76"/>
      <c r="H30" s="76"/>
      <c r="I30" s="257"/>
      <c r="J30" s="258"/>
      <c r="K30" s="65"/>
      <c r="L30" s="55"/>
      <c r="M30" s="66"/>
      <c r="N30" t="s">
        <v>292</v>
      </c>
      <c r="O30" s="8">
        <f>P19+1</f>
        <v>47088</v>
      </c>
      <c r="P30" s="208">
        <f>O30+E30*E67</f>
        <v>47193</v>
      </c>
      <c r="Q30" t="str" cm="1">
        <f t="array" ref="Q30:OE30">IF(((EOMONTH(O30,-1)+1)&lt;=_xlfn.ANCHORARRAY($Q$2))*(_xlfn.ANCHORARRAY($Q$2)&lt;P30)," ","")</f>
        <v/>
      </c>
      <c r="R30" t="str">
        <v/>
      </c>
      <c r="S30" t="str">
        <v/>
      </c>
      <c r="T30" t="str">
        <v/>
      </c>
      <c r="U30" t="str">
        <v/>
      </c>
      <c r="V30" t="str">
        <v/>
      </c>
      <c r="W30" t="str">
        <v/>
      </c>
      <c r="X30" t="str">
        <v/>
      </c>
      <c r="Y30" t="str">
        <v/>
      </c>
      <c r="Z30" t="str">
        <v/>
      </c>
      <c r="AA30" t="str">
        <v/>
      </c>
      <c r="AB30" t="str">
        <v/>
      </c>
      <c r="AC30" t="str">
        <v/>
      </c>
      <c r="AD30" t="str">
        <v/>
      </c>
      <c r="AE30" t="str">
        <v/>
      </c>
      <c r="AF30" t="str">
        <v/>
      </c>
      <c r="AG30" t="str">
        <v/>
      </c>
      <c r="AH30" t="str">
        <v/>
      </c>
      <c r="AI30" t="str">
        <v/>
      </c>
      <c r="AJ30" t="str">
        <v/>
      </c>
      <c r="AK30" t="str">
        <v/>
      </c>
      <c r="AL30" t="str">
        <v/>
      </c>
      <c r="AM30" t="str">
        <v/>
      </c>
      <c r="AN30" t="str">
        <v/>
      </c>
      <c r="AO30" t="str">
        <v/>
      </c>
      <c r="AP30" t="str">
        <v/>
      </c>
      <c r="AQ30" t="str">
        <v/>
      </c>
      <c r="AR30" t="str">
        <v/>
      </c>
      <c r="AS30" t="str">
        <v/>
      </c>
      <c r="AT30" t="str">
        <v/>
      </c>
      <c r="AU30" t="str">
        <v xml:space="preserve"> </v>
      </c>
      <c r="AV30" t="str">
        <v xml:space="preserve"> </v>
      </c>
      <c r="AW30" t="str">
        <v xml:space="preserve"> </v>
      </c>
      <c r="AX30" t="str">
        <v xml:space="preserve"> </v>
      </c>
      <c r="AY30" t="str">
        <v/>
      </c>
      <c r="AZ30" t="str">
        <v/>
      </c>
      <c r="BA30" t="str">
        <v/>
      </c>
      <c r="BB30" t="str">
        <v/>
      </c>
      <c r="BC30" t="str">
        <v/>
      </c>
      <c r="BD30" t="str">
        <v/>
      </c>
      <c r="BE30" t="str">
        <v/>
      </c>
      <c r="BF30" t="str">
        <v/>
      </c>
      <c r="BG30" t="str">
        <v/>
      </c>
      <c r="BH30" t="str">
        <v/>
      </c>
      <c r="BI30" t="str">
        <v/>
      </c>
      <c r="BJ30" t="str">
        <v/>
      </c>
      <c r="BK30" t="str">
        <v/>
      </c>
      <c r="BL30" t="str">
        <v/>
      </c>
      <c r="BM30" t="str">
        <v/>
      </c>
      <c r="BN30" t="str">
        <v/>
      </c>
      <c r="BO30" t="str">
        <v/>
      </c>
      <c r="BP30" t="str">
        <v/>
      </c>
      <c r="BQ30" t="str">
        <v/>
      </c>
      <c r="BR30" t="str">
        <v/>
      </c>
      <c r="BS30" t="str">
        <v/>
      </c>
      <c r="BT30" t="str">
        <v/>
      </c>
      <c r="BU30" t="str">
        <v/>
      </c>
      <c r="BV30" t="str">
        <v/>
      </c>
      <c r="BW30" t="str">
        <v/>
      </c>
      <c r="BX30" t="str">
        <v/>
      </c>
      <c r="BY30" t="str">
        <v/>
      </c>
      <c r="BZ30" t="str">
        <v/>
      </c>
      <c r="CA30" t="str">
        <v/>
      </c>
      <c r="CB30" t="str">
        <v/>
      </c>
      <c r="CC30" t="str">
        <v/>
      </c>
      <c r="CD30" t="str">
        <v/>
      </c>
      <c r="CE30" t="str">
        <v/>
      </c>
      <c r="CF30" t="str">
        <v/>
      </c>
      <c r="CG30" t="str">
        <v/>
      </c>
      <c r="CH30" t="str">
        <v/>
      </c>
      <c r="CI30" t="str">
        <v/>
      </c>
      <c r="CJ30" t="str">
        <v/>
      </c>
      <c r="CK30" t="str">
        <v/>
      </c>
      <c r="CL30" t="str">
        <v/>
      </c>
      <c r="CM30" t="str">
        <v/>
      </c>
      <c r="CN30" t="str">
        <v/>
      </c>
      <c r="CO30" t="str">
        <v/>
      </c>
      <c r="CP30" t="str">
        <v/>
      </c>
      <c r="CQ30" t="str">
        <v/>
      </c>
      <c r="CR30" t="str">
        <v/>
      </c>
      <c r="CS30" t="str">
        <v/>
      </c>
      <c r="CT30" t="str">
        <v/>
      </c>
      <c r="CU30" t="str">
        <v/>
      </c>
      <c r="CV30" t="str">
        <v/>
      </c>
      <c r="CW30" t="str">
        <v/>
      </c>
      <c r="CX30" t="str">
        <v/>
      </c>
      <c r="CY30" t="str">
        <v/>
      </c>
      <c r="CZ30" t="str">
        <v/>
      </c>
      <c r="DA30" t="str">
        <v/>
      </c>
      <c r="DB30" t="str">
        <v/>
      </c>
      <c r="DC30" t="str">
        <v/>
      </c>
      <c r="DD30" t="str">
        <v/>
      </c>
      <c r="DE30" t="str">
        <v/>
      </c>
      <c r="DF30" t="str">
        <v/>
      </c>
      <c r="DG30" t="str">
        <v/>
      </c>
      <c r="DH30" t="str">
        <v/>
      </c>
      <c r="DI30" t="str">
        <v/>
      </c>
      <c r="DJ30" t="str">
        <v/>
      </c>
      <c r="DK30" t="str">
        <v/>
      </c>
      <c r="DL30" t="str">
        <v/>
      </c>
      <c r="DM30" t="str">
        <v/>
      </c>
      <c r="DN30" t="str">
        <v/>
      </c>
      <c r="DO30" t="str">
        <v/>
      </c>
      <c r="DP30" t="str">
        <v/>
      </c>
      <c r="DQ30" t="str">
        <v/>
      </c>
      <c r="DR30" t="str">
        <v/>
      </c>
      <c r="DS30" t="str">
        <v/>
      </c>
      <c r="DT30" t="str">
        <v/>
      </c>
      <c r="DU30" t="str">
        <v/>
      </c>
      <c r="DV30" t="str">
        <v/>
      </c>
      <c r="DW30" t="str">
        <v/>
      </c>
      <c r="DX30" t="str">
        <v/>
      </c>
      <c r="DY30" t="str">
        <v/>
      </c>
      <c r="DZ30" t="str">
        <v/>
      </c>
      <c r="EA30" t="str">
        <v/>
      </c>
      <c r="EB30" t="str">
        <v/>
      </c>
      <c r="EC30" t="str">
        <v/>
      </c>
      <c r="ED30" t="str">
        <v/>
      </c>
      <c r="EE30" t="str">
        <v/>
      </c>
      <c r="EF30" t="str">
        <v/>
      </c>
      <c r="EG30" t="str">
        <v/>
      </c>
      <c r="EH30" t="str">
        <v/>
      </c>
      <c r="EI30" t="str">
        <v/>
      </c>
      <c r="EJ30" t="str">
        <v/>
      </c>
      <c r="EK30" t="str">
        <v/>
      </c>
      <c r="EL30" t="str">
        <v/>
      </c>
      <c r="EM30" t="str">
        <v/>
      </c>
      <c r="EN30" t="str">
        <v/>
      </c>
      <c r="EO30" t="str">
        <v/>
      </c>
      <c r="EP30" t="str">
        <v/>
      </c>
      <c r="EQ30" t="str">
        <v/>
      </c>
      <c r="ER30" t="str">
        <v/>
      </c>
      <c r="ES30" t="str">
        <v/>
      </c>
      <c r="ET30" t="str">
        <v/>
      </c>
      <c r="EU30" t="str">
        <v/>
      </c>
      <c r="EV30" t="str">
        <v/>
      </c>
      <c r="EW30" t="str">
        <v/>
      </c>
      <c r="EX30" t="str">
        <v/>
      </c>
      <c r="EY30" t="str">
        <v/>
      </c>
      <c r="EZ30" t="str">
        <v/>
      </c>
      <c r="FA30" t="str">
        <v/>
      </c>
      <c r="FB30" t="str">
        <v/>
      </c>
      <c r="FC30" t="str">
        <v/>
      </c>
      <c r="FD30" t="str">
        <v/>
      </c>
      <c r="FE30" t="str">
        <v/>
      </c>
      <c r="FF30" t="str">
        <v/>
      </c>
      <c r="FG30" t="str">
        <v/>
      </c>
      <c r="FH30" t="str">
        <v/>
      </c>
      <c r="FI30" t="str">
        <v/>
      </c>
      <c r="FJ30" t="str">
        <v/>
      </c>
      <c r="FK30" t="str">
        <v/>
      </c>
      <c r="FL30" t="str">
        <v/>
      </c>
      <c r="FM30" t="str">
        <v/>
      </c>
      <c r="FN30" t="str">
        <v/>
      </c>
      <c r="FO30" t="str">
        <v/>
      </c>
      <c r="FP30" t="str">
        <v/>
      </c>
      <c r="FQ30" t="str">
        <v/>
      </c>
      <c r="FR30" t="str">
        <v/>
      </c>
      <c r="FS30" t="str">
        <v/>
      </c>
      <c r="FT30" t="str">
        <v/>
      </c>
      <c r="FU30" t="str">
        <v/>
      </c>
      <c r="FV30" t="str">
        <v/>
      </c>
      <c r="FW30" t="str">
        <v/>
      </c>
      <c r="FX30" t="str">
        <v/>
      </c>
      <c r="FY30" t="str">
        <v/>
      </c>
      <c r="FZ30" t="str">
        <v/>
      </c>
      <c r="GA30" t="str">
        <v/>
      </c>
      <c r="GB30" t="str">
        <v/>
      </c>
      <c r="GC30" t="str">
        <v/>
      </c>
      <c r="GD30" t="str">
        <v/>
      </c>
      <c r="GE30" t="str">
        <v/>
      </c>
      <c r="GF30" t="str">
        <v/>
      </c>
      <c r="GG30" t="str">
        <v/>
      </c>
      <c r="GH30" t="str">
        <v/>
      </c>
      <c r="GI30" t="str">
        <v/>
      </c>
      <c r="GJ30" t="str">
        <v/>
      </c>
      <c r="GK30" t="str">
        <v/>
      </c>
      <c r="GL30" t="str">
        <v/>
      </c>
      <c r="GM30" t="str">
        <v/>
      </c>
      <c r="GN30" t="str">
        <v/>
      </c>
      <c r="GO30" t="str">
        <v/>
      </c>
      <c r="GP30" t="str">
        <v/>
      </c>
      <c r="GQ30" t="str">
        <v/>
      </c>
      <c r="GR30" t="str">
        <v/>
      </c>
      <c r="GS30" t="str">
        <v/>
      </c>
      <c r="GT30" t="str">
        <v/>
      </c>
      <c r="GU30" t="str">
        <v/>
      </c>
      <c r="GV30" t="str">
        <v/>
      </c>
      <c r="GW30" t="str">
        <v/>
      </c>
      <c r="GX30" t="str">
        <v/>
      </c>
      <c r="GY30" t="str">
        <v/>
      </c>
      <c r="GZ30" t="str">
        <v/>
      </c>
      <c r="HA30" t="str">
        <v/>
      </c>
      <c r="HB30" t="str">
        <v/>
      </c>
      <c r="HC30" t="str">
        <v/>
      </c>
      <c r="HD30" t="str">
        <v/>
      </c>
      <c r="HE30" t="str">
        <v/>
      </c>
      <c r="HF30" t="str">
        <v/>
      </c>
      <c r="HG30" t="str">
        <v/>
      </c>
      <c r="HH30" t="str">
        <v/>
      </c>
      <c r="HI30" t="str">
        <v/>
      </c>
      <c r="HJ30" t="str">
        <v/>
      </c>
      <c r="HK30" t="str">
        <v/>
      </c>
      <c r="HL30" t="str">
        <v/>
      </c>
      <c r="HM30" t="str">
        <v/>
      </c>
      <c r="HN30" t="str">
        <v/>
      </c>
      <c r="HO30" t="str">
        <v/>
      </c>
      <c r="HP30" t="str">
        <v/>
      </c>
      <c r="HQ30" t="str">
        <v/>
      </c>
      <c r="HR30" t="str">
        <v/>
      </c>
      <c r="HS30" t="str">
        <v/>
      </c>
      <c r="HT30" t="str">
        <v/>
      </c>
      <c r="HU30" t="str">
        <v/>
      </c>
      <c r="HV30" t="str">
        <v/>
      </c>
      <c r="HW30" t="str">
        <v/>
      </c>
      <c r="HX30" t="str">
        <v/>
      </c>
      <c r="HY30" t="str">
        <v/>
      </c>
      <c r="HZ30" t="str">
        <v/>
      </c>
      <c r="IA30" t="str">
        <v/>
      </c>
      <c r="IB30" t="str">
        <v/>
      </c>
      <c r="IC30" t="str">
        <v/>
      </c>
      <c r="ID30" t="str">
        <v/>
      </c>
      <c r="IE30" t="str">
        <v/>
      </c>
      <c r="IF30" t="str">
        <v/>
      </c>
      <c r="IG30" t="str">
        <v/>
      </c>
      <c r="IH30" t="str">
        <v/>
      </c>
      <c r="II30" t="str">
        <v/>
      </c>
      <c r="IJ30" t="str">
        <v/>
      </c>
      <c r="IK30" t="str">
        <v/>
      </c>
      <c r="IL30" t="str">
        <v/>
      </c>
      <c r="IM30" t="str">
        <v/>
      </c>
      <c r="IN30" t="str">
        <v/>
      </c>
      <c r="IO30" t="str">
        <v/>
      </c>
      <c r="IP30" t="str">
        <v/>
      </c>
      <c r="IQ30" t="str">
        <v/>
      </c>
      <c r="IR30" t="str">
        <v/>
      </c>
      <c r="IS30" t="str">
        <v/>
      </c>
      <c r="IT30" t="str">
        <v/>
      </c>
      <c r="IU30" t="str">
        <v/>
      </c>
      <c r="IV30" t="str">
        <v/>
      </c>
      <c r="IW30" t="str">
        <v/>
      </c>
      <c r="IX30" t="str">
        <v/>
      </c>
      <c r="IY30" t="str">
        <v/>
      </c>
      <c r="IZ30" t="str">
        <v/>
      </c>
      <c r="JA30" t="str">
        <v/>
      </c>
      <c r="JB30" t="str">
        <v/>
      </c>
      <c r="JC30" t="str">
        <v/>
      </c>
      <c r="JD30" t="str">
        <v/>
      </c>
      <c r="JE30" t="str">
        <v/>
      </c>
      <c r="JF30" t="str">
        <v/>
      </c>
      <c r="JG30" t="str">
        <v/>
      </c>
      <c r="JH30" t="str">
        <v/>
      </c>
      <c r="JI30" t="str">
        <v/>
      </c>
      <c r="JJ30" t="str">
        <v/>
      </c>
      <c r="JK30" t="str">
        <v/>
      </c>
      <c r="JL30" t="str">
        <v/>
      </c>
      <c r="JM30" t="str">
        <v/>
      </c>
      <c r="JN30" t="str">
        <v/>
      </c>
      <c r="JO30" t="str">
        <v/>
      </c>
      <c r="JP30" t="str">
        <v/>
      </c>
      <c r="JQ30" t="str">
        <v/>
      </c>
      <c r="JR30" t="str">
        <v/>
      </c>
      <c r="JS30" t="str">
        <v/>
      </c>
      <c r="JT30" t="str">
        <v/>
      </c>
      <c r="JU30" t="str">
        <v/>
      </c>
      <c r="JV30" t="str">
        <v/>
      </c>
      <c r="JW30" t="str">
        <v/>
      </c>
      <c r="JX30" t="str">
        <v/>
      </c>
      <c r="JY30" t="str">
        <v/>
      </c>
      <c r="JZ30" t="str">
        <v/>
      </c>
      <c r="KA30" t="str">
        <v/>
      </c>
      <c r="KB30" t="str">
        <v/>
      </c>
      <c r="KC30" t="str">
        <v/>
      </c>
      <c r="KD30" t="str">
        <v/>
      </c>
      <c r="KE30" t="str">
        <v/>
      </c>
      <c r="KF30" t="str">
        <v/>
      </c>
      <c r="KG30" t="str">
        <v/>
      </c>
      <c r="KH30" t="str">
        <v/>
      </c>
      <c r="KI30" t="str">
        <v/>
      </c>
      <c r="KJ30" t="str">
        <v/>
      </c>
      <c r="KK30" t="str">
        <v/>
      </c>
      <c r="KL30" t="str">
        <v/>
      </c>
      <c r="KM30" t="str">
        <v/>
      </c>
      <c r="KN30" t="str">
        <v/>
      </c>
      <c r="KO30" t="str">
        <v/>
      </c>
      <c r="KP30" t="str">
        <v/>
      </c>
      <c r="KQ30" t="str">
        <v/>
      </c>
      <c r="KR30" t="str">
        <v/>
      </c>
      <c r="KS30" t="str">
        <v/>
      </c>
      <c r="KT30" t="str">
        <v/>
      </c>
      <c r="KU30" t="str">
        <v/>
      </c>
      <c r="KV30" t="str">
        <v/>
      </c>
      <c r="KW30" t="str">
        <v/>
      </c>
      <c r="KX30" t="str">
        <v/>
      </c>
      <c r="KY30" t="str">
        <v/>
      </c>
      <c r="KZ30" t="str">
        <v/>
      </c>
      <c r="LA30" t="str">
        <v/>
      </c>
      <c r="LB30" t="str">
        <v/>
      </c>
      <c r="LC30" t="str">
        <v/>
      </c>
      <c r="LD30" t="str">
        <v/>
      </c>
      <c r="LE30" t="str">
        <v/>
      </c>
      <c r="LF30" t="str">
        <v/>
      </c>
      <c r="LG30" t="str">
        <v/>
      </c>
      <c r="LH30" t="str">
        <v/>
      </c>
      <c r="LI30" t="str">
        <v/>
      </c>
      <c r="LJ30" t="str">
        <v/>
      </c>
      <c r="LK30" t="str">
        <v/>
      </c>
      <c r="LL30" t="str">
        <v/>
      </c>
      <c r="LM30" t="str">
        <v/>
      </c>
      <c r="LN30" t="str">
        <v/>
      </c>
      <c r="LO30" t="str">
        <v/>
      </c>
      <c r="LP30" t="str">
        <v/>
      </c>
      <c r="LQ30" t="str">
        <v/>
      </c>
      <c r="LR30" t="str">
        <v/>
      </c>
      <c r="LS30" t="str">
        <v/>
      </c>
      <c r="LT30" t="str">
        <v/>
      </c>
      <c r="LU30" t="str">
        <v/>
      </c>
      <c r="LV30" t="str">
        <v/>
      </c>
      <c r="LW30" t="str">
        <v/>
      </c>
      <c r="LX30" t="str">
        <v/>
      </c>
      <c r="LY30" t="str">
        <v/>
      </c>
      <c r="LZ30" t="str">
        <v/>
      </c>
      <c r="MA30" t="str">
        <v/>
      </c>
      <c r="MB30" t="str">
        <v/>
      </c>
      <c r="MC30" t="str">
        <v/>
      </c>
      <c r="MD30" t="str">
        <v/>
      </c>
      <c r="ME30" t="str">
        <v/>
      </c>
      <c r="MF30" t="str">
        <v/>
      </c>
      <c r="MG30" t="str">
        <v/>
      </c>
      <c r="MH30" t="str">
        <v/>
      </c>
      <c r="MI30" t="str">
        <v/>
      </c>
      <c r="MJ30" t="str">
        <v/>
      </c>
      <c r="MK30" t="str">
        <v/>
      </c>
      <c r="ML30" t="str">
        <v/>
      </c>
      <c r="MM30" t="str">
        <v/>
      </c>
      <c r="MN30" t="str">
        <v/>
      </c>
      <c r="MO30" t="str">
        <v/>
      </c>
      <c r="MP30" t="str">
        <v/>
      </c>
      <c r="MQ30" t="str">
        <v/>
      </c>
      <c r="MR30" t="str">
        <v/>
      </c>
      <c r="MS30" t="str">
        <v/>
      </c>
      <c r="MT30" t="str">
        <v/>
      </c>
      <c r="MU30" t="str">
        <v/>
      </c>
      <c r="MV30" t="str">
        <v/>
      </c>
      <c r="MW30" t="str">
        <v/>
      </c>
      <c r="MX30" t="str">
        <v/>
      </c>
      <c r="MY30" t="str">
        <v/>
      </c>
      <c r="MZ30" t="str">
        <v/>
      </c>
      <c r="NA30" t="str">
        <v/>
      </c>
      <c r="NB30" t="str">
        <v/>
      </c>
      <c r="NC30" t="str">
        <v/>
      </c>
      <c r="ND30" t="str">
        <v/>
      </c>
      <c r="NE30" t="str">
        <v/>
      </c>
      <c r="NF30" t="str">
        <v/>
      </c>
      <c r="NG30" t="str">
        <v/>
      </c>
      <c r="NH30" t="str">
        <v/>
      </c>
      <c r="NI30" t="str">
        <v/>
      </c>
      <c r="NJ30" t="str">
        <v/>
      </c>
      <c r="NK30" t="str">
        <v/>
      </c>
      <c r="NL30" t="str">
        <v/>
      </c>
      <c r="NM30" t="str">
        <v/>
      </c>
      <c r="NN30" t="str">
        <v/>
      </c>
      <c r="NO30" t="str">
        <v/>
      </c>
      <c r="NP30" t="str">
        <v/>
      </c>
      <c r="NQ30" t="str">
        <v/>
      </c>
      <c r="NR30" t="str">
        <v/>
      </c>
      <c r="NS30" t="str">
        <v/>
      </c>
      <c r="NT30" t="str">
        <v/>
      </c>
      <c r="NU30" t="str">
        <v/>
      </c>
      <c r="NV30" t="str">
        <v/>
      </c>
      <c r="NW30" t="str">
        <v/>
      </c>
      <c r="NX30" t="str">
        <v/>
      </c>
      <c r="NY30" t="str">
        <v/>
      </c>
      <c r="NZ30" t="str">
        <v/>
      </c>
      <c r="OA30" t="str">
        <v/>
      </c>
      <c r="OB30" t="str">
        <v/>
      </c>
      <c r="OC30" t="str">
        <v/>
      </c>
      <c r="OD30" t="str">
        <v/>
      </c>
      <c r="OE30" t="str">
        <v/>
      </c>
    </row>
    <row r="31" spans="1:395" outlineLevel="1" x14ac:dyDescent="0.3">
      <c r="A31" s="14"/>
      <c r="D31" s="119" t="s">
        <v>378</v>
      </c>
      <c r="E31" s="297">
        <v>36</v>
      </c>
      <c r="F31" s="259" t="s">
        <v>362</v>
      </c>
      <c r="G31" s="76"/>
      <c r="H31" s="76"/>
      <c r="I31" s="257"/>
      <c r="J31" s="258"/>
      <c r="K31" s="65"/>
      <c r="L31" s="55"/>
      <c r="M31" s="66"/>
      <c r="N31" t="s">
        <v>377</v>
      </c>
      <c r="O31" s="8">
        <f>O30+E30</f>
        <v>47095</v>
      </c>
      <c r="P31" s="208">
        <f>P32-E32</f>
        <v>47222</v>
      </c>
      <c r="Q31" t="str" cm="1">
        <f t="array" ref="Q31:OE31">IF(((EOMONTH(O31,-1)+1)&lt;=_xlfn.ANCHORARRAY($Q$2))*(_xlfn.ANCHORARRAY($Q$2)&lt;P31)," ","")</f>
        <v/>
      </c>
      <c r="R31" t="str">
        <v/>
      </c>
      <c r="S31" t="str">
        <v/>
      </c>
      <c r="T31" t="str">
        <v/>
      </c>
      <c r="U31" t="str">
        <v/>
      </c>
      <c r="V31" t="str">
        <v/>
      </c>
      <c r="W31" t="str">
        <v/>
      </c>
      <c r="X31" t="str">
        <v/>
      </c>
      <c r="Y31" t="str">
        <v/>
      </c>
      <c r="Z31" t="str">
        <v/>
      </c>
      <c r="AA31" t="str">
        <v/>
      </c>
      <c r="AB31" t="str">
        <v/>
      </c>
      <c r="AC31" t="str">
        <v/>
      </c>
      <c r="AD31" t="str">
        <v/>
      </c>
      <c r="AE31" t="str">
        <v/>
      </c>
      <c r="AF31" t="str">
        <v/>
      </c>
      <c r="AG31" t="str">
        <v/>
      </c>
      <c r="AH31" t="str">
        <v/>
      </c>
      <c r="AI31" t="str">
        <v/>
      </c>
      <c r="AJ31" t="str">
        <v/>
      </c>
      <c r="AK31" t="str">
        <v/>
      </c>
      <c r="AL31" t="str">
        <v/>
      </c>
      <c r="AM31" t="str">
        <v/>
      </c>
      <c r="AN31" t="str">
        <v/>
      </c>
      <c r="AO31" t="str">
        <v/>
      </c>
      <c r="AP31" t="str">
        <v/>
      </c>
      <c r="AQ31" t="str">
        <v/>
      </c>
      <c r="AR31" t="str">
        <v/>
      </c>
      <c r="AS31" t="str">
        <v/>
      </c>
      <c r="AT31" t="str">
        <v/>
      </c>
      <c r="AU31" t="str">
        <v xml:space="preserve"> </v>
      </c>
      <c r="AV31" t="str">
        <v xml:space="preserve"> </v>
      </c>
      <c r="AW31" t="str">
        <v xml:space="preserve"> </v>
      </c>
      <c r="AX31" t="str">
        <v xml:space="preserve"> </v>
      </c>
      <c r="AY31" t="str">
        <v xml:space="preserve"> </v>
      </c>
      <c r="AZ31" t="str">
        <v/>
      </c>
      <c r="BA31" t="str">
        <v/>
      </c>
      <c r="BB31" t="str">
        <v/>
      </c>
      <c r="BC31" t="str">
        <v/>
      </c>
      <c r="BD31" t="str">
        <v/>
      </c>
      <c r="BE31" t="str">
        <v/>
      </c>
      <c r="BF31" t="str">
        <v/>
      </c>
      <c r="BG31" t="str">
        <v/>
      </c>
      <c r="BH31" t="str">
        <v/>
      </c>
      <c r="BI31" t="str">
        <v/>
      </c>
      <c r="BJ31" t="str">
        <v/>
      </c>
      <c r="BK31" t="str">
        <v/>
      </c>
      <c r="BL31" t="str">
        <v/>
      </c>
      <c r="BM31" t="str">
        <v/>
      </c>
      <c r="BN31" t="str">
        <v/>
      </c>
      <c r="BO31" t="str">
        <v/>
      </c>
      <c r="BP31" t="str">
        <v/>
      </c>
      <c r="BQ31" t="str">
        <v/>
      </c>
      <c r="BR31" t="str">
        <v/>
      </c>
      <c r="BS31" t="str">
        <v/>
      </c>
      <c r="BT31" t="str">
        <v/>
      </c>
      <c r="BU31" t="str">
        <v/>
      </c>
      <c r="BV31" t="str">
        <v/>
      </c>
      <c r="BW31" t="str">
        <v/>
      </c>
      <c r="BX31" t="str">
        <v/>
      </c>
      <c r="BY31" t="str">
        <v/>
      </c>
      <c r="BZ31" t="str">
        <v/>
      </c>
      <c r="CA31" t="str">
        <v/>
      </c>
      <c r="CB31" t="str">
        <v/>
      </c>
      <c r="CC31" t="str">
        <v/>
      </c>
      <c r="CD31" t="str">
        <v/>
      </c>
      <c r="CE31" t="str">
        <v/>
      </c>
      <c r="CF31" t="str">
        <v/>
      </c>
      <c r="CG31" t="str">
        <v/>
      </c>
      <c r="CH31" t="str">
        <v/>
      </c>
      <c r="CI31" t="str">
        <v/>
      </c>
      <c r="CJ31" t="str">
        <v/>
      </c>
      <c r="CK31" t="str">
        <v/>
      </c>
      <c r="CL31" t="str">
        <v/>
      </c>
      <c r="CM31" t="str">
        <v/>
      </c>
      <c r="CN31" t="str">
        <v/>
      </c>
      <c r="CO31" t="str">
        <v/>
      </c>
      <c r="CP31" t="str">
        <v/>
      </c>
      <c r="CQ31" t="str">
        <v/>
      </c>
      <c r="CR31" t="str">
        <v/>
      </c>
      <c r="CS31" t="str">
        <v/>
      </c>
      <c r="CT31" t="str">
        <v/>
      </c>
      <c r="CU31" t="str">
        <v/>
      </c>
      <c r="CV31" t="str">
        <v/>
      </c>
      <c r="CW31" t="str">
        <v/>
      </c>
      <c r="CX31" t="str">
        <v/>
      </c>
      <c r="CY31" t="str">
        <v/>
      </c>
      <c r="CZ31" t="str">
        <v/>
      </c>
      <c r="DA31" t="str">
        <v/>
      </c>
      <c r="DB31" t="str">
        <v/>
      </c>
      <c r="DC31" t="str">
        <v/>
      </c>
      <c r="DD31" t="str">
        <v/>
      </c>
      <c r="DE31" t="str">
        <v/>
      </c>
      <c r="DF31" t="str">
        <v/>
      </c>
      <c r="DG31" t="str">
        <v/>
      </c>
      <c r="DH31" t="str">
        <v/>
      </c>
      <c r="DI31" t="str">
        <v/>
      </c>
      <c r="DJ31" t="str">
        <v/>
      </c>
      <c r="DK31" t="str">
        <v/>
      </c>
      <c r="DL31" t="str">
        <v/>
      </c>
      <c r="DM31" t="str">
        <v/>
      </c>
      <c r="DN31" t="str">
        <v/>
      </c>
      <c r="DO31" t="str">
        <v/>
      </c>
      <c r="DP31" t="str">
        <v/>
      </c>
      <c r="DQ31" t="str">
        <v/>
      </c>
      <c r="DR31" t="str">
        <v/>
      </c>
      <c r="DS31" t="str">
        <v/>
      </c>
      <c r="DT31" t="str">
        <v/>
      </c>
      <c r="DU31" t="str">
        <v/>
      </c>
      <c r="DV31" t="str">
        <v/>
      </c>
      <c r="DW31" t="str">
        <v/>
      </c>
      <c r="DX31" t="str">
        <v/>
      </c>
      <c r="DY31" t="str">
        <v/>
      </c>
      <c r="DZ31" t="str">
        <v/>
      </c>
      <c r="EA31" t="str">
        <v/>
      </c>
      <c r="EB31" t="str">
        <v/>
      </c>
      <c r="EC31" t="str">
        <v/>
      </c>
      <c r="ED31" t="str">
        <v/>
      </c>
      <c r="EE31" t="str">
        <v/>
      </c>
      <c r="EF31" t="str">
        <v/>
      </c>
      <c r="EG31" t="str">
        <v/>
      </c>
      <c r="EH31" t="str">
        <v/>
      </c>
      <c r="EI31" t="str">
        <v/>
      </c>
      <c r="EJ31" t="str">
        <v/>
      </c>
      <c r="EK31" t="str">
        <v/>
      </c>
      <c r="EL31" t="str">
        <v/>
      </c>
      <c r="EM31" t="str">
        <v/>
      </c>
      <c r="EN31" t="str">
        <v/>
      </c>
      <c r="EO31" t="str">
        <v/>
      </c>
      <c r="EP31" t="str">
        <v/>
      </c>
      <c r="EQ31" t="str">
        <v/>
      </c>
      <c r="ER31" t="str">
        <v/>
      </c>
      <c r="ES31" t="str">
        <v/>
      </c>
      <c r="ET31" t="str">
        <v/>
      </c>
      <c r="EU31" t="str">
        <v/>
      </c>
      <c r="EV31" t="str">
        <v/>
      </c>
      <c r="EW31" t="str">
        <v/>
      </c>
      <c r="EX31" t="str">
        <v/>
      </c>
      <c r="EY31" t="str">
        <v/>
      </c>
      <c r="EZ31" t="str">
        <v/>
      </c>
      <c r="FA31" t="str">
        <v/>
      </c>
      <c r="FB31" t="str">
        <v/>
      </c>
      <c r="FC31" t="str">
        <v/>
      </c>
      <c r="FD31" t="str">
        <v/>
      </c>
      <c r="FE31" t="str">
        <v/>
      </c>
      <c r="FF31" t="str">
        <v/>
      </c>
      <c r="FG31" t="str">
        <v/>
      </c>
      <c r="FH31" t="str">
        <v/>
      </c>
      <c r="FI31" t="str">
        <v/>
      </c>
      <c r="FJ31" t="str">
        <v/>
      </c>
      <c r="FK31" t="str">
        <v/>
      </c>
      <c r="FL31" t="str">
        <v/>
      </c>
      <c r="FM31" t="str">
        <v/>
      </c>
      <c r="FN31" t="str">
        <v/>
      </c>
      <c r="FO31" t="str">
        <v/>
      </c>
      <c r="FP31" t="str">
        <v/>
      </c>
      <c r="FQ31" t="str">
        <v/>
      </c>
      <c r="FR31" t="str">
        <v/>
      </c>
      <c r="FS31" t="str">
        <v/>
      </c>
      <c r="FT31" t="str">
        <v/>
      </c>
      <c r="FU31" t="str">
        <v/>
      </c>
      <c r="FV31" t="str">
        <v/>
      </c>
      <c r="FW31" t="str">
        <v/>
      </c>
      <c r="FX31" t="str">
        <v/>
      </c>
      <c r="FY31" t="str">
        <v/>
      </c>
      <c r="FZ31" t="str">
        <v/>
      </c>
      <c r="GA31" t="str">
        <v/>
      </c>
      <c r="GB31" t="str">
        <v/>
      </c>
      <c r="GC31" t="str">
        <v/>
      </c>
      <c r="GD31" t="str">
        <v/>
      </c>
      <c r="GE31" t="str">
        <v/>
      </c>
      <c r="GF31" t="str">
        <v/>
      </c>
      <c r="GG31" t="str">
        <v/>
      </c>
      <c r="GH31" t="str">
        <v/>
      </c>
      <c r="GI31" t="str">
        <v/>
      </c>
      <c r="GJ31" t="str">
        <v/>
      </c>
      <c r="GK31" t="str">
        <v/>
      </c>
      <c r="GL31" t="str">
        <v/>
      </c>
      <c r="GM31" t="str">
        <v/>
      </c>
      <c r="GN31" t="str">
        <v/>
      </c>
      <c r="GO31" t="str">
        <v/>
      </c>
      <c r="GP31" t="str">
        <v/>
      </c>
      <c r="GQ31" t="str">
        <v/>
      </c>
      <c r="GR31" t="str">
        <v/>
      </c>
      <c r="GS31" t="str">
        <v/>
      </c>
      <c r="GT31" t="str">
        <v/>
      </c>
      <c r="GU31" t="str">
        <v/>
      </c>
      <c r="GV31" t="str">
        <v/>
      </c>
      <c r="GW31" t="str">
        <v/>
      </c>
      <c r="GX31" t="str">
        <v/>
      </c>
      <c r="GY31" t="str">
        <v/>
      </c>
      <c r="GZ31" t="str">
        <v/>
      </c>
      <c r="HA31" t="str">
        <v/>
      </c>
      <c r="HB31" t="str">
        <v/>
      </c>
      <c r="HC31" t="str">
        <v/>
      </c>
      <c r="HD31" t="str">
        <v/>
      </c>
      <c r="HE31" t="str">
        <v/>
      </c>
      <c r="HF31" t="str">
        <v/>
      </c>
      <c r="HG31" t="str">
        <v/>
      </c>
      <c r="HH31" t="str">
        <v/>
      </c>
      <c r="HI31" t="str">
        <v/>
      </c>
      <c r="HJ31" t="str">
        <v/>
      </c>
      <c r="HK31" t="str">
        <v/>
      </c>
      <c r="HL31" t="str">
        <v/>
      </c>
      <c r="HM31" t="str">
        <v/>
      </c>
      <c r="HN31" t="str">
        <v/>
      </c>
      <c r="HO31" t="str">
        <v/>
      </c>
      <c r="HP31" t="str">
        <v/>
      </c>
      <c r="HQ31" t="str">
        <v/>
      </c>
      <c r="HR31" t="str">
        <v/>
      </c>
      <c r="HS31" t="str">
        <v/>
      </c>
      <c r="HT31" t="str">
        <v/>
      </c>
      <c r="HU31" t="str">
        <v/>
      </c>
      <c r="HV31" t="str">
        <v/>
      </c>
      <c r="HW31" t="str">
        <v/>
      </c>
      <c r="HX31" t="str">
        <v/>
      </c>
      <c r="HY31" t="str">
        <v/>
      </c>
      <c r="HZ31" t="str">
        <v/>
      </c>
      <c r="IA31" t="str">
        <v/>
      </c>
      <c r="IB31" t="str">
        <v/>
      </c>
      <c r="IC31" t="str">
        <v/>
      </c>
      <c r="ID31" t="str">
        <v/>
      </c>
      <c r="IE31" t="str">
        <v/>
      </c>
      <c r="IF31" t="str">
        <v/>
      </c>
      <c r="IG31" t="str">
        <v/>
      </c>
      <c r="IH31" t="str">
        <v/>
      </c>
      <c r="II31" t="str">
        <v/>
      </c>
      <c r="IJ31" t="str">
        <v/>
      </c>
      <c r="IK31" t="str">
        <v/>
      </c>
      <c r="IL31" t="str">
        <v/>
      </c>
      <c r="IM31" t="str">
        <v/>
      </c>
      <c r="IN31" t="str">
        <v/>
      </c>
      <c r="IO31" t="str">
        <v/>
      </c>
      <c r="IP31" t="str">
        <v/>
      </c>
      <c r="IQ31" t="str">
        <v/>
      </c>
      <c r="IR31" t="str">
        <v/>
      </c>
      <c r="IS31" t="str">
        <v/>
      </c>
      <c r="IT31" t="str">
        <v/>
      </c>
      <c r="IU31" t="str">
        <v/>
      </c>
      <c r="IV31" t="str">
        <v/>
      </c>
      <c r="IW31" t="str">
        <v/>
      </c>
      <c r="IX31" t="str">
        <v/>
      </c>
      <c r="IY31" t="str">
        <v/>
      </c>
      <c r="IZ31" t="str">
        <v/>
      </c>
      <c r="JA31" t="str">
        <v/>
      </c>
      <c r="JB31" t="str">
        <v/>
      </c>
      <c r="JC31" t="str">
        <v/>
      </c>
      <c r="JD31" t="str">
        <v/>
      </c>
      <c r="JE31" t="str">
        <v/>
      </c>
      <c r="JF31" t="str">
        <v/>
      </c>
      <c r="JG31" t="str">
        <v/>
      </c>
      <c r="JH31" t="str">
        <v/>
      </c>
      <c r="JI31" t="str">
        <v/>
      </c>
      <c r="JJ31" t="str">
        <v/>
      </c>
      <c r="JK31" t="str">
        <v/>
      </c>
      <c r="JL31" t="str">
        <v/>
      </c>
      <c r="JM31" t="str">
        <v/>
      </c>
      <c r="JN31" t="str">
        <v/>
      </c>
      <c r="JO31" t="str">
        <v/>
      </c>
      <c r="JP31" t="str">
        <v/>
      </c>
      <c r="JQ31" t="str">
        <v/>
      </c>
      <c r="JR31" t="str">
        <v/>
      </c>
      <c r="JS31" t="str">
        <v/>
      </c>
      <c r="JT31" t="str">
        <v/>
      </c>
      <c r="JU31" t="str">
        <v/>
      </c>
      <c r="JV31" t="str">
        <v/>
      </c>
      <c r="JW31" t="str">
        <v/>
      </c>
      <c r="JX31" t="str">
        <v/>
      </c>
      <c r="JY31" t="str">
        <v/>
      </c>
      <c r="JZ31" t="str">
        <v/>
      </c>
      <c r="KA31" t="str">
        <v/>
      </c>
      <c r="KB31" t="str">
        <v/>
      </c>
      <c r="KC31" t="str">
        <v/>
      </c>
      <c r="KD31" t="str">
        <v/>
      </c>
      <c r="KE31" t="str">
        <v/>
      </c>
      <c r="KF31" t="str">
        <v/>
      </c>
      <c r="KG31" t="str">
        <v/>
      </c>
      <c r="KH31" t="str">
        <v/>
      </c>
      <c r="KI31" t="str">
        <v/>
      </c>
      <c r="KJ31" t="str">
        <v/>
      </c>
      <c r="KK31" t="str">
        <v/>
      </c>
      <c r="KL31" t="str">
        <v/>
      </c>
      <c r="KM31" t="str">
        <v/>
      </c>
      <c r="KN31" t="str">
        <v/>
      </c>
      <c r="KO31" t="str">
        <v/>
      </c>
      <c r="KP31" t="str">
        <v/>
      </c>
      <c r="KQ31" t="str">
        <v/>
      </c>
      <c r="KR31" t="str">
        <v/>
      </c>
      <c r="KS31" t="str">
        <v/>
      </c>
      <c r="KT31" t="str">
        <v/>
      </c>
      <c r="KU31" t="str">
        <v/>
      </c>
      <c r="KV31" t="str">
        <v/>
      </c>
      <c r="KW31" t="str">
        <v/>
      </c>
      <c r="KX31" t="str">
        <v/>
      </c>
      <c r="KY31" t="str">
        <v/>
      </c>
      <c r="KZ31" t="str">
        <v/>
      </c>
      <c r="LA31" t="str">
        <v/>
      </c>
      <c r="LB31" t="str">
        <v/>
      </c>
      <c r="LC31" t="str">
        <v/>
      </c>
      <c r="LD31" t="str">
        <v/>
      </c>
      <c r="LE31" t="str">
        <v/>
      </c>
      <c r="LF31" t="str">
        <v/>
      </c>
      <c r="LG31" t="str">
        <v/>
      </c>
      <c r="LH31" t="str">
        <v/>
      </c>
      <c r="LI31" t="str">
        <v/>
      </c>
      <c r="LJ31" t="str">
        <v/>
      </c>
      <c r="LK31" t="str">
        <v/>
      </c>
      <c r="LL31" t="str">
        <v/>
      </c>
      <c r="LM31" t="str">
        <v/>
      </c>
      <c r="LN31" t="str">
        <v/>
      </c>
      <c r="LO31" t="str">
        <v/>
      </c>
      <c r="LP31" t="str">
        <v/>
      </c>
      <c r="LQ31" t="str">
        <v/>
      </c>
      <c r="LR31" t="str">
        <v/>
      </c>
      <c r="LS31" t="str">
        <v/>
      </c>
      <c r="LT31" t="str">
        <v/>
      </c>
      <c r="LU31" t="str">
        <v/>
      </c>
      <c r="LV31" t="str">
        <v/>
      </c>
      <c r="LW31" t="str">
        <v/>
      </c>
      <c r="LX31" t="str">
        <v/>
      </c>
      <c r="LY31" t="str">
        <v/>
      </c>
      <c r="LZ31" t="str">
        <v/>
      </c>
      <c r="MA31" t="str">
        <v/>
      </c>
      <c r="MB31" t="str">
        <v/>
      </c>
      <c r="MC31" t="str">
        <v/>
      </c>
      <c r="MD31" t="str">
        <v/>
      </c>
      <c r="ME31" t="str">
        <v/>
      </c>
      <c r="MF31" t="str">
        <v/>
      </c>
      <c r="MG31" t="str">
        <v/>
      </c>
      <c r="MH31" t="str">
        <v/>
      </c>
      <c r="MI31" t="str">
        <v/>
      </c>
      <c r="MJ31" t="str">
        <v/>
      </c>
      <c r="MK31" t="str">
        <v/>
      </c>
      <c r="ML31" t="str">
        <v/>
      </c>
      <c r="MM31" t="str">
        <v/>
      </c>
      <c r="MN31" t="str">
        <v/>
      </c>
      <c r="MO31" t="str">
        <v/>
      </c>
      <c r="MP31" t="str">
        <v/>
      </c>
      <c r="MQ31" t="str">
        <v/>
      </c>
      <c r="MR31" t="str">
        <v/>
      </c>
      <c r="MS31" t="str">
        <v/>
      </c>
      <c r="MT31" t="str">
        <v/>
      </c>
      <c r="MU31" t="str">
        <v/>
      </c>
      <c r="MV31" t="str">
        <v/>
      </c>
      <c r="MW31" t="str">
        <v/>
      </c>
      <c r="MX31" t="str">
        <v/>
      </c>
      <c r="MY31" t="str">
        <v/>
      </c>
      <c r="MZ31" t="str">
        <v/>
      </c>
      <c r="NA31" t="str">
        <v/>
      </c>
      <c r="NB31" t="str">
        <v/>
      </c>
      <c r="NC31" t="str">
        <v/>
      </c>
      <c r="ND31" t="str">
        <v/>
      </c>
      <c r="NE31" t="str">
        <v/>
      </c>
      <c r="NF31" t="str">
        <v/>
      </c>
      <c r="NG31" t="str">
        <v/>
      </c>
      <c r="NH31" t="str">
        <v/>
      </c>
      <c r="NI31" t="str">
        <v/>
      </c>
      <c r="NJ31" t="str">
        <v/>
      </c>
      <c r="NK31" t="str">
        <v/>
      </c>
      <c r="NL31" t="str">
        <v/>
      </c>
      <c r="NM31" t="str">
        <v/>
      </c>
      <c r="NN31" t="str">
        <v/>
      </c>
      <c r="NO31" t="str">
        <v/>
      </c>
      <c r="NP31" t="str">
        <v/>
      </c>
      <c r="NQ31" t="str">
        <v/>
      </c>
      <c r="NR31" t="str">
        <v/>
      </c>
      <c r="NS31" t="str">
        <v/>
      </c>
      <c r="NT31" t="str">
        <v/>
      </c>
      <c r="NU31" t="str">
        <v/>
      </c>
      <c r="NV31" t="str">
        <v/>
      </c>
      <c r="NW31" t="str">
        <v/>
      </c>
      <c r="NX31" t="str">
        <v/>
      </c>
      <c r="NY31" t="str">
        <v/>
      </c>
      <c r="NZ31" t="str">
        <v/>
      </c>
      <c r="OA31" t="str">
        <v/>
      </c>
      <c r="OB31" t="str">
        <v/>
      </c>
      <c r="OC31" t="str">
        <v/>
      </c>
      <c r="OD31" t="str">
        <v/>
      </c>
      <c r="OE31" t="str">
        <v/>
      </c>
    </row>
    <row r="32" spans="1:395" outlineLevel="1" x14ac:dyDescent="0.3">
      <c r="A32" s="14"/>
      <c r="C32" s="14"/>
      <c r="D32" s="119" t="s">
        <v>295</v>
      </c>
      <c r="E32" s="297">
        <v>7</v>
      </c>
      <c r="F32" s="259" t="s">
        <v>291</v>
      </c>
      <c r="G32" s="76"/>
      <c r="H32" s="76"/>
      <c r="I32" s="257"/>
      <c r="J32" s="258"/>
      <c r="K32" s="65"/>
      <c r="L32" s="55"/>
      <c r="M32" s="66"/>
      <c r="N32" s="75" t="s">
        <v>298</v>
      </c>
      <c r="O32" s="8">
        <f>O31+E31</f>
        <v>47131</v>
      </c>
      <c r="P32" s="208">
        <f>O32+E32*(E67-1)</f>
        <v>47229</v>
      </c>
      <c r="Q32" t="str" cm="1">
        <f t="array" ref="Q32:OE32">IF(((EOMONTH(O32,-1)+1)&lt;=_xlfn.ANCHORARRAY($Q$2))*(_xlfn.ANCHORARRAY($Q$2)&lt;P32)," ","")</f>
        <v/>
      </c>
      <c r="R32" t="str">
        <v/>
      </c>
      <c r="S32" t="str">
        <v/>
      </c>
      <c r="T32" t="str">
        <v/>
      </c>
      <c r="U32" t="str">
        <v/>
      </c>
      <c r="V32" t="str">
        <v/>
      </c>
      <c r="W32" t="str">
        <v/>
      </c>
      <c r="X32" t="str">
        <v/>
      </c>
      <c r="Y32" t="str">
        <v/>
      </c>
      <c r="Z32" t="str">
        <v/>
      </c>
      <c r="AA32" t="str">
        <v/>
      </c>
      <c r="AB32" t="str">
        <v/>
      </c>
      <c r="AC32" t="str">
        <v/>
      </c>
      <c r="AD32" t="str">
        <v/>
      </c>
      <c r="AE32" t="str">
        <v/>
      </c>
      <c r="AF32" t="str">
        <v/>
      </c>
      <c r="AG32" t="str">
        <v/>
      </c>
      <c r="AH32" t="str">
        <v/>
      </c>
      <c r="AI32" t="str">
        <v/>
      </c>
      <c r="AJ32" t="str">
        <v/>
      </c>
      <c r="AK32" t="str">
        <v/>
      </c>
      <c r="AL32" t="str">
        <v/>
      </c>
      <c r="AM32" t="str">
        <v/>
      </c>
      <c r="AN32" t="str">
        <v/>
      </c>
      <c r="AO32" t="str">
        <v/>
      </c>
      <c r="AP32" t="str">
        <v/>
      </c>
      <c r="AQ32" t="str">
        <v/>
      </c>
      <c r="AR32" t="str">
        <v/>
      </c>
      <c r="AS32" t="str">
        <v/>
      </c>
      <c r="AT32" t="str">
        <v/>
      </c>
      <c r="AU32" t="str">
        <v/>
      </c>
      <c r="AV32" t="str">
        <v xml:space="preserve"> </v>
      </c>
      <c r="AW32" t="str">
        <v xml:space="preserve"> </v>
      </c>
      <c r="AX32" t="str">
        <v xml:space="preserve"> </v>
      </c>
      <c r="AY32" t="str">
        <v xml:space="preserve"> </v>
      </c>
      <c r="AZ32" t="str">
        <v/>
      </c>
      <c r="BA32" t="str">
        <v/>
      </c>
      <c r="BB32" t="str">
        <v/>
      </c>
      <c r="BC32" t="str">
        <v/>
      </c>
      <c r="BD32" t="str">
        <v/>
      </c>
      <c r="BE32" t="str">
        <v/>
      </c>
      <c r="BF32" t="str">
        <v/>
      </c>
      <c r="BG32" t="str">
        <v/>
      </c>
      <c r="BH32" t="str">
        <v/>
      </c>
      <c r="BI32" t="str">
        <v/>
      </c>
      <c r="BJ32" t="str">
        <v/>
      </c>
      <c r="BK32" t="str">
        <v/>
      </c>
      <c r="BL32" t="str">
        <v/>
      </c>
      <c r="BM32" t="str">
        <v/>
      </c>
      <c r="BN32" t="str">
        <v/>
      </c>
      <c r="BO32" t="str">
        <v/>
      </c>
      <c r="BP32" t="str">
        <v/>
      </c>
      <c r="BQ32" t="str">
        <v/>
      </c>
      <c r="BR32" t="str">
        <v/>
      </c>
      <c r="BS32" t="str">
        <v/>
      </c>
      <c r="BT32" t="str">
        <v/>
      </c>
      <c r="BU32" t="str">
        <v/>
      </c>
      <c r="BV32" t="str">
        <v/>
      </c>
      <c r="BW32" t="str">
        <v/>
      </c>
      <c r="BX32" t="str">
        <v/>
      </c>
      <c r="BY32" t="str">
        <v/>
      </c>
      <c r="BZ32" t="str">
        <v/>
      </c>
      <c r="CA32" t="str">
        <v/>
      </c>
      <c r="CB32" t="str">
        <v/>
      </c>
      <c r="CC32" t="str">
        <v/>
      </c>
      <c r="CD32" t="str">
        <v/>
      </c>
      <c r="CE32" t="str">
        <v/>
      </c>
      <c r="CF32" t="str">
        <v/>
      </c>
      <c r="CG32" t="str">
        <v/>
      </c>
      <c r="CH32" t="str">
        <v/>
      </c>
      <c r="CI32" t="str">
        <v/>
      </c>
      <c r="CJ32" t="str">
        <v/>
      </c>
      <c r="CK32" t="str">
        <v/>
      </c>
      <c r="CL32" t="str">
        <v/>
      </c>
      <c r="CM32" t="str">
        <v/>
      </c>
      <c r="CN32" t="str">
        <v/>
      </c>
      <c r="CO32" t="str">
        <v/>
      </c>
      <c r="CP32" t="str">
        <v/>
      </c>
      <c r="CQ32" t="str">
        <v/>
      </c>
      <c r="CR32" t="str">
        <v/>
      </c>
      <c r="CS32" t="str">
        <v/>
      </c>
      <c r="CT32" t="str">
        <v/>
      </c>
      <c r="CU32" t="str">
        <v/>
      </c>
      <c r="CV32" t="str">
        <v/>
      </c>
      <c r="CW32" t="str">
        <v/>
      </c>
      <c r="CX32" t="str">
        <v/>
      </c>
      <c r="CY32" t="str">
        <v/>
      </c>
      <c r="CZ32" t="str">
        <v/>
      </c>
      <c r="DA32" t="str">
        <v/>
      </c>
      <c r="DB32" t="str">
        <v/>
      </c>
      <c r="DC32" t="str">
        <v/>
      </c>
      <c r="DD32" t="str">
        <v/>
      </c>
      <c r="DE32" t="str">
        <v/>
      </c>
      <c r="DF32" t="str">
        <v/>
      </c>
      <c r="DG32" t="str">
        <v/>
      </c>
      <c r="DH32" t="str">
        <v/>
      </c>
      <c r="DI32" t="str">
        <v/>
      </c>
      <c r="DJ32" t="str">
        <v/>
      </c>
      <c r="DK32" t="str">
        <v/>
      </c>
      <c r="DL32" t="str">
        <v/>
      </c>
      <c r="DM32" t="str">
        <v/>
      </c>
      <c r="DN32" t="str">
        <v/>
      </c>
      <c r="DO32" t="str">
        <v/>
      </c>
      <c r="DP32" t="str">
        <v/>
      </c>
      <c r="DQ32" t="str">
        <v/>
      </c>
      <c r="DR32" t="str">
        <v/>
      </c>
      <c r="DS32" t="str">
        <v/>
      </c>
      <c r="DT32" t="str">
        <v/>
      </c>
      <c r="DU32" t="str">
        <v/>
      </c>
      <c r="DV32" t="str">
        <v/>
      </c>
      <c r="DW32" t="str">
        <v/>
      </c>
      <c r="DX32" t="str">
        <v/>
      </c>
      <c r="DY32" t="str">
        <v/>
      </c>
      <c r="DZ32" t="str">
        <v/>
      </c>
      <c r="EA32" t="str">
        <v/>
      </c>
      <c r="EB32" t="str">
        <v/>
      </c>
      <c r="EC32" t="str">
        <v/>
      </c>
      <c r="ED32" t="str">
        <v/>
      </c>
      <c r="EE32" t="str">
        <v/>
      </c>
      <c r="EF32" t="str">
        <v/>
      </c>
      <c r="EG32" t="str">
        <v/>
      </c>
      <c r="EH32" t="str">
        <v/>
      </c>
      <c r="EI32" t="str">
        <v/>
      </c>
      <c r="EJ32" t="str">
        <v/>
      </c>
      <c r="EK32" t="str">
        <v/>
      </c>
      <c r="EL32" t="str">
        <v/>
      </c>
      <c r="EM32" t="str">
        <v/>
      </c>
      <c r="EN32" t="str">
        <v/>
      </c>
      <c r="EO32" t="str">
        <v/>
      </c>
      <c r="EP32" t="str">
        <v/>
      </c>
      <c r="EQ32" t="str">
        <v/>
      </c>
      <c r="ER32" t="str">
        <v/>
      </c>
      <c r="ES32" t="str">
        <v/>
      </c>
      <c r="ET32" t="str">
        <v/>
      </c>
      <c r="EU32" t="str">
        <v/>
      </c>
      <c r="EV32" t="str">
        <v/>
      </c>
      <c r="EW32" t="str">
        <v/>
      </c>
      <c r="EX32" t="str">
        <v/>
      </c>
      <c r="EY32" t="str">
        <v/>
      </c>
      <c r="EZ32" t="str">
        <v/>
      </c>
      <c r="FA32" t="str">
        <v/>
      </c>
      <c r="FB32" t="str">
        <v/>
      </c>
      <c r="FC32" t="str">
        <v/>
      </c>
      <c r="FD32" t="str">
        <v/>
      </c>
      <c r="FE32" t="str">
        <v/>
      </c>
      <c r="FF32" t="str">
        <v/>
      </c>
      <c r="FG32" t="str">
        <v/>
      </c>
      <c r="FH32" t="str">
        <v/>
      </c>
      <c r="FI32" t="str">
        <v/>
      </c>
      <c r="FJ32" t="str">
        <v/>
      </c>
      <c r="FK32" t="str">
        <v/>
      </c>
      <c r="FL32" t="str">
        <v/>
      </c>
      <c r="FM32" t="str">
        <v/>
      </c>
      <c r="FN32" t="str">
        <v/>
      </c>
      <c r="FO32" t="str">
        <v/>
      </c>
      <c r="FP32" t="str">
        <v/>
      </c>
      <c r="FQ32" t="str">
        <v/>
      </c>
      <c r="FR32" t="str">
        <v/>
      </c>
      <c r="FS32" t="str">
        <v/>
      </c>
      <c r="FT32" t="str">
        <v/>
      </c>
      <c r="FU32" t="str">
        <v/>
      </c>
      <c r="FV32" t="str">
        <v/>
      </c>
      <c r="FW32" t="str">
        <v/>
      </c>
      <c r="FX32" t="str">
        <v/>
      </c>
      <c r="FY32" t="str">
        <v/>
      </c>
      <c r="FZ32" t="str">
        <v/>
      </c>
      <c r="GA32" t="str">
        <v/>
      </c>
      <c r="GB32" t="str">
        <v/>
      </c>
      <c r="GC32" t="str">
        <v/>
      </c>
      <c r="GD32" t="str">
        <v/>
      </c>
      <c r="GE32" t="str">
        <v/>
      </c>
      <c r="GF32" t="str">
        <v/>
      </c>
      <c r="GG32" t="str">
        <v/>
      </c>
      <c r="GH32" t="str">
        <v/>
      </c>
      <c r="GI32" t="str">
        <v/>
      </c>
      <c r="GJ32" t="str">
        <v/>
      </c>
      <c r="GK32" t="str">
        <v/>
      </c>
      <c r="GL32" t="str">
        <v/>
      </c>
      <c r="GM32" t="str">
        <v/>
      </c>
      <c r="GN32" t="str">
        <v/>
      </c>
      <c r="GO32" t="str">
        <v/>
      </c>
      <c r="GP32" t="str">
        <v/>
      </c>
      <c r="GQ32" t="str">
        <v/>
      </c>
      <c r="GR32" t="str">
        <v/>
      </c>
      <c r="GS32" t="str">
        <v/>
      </c>
      <c r="GT32" t="str">
        <v/>
      </c>
      <c r="GU32" t="str">
        <v/>
      </c>
      <c r="GV32" t="str">
        <v/>
      </c>
      <c r="GW32" t="str">
        <v/>
      </c>
      <c r="GX32" t="str">
        <v/>
      </c>
      <c r="GY32" t="str">
        <v/>
      </c>
      <c r="GZ32" t="str">
        <v/>
      </c>
      <c r="HA32" t="str">
        <v/>
      </c>
      <c r="HB32" t="str">
        <v/>
      </c>
      <c r="HC32" t="str">
        <v/>
      </c>
      <c r="HD32" t="str">
        <v/>
      </c>
      <c r="HE32" t="str">
        <v/>
      </c>
      <c r="HF32" t="str">
        <v/>
      </c>
      <c r="HG32" t="str">
        <v/>
      </c>
      <c r="HH32" t="str">
        <v/>
      </c>
      <c r="HI32" t="str">
        <v/>
      </c>
      <c r="HJ32" t="str">
        <v/>
      </c>
      <c r="HK32" t="str">
        <v/>
      </c>
      <c r="HL32" t="str">
        <v/>
      </c>
      <c r="HM32" t="str">
        <v/>
      </c>
      <c r="HN32" t="str">
        <v/>
      </c>
      <c r="HO32" t="str">
        <v/>
      </c>
      <c r="HP32" t="str">
        <v/>
      </c>
      <c r="HQ32" t="str">
        <v/>
      </c>
      <c r="HR32" t="str">
        <v/>
      </c>
      <c r="HS32" t="str">
        <v/>
      </c>
      <c r="HT32" t="str">
        <v/>
      </c>
      <c r="HU32" t="str">
        <v/>
      </c>
      <c r="HV32" t="str">
        <v/>
      </c>
      <c r="HW32" t="str">
        <v/>
      </c>
      <c r="HX32" t="str">
        <v/>
      </c>
      <c r="HY32" t="str">
        <v/>
      </c>
      <c r="HZ32" t="str">
        <v/>
      </c>
      <c r="IA32" t="str">
        <v/>
      </c>
      <c r="IB32" t="str">
        <v/>
      </c>
      <c r="IC32" t="str">
        <v/>
      </c>
      <c r="ID32" t="str">
        <v/>
      </c>
      <c r="IE32" t="str">
        <v/>
      </c>
      <c r="IF32" t="str">
        <v/>
      </c>
      <c r="IG32" t="str">
        <v/>
      </c>
      <c r="IH32" t="str">
        <v/>
      </c>
      <c r="II32" t="str">
        <v/>
      </c>
      <c r="IJ32" t="str">
        <v/>
      </c>
      <c r="IK32" t="str">
        <v/>
      </c>
      <c r="IL32" t="str">
        <v/>
      </c>
      <c r="IM32" t="str">
        <v/>
      </c>
      <c r="IN32" t="str">
        <v/>
      </c>
      <c r="IO32" t="str">
        <v/>
      </c>
      <c r="IP32" t="str">
        <v/>
      </c>
      <c r="IQ32" t="str">
        <v/>
      </c>
      <c r="IR32" t="str">
        <v/>
      </c>
      <c r="IS32" t="str">
        <v/>
      </c>
      <c r="IT32" t="str">
        <v/>
      </c>
      <c r="IU32" t="str">
        <v/>
      </c>
      <c r="IV32" t="str">
        <v/>
      </c>
      <c r="IW32" t="str">
        <v/>
      </c>
      <c r="IX32" t="str">
        <v/>
      </c>
      <c r="IY32" t="str">
        <v/>
      </c>
      <c r="IZ32" t="str">
        <v/>
      </c>
      <c r="JA32" t="str">
        <v/>
      </c>
      <c r="JB32" t="str">
        <v/>
      </c>
      <c r="JC32" t="str">
        <v/>
      </c>
      <c r="JD32" t="str">
        <v/>
      </c>
      <c r="JE32" t="str">
        <v/>
      </c>
      <c r="JF32" t="str">
        <v/>
      </c>
      <c r="JG32" t="str">
        <v/>
      </c>
      <c r="JH32" t="str">
        <v/>
      </c>
      <c r="JI32" t="str">
        <v/>
      </c>
      <c r="JJ32" t="str">
        <v/>
      </c>
      <c r="JK32" t="str">
        <v/>
      </c>
      <c r="JL32" t="str">
        <v/>
      </c>
      <c r="JM32" t="str">
        <v/>
      </c>
      <c r="JN32" t="str">
        <v/>
      </c>
      <c r="JO32" t="str">
        <v/>
      </c>
      <c r="JP32" t="str">
        <v/>
      </c>
      <c r="JQ32" t="str">
        <v/>
      </c>
      <c r="JR32" t="str">
        <v/>
      </c>
      <c r="JS32" t="str">
        <v/>
      </c>
      <c r="JT32" t="str">
        <v/>
      </c>
      <c r="JU32" t="str">
        <v/>
      </c>
      <c r="JV32" t="str">
        <v/>
      </c>
      <c r="JW32" t="str">
        <v/>
      </c>
      <c r="JX32" t="str">
        <v/>
      </c>
      <c r="JY32" t="str">
        <v/>
      </c>
      <c r="JZ32" t="str">
        <v/>
      </c>
      <c r="KA32" t="str">
        <v/>
      </c>
      <c r="KB32" t="str">
        <v/>
      </c>
      <c r="KC32" t="str">
        <v/>
      </c>
      <c r="KD32" t="str">
        <v/>
      </c>
      <c r="KE32" t="str">
        <v/>
      </c>
      <c r="KF32" t="str">
        <v/>
      </c>
      <c r="KG32" t="str">
        <v/>
      </c>
      <c r="KH32" t="str">
        <v/>
      </c>
      <c r="KI32" t="str">
        <v/>
      </c>
      <c r="KJ32" t="str">
        <v/>
      </c>
      <c r="KK32" t="str">
        <v/>
      </c>
      <c r="KL32" t="str">
        <v/>
      </c>
      <c r="KM32" t="str">
        <v/>
      </c>
      <c r="KN32" t="str">
        <v/>
      </c>
      <c r="KO32" t="str">
        <v/>
      </c>
      <c r="KP32" t="str">
        <v/>
      </c>
      <c r="KQ32" t="str">
        <v/>
      </c>
      <c r="KR32" t="str">
        <v/>
      </c>
      <c r="KS32" t="str">
        <v/>
      </c>
      <c r="KT32" t="str">
        <v/>
      </c>
      <c r="KU32" t="str">
        <v/>
      </c>
      <c r="KV32" t="str">
        <v/>
      </c>
      <c r="KW32" t="str">
        <v/>
      </c>
      <c r="KX32" t="str">
        <v/>
      </c>
      <c r="KY32" t="str">
        <v/>
      </c>
      <c r="KZ32" t="str">
        <v/>
      </c>
      <c r="LA32" t="str">
        <v/>
      </c>
      <c r="LB32" t="str">
        <v/>
      </c>
      <c r="LC32" t="str">
        <v/>
      </c>
      <c r="LD32" t="str">
        <v/>
      </c>
      <c r="LE32" t="str">
        <v/>
      </c>
      <c r="LF32" t="str">
        <v/>
      </c>
      <c r="LG32" t="str">
        <v/>
      </c>
      <c r="LH32" t="str">
        <v/>
      </c>
      <c r="LI32" t="str">
        <v/>
      </c>
      <c r="LJ32" t="str">
        <v/>
      </c>
      <c r="LK32" t="str">
        <v/>
      </c>
      <c r="LL32" t="str">
        <v/>
      </c>
      <c r="LM32" t="str">
        <v/>
      </c>
      <c r="LN32" t="str">
        <v/>
      </c>
      <c r="LO32" t="str">
        <v/>
      </c>
      <c r="LP32" t="str">
        <v/>
      </c>
      <c r="LQ32" t="str">
        <v/>
      </c>
      <c r="LR32" t="str">
        <v/>
      </c>
      <c r="LS32" t="str">
        <v/>
      </c>
      <c r="LT32" t="str">
        <v/>
      </c>
      <c r="LU32" t="str">
        <v/>
      </c>
      <c r="LV32" t="str">
        <v/>
      </c>
      <c r="LW32" t="str">
        <v/>
      </c>
      <c r="LX32" t="str">
        <v/>
      </c>
      <c r="LY32" t="str">
        <v/>
      </c>
      <c r="LZ32" t="str">
        <v/>
      </c>
      <c r="MA32" t="str">
        <v/>
      </c>
      <c r="MB32" t="str">
        <v/>
      </c>
      <c r="MC32" t="str">
        <v/>
      </c>
      <c r="MD32" t="str">
        <v/>
      </c>
      <c r="ME32" t="str">
        <v/>
      </c>
      <c r="MF32" t="str">
        <v/>
      </c>
      <c r="MG32" t="str">
        <v/>
      </c>
      <c r="MH32" t="str">
        <v/>
      </c>
      <c r="MI32" t="str">
        <v/>
      </c>
      <c r="MJ32" t="str">
        <v/>
      </c>
      <c r="MK32" t="str">
        <v/>
      </c>
      <c r="ML32" t="str">
        <v/>
      </c>
      <c r="MM32" t="str">
        <v/>
      </c>
      <c r="MN32" t="str">
        <v/>
      </c>
      <c r="MO32" t="str">
        <v/>
      </c>
      <c r="MP32" t="str">
        <v/>
      </c>
      <c r="MQ32" t="str">
        <v/>
      </c>
      <c r="MR32" t="str">
        <v/>
      </c>
      <c r="MS32" t="str">
        <v/>
      </c>
      <c r="MT32" t="str">
        <v/>
      </c>
      <c r="MU32" t="str">
        <v/>
      </c>
      <c r="MV32" t="str">
        <v/>
      </c>
      <c r="MW32" t="str">
        <v/>
      </c>
      <c r="MX32" t="str">
        <v/>
      </c>
      <c r="MY32" t="str">
        <v/>
      </c>
      <c r="MZ32" t="str">
        <v/>
      </c>
      <c r="NA32" t="str">
        <v/>
      </c>
      <c r="NB32" t="str">
        <v/>
      </c>
      <c r="NC32" t="str">
        <v/>
      </c>
      <c r="ND32" t="str">
        <v/>
      </c>
      <c r="NE32" t="str">
        <v/>
      </c>
      <c r="NF32" t="str">
        <v/>
      </c>
      <c r="NG32" t="str">
        <v/>
      </c>
      <c r="NH32" t="str">
        <v/>
      </c>
      <c r="NI32" t="str">
        <v/>
      </c>
      <c r="NJ32" t="str">
        <v/>
      </c>
      <c r="NK32" t="str">
        <v/>
      </c>
      <c r="NL32" t="str">
        <v/>
      </c>
      <c r="NM32" t="str">
        <v/>
      </c>
      <c r="NN32" t="str">
        <v/>
      </c>
      <c r="NO32" t="str">
        <v/>
      </c>
      <c r="NP32" t="str">
        <v/>
      </c>
      <c r="NQ32" t="str">
        <v/>
      </c>
      <c r="NR32" t="str">
        <v/>
      </c>
      <c r="NS32" t="str">
        <v/>
      </c>
      <c r="NT32" t="str">
        <v/>
      </c>
      <c r="NU32" t="str">
        <v/>
      </c>
      <c r="NV32" t="str">
        <v/>
      </c>
      <c r="NW32" t="str">
        <v/>
      </c>
      <c r="NX32" t="str">
        <v/>
      </c>
      <c r="NY32" t="str">
        <v/>
      </c>
      <c r="NZ32" t="str">
        <v/>
      </c>
      <c r="OA32" t="str">
        <v/>
      </c>
      <c r="OB32" t="str">
        <v/>
      </c>
      <c r="OC32" t="str">
        <v/>
      </c>
      <c r="OD32" t="str">
        <v/>
      </c>
      <c r="OE32" t="str">
        <v/>
      </c>
    </row>
    <row r="33" spans="1:395" outlineLevel="1" x14ac:dyDescent="0.3">
      <c r="A33" s="14"/>
      <c r="C33" s="14"/>
      <c r="D33"/>
      <c r="G33" s="76"/>
      <c r="H33" s="76"/>
      <c r="I33" s="257"/>
      <c r="J33" s="258"/>
      <c r="K33" s="65"/>
      <c r="L33" s="55"/>
      <c r="M33" s="66"/>
      <c r="N33" s="205" t="s">
        <v>299</v>
      </c>
      <c r="O33" s="229">
        <f>O32</f>
        <v>47131</v>
      </c>
      <c r="P33" s="228">
        <f>E2</f>
        <v>57710</v>
      </c>
      <c r="Q33" s="188" t="str" cm="1">
        <f t="array" ref="Q33:OE33">_xlfn.BYCOL(_xlfn.ANCHORARRAY(Q2),   _xlfn.LAMBDA(_xlpm.m,   IF( SUM(--((O32 + E32*(_xlfn.SEQUENCE(E67)-1)) &lt;= EOMONTH(_xlpm.m,0)))=0, "", SUM(--((O32 + E32*(_xlfn.SEQUENCE(E67)-1)) &lt;= EOMONTH(_xlpm.m,0))))))</f>
        <v/>
      </c>
      <c r="R33" t="str">
        <v/>
      </c>
      <c r="S33" t="str">
        <v/>
      </c>
      <c r="T33" t="str">
        <v/>
      </c>
      <c r="U33" t="str">
        <v/>
      </c>
      <c r="V33" t="str">
        <v/>
      </c>
      <c r="W33" t="str">
        <v/>
      </c>
      <c r="X33" t="str">
        <v/>
      </c>
      <c r="Y33" t="str">
        <v/>
      </c>
      <c r="Z33" t="str">
        <v/>
      </c>
      <c r="AA33" t="str">
        <v/>
      </c>
      <c r="AB33" t="str">
        <v/>
      </c>
      <c r="AC33" t="str">
        <v/>
      </c>
      <c r="AD33" t="str">
        <v/>
      </c>
      <c r="AE33" t="str">
        <v/>
      </c>
      <c r="AF33" t="str">
        <v/>
      </c>
      <c r="AG33" t="str">
        <v/>
      </c>
      <c r="AH33" t="str">
        <v/>
      </c>
      <c r="AI33" t="str">
        <v/>
      </c>
      <c r="AJ33" t="str">
        <v/>
      </c>
      <c r="AK33" t="str">
        <v/>
      </c>
      <c r="AL33" t="str">
        <v/>
      </c>
      <c r="AM33" t="str">
        <v/>
      </c>
      <c r="AN33" t="str">
        <v/>
      </c>
      <c r="AO33" t="str">
        <v/>
      </c>
      <c r="AP33" t="str">
        <v/>
      </c>
      <c r="AQ33" t="str">
        <v/>
      </c>
      <c r="AR33" t="str">
        <v/>
      </c>
      <c r="AS33" t="str">
        <v/>
      </c>
      <c r="AT33" t="str">
        <v/>
      </c>
      <c r="AU33" t="str">
        <v/>
      </c>
      <c r="AV33">
        <v>3</v>
      </c>
      <c r="AW33">
        <v>7</v>
      </c>
      <c r="AX33">
        <v>12</v>
      </c>
      <c r="AY33">
        <v>15</v>
      </c>
      <c r="AZ33">
        <v>15</v>
      </c>
      <c r="BA33">
        <v>15</v>
      </c>
      <c r="BB33">
        <v>15</v>
      </c>
      <c r="BC33">
        <v>15</v>
      </c>
      <c r="BD33">
        <v>15</v>
      </c>
      <c r="BE33">
        <v>15</v>
      </c>
      <c r="BF33">
        <v>15</v>
      </c>
      <c r="BG33">
        <v>15</v>
      </c>
      <c r="BH33">
        <v>15</v>
      </c>
      <c r="BI33">
        <v>15</v>
      </c>
      <c r="BJ33">
        <v>15</v>
      </c>
      <c r="BK33">
        <v>15</v>
      </c>
      <c r="BL33">
        <v>15</v>
      </c>
      <c r="BM33">
        <v>15</v>
      </c>
      <c r="BN33">
        <v>15</v>
      </c>
      <c r="BO33">
        <v>15</v>
      </c>
      <c r="BP33">
        <v>15</v>
      </c>
      <c r="BQ33">
        <v>15</v>
      </c>
      <c r="BR33">
        <v>15</v>
      </c>
      <c r="BS33">
        <v>15</v>
      </c>
      <c r="BT33">
        <v>15</v>
      </c>
      <c r="BU33">
        <v>15</v>
      </c>
      <c r="BV33">
        <v>15</v>
      </c>
      <c r="BW33">
        <v>15</v>
      </c>
      <c r="BX33">
        <v>15</v>
      </c>
      <c r="BY33">
        <v>15</v>
      </c>
      <c r="BZ33">
        <v>15</v>
      </c>
      <c r="CA33">
        <v>15</v>
      </c>
      <c r="CB33">
        <v>15</v>
      </c>
      <c r="CC33">
        <v>15</v>
      </c>
      <c r="CD33">
        <v>15</v>
      </c>
      <c r="CE33">
        <v>15</v>
      </c>
      <c r="CF33">
        <v>15</v>
      </c>
      <c r="CG33">
        <v>15</v>
      </c>
      <c r="CH33">
        <v>15</v>
      </c>
      <c r="CI33">
        <v>15</v>
      </c>
      <c r="CJ33">
        <v>15</v>
      </c>
      <c r="CK33">
        <v>15</v>
      </c>
      <c r="CL33">
        <v>15</v>
      </c>
      <c r="CM33">
        <v>15</v>
      </c>
      <c r="CN33">
        <v>15</v>
      </c>
      <c r="CO33">
        <v>15</v>
      </c>
      <c r="CP33">
        <v>15</v>
      </c>
      <c r="CQ33">
        <v>15</v>
      </c>
      <c r="CR33">
        <v>15</v>
      </c>
      <c r="CS33">
        <v>15</v>
      </c>
      <c r="CT33">
        <v>15</v>
      </c>
      <c r="CU33">
        <v>15</v>
      </c>
      <c r="CV33">
        <v>15</v>
      </c>
      <c r="CW33">
        <v>15</v>
      </c>
      <c r="CX33">
        <v>15</v>
      </c>
      <c r="CY33">
        <v>15</v>
      </c>
      <c r="CZ33">
        <v>15</v>
      </c>
      <c r="DA33">
        <v>15</v>
      </c>
      <c r="DB33">
        <v>15</v>
      </c>
      <c r="DC33">
        <v>15</v>
      </c>
      <c r="DD33">
        <v>15</v>
      </c>
      <c r="DE33">
        <v>15</v>
      </c>
      <c r="DF33">
        <v>15</v>
      </c>
      <c r="DG33">
        <v>15</v>
      </c>
      <c r="DH33">
        <v>15</v>
      </c>
      <c r="DI33">
        <v>15</v>
      </c>
      <c r="DJ33">
        <v>15</v>
      </c>
      <c r="DK33">
        <v>15</v>
      </c>
      <c r="DL33">
        <v>15</v>
      </c>
      <c r="DM33">
        <v>15</v>
      </c>
      <c r="DN33">
        <v>15</v>
      </c>
      <c r="DO33">
        <v>15</v>
      </c>
      <c r="DP33">
        <v>15</v>
      </c>
      <c r="DQ33">
        <v>15</v>
      </c>
      <c r="DR33">
        <v>15</v>
      </c>
      <c r="DS33">
        <v>15</v>
      </c>
      <c r="DT33">
        <v>15</v>
      </c>
      <c r="DU33">
        <v>15</v>
      </c>
      <c r="DV33">
        <v>15</v>
      </c>
      <c r="DW33">
        <v>15</v>
      </c>
      <c r="DX33">
        <v>15</v>
      </c>
      <c r="DY33">
        <v>15</v>
      </c>
      <c r="DZ33">
        <v>15</v>
      </c>
      <c r="EA33">
        <v>15</v>
      </c>
      <c r="EB33">
        <v>15</v>
      </c>
      <c r="EC33">
        <v>15</v>
      </c>
      <c r="ED33">
        <v>15</v>
      </c>
      <c r="EE33">
        <v>15</v>
      </c>
      <c r="EF33">
        <v>15</v>
      </c>
      <c r="EG33">
        <v>15</v>
      </c>
      <c r="EH33">
        <v>15</v>
      </c>
      <c r="EI33">
        <v>15</v>
      </c>
      <c r="EJ33">
        <v>15</v>
      </c>
      <c r="EK33">
        <v>15</v>
      </c>
      <c r="EL33">
        <v>15</v>
      </c>
      <c r="EM33">
        <v>15</v>
      </c>
      <c r="EN33">
        <v>15</v>
      </c>
      <c r="EO33">
        <v>15</v>
      </c>
      <c r="EP33">
        <v>15</v>
      </c>
      <c r="EQ33">
        <v>15</v>
      </c>
      <c r="ER33">
        <v>15</v>
      </c>
      <c r="ES33">
        <v>15</v>
      </c>
      <c r="ET33">
        <v>15</v>
      </c>
      <c r="EU33">
        <v>15</v>
      </c>
      <c r="EV33">
        <v>15</v>
      </c>
      <c r="EW33">
        <v>15</v>
      </c>
      <c r="EX33">
        <v>15</v>
      </c>
      <c r="EY33">
        <v>15</v>
      </c>
      <c r="EZ33">
        <v>15</v>
      </c>
      <c r="FA33">
        <v>15</v>
      </c>
      <c r="FB33">
        <v>15</v>
      </c>
      <c r="FC33">
        <v>15</v>
      </c>
      <c r="FD33">
        <v>15</v>
      </c>
      <c r="FE33">
        <v>15</v>
      </c>
      <c r="FF33">
        <v>15</v>
      </c>
      <c r="FG33">
        <v>15</v>
      </c>
      <c r="FH33">
        <v>15</v>
      </c>
      <c r="FI33">
        <v>15</v>
      </c>
      <c r="FJ33">
        <v>15</v>
      </c>
      <c r="FK33">
        <v>15</v>
      </c>
      <c r="FL33">
        <v>15</v>
      </c>
      <c r="FM33">
        <v>15</v>
      </c>
      <c r="FN33">
        <v>15</v>
      </c>
      <c r="FO33">
        <v>15</v>
      </c>
      <c r="FP33">
        <v>15</v>
      </c>
      <c r="FQ33">
        <v>15</v>
      </c>
      <c r="FR33">
        <v>15</v>
      </c>
      <c r="FS33">
        <v>15</v>
      </c>
      <c r="FT33">
        <v>15</v>
      </c>
      <c r="FU33">
        <v>15</v>
      </c>
      <c r="FV33">
        <v>15</v>
      </c>
      <c r="FW33">
        <v>15</v>
      </c>
      <c r="FX33">
        <v>15</v>
      </c>
      <c r="FY33">
        <v>15</v>
      </c>
      <c r="FZ33">
        <v>15</v>
      </c>
      <c r="GA33">
        <v>15</v>
      </c>
      <c r="GB33">
        <v>15</v>
      </c>
      <c r="GC33">
        <v>15</v>
      </c>
      <c r="GD33">
        <v>15</v>
      </c>
      <c r="GE33">
        <v>15</v>
      </c>
      <c r="GF33">
        <v>15</v>
      </c>
      <c r="GG33">
        <v>15</v>
      </c>
      <c r="GH33">
        <v>15</v>
      </c>
      <c r="GI33">
        <v>15</v>
      </c>
      <c r="GJ33">
        <v>15</v>
      </c>
      <c r="GK33">
        <v>15</v>
      </c>
      <c r="GL33">
        <v>15</v>
      </c>
      <c r="GM33">
        <v>15</v>
      </c>
      <c r="GN33">
        <v>15</v>
      </c>
      <c r="GO33">
        <v>15</v>
      </c>
      <c r="GP33">
        <v>15</v>
      </c>
      <c r="GQ33">
        <v>15</v>
      </c>
      <c r="GR33">
        <v>15</v>
      </c>
      <c r="GS33">
        <v>15</v>
      </c>
      <c r="GT33">
        <v>15</v>
      </c>
      <c r="GU33">
        <v>15</v>
      </c>
      <c r="GV33">
        <v>15</v>
      </c>
      <c r="GW33">
        <v>15</v>
      </c>
      <c r="GX33">
        <v>15</v>
      </c>
      <c r="GY33">
        <v>15</v>
      </c>
      <c r="GZ33">
        <v>15</v>
      </c>
      <c r="HA33">
        <v>15</v>
      </c>
      <c r="HB33">
        <v>15</v>
      </c>
      <c r="HC33">
        <v>15</v>
      </c>
      <c r="HD33">
        <v>15</v>
      </c>
      <c r="HE33">
        <v>15</v>
      </c>
      <c r="HF33">
        <v>15</v>
      </c>
      <c r="HG33">
        <v>15</v>
      </c>
      <c r="HH33">
        <v>15</v>
      </c>
      <c r="HI33">
        <v>15</v>
      </c>
      <c r="HJ33">
        <v>15</v>
      </c>
      <c r="HK33">
        <v>15</v>
      </c>
      <c r="HL33">
        <v>15</v>
      </c>
      <c r="HM33">
        <v>15</v>
      </c>
      <c r="HN33">
        <v>15</v>
      </c>
      <c r="HO33">
        <v>15</v>
      </c>
      <c r="HP33">
        <v>15</v>
      </c>
      <c r="HQ33">
        <v>15</v>
      </c>
      <c r="HR33">
        <v>15</v>
      </c>
      <c r="HS33">
        <v>15</v>
      </c>
      <c r="HT33">
        <v>15</v>
      </c>
      <c r="HU33">
        <v>15</v>
      </c>
      <c r="HV33">
        <v>15</v>
      </c>
      <c r="HW33">
        <v>15</v>
      </c>
      <c r="HX33">
        <v>15</v>
      </c>
      <c r="HY33">
        <v>15</v>
      </c>
      <c r="HZ33">
        <v>15</v>
      </c>
      <c r="IA33">
        <v>15</v>
      </c>
      <c r="IB33">
        <v>15</v>
      </c>
      <c r="IC33">
        <v>15</v>
      </c>
      <c r="ID33">
        <v>15</v>
      </c>
      <c r="IE33">
        <v>15</v>
      </c>
      <c r="IF33">
        <v>15</v>
      </c>
      <c r="IG33">
        <v>15</v>
      </c>
      <c r="IH33">
        <v>15</v>
      </c>
      <c r="II33">
        <v>15</v>
      </c>
      <c r="IJ33">
        <v>15</v>
      </c>
      <c r="IK33">
        <v>15</v>
      </c>
      <c r="IL33">
        <v>15</v>
      </c>
      <c r="IM33">
        <v>15</v>
      </c>
      <c r="IN33">
        <v>15</v>
      </c>
      <c r="IO33">
        <v>15</v>
      </c>
      <c r="IP33">
        <v>15</v>
      </c>
      <c r="IQ33">
        <v>15</v>
      </c>
      <c r="IR33">
        <v>15</v>
      </c>
      <c r="IS33">
        <v>15</v>
      </c>
      <c r="IT33">
        <v>15</v>
      </c>
      <c r="IU33">
        <v>15</v>
      </c>
      <c r="IV33">
        <v>15</v>
      </c>
      <c r="IW33">
        <v>15</v>
      </c>
      <c r="IX33">
        <v>15</v>
      </c>
      <c r="IY33">
        <v>15</v>
      </c>
      <c r="IZ33">
        <v>15</v>
      </c>
      <c r="JA33">
        <v>15</v>
      </c>
      <c r="JB33">
        <v>15</v>
      </c>
      <c r="JC33">
        <v>15</v>
      </c>
      <c r="JD33">
        <v>15</v>
      </c>
      <c r="JE33">
        <v>15</v>
      </c>
      <c r="JF33">
        <v>15</v>
      </c>
      <c r="JG33">
        <v>15</v>
      </c>
      <c r="JH33">
        <v>15</v>
      </c>
      <c r="JI33">
        <v>15</v>
      </c>
      <c r="JJ33">
        <v>15</v>
      </c>
      <c r="JK33">
        <v>15</v>
      </c>
      <c r="JL33">
        <v>15</v>
      </c>
      <c r="JM33">
        <v>15</v>
      </c>
      <c r="JN33">
        <v>15</v>
      </c>
      <c r="JO33">
        <v>15</v>
      </c>
      <c r="JP33">
        <v>15</v>
      </c>
      <c r="JQ33">
        <v>15</v>
      </c>
      <c r="JR33">
        <v>15</v>
      </c>
      <c r="JS33">
        <v>15</v>
      </c>
      <c r="JT33">
        <v>15</v>
      </c>
      <c r="JU33">
        <v>15</v>
      </c>
      <c r="JV33">
        <v>15</v>
      </c>
      <c r="JW33">
        <v>15</v>
      </c>
      <c r="JX33">
        <v>15</v>
      </c>
      <c r="JY33">
        <v>15</v>
      </c>
      <c r="JZ33">
        <v>15</v>
      </c>
      <c r="KA33">
        <v>15</v>
      </c>
      <c r="KB33">
        <v>15</v>
      </c>
      <c r="KC33">
        <v>15</v>
      </c>
      <c r="KD33">
        <v>15</v>
      </c>
      <c r="KE33">
        <v>15</v>
      </c>
      <c r="KF33">
        <v>15</v>
      </c>
      <c r="KG33">
        <v>15</v>
      </c>
      <c r="KH33">
        <v>15</v>
      </c>
      <c r="KI33">
        <v>15</v>
      </c>
      <c r="KJ33">
        <v>15</v>
      </c>
      <c r="KK33">
        <v>15</v>
      </c>
      <c r="KL33">
        <v>15</v>
      </c>
      <c r="KM33">
        <v>15</v>
      </c>
      <c r="KN33">
        <v>15</v>
      </c>
      <c r="KO33">
        <v>15</v>
      </c>
      <c r="KP33">
        <v>15</v>
      </c>
      <c r="KQ33">
        <v>15</v>
      </c>
      <c r="KR33">
        <v>15</v>
      </c>
      <c r="KS33">
        <v>15</v>
      </c>
      <c r="KT33">
        <v>15</v>
      </c>
      <c r="KU33">
        <v>15</v>
      </c>
      <c r="KV33">
        <v>15</v>
      </c>
      <c r="KW33">
        <v>15</v>
      </c>
      <c r="KX33">
        <v>15</v>
      </c>
      <c r="KY33">
        <v>15</v>
      </c>
      <c r="KZ33">
        <v>15</v>
      </c>
      <c r="LA33">
        <v>15</v>
      </c>
      <c r="LB33">
        <v>15</v>
      </c>
      <c r="LC33">
        <v>15</v>
      </c>
      <c r="LD33">
        <v>15</v>
      </c>
      <c r="LE33">
        <v>15</v>
      </c>
      <c r="LF33">
        <v>15</v>
      </c>
      <c r="LG33">
        <v>15</v>
      </c>
      <c r="LH33">
        <v>15</v>
      </c>
      <c r="LI33">
        <v>15</v>
      </c>
      <c r="LJ33">
        <v>15</v>
      </c>
      <c r="LK33">
        <v>15</v>
      </c>
      <c r="LL33">
        <v>15</v>
      </c>
      <c r="LM33">
        <v>15</v>
      </c>
      <c r="LN33">
        <v>15</v>
      </c>
      <c r="LO33">
        <v>15</v>
      </c>
      <c r="LP33">
        <v>15</v>
      </c>
      <c r="LQ33">
        <v>15</v>
      </c>
      <c r="LR33">
        <v>15</v>
      </c>
      <c r="LS33">
        <v>15</v>
      </c>
      <c r="LT33">
        <v>15</v>
      </c>
      <c r="LU33">
        <v>15</v>
      </c>
      <c r="LV33">
        <v>15</v>
      </c>
      <c r="LW33">
        <v>15</v>
      </c>
      <c r="LX33">
        <v>15</v>
      </c>
      <c r="LY33">
        <v>15</v>
      </c>
      <c r="LZ33">
        <v>15</v>
      </c>
      <c r="MA33">
        <v>15</v>
      </c>
      <c r="MB33">
        <v>15</v>
      </c>
      <c r="MC33">
        <v>15</v>
      </c>
      <c r="MD33">
        <v>15</v>
      </c>
      <c r="ME33">
        <v>15</v>
      </c>
      <c r="MF33">
        <v>15</v>
      </c>
      <c r="MG33">
        <v>15</v>
      </c>
      <c r="MH33">
        <v>15</v>
      </c>
      <c r="MI33">
        <v>15</v>
      </c>
      <c r="MJ33">
        <v>15</v>
      </c>
      <c r="MK33">
        <v>15</v>
      </c>
      <c r="ML33">
        <v>15</v>
      </c>
      <c r="MM33">
        <v>15</v>
      </c>
      <c r="MN33">
        <v>15</v>
      </c>
      <c r="MO33">
        <v>15</v>
      </c>
      <c r="MP33">
        <v>15</v>
      </c>
      <c r="MQ33">
        <v>15</v>
      </c>
      <c r="MR33">
        <v>15</v>
      </c>
      <c r="MS33">
        <v>15</v>
      </c>
      <c r="MT33">
        <v>15</v>
      </c>
      <c r="MU33">
        <v>15</v>
      </c>
      <c r="MV33">
        <v>15</v>
      </c>
      <c r="MW33">
        <v>15</v>
      </c>
      <c r="MX33">
        <v>15</v>
      </c>
      <c r="MY33">
        <v>15</v>
      </c>
      <c r="MZ33">
        <v>15</v>
      </c>
      <c r="NA33">
        <v>15</v>
      </c>
      <c r="NB33">
        <v>15</v>
      </c>
      <c r="NC33">
        <v>15</v>
      </c>
      <c r="ND33">
        <v>15</v>
      </c>
      <c r="NE33">
        <v>15</v>
      </c>
      <c r="NF33">
        <v>15</v>
      </c>
      <c r="NG33">
        <v>15</v>
      </c>
      <c r="NH33">
        <v>15</v>
      </c>
      <c r="NI33">
        <v>15</v>
      </c>
      <c r="NJ33">
        <v>15</v>
      </c>
      <c r="NK33">
        <v>15</v>
      </c>
      <c r="NL33">
        <v>15</v>
      </c>
      <c r="NM33">
        <v>15</v>
      </c>
      <c r="NN33">
        <v>15</v>
      </c>
      <c r="NO33">
        <v>15</v>
      </c>
      <c r="NP33">
        <v>15</v>
      </c>
      <c r="NQ33">
        <v>15</v>
      </c>
      <c r="NR33">
        <v>15</v>
      </c>
      <c r="NS33">
        <v>15</v>
      </c>
      <c r="NT33">
        <v>15</v>
      </c>
      <c r="NU33">
        <v>15</v>
      </c>
      <c r="NV33">
        <v>15</v>
      </c>
      <c r="NW33">
        <v>15</v>
      </c>
      <c r="NX33">
        <v>15</v>
      </c>
      <c r="NY33">
        <v>15</v>
      </c>
      <c r="NZ33">
        <v>15</v>
      </c>
      <c r="OA33">
        <v>15</v>
      </c>
      <c r="OB33">
        <v>15</v>
      </c>
      <c r="OC33">
        <v>15</v>
      </c>
      <c r="OD33">
        <v>15</v>
      </c>
      <c r="OE33">
        <v>15</v>
      </c>
    </row>
    <row r="34" spans="1:395" ht="14.4" thickBot="1" x14ac:dyDescent="0.35">
      <c r="A34" s="167"/>
      <c r="B34" s="167" t="s">
        <v>195</v>
      </c>
      <c r="C34" s="200"/>
      <c r="D34" s="168"/>
      <c r="E34" s="201"/>
      <c r="F34" s="264"/>
      <c r="G34" s="202"/>
      <c r="H34" s="202"/>
      <c r="I34" s="265"/>
      <c r="J34" s="266"/>
      <c r="K34" s="143"/>
      <c r="L34" s="142"/>
      <c r="M34" s="142"/>
      <c r="N34" s="142"/>
      <c r="O34" s="142"/>
      <c r="P34" s="142"/>
      <c r="Q34" s="142"/>
      <c r="R34" s="171"/>
      <c r="S34" s="171"/>
      <c r="T34" s="171"/>
      <c r="U34" s="171"/>
      <c r="V34" s="171"/>
      <c r="W34" s="171"/>
      <c r="X34" s="171"/>
      <c r="Y34" s="171"/>
      <c r="Z34" s="171"/>
      <c r="AA34" s="171"/>
      <c r="AB34" s="171"/>
      <c r="AC34" s="171"/>
      <c r="AD34" s="171"/>
      <c r="AE34" s="171"/>
      <c r="AF34" s="171"/>
      <c r="AG34" s="171"/>
      <c r="AH34" s="171"/>
      <c r="AI34" s="171"/>
      <c r="AJ34" s="171"/>
      <c r="AK34" s="171"/>
      <c r="AL34" s="171"/>
      <c r="AM34" s="171"/>
      <c r="AN34" s="171"/>
      <c r="AO34" s="171"/>
      <c r="AP34" s="171"/>
      <c r="AQ34" s="171"/>
      <c r="AR34" s="171"/>
      <c r="AS34" s="171"/>
      <c r="AT34" s="171"/>
      <c r="AU34" s="171"/>
      <c r="AV34" s="171"/>
      <c r="AW34" s="171"/>
      <c r="AX34" s="171"/>
      <c r="AY34" s="171"/>
      <c r="AZ34" s="171"/>
      <c r="BA34" s="171"/>
      <c r="BB34" s="171"/>
      <c r="BC34" s="171"/>
      <c r="BD34" s="171"/>
      <c r="BE34" s="171"/>
      <c r="BF34" s="171"/>
      <c r="BG34" s="171"/>
      <c r="BH34" s="171"/>
      <c r="BI34" s="171"/>
      <c r="BJ34" s="171"/>
      <c r="BK34" s="171"/>
      <c r="BL34" s="171"/>
      <c r="BM34" s="171"/>
      <c r="BN34" s="171"/>
      <c r="BO34" s="171"/>
      <c r="BP34" s="171"/>
      <c r="BQ34" s="171"/>
      <c r="BR34" s="171"/>
      <c r="BS34" s="171"/>
      <c r="BT34" s="171"/>
      <c r="BU34" s="171"/>
      <c r="BV34" s="171"/>
      <c r="BW34" s="171"/>
      <c r="BX34" s="171"/>
      <c r="BY34" s="171"/>
      <c r="BZ34" s="171"/>
      <c r="CA34" s="171"/>
      <c r="CB34" s="171"/>
      <c r="CC34" s="171"/>
      <c r="CD34" s="171"/>
      <c r="CE34" s="171"/>
      <c r="CF34" s="171"/>
      <c r="CG34" s="171"/>
      <c r="CH34" s="171"/>
      <c r="CI34" s="171"/>
      <c r="CJ34" s="171"/>
      <c r="CK34" s="171"/>
      <c r="CL34" s="171"/>
      <c r="CM34" s="171"/>
      <c r="CN34" s="171"/>
      <c r="CO34" s="171"/>
      <c r="CP34" s="171"/>
      <c r="CQ34" s="171"/>
      <c r="CR34" s="171"/>
      <c r="CS34" s="171"/>
      <c r="CT34" s="171"/>
      <c r="CU34" s="171"/>
      <c r="CV34" s="171"/>
      <c r="CW34" s="171"/>
      <c r="CX34" s="171"/>
      <c r="CY34" s="171"/>
      <c r="CZ34" s="171"/>
      <c r="DA34" s="171"/>
      <c r="DB34" s="171"/>
      <c r="DC34" s="171"/>
      <c r="DD34" s="171"/>
      <c r="DE34" s="171"/>
      <c r="DF34" s="171"/>
      <c r="DG34" s="171"/>
      <c r="DH34" s="171"/>
      <c r="DI34" s="171"/>
      <c r="DJ34" s="171"/>
      <c r="DK34" s="171"/>
      <c r="DL34" s="171"/>
      <c r="DM34" s="171"/>
      <c r="DN34" s="171"/>
      <c r="DO34" s="171"/>
      <c r="DP34" s="171"/>
      <c r="DQ34" s="171"/>
      <c r="DR34" s="171"/>
      <c r="DS34" s="171"/>
      <c r="DT34" s="171"/>
      <c r="DU34" s="171"/>
      <c r="DV34" s="171"/>
      <c r="DW34" s="171"/>
      <c r="DX34" s="171"/>
      <c r="DY34" s="171"/>
      <c r="DZ34" s="171"/>
      <c r="EA34" s="171"/>
      <c r="EB34" s="171"/>
      <c r="EC34" s="171"/>
      <c r="ED34" s="171"/>
      <c r="EE34" s="171"/>
      <c r="EF34" s="171"/>
      <c r="EG34" s="171"/>
      <c r="EH34" s="171"/>
      <c r="EI34" s="171"/>
      <c r="EJ34" s="171"/>
      <c r="EK34" s="171"/>
      <c r="EL34" s="171"/>
      <c r="EM34" s="171"/>
      <c r="EN34" s="171"/>
      <c r="EO34" s="171"/>
      <c r="EP34" s="171"/>
      <c r="EQ34" s="171"/>
      <c r="ER34" s="171"/>
      <c r="ES34" s="171"/>
      <c r="ET34" s="171"/>
      <c r="EU34" s="171"/>
      <c r="EV34" s="171"/>
      <c r="EW34" s="171"/>
      <c r="EX34" s="171"/>
      <c r="EY34" s="171"/>
      <c r="EZ34" s="171"/>
      <c r="FA34" s="171"/>
      <c r="FB34" s="171"/>
      <c r="FC34" s="171"/>
      <c r="FD34" s="171"/>
      <c r="FE34" s="171"/>
      <c r="FF34" s="171"/>
      <c r="FG34" s="171"/>
      <c r="FH34" s="171"/>
      <c r="FI34" s="171"/>
      <c r="FJ34" s="171"/>
      <c r="FK34" s="171"/>
      <c r="FL34" s="171"/>
      <c r="FM34" s="171"/>
      <c r="FN34" s="171"/>
      <c r="FO34" s="171"/>
      <c r="FP34" s="171"/>
      <c r="FQ34" s="171"/>
      <c r="FR34" s="171"/>
      <c r="FS34" s="171"/>
      <c r="FT34" s="171"/>
      <c r="FU34" s="171"/>
      <c r="FV34" s="171"/>
      <c r="FW34" s="171"/>
      <c r="FX34" s="171"/>
      <c r="FY34" s="171"/>
      <c r="FZ34" s="171"/>
      <c r="GA34" s="171"/>
      <c r="GB34" s="171"/>
      <c r="GC34" s="171"/>
      <c r="GD34" s="171"/>
      <c r="GE34" s="171"/>
      <c r="GF34" s="171"/>
      <c r="GG34" s="171"/>
      <c r="GH34" s="171"/>
      <c r="GI34" s="171"/>
      <c r="GJ34" s="171"/>
      <c r="GK34" s="171"/>
      <c r="GL34" s="171"/>
      <c r="GM34" s="171"/>
      <c r="GN34" s="171"/>
      <c r="GO34" s="171"/>
      <c r="GP34" s="171"/>
      <c r="GQ34" s="171"/>
      <c r="GR34" s="171"/>
      <c r="GS34" s="171"/>
      <c r="GT34" s="171"/>
      <c r="GU34" s="171"/>
      <c r="GV34" s="171"/>
      <c r="GW34" s="171"/>
      <c r="GX34" s="171"/>
      <c r="GY34" s="171"/>
      <c r="GZ34" s="171"/>
      <c r="HA34" s="171"/>
      <c r="HB34" s="171"/>
      <c r="HC34" s="171"/>
      <c r="HD34" s="171"/>
      <c r="HE34" s="171"/>
      <c r="HF34" s="171"/>
      <c r="HG34" s="171"/>
      <c r="HH34" s="171"/>
      <c r="HI34" s="171"/>
      <c r="HJ34" s="171"/>
      <c r="HK34" s="171"/>
      <c r="HL34" s="171"/>
      <c r="HM34" s="171"/>
      <c r="HN34" s="171"/>
      <c r="HO34" s="171"/>
      <c r="HP34" s="171"/>
      <c r="HQ34" s="171"/>
      <c r="HR34" s="171"/>
      <c r="HS34" s="171"/>
      <c r="HT34" s="171"/>
      <c r="HU34" s="171"/>
      <c r="HV34" s="171"/>
      <c r="HW34" s="171"/>
      <c r="HX34" s="171"/>
      <c r="HY34" s="171"/>
      <c r="HZ34" s="171"/>
      <c r="IA34" s="171"/>
      <c r="IB34" s="171"/>
      <c r="IC34" s="171"/>
      <c r="ID34" s="171"/>
      <c r="IE34" s="171"/>
      <c r="IF34" s="171"/>
      <c r="IG34" s="171"/>
      <c r="IH34" s="171"/>
      <c r="II34" s="171"/>
      <c r="IJ34" s="171"/>
      <c r="IK34" s="171"/>
      <c r="IL34" s="171"/>
      <c r="IM34" s="171"/>
      <c r="IN34" s="171"/>
      <c r="IO34" s="171"/>
      <c r="IP34" s="171"/>
      <c r="IQ34" s="171"/>
      <c r="IR34" s="171"/>
      <c r="IS34" s="171"/>
      <c r="IT34" s="171"/>
      <c r="IU34" s="171"/>
      <c r="IV34" s="171"/>
      <c r="IW34" s="171"/>
      <c r="IX34" s="171"/>
      <c r="IY34" s="171"/>
      <c r="IZ34" s="171"/>
      <c r="JA34" s="171"/>
      <c r="JB34" s="171"/>
      <c r="JC34" s="171"/>
      <c r="JD34" s="171"/>
      <c r="JE34" s="171"/>
      <c r="JF34" s="171"/>
      <c r="JG34" s="171"/>
      <c r="JH34" s="171"/>
      <c r="JI34" s="171"/>
      <c r="JJ34" s="171"/>
      <c r="JK34" s="171"/>
      <c r="JL34" s="171"/>
      <c r="JM34" s="171"/>
      <c r="JN34" s="171"/>
      <c r="JO34" s="171"/>
      <c r="JP34" s="171"/>
      <c r="JQ34" s="171"/>
      <c r="JR34" s="171"/>
      <c r="JS34" s="171"/>
      <c r="JT34" s="171"/>
      <c r="JU34" s="171"/>
      <c r="JV34" s="171"/>
      <c r="JW34" s="171"/>
      <c r="JX34" s="171"/>
      <c r="JY34" s="171"/>
      <c r="JZ34" s="171"/>
      <c r="KA34" s="171"/>
      <c r="KB34" s="171"/>
      <c r="KC34" s="171"/>
      <c r="KD34" s="171"/>
      <c r="KE34" s="171"/>
      <c r="KF34" s="171"/>
      <c r="KG34" s="171"/>
      <c r="KH34" s="171"/>
      <c r="KI34" s="171"/>
      <c r="KJ34" s="171"/>
      <c r="KK34" s="171"/>
      <c r="KL34" s="171"/>
      <c r="KM34" s="171"/>
      <c r="KN34" s="171"/>
      <c r="KO34" s="171"/>
      <c r="KP34" s="171"/>
      <c r="KQ34" s="171"/>
      <c r="KR34" s="171"/>
      <c r="KS34" s="171"/>
      <c r="KT34" s="171"/>
      <c r="KU34" s="171"/>
      <c r="KV34" s="171"/>
      <c r="KW34" s="171"/>
      <c r="KX34" s="171"/>
      <c r="KY34" s="171"/>
      <c r="KZ34" s="171"/>
      <c r="LA34" s="171"/>
      <c r="LB34" s="171"/>
      <c r="LC34" s="171"/>
      <c r="LD34" s="171"/>
      <c r="LE34" s="171"/>
      <c r="LF34" s="171"/>
      <c r="LG34" s="171"/>
      <c r="LH34" s="171"/>
      <c r="LI34" s="171"/>
      <c r="LJ34" s="171"/>
      <c r="LK34" s="171"/>
      <c r="LL34" s="171"/>
      <c r="LM34" s="171"/>
      <c r="LN34" s="171"/>
      <c r="LO34" s="171"/>
      <c r="LP34" s="171"/>
      <c r="LQ34" s="171"/>
      <c r="LR34" s="171"/>
      <c r="LS34" s="171"/>
      <c r="LT34" s="171"/>
      <c r="LU34" s="171"/>
      <c r="LV34" s="171"/>
      <c r="LW34" s="171"/>
      <c r="LX34" s="171"/>
      <c r="LY34" s="171"/>
      <c r="LZ34" s="171"/>
      <c r="MA34" s="171"/>
      <c r="MB34" s="171"/>
      <c r="MC34" s="171"/>
      <c r="MD34" s="171"/>
      <c r="ME34" s="171"/>
      <c r="MF34" s="171"/>
      <c r="MG34" s="171"/>
      <c r="MH34" s="171"/>
      <c r="MI34" s="171"/>
      <c r="MJ34" s="171"/>
      <c r="MK34" s="171"/>
      <c r="ML34" s="171"/>
      <c r="MM34" s="171"/>
      <c r="MN34" s="171"/>
      <c r="MO34" s="171"/>
      <c r="MP34" s="171"/>
      <c r="MQ34" s="171"/>
      <c r="MR34" s="171"/>
      <c r="MS34" s="171"/>
      <c r="MT34" s="171"/>
      <c r="MU34" s="171"/>
      <c r="MV34" s="171"/>
      <c r="MW34" s="171"/>
      <c r="MX34" s="171"/>
      <c r="MY34" s="171"/>
      <c r="MZ34" s="171"/>
      <c r="NA34" s="171"/>
      <c r="NB34" s="171"/>
      <c r="NC34" s="171"/>
      <c r="ND34" s="171"/>
      <c r="NE34" s="171"/>
      <c r="NF34" s="171"/>
      <c r="NG34" s="171"/>
      <c r="NH34" s="171"/>
      <c r="NI34" s="171"/>
      <c r="NJ34" s="171"/>
      <c r="NK34" s="171"/>
      <c r="NL34" s="171"/>
      <c r="NM34" s="171"/>
      <c r="NN34" s="171"/>
      <c r="NO34" s="171"/>
      <c r="NP34" s="171"/>
      <c r="NQ34" s="171"/>
      <c r="NR34" s="171"/>
      <c r="NS34" s="171"/>
      <c r="NT34" s="171"/>
      <c r="NU34" s="171"/>
      <c r="NV34" s="171"/>
      <c r="NW34" s="171"/>
      <c r="NX34" s="171"/>
      <c r="NY34" s="171"/>
      <c r="NZ34" s="171"/>
      <c r="OA34" s="171"/>
      <c r="OB34" s="171"/>
      <c r="OC34" s="171"/>
      <c r="OD34" s="171"/>
      <c r="OE34" s="171"/>
    </row>
    <row r="35" spans="1:395" x14ac:dyDescent="0.3">
      <c r="A35" s="14"/>
      <c r="C35" s="14"/>
      <c r="D35" s="119"/>
      <c r="E35" s="109"/>
      <c r="F35" s="256"/>
      <c r="G35" s="76"/>
      <c r="H35" s="76"/>
      <c r="I35" s="257"/>
      <c r="J35" s="258"/>
      <c r="K35" s="65"/>
      <c r="L35" s="55"/>
      <c r="M35" s="55"/>
      <c r="N35" s="55"/>
      <c r="O35" s="55"/>
      <c r="P35" s="55"/>
      <c r="Q35" s="55"/>
    </row>
    <row r="36" spans="1:395" x14ac:dyDescent="0.3">
      <c r="A36" s="14"/>
      <c r="B36" s="114" t="s">
        <v>21</v>
      </c>
      <c r="C36" s="14"/>
      <c r="D36" s="119"/>
      <c r="E36" s="109"/>
      <c r="F36" s="256"/>
      <c r="G36" s="76"/>
      <c r="H36" s="76"/>
      <c r="I36" s="257"/>
      <c r="J36" s="258"/>
      <c r="K36" s="65"/>
      <c r="L36" s="55"/>
      <c r="M36" s="55"/>
      <c r="N36" s="55"/>
      <c r="O36" s="55"/>
      <c r="P36" s="55"/>
      <c r="Q36" s="55"/>
    </row>
    <row r="37" spans="1:395" outlineLevel="1" x14ac:dyDescent="0.3">
      <c r="A37" s="14"/>
      <c r="C37" s="14" t="s">
        <v>178</v>
      </c>
      <c r="D37" s="119"/>
      <c r="E37" s="267" t="s">
        <v>361</v>
      </c>
      <c r="F37" s="256"/>
      <c r="G37" s="76"/>
      <c r="H37" s="76"/>
      <c r="I37" s="257"/>
      <c r="J37" s="258"/>
      <c r="K37" s="65"/>
      <c r="L37" s="55"/>
      <c r="M37" s="55"/>
      <c r="N37" s="55"/>
      <c r="O37" s="55"/>
      <c r="P37" s="55"/>
      <c r="Q37" s="55"/>
    </row>
    <row r="38" spans="1:395" outlineLevel="1" x14ac:dyDescent="0.3">
      <c r="A38" s="14"/>
      <c r="C38" s="14"/>
      <c r="D38" s="119" t="s">
        <v>360</v>
      </c>
      <c r="E38" s="299">
        <v>10000</v>
      </c>
      <c r="F38" s="269" t="s">
        <v>81</v>
      </c>
      <c r="G38" s="76"/>
      <c r="H38" s="76"/>
      <c r="I38" s="257"/>
      <c r="J38" s="258"/>
      <c r="K38" s="65"/>
      <c r="L38" s="55"/>
      <c r="M38" s="55"/>
      <c r="N38" s="55"/>
      <c r="O38" s="55"/>
      <c r="P38" s="55"/>
      <c r="Q38" s="55"/>
    </row>
    <row r="39" spans="1:395" outlineLevel="1" x14ac:dyDescent="0.3">
      <c r="A39" s="14"/>
      <c r="C39" s="14"/>
      <c r="D39" s="119" t="s">
        <v>353</v>
      </c>
      <c r="E39" s="299">
        <v>20000</v>
      </c>
      <c r="F39" s="269" t="s">
        <v>81</v>
      </c>
      <c r="G39" s="76"/>
      <c r="H39" s="76"/>
      <c r="I39" s="257"/>
      <c r="J39" s="258"/>
      <c r="K39" s="65"/>
      <c r="L39" s="55"/>
      <c r="M39" s="55"/>
      <c r="N39" s="55"/>
      <c r="O39" s="55"/>
      <c r="P39" s="55"/>
      <c r="Q39" s="55"/>
    </row>
    <row r="40" spans="1:395" outlineLevel="1" x14ac:dyDescent="0.3">
      <c r="A40" s="14"/>
      <c r="C40" s="14"/>
      <c r="D40" s="119" t="s">
        <v>354</v>
      </c>
      <c r="E40" s="299">
        <v>30000</v>
      </c>
      <c r="F40" s="269" t="s">
        <v>81</v>
      </c>
      <c r="G40" s="76"/>
      <c r="H40" s="76"/>
      <c r="I40" s="257"/>
      <c r="J40" s="258"/>
      <c r="K40" s="65"/>
      <c r="L40" s="55"/>
      <c r="M40" s="55"/>
      <c r="N40" s="55"/>
      <c r="O40" s="55"/>
      <c r="P40" s="55"/>
      <c r="Q40" s="55"/>
    </row>
    <row r="41" spans="1:395" outlineLevel="1" x14ac:dyDescent="0.3">
      <c r="A41" s="14"/>
      <c r="C41" s="14"/>
      <c r="D41" s="19" t="s">
        <v>355</v>
      </c>
      <c r="E41" s="299">
        <v>40000</v>
      </c>
      <c r="F41" s="269" t="s">
        <v>81</v>
      </c>
      <c r="G41" s="76"/>
      <c r="H41" s="76"/>
      <c r="I41" s="257"/>
      <c r="J41" s="258"/>
      <c r="K41" s="65"/>
      <c r="L41" s="55"/>
      <c r="M41" s="55"/>
      <c r="N41" s="55"/>
      <c r="O41" s="55"/>
      <c r="P41" s="55"/>
      <c r="Q41" s="55"/>
    </row>
    <row r="42" spans="1:395" outlineLevel="1" x14ac:dyDescent="0.3">
      <c r="A42" s="14"/>
      <c r="C42" s="14"/>
      <c r="D42" s="19" t="s">
        <v>356</v>
      </c>
      <c r="E42" s="299">
        <v>50000</v>
      </c>
      <c r="F42" s="269" t="s">
        <v>81</v>
      </c>
      <c r="G42" s="76"/>
      <c r="H42" s="76"/>
      <c r="I42" s="257"/>
      <c r="J42" s="258"/>
      <c r="K42" s="65"/>
      <c r="L42" s="55"/>
      <c r="M42" s="55"/>
      <c r="N42" s="55"/>
      <c r="O42" s="55"/>
      <c r="P42" s="55"/>
      <c r="Q42" s="55"/>
    </row>
    <row r="43" spans="1:395" outlineLevel="1" x14ac:dyDescent="0.3">
      <c r="A43" s="14"/>
      <c r="C43" s="14"/>
      <c r="D43" s="19" t="s">
        <v>357</v>
      </c>
      <c r="E43" s="299">
        <v>60000</v>
      </c>
      <c r="F43" s="269" t="s">
        <v>81</v>
      </c>
      <c r="G43" s="76"/>
      <c r="H43" s="76"/>
      <c r="I43" s="257"/>
      <c r="J43" s="258"/>
      <c r="K43" s="65"/>
      <c r="L43" s="55"/>
      <c r="M43" s="55"/>
      <c r="N43" s="55"/>
      <c r="O43" s="55"/>
      <c r="P43" s="55"/>
      <c r="Q43" s="55"/>
    </row>
    <row r="44" spans="1:395" outlineLevel="1" x14ac:dyDescent="0.3">
      <c r="A44" s="14"/>
      <c r="C44" s="14"/>
      <c r="D44" s="19" t="s">
        <v>358</v>
      </c>
      <c r="E44" s="299">
        <v>70000</v>
      </c>
      <c r="F44" s="269" t="s">
        <v>81</v>
      </c>
      <c r="G44" s="76"/>
      <c r="H44" s="76"/>
      <c r="I44" s="257"/>
      <c r="J44" s="258"/>
      <c r="K44" s="65"/>
      <c r="L44" s="55"/>
      <c r="M44" s="55"/>
      <c r="N44" s="55"/>
      <c r="O44" s="55"/>
      <c r="P44" s="55"/>
      <c r="Q44" s="55"/>
    </row>
    <row r="45" spans="1:395" outlineLevel="1" x14ac:dyDescent="0.3">
      <c r="A45" s="14"/>
      <c r="C45" s="14"/>
      <c r="D45" s="19" t="s">
        <v>180</v>
      </c>
      <c r="E45" s="299">
        <v>80000</v>
      </c>
      <c r="F45" s="269" t="s">
        <v>81</v>
      </c>
      <c r="G45" s="76"/>
      <c r="H45" s="76"/>
      <c r="I45" s="257"/>
      <c r="J45" s="258"/>
      <c r="K45" s="65"/>
      <c r="L45" s="55"/>
      <c r="M45" s="55"/>
      <c r="N45" s="55"/>
      <c r="O45" s="55"/>
      <c r="P45" s="55"/>
      <c r="Q45" s="55"/>
    </row>
    <row r="46" spans="1:395" outlineLevel="1" x14ac:dyDescent="0.3">
      <c r="A46" s="14"/>
      <c r="C46" s="14"/>
      <c r="D46" s="119" t="s">
        <v>359</v>
      </c>
      <c r="E46" s="299">
        <v>90000</v>
      </c>
      <c r="F46" s="269" t="s">
        <v>81</v>
      </c>
      <c r="G46" s="76"/>
      <c r="H46" s="76"/>
      <c r="I46" s="257"/>
      <c r="J46" s="258"/>
      <c r="K46" s="65"/>
      <c r="L46" s="55"/>
      <c r="M46" s="55"/>
      <c r="N46" s="55"/>
      <c r="O46" s="55"/>
      <c r="P46" s="55"/>
      <c r="Q46" s="55"/>
    </row>
    <row r="47" spans="1:395" outlineLevel="1" x14ac:dyDescent="0.3">
      <c r="A47" s="14"/>
      <c r="C47" s="14" t="s">
        <v>365</v>
      </c>
      <c r="D47" s="119"/>
      <c r="E47" s="109"/>
      <c r="F47" s="256"/>
      <c r="G47" s="76"/>
      <c r="H47" s="76"/>
      <c r="I47" s="257"/>
      <c r="J47" s="258"/>
      <c r="K47" s="65"/>
      <c r="L47" s="55"/>
      <c r="M47" s="55"/>
      <c r="N47" s="55"/>
      <c r="O47" s="55"/>
      <c r="P47" s="55"/>
      <c r="Q47" s="55"/>
    </row>
    <row r="48" spans="1:395" outlineLevel="1" x14ac:dyDescent="0.3">
      <c r="A48" s="14"/>
      <c r="C48" s="14"/>
      <c r="D48" s="119" t="s">
        <v>185</v>
      </c>
      <c r="E48" s="268"/>
      <c r="F48" s="269" t="s">
        <v>81</v>
      </c>
      <c r="G48" s="76"/>
      <c r="H48" s="76"/>
      <c r="I48" s="257"/>
      <c r="J48" s="258"/>
      <c r="K48" s="65"/>
      <c r="L48" s="55"/>
      <c r="M48" s="55"/>
      <c r="N48" s="55"/>
      <c r="O48" s="55"/>
      <c r="P48" s="55"/>
      <c r="Q48" s="55"/>
    </row>
    <row r="49" spans="1:17" outlineLevel="1" x14ac:dyDescent="0.3">
      <c r="A49" s="14"/>
      <c r="C49" s="14"/>
      <c r="D49" s="119" t="s">
        <v>182</v>
      </c>
      <c r="E49" s="268"/>
      <c r="F49" s="269" t="s">
        <v>81</v>
      </c>
      <c r="G49" s="76"/>
      <c r="H49" s="76"/>
      <c r="I49" s="257"/>
      <c r="J49" s="258"/>
      <c r="K49" s="65"/>
      <c r="L49" s="55"/>
      <c r="M49" s="55"/>
      <c r="N49" s="55"/>
      <c r="O49" s="55"/>
      <c r="P49" s="55"/>
      <c r="Q49" s="55"/>
    </row>
    <row r="50" spans="1:17" outlineLevel="1" x14ac:dyDescent="0.3">
      <c r="A50" s="14"/>
      <c r="C50" s="14"/>
      <c r="D50" s="119" t="s">
        <v>384</v>
      </c>
      <c r="E50" s="268"/>
      <c r="F50" s="269" t="s">
        <v>81</v>
      </c>
      <c r="G50" s="76"/>
      <c r="H50" s="76"/>
      <c r="I50" s="257"/>
      <c r="J50" s="258"/>
      <c r="K50" s="65"/>
      <c r="L50" s="55"/>
      <c r="M50" s="55"/>
      <c r="N50" s="55"/>
      <c r="O50" s="55"/>
      <c r="P50" s="55"/>
      <c r="Q50" s="55"/>
    </row>
    <row r="51" spans="1:17" outlineLevel="1" x14ac:dyDescent="0.3">
      <c r="A51" s="14"/>
      <c r="C51" s="14"/>
      <c r="D51" s="119" t="s">
        <v>191</v>
      </c>
      <c r="E51" s="268"/>
      <c r="F51" s="269" t="s">
        <v>81</v>
      </c>
      <c r="G51" s="76"/>
      <c r="H51" s="76"/>
      <c r="I51" s="257"/>
      <c r="J51" s="258"/>
      <c r="K51" s="65"/>
      <c r="L51" s="55"/>
      <c r="M51" s="55"/>
      <c r="N51" s="55"/>
      <c r="O51" s="55"/>
      <c r="P51" s="55"/>
      <c r="Q51" s="55"/>
    </row>
    <row r="52" spans="1:17" outlineLevel="1" x14ac:dyDescent="0.3">
      <c r="A52" s="14"/>
      <c r="C52" s="14"/>
      <c r="D52" s="119" t="s">
        <v>184</v>
      </c>
      <c r="E52" s="268"/>
      <c r="F52" s="269" t="s">
        <v>81</v>
      </c>
      <c r="G52" s="76"/>
      <c r="H52" s="76"/>
      <c r="I52" s="257"/>
      <c r="J52" s="258"/>
      <c r="K52" s="65"/>
      <c r="L52" s="55"/>
      <c r="M52" s="55"/>
      <c r="N52" s="55"/>
      <c r="O52" s="55"/>
      <c r="P52" s="55"/>
      <c r="Q52" s="55"/>
    </row>
    <row r="53" spans="1:17" outlineLevel="1" x14ac:dyDescent="0.3">
      <c r="A53" s="14"/>
      <c r="C53" s="14"/>
      <c r="D53" s="119" t="s">
        <v>190</v>
      </c>
      <c r="E53" s="268"/>
      <c r="F53" s="269" t="s">
        <v>81</v>
      </c>
      <c r="G53" s="76"/>
      <c r="H53" s="76"/>
      <c r="I53" s="257"/>
      <c r="J53" s="258"/>
      <c r="K53" s="65"/>
      <c r="L53" s="55"/>
      <c r="M53" s="55"/>
      <c r="N53" s="55"/>
      <c r="O53" s="55"/>
      <c r="P53" s="55"/>
      <c r="Q53" s="55"/>
    </row>
    <row r="54" spans="1:17" outlineLevel="1" x14ac:dyDescent="0.3">
      <c r="A54" s="14"/>
      <c r="C54" s="14"/>
      <c r="D54" s="19" t="s">
        <v>189</v>
      </c>
      <c r="E54" s="268"/>
      <c r="F54" s="269" t="s">
        <v>81</v>
      </c>
      <c r="G54" s="76"/>
      <c r="H54" s="76"/>
      <c r="I54" s="257"/>
      <c r="J54" s="258"/>
      <c r="K54" s="65"/>
      <c r="L54" s="55"/>
      <c r="M54" s="55"/>
      <c r="N54" s="55"/>
      <c r="O54" s="55"/>
      <c r="P54" s="55"/>
      <c r="Q54" s="55"/>
    </row>
    <row r="55" spans="1:17" outlineLevel="1" x14ac:dyDescent="0.3">
      <c r="A55" s="14"/>
      <c r="C55" s="14"/>
      <c r="D55" s="119" t="s">
        <v>183</v>
      </c>
      <c r="E55" s="268"/>
      <c r="F55" s="269" t="s">
        <v>81</v>
      </c>
      <c r="G55" s="76"/>
      <c r="H55" s="76"/>
      <c r="I55" s="257"/>
      <c r="J55" s="258"/>
      <c r="K55" s="65"/>
      <c r="L55" s="55"/>
      <c r="M55" s="55"/>
      <c r="N55" s="55"/>
      <c r="O55" s="55"/>
      <c r="P55" s="55"/>
      <c r="Q55" s="55"/>
    </row>
    <row r="56" spans="1:17" outlineLevel="1" x14ac:dyDescent="0.3">
      <c r="A56" s="14"/>
      <c r="C56" s="14"/>
      <c r="D56" s="119" t="s">
        <v>186</v>
      </c>
      <c r="E56" s="268"/>
      <c r="F56" s="269" t="s">
        <v>81</v>
      </c>
      <c r="G56" s="76"/>
      <c r="H56" s="76"/>
      <c r="I56" s="257"/>
      <c r="J56" s="258"/>
      <c r="K56" s="65"/>
      <c r="L56" s="55"/>
      <c r="M56" s="55"/>
      <c r="N56" s="55"/>
      <c r="O56" s="55"/>
      <c r="P56" s="55"/>
      <c r="Q56" s="55"/>
    </row>
    <row r="57" spans="1:17" outlineLevel="1" x14ac:dyDescent="0.3">
      <c r="A57" s="14"/>
      <c r="B57" s="14"/>
      <c r="C57" s="14"/>
      <c r="D57" s="119"/>
      <c r="E57" s="109"/>
      <c r="F57" s="256"/>
      <c r="G57" s="76"/>
      <c r="H57" s="76"/>
      <c r="I57" s="257"/>
      <c r="J57" s="258"/>
      <c r="K57" s="65"/>
      <c r="L57" s="55"/>
      <c r="M57" s="55"/>
      <c r="N57" s="55"/>
      <c r="O57" s="55"/>
      <c r="P57" s="55"/>
      <c r="Q57" s="55"/>
    </row>
    <row r="58" spans="1:17" outlineLevel="1" x14ac:dyDescent="0.3">
      <c r="A58" s="14"/>
      <c r="B58" s="14"/>
      <c r="C58" s="14"/>
      <c r="D58" s="19" t="s">
        <v>192</v>
      </c>
      <c r="E58" s="268"/>
      <c r="F58" s="269" t="s">
        <v>81</v>
      </c>
      <c r="G58" s="76"/>
      <c r="H58" s="76"/>
      <c r="I58" s="257"/>
      <c r="J58" s="258"/>
      <c r="K58" s="65"/>
      <c r="L58" s="55"/>
      <c r="M58" s="55"/>
      <c r="N58" s="55"/>
      <c r="O58" s="55"/>
      <c r="P58" s="55"/>
      <c r="Q58" s="55"/>
    </row>
    <row r="59" spans="1:17" x14ac:dyDescent="0.3">
      <c r="A59" s="14"/>
      <c r="B59" s="14" t="s">
        <v>193</v>
      </c>
      <c r="C59" s="14"/>
      <c r="E59" s="109"/>
      <c r="F59" s="256"/>
      <c r="G59" s="76"/>
      <c r="H59" s="76"/>
      <c r="I59" s="257"/>
      <c r="J59" s="258"/>
      <c r="K59" s="65"/>
      <c r="L59" s="55"/>
      <c r="M59" s="55"/>
      <c r="N59" s="55"/>
      <c r="O59" s="55"/>
      <c r="P59" s="55"/>
      <c r="Q59" s="55"/>
    </row>
    <row r="60" spans="1:17" x14ac:dyDescent="0.3">
      <c r="A60" s="14"/>
      <c r="B60" s="14"/>
      <c r="C60" s="14"/>
      <c r="E60" s="109"/>
      <c r="F60" s="256"/>
      <c r="G60" s="76"/>
      <c r="H60" s="76"/>
      <c r="I60" s="257"/>
      <c r="J60" s="258"/>
      <c r="K60" s="65"/>
      <c r="L60" s="55"/>
      <c r="M60" s="55"/>
      <c r="N60" s="55"/>
      <c r="O60" s="55"/>
      <c r="P60" s="55"/>
      <c r="Q60" s="55"/>
    </row>
    <row r="61" spans="1:17" collapsed="1" x14ac:dyDescent="0.3">
      <c r="B61" s="114" t="s">
        <v>18</v>
      </c>
      <c r="D61" s="119"/>
      <c r="E61" s="6"/>
      <c r="I61" s="20"/>
      <c r="J61" s="60"/>
      <c r="K61" s="65"/>
      <c r="L61" s="55"/>
      <c r="M61" s="55"/>
      <c r="N61" s="55"/>
      <c r="O61" s="55"/>
      <c r="P61" s="55"/>
      <c r="Q61" s="55"/>
    </row>
    <row r="62" spans="1:17" hidden="1" outlineLevel="1" x14ac:dyDescent="0.3">
      <c r="C62" s="114" t="s">
        <v>146</v>
      </c>
      <c r="D62" s="119"/>
      <c r="E62" s="6"/>
      <c r="I62" s="20"/>
      <c r="J62" s="60"/>
      <c r="K62" s="65"/>
      <c r="L62" s="55"/>
      <c r="M62" s="55"/>
      <c r="N62" s="55"/>
      <c r="O62" s="55"/>
      <c r="P62" s="55"/>
      <c r="Q62" s="55"/>
    </row>
    <row r="63" spans="1:17" hidden="1" outlineLevel="1" x14ac:dyDescent="0.3">
      <c r="D63" s="119" t="s">
        <v>388</v>
      </c>
      <c r="E63" s="10">
        <v>180.6</v>
      </c>
      <c r="F63" s="259" t="s">
        <v>29</v>
      </c>
      <c r="I63" s="20"/>
      <c r="J63" s="60"/>
      <c r="K63" s="65"/>
      <c r="L63" s="55"/>
      <c r="M63" s="55"/>
      <c r="N63" s="55"/>
      <c r="O63" s="55"/>
      <c r="P63" s="55"/>
      <c r="Q63" s="55"/>
    </row>
    <row r="64" spans="1:17" hidden="1" outlineLevel="1" x14ac:dyDescent="0.3">
      <c r="D64" s="119" t="s">
        <v>389</v>
      </c>
      <c r="E64" s="10">
        <v>90.3</v>
      </c>
      <c r="F64" s="259" t="s">
        <v>387</v>
      </c>
      <c r="I64" s="20"/>
      <c r="J64" s="60"/>
      <c r="K64" s="65"/>
      <c r="L64" s="55"/>
      <c r="M64" s="55"/>
      <c r="N64" s="55"/>
      <c r="O64" s="55"/>
      <c r="P64" s="55"/>
      <c r="Q64" s="55"/>
    </row>
    <row r="65" spans="3:17" hidden="1" outlineLevel="1" x14ac:dyDescent="0.3">
      <c r="D65" s="119"/>
      <c r="E65" s="270"/>
      <c r="F65" s="256"/>
      <c r="I65" s="20"/>
      <c r="J65" s="60"/>
      <c r="K65" s="65"/>
      <c r="L65" s="55"/>
      <c r="M65" s="55"/>
      <c r="N65" s="55"/>
      <c r="O65" s="55"/>
      <c r="P65" s="55"/>
      <c r="Q65" s="55"/>
    </row>
    <row r="66" spans="3:17" hidden="1" outlineLevel="1" x14ac:dyDescent="0.3">
      <c r="D66" s="119" t="s">
        <v>32</v>
      </c>
      <c r="E66" s="10">
        <v>6.2</v>
      </c>
      <c r="F66" s="259" t="s">
        <v>387</v>
      </c>
      <c r="I66" s="20"/>
      <c r="J66" s="60"/>
      <c r="K66" s="65"/>
      <c r="L66" s="55"/>
      <c r="M66" s="55"/>
      <c r="N66" s="55"/>
      <c r="O66" s="55"/>
      <c r="P66" s="55"/>
      <c r="Q66" s="55"/>
    </row>
    <row r="67" spans="3:17" hidden="1" outlineLevel="1" x14ac:dyDescent="0.3">
      <c r="D67" s="119" t="s">
        <v>33</v>
      </c>
      <c r="E67" s="10">
        <f>ROUNDUP(E64/E66,0)</f>
        <v>15</v>
      </c>
      <c r="F67" s="259" t="s">
        <v>34</v>
      </c>
      <c r="I67" s="20"/>
      <c r="J67" s="60"/>
      <c r="K67" s="65"/>
      <c r="L67" s="55"/>
      <c r="M67" s="55"/>
      <c r="N67" s="55"/>
      <c r="O67" s="55"/>
      <c r="P67" s="55"/>
      <c r="Q67" s="55"/>
    </row>
    <row r="68" spans="3:17" hidden="1" outlineLevel="1" x14ac:dyDescent="0.3">
      <c r="D68" s="119"/>
      <c r="I68" s="20"/>
      <c r="J68" s="60"/>
      <c r="K68" s="65"/>
      <c r="L68" s="55"/>
      <c r="M68" s="55"/>
      <c r="N68" s="55"/>
      <c r="O68" s="55"/>
      <c r="P68" s="55"/>
      <c r="Q68" s="55"/>
    </row>
    <row r="69" spans="3:17" hidden="1" outlineLevel="1" x14ac:dyDescent="0.3">
      <c r="D69" s="119" t="s">
        <v>35</v>
      </c>
      <c r="E69" s="10">
        <v>0.36271325902684531</v>
      </c>
      <c r="F69" s="259" t="s">
        <v>31</v>
      </c>
      <c r="I69" s="20"/>
      <c r="J69" s="60"/>
      <c r="K69" s="65"/>
      <c r="L69" s="55"/>
      <c r="M69" s="55"/>
      <c r="N69" s="55"/>
      <c r="O69" s="55"/>
      <c r="P69" s="55"/>
      <c r="Q69" s="55"/>
    </row>
    <row r="70" spans="3:17" hidden="1" outlineLevel="1" x14ac:dyDescent="0.3">
      <c r="D70" s="119" t="s">
        <v>140</v>
      </c>
      <c r="E70" s="10">
        <v>0.9</v>
      </c>
      <c r="F70" s="259" t="s">
        <v>31</v>
      </c>
      <c r="I70" s="20"/>
      <c r="J70" s="60"/>
      <c r="K70" s="65"/>
      <c r="L70" s="55"/>
      <c r="M70" s="55"/>
      <c r="N70" s="55"/>
      <c r="O70" s="55"/>
      <c r="P70" s="55"/>
      <c r="Q70" s="55"/>
    </row>
    <row r="71" spans="3:17" hidden="1" outlineLevel="1" x14ac:dyDescent="0.3">
      <c r="D71" s="119" t="s">
        <v>141</v>
      </c>
      <c r="E71" s="10">
        <f>E69*E70</f>
        <v>0.32644193312416081</v>
      </c>
      <c r="F71" s="259" t="s">
        <v>31</v>
      </c>
      <c r="I71" s="20"/>
      <c r="J71" s="60"/>
      <c r="K71" s="65"/>
      <c r="L71" s="55"/>
      <c r="M71" s="55"/>
      <c r="N71" s="55"/>
      <c r="O71" s="55"/>
      <c r="P71" s="55"/>
      <c r="Q71" s="55"/>
    </row>
    <row r="72" spans="3:17" hidden="1" outlineLevel="1" x14ac:dyDescent="0.3">
      <c r="D72" s="119"/>
      <c r="I72" s="20"/>
      <c r="J72" s="60"/>
      <c r="K72" s="65"/>
      <c r="L72" s="55"/>
      <c r="M72" s="55"/>
      <c r="N72" s="55"/>
      <c r="O72" s="55"/>
      <c r="P72" s="55"/>
      <c r="Q72" s="55"/>
    </row>
    <row r="73" spans="3:17" hidden="1" outlineLevel="1" x14ac:dyDescent="0.3">
      <c r="D73" s="119" t="s">
        <v>142</v>
      </c>
      <c r="E73" s="10">
        <f>E66*E67*8760*E69</f>
        <v>295495.23786399036</v>
      </c>
      <c r="F73" s="259" t="s">
        <v>14</v>
      </c>
      <c r="I73" s="20"/>
      <c r="J73" s="60"/>
      <c r="K73" s="65"/>
      <c r="L73" s="55"/>
      <c r="M73" s="55"/>
      <c r="N73" s="55"/>
      <c r="O73" s="55"/>
      <c r="P73" s="55"/>
      <c r="Q73" s="55"/>
    </row>
    <row r="74" spans="3:17" hidden="1" outlineLevel="1" x14ac:dyDescent="0.3">
      <c r="D74" s="119" t="s">
        <v>143</v>
      </c>
      <c r="E74" s="10">
        <f>E66*E67*8760*E71</f>
        <v>265945.71407759131</v>
      </c>
      <c r="F74" s="259" t="s">
        <v>14</v>
      </c>
      <c r="I74" s="20"/>
      <c r="J74" s="60"/>
      <c r="K74" s="65"/>
      <c r="L74" s="55"/>
      <c r="M74" s="55"/>
      <c r="N74" s="55"/>
      <c r="O74" s="55"/>
      <c r="P74" s="55"/>
      <c r="Q74" s="55"/>
    </row>
    <row r="75" spans="3:17" hidden="1" outlineLevel="1" x14ac:dyDescent="0.3">
      <c r="D75" s="119"/>
      <c r="I75" s="20"/>
      <c r="J75" s="60"/>
      <c r="K75" s="65"/>
      <c r="L75" s="55"/>
      <c r="M75" s="55"/>
      <c r="N75" s="55"/>
      <c r="O75" s="55"/>
      <c r="P75" s="55"/>
      <c r="Q75" s="55"/>
    </row>
    <row r="76" spans="3:17" hidden="1" outlineLevel="1" x14ac:dyDescent="0.3">
      <c r="C76" s="114" t="s">
        <v>145</v>
      </c>
      <c r="D76" s="119"/>
      <c r="E76" s="270"/>
      <c r="F76" s="256"/>
      <c r="I76" s="20"/>
      <c r="J76" s="60"/>
      <c r="K76" s="65"/>
      <c r="L76" s="55"/>
      <c r="M76" s="55"/>
      <c r="N76" s="55"/>
      <c r="O76" s="55"/>
      <c r="P76" s="55"/>
      <c r="Q76" s="55"/>
    </row>
    <row r="77" spans="3:17" hidden="1" outlineLevel="1" x14ac:dyDescent="0.3">
      <c r="D77" s="119" t="s">
        <v>36</v>
      </c>
      <c r="E77" s="10">
        <v>0.14943303749247056</v>
      </c>
      <c r="F77" s="259" t="s">
        <v>31</v>
      </c>
      <c r="I77" s="20"/>
      <c r="J77" s="60"/>
      <c r="K77" s="65"/>
      <c r="L77" s="55"/>
      <c r="M77" s="55"/>
      <c r="N77" s="55"/>
      <c r="O77" s="55"/>
      <c r="P77" s="55"/>
      <c r="Q77" s="55"/>
    </row>
    <row r="78" spans="3:17" hidden="1" outlineLevel="1" x14ac:dyDescent="0.3">
      <c r="D78" s="119" t="s">
        <v>37</v>
      </c>
      <c r="E78" s="10">
        <v>9.0790852640398323E-2</v>
      </c>
      <c r="F78" s="259" t="s">
        <v>31</v>
      </c>
      <c r="I78" s="20"/>
      <c r="J78" s="60"/>
      <c r="K78" s="65"/>
      <c r="L78" s="55"/>
      <c r="M78" s="55"/>
      <c r="N78" s="55"/>
      <c r="O78" s="55"/>
      <c r="P78" s="55"/>
      <c r="Q78" s="55"/>
    </row>
    <row r="79" spans="3:17" hidden="1" outlineLevel="1" x14ac:dyDescent="0.3">
      <c r="D79" s="119" t="s">
        <v>38</v>
      </c>
      <c r="E79" s="10">
        <v>4.7475631425133447E-2</v>
      </c>
      <c r="F79" s="259" t="s">
        <v>31</v>
      </c>
      <c r="I79" s="20"/>
      <c r="J79" s="60"/>
      <c r="K79" s="65"/>
      <c r="L79" s="55"/>
      <c r="M79" s="55"/>
      <c r="N79" s="55"/>
      <c r="O79" s="55"/>
      <c r="P79" s="55"/>
      <c r="Q79" s="55"/>
    </row>
    <row r="80" spans="3:17" hidden="1" outlineLevel="1" x14ac:dyDescent="0.3">
      <c r="D80" s="119" t="s">
        <v>39</v>
      </c>
      <c r="E80" s="10">
        <v>7.7293669922446517E-2</v>
      </c>
      <c r="F80" s="259" t="s">
        <v>31</v>
      </c>
      <c r="I80" s="20"/>
      <c r="J80" s="60"/>
      <c r="K80" s="65"/>
      <c r="L80" s="55"/>
      <c r="M80" s="55"/>
      <c r="N80" s="55"/>
      <c r="O80" s="55"/>
      <c r="P80" s="55"/>
      <c r="Q80" s="55"/>
    </row>
    <row r="81" spans="2:17" hidden="1" outlineLevel="1" x14ac:dyDescent="0.3">
      <c r="D81" s="119" t="s">
        <v>40</v>
      </c>
      <c r="E81" s="10">
        <v>6.9752354013231821E-2</v>
      </c>
      <c r="F81" s="259" t="s">
        <v>31</v>
      </c>
      <c r="I81" s="20"/>
      <c r="J81" s="60"/>
      <c r="K81" s="65"/>
      <c r="L81" s="55"/>
      <c r="M81" s="55"/>
      <c r="N81" s="55"/>
      <c r="O81" s="55"/>
      <c r="P81" s="55"/>
      <c r="Q81" s="55"/>
    </row>
    <row r="82" spans="2:17" hidden="1" outlineLevel="1" x14ac:dyDescent="0.3">
      <c r="D82" s="119" t="s">
        <v>41</v>
      </c>
      <c r="E82" s="10">
        <v>8.5518764512428111E-2</v>
      </c>
      <c r="F82" s="259" t="s">
        <v>31</v>
      </c>
      <c r="I82" s="20"/>
      <c r="J82" s="60"/>
      <c r="K82" s="65"/>
      <c r="L82" s="55"/>
      <c r="M82" s="55"/>
      <c r="N82" s="55"/>
      <c r="O82" s="55"/>
      <c r="P82" s="55"/>
      <c r="Q82" s="55"/>
    </row>
    <row r="83" spans="2:17" hidden="1" outlineLevel="1" x14ac:dyDescent="0.3">
      <c r="D83" s="119" t="s">
        <v>42</v>
      </c>
      <c r="E83" s="10">
        <v>9.3960635898245312E-2</v>
      </c>
      <c r="F83" s="259" t="s">
        <v>31</v>
      </c>
      <c r="I83" s="20"/>
      <c r="J83" s="60"/>
      <c r="K83" s="65"/>
      <c r="L83" s="55"/>
      <c r="M83" s="55"/>
      <c r="N83" s="55"/>
      <c r="O83" s="55"/>
      <c r="P83" s="55"/>
      <c r="Q83" s="55"/>
    </row>
    <row r="84" spans="2:17" hidden="1" outlineLevel="1" x14ac:dyDescent="0.3">
      <c r="D84" s="119" t="s">
        <v>43</v>
      </c>
      <c r="E84" s="10">
        <v>7.6935613906988026E-2</v>
      </c>
      <c r="F84" s="259" t="s">
        <v>31</v>
      </c>
      <c r="I84" s="20"/>
      <c r="J84" s="60"/>
      <c r="K84" s="65"/>
      <c r="L84" s="55"/>
      <c r="M84" s="55"/>
      <c r="N84" s="55"/>
      <c r="O84" s="55"/>
      <c r="P84" s="55"/>
      <c r="Q84" s="55"/>
    </row>
    <row r="85" spans="2:17" hidden="1" outlineLevel="1" x14ac:dyDescent="0.3">
      <c r="D85" s="119" t="s">
        <v>44</v>
      </c>
      <c r="E85" s="10">
        <v>4.4893940837694241E-2</v>
      </c>
      <c r="F85" s="259" t="s">
        <v>31</v>
      </c>
      <c r="I85" s="20"/>
      <c r="J85" s="60"/>
      <c r="K85" s="65"/>
      <c r="L85" s="55"/>
      <c r="M85" s="55"/>
      <c r="N85" s="55"/>
      <c r="O85" s="55"/>
      <c r="P85" s="55"/>
      <c r="Q85" s="55"/>
    </row>
    <row r="86" spans="2:17" hidden="1" outlineLevel="1" x14ac:dyDescent="0.3">
      <c r="D86" s="119" t="s">
        <v>45</v>
      </c>
      <c r="E86" s="268">
        <v>6.632477998090984E-2</v>
      </c>
      <c r="F86" s="269" t="s">
        <v>31</v>
      </c>
      <c r="I86" s="20"/>
      <c r="J86" s="60"/>
      <c r="K86" s="65"/>
      <c r="L86" s="55"/>
      <c r="M86" s="55"/>
      <c r="N86" s="55"/>
      <c r="O86" s="55"/>
      <c r="P86" s="55"/>
      <c r="Q86" s="55"/>
    </row>
    <row r="87" spans="2:17" hidden="1" outlineLevel="1" x14ac:dyDescent="0.3">
      <c r="D87" s="119" t="s">
        <v>46</v>
      </c>
      <c r="E87" s="268">
        <v>9.3288763217102874E-2</v>
      </c>
      <c r="F87" s="269" t="s">
        <v>31</v>
      </c>
      <c r="I87" s="20"/>
      <c r="J87" s="60"/>
      <c r="K87" s="65"/>
      <c r="L87" s="55"/>
      <c r="M87" s="55"/>
      <c r="N87" s="55"/>
      <c r="O87" s="55"/>
      <c r="P87" s="55"/>
      <c r="Q87" s="55"/>
    </row>
    <row r="88" spans="2:17" hidden="1" outlineLevel="1" x14ac:dyDescent="0.3">
      <c r="D88" s="119" t="s">
        <v>47</v>
      </c>
      <c r="E88" s="268">
        <v>0.10433195615295086</v>
      </c>
      <c r="F88" s="269" t="s">
        <v>31</v>
      </c>
      <c r="I88" s="20"/>
      <c r="J88" s="60"/>
      <c r="K88" s="65"/>
      <c r="L88" s="55"/>
      <c r="M88" s="55"/>
      <c r="N88" s="55"/>
      <c r="O88" s="55"/>
      <c r="P88" s="55"/>
      <c r="Q88" s="55"/>
    </row>
    <row r="89" spans="2:17" x14ac:dyDescent="0.3">
      <c r="B89" s="114" t="s">
        <v>197</v>
      </c>
      <c r="D89" s="119"/>
      <c r="E89" s="271"/>
      <c r="F89" s="76"/>
      <c r="I89" s="20"/>
      <c r="J89" s="60"/>
      <c r="K89" s="65"/>
      <c r="L89" s="55"/>
      <c r="M89" s="55"/>
      <c r="N89" s="55"/>
      <c r="O89" s="55"/>
      <c r="P89" s="55"/>
      <c r="Q89" s="55"/>
    </row>
    <row r="90" spans="2:17" x14ac:dyDescent="0.3">
      <c r="D90" s="119"/>
      <c r="I90" s="20"/>
      <c r="J90" s="60"/>
      <c r="K90" s="65"/>
      <c r="L90" s="55"/>
      <c r="M90" s="55"/>
      <c r="N90" s="55"/>
      <c r="O90" s="55"/>
      <c r="P90" s="55"/>
      <c r="Q90" s="55"/>
    </row>
    <row r="91" spans="2:17" x14ac:dyDescent="0.3">
      <c r="B91" s="114" t="s">
        <v>20</v>
      </c>
      <c r="C91" s="19"/>
      <c r="D91" s="119"/>
      <c r="I91" s="20"/>
      <c r="J91" s="60"/>
      <c r="K91" s="65"/>
      <c r="L91" s="55"/>
      <c r="M91" s="55"/>
      <c r="N91" s="55"/>
      <c r="O91" s="55"/>
      <c r="P91" s="55"/>
      <c r="Q91" s="55"/>
    </row>
    <row r="92" spans="2:17" outlineLevel="1" x14ac:dyDescent="0.3">
      <c r="D92" s="119" t="s">
        <v>130</v>
      </c>
      <c r="E92" s="272">
        <v>63.05</v>
      </c>
      <c r="F92" s="259" t="s">
        <v>15</v>
      </c>
      <c r="I92" s="20"/>
      <c r="J92" s="60"/>
      <c r="K92" s="65"/>
      <c r="L92" s="55"/>
      <c r="M92" s="55"/>
      <c r="N92" s="55"/>
      <c r="O92" s="55"/>
      <c r="P92" s="55"/>
      <c r="Q92" s="55"/>
    </row>
    <row r="93" spans="2:17" outlineLevel="1" x14ac:dyDescent="0.3">
      <c r="D93" s="119" t="s">
        <v>131</v>
      </c>
      <c r="E93" s="10">
        <v>10</v>
      </c>
      <c r="F93" s="259" t="s">
        <v>132</v>
      </c>
      <c r="I93" s="20"/>
      <c r="J93" s="60"/>
      <c r="K93" s="65"/>
      <c r="L93" s="55"/>
      <c r="M93" s="55"/>
      <c r="N93" s="55"/>
      <c r="O93" s="55"/>
      <c r="P93" s="55"/>
      <c r="Q93" s="55"/>
    </row>
    <row r="94" spans="2:17" outlineLevel="1" x14ac:dyDescent="0.3">
      <c r="D94" s="119" t="s">
        <v>128</v>
      </c>
      <c r="E94" s="272">
        <v>0</v>
      </c>
      <c r="F94" s="259" t="s">
        <v>15</v>
      </c>
      <c r="I94" s="20"/>
      <c r="J94" s="60"/>
      <c r="K94" s="65"/>
      <c r="L94" s="55"/>
      <c r="M94" s="55"/>
      <c r="N94" s="55"/>
      <c r="O94" s="55"/>
      <c r="P94" s="55"/>
      <c r="Q94" s="55"/>
    </row>
    <row r="95" spans="2:17" outlineLevel="1" x14ac:dyDescent="0.3">
      <c r="D95" s="119" t="s">
        <v>129</v>
      </c>
      <c r="E95" s="10">
        <v>5</v>
      </c>
      <c r="F95" s="259" t="s">
        <v>132</v>
      </c>
      <c r="I95" s="20"/>
      <c r="J95" s="60"/>
      <c r="K95" s="65"/>
      <c r="L95" s="55"/>
      <c r="M95" s="55"/>
      <c r="N95" s="55"/>
      <c r="O95" s="55"/>
      <c r="P95" s="55"/>
      <c r="Q95" s="55"/>
    </row>
    <row r="96" spans="2:17" outlineLevel="1" x14ac:dyDescent="0.3">
      <c r="D96" s="119" t="s">
        <v>3</v>
      </c>
      <c r="E96" s="272">
        <v>65</v>
      </c>
      <c r="F96" s="259" t="s">
        <v>15</v>
      </c>
      <c r="I96" s="20"/>
      <c r="J96" s="60"/>
      <c r="K96" s="65"/>
      <c r="L96" s="55"/>
      <c r="M96" s="55"/>
      <c r="N96" s="55"/>
      <c r="O96" s="55"/>
      <c r="P96" s="55"/>
      <c r="Q96" s="55"/>
    </row>
    <row r="97" spans="2:17" outlineLevel="1" x14ac:dyDescent="0.3">
      <c r="D97" s="119" t="s">
        <v>126</v>
      </c>
      <c r="E97" s="10">
        <v>0.97</v>
      </c>
      <c r="F97" s="259" t="s">
        <v>31</v>
      </c>
      <c r="I97" s="20"/>
      <c r="J97" s="60"/>
      <c r="K97" s="65"/>
      <c r="L97" s="55"/>
      <c r="M97" s="55"/>
      <c r="N97" s="55"/>
      <c r="O97" s="55"/>
      <c r="P97" s="55"/>
      <c r="Q97" s="55"/>
    </row>
    <row r="98" spans="2:17" x14ac:dyDescent="0.3">
      <c r="B98" s="114" t="s">
        <v>196</v>
      </c>
      <c r="D98" s="119"/>
      <c r="E98" s="6"/>
      <c r="I98" s="20"/>
      <c r="J98" s="60"/>
      <c r="K98" s="65"/>
      <c r="L98" s="55"/>
      <c r="M98" s="55"/>
      <c r="N98" s="55"/>
      <c r="O98" s="55"/>
      <c r="P98" s="55"/>
      <c r="Q98" s="55"/>
    </row>
    <row r="99" spans="2:17" x14ac:dyDescent="0.3">
      <c r="D99" s="119"/>
      <c r="E99" s="6"/>
      <c r="I99" s="20"/>
      <c r="J99" s="60"/>
      <c r="K99" s="65"/>
      <c r="L99" s="55"/>
      <c r="M99" s="55"/>
      <c r="N99" s="55"/>
      <c r="O99" s="55"/>
      <c r="P99" s="55"/>
      <c r="Q99" s="55"/>
    </row>
    <row r="100" spans="2:17" x14ac:dyDescent="0.3">
      <c r="B100" s="114" t="s">
        <v>22</v>
      </c>
      <c r="D100" s="119"/>
      <c r="E100" s="6"/>
      <c r="I100" s="20"/>
      <c r="J100" s="60"/>
      <c r="K100" s="65"/>
      <c r="L100" s="55"/>
      <c r="M100" s="55"/>
      <c r="N100" s="55"/>
      <c r="O100" s="55"/>
      <c r="P100" s="55"/>
      <c r="Q100" s="55"/>
    </row>
    <row r="101" spans="2:17" outlineLevel="1" x14ac:dyDescent="0.3">
      <c r="D101" s="119" t="s">
        <v>390</v>
      </c>
      <c r="E101" s="268" t="s">
        <v>485</v>
      </c>
      <c r="F101" s="269" t="s">
        <v>484</v>
      </c>
      <c r="I101" s="20"/>
      <c r="J101" s="60"/>
      <c r="K101" s="65"/>
      <c r="L101" s="55"/>
      <c r="M101" s="55"/>
      <c r="N101" s="55"/>
      <c r="O101" s="55"/>
      <c r="P101" s="55"/>
      <c r="Q101" s="55"/>
    </row>
    <row r="102" spans="2:17" outlineLevel="1" x14ac:dyDescent="0.3">
      <c r="D102" s="119"/>
      <c r="E102" s="271"/>
      <c r="F102" s="76"/>
      <c r="I102" s="20"/>
      <c r="J102" s="60"/>
      <c r="K102" s="65"/>
      <c r="L102" s="55"/>
      <c r="M102" s="55"/>
      <c r="N102" s="55"/>
      <c r="O102" s="55"/>
      <c r="P102" s="55"/>
      <c r="Q102" s="55"/>
    </row>
    <row r="103" spans="2:17" outlineLevel="1" x14ac:dyDescent="0.3">
      <c r="D103" s="119" t="s">
        <v>486</v>
      </c>
      <c r="E103" s="272">
        <f>_xlfn.XLOOKUP(_xlfn.XLOOKUP($E$101,TEİAŞ!$A$2:$A$82,TEİAŞ!$B$2:$B$82),TEİAŞ!$L$5:$L$19,TEİAŞ!$M$5:$M$19)</f>
        <v>86.830000000000013</v>
      </c>
      <c r="F103" s="259" t="s">
        <v>491</v>
      </c>
      <c r="I103" s="20"/>
      <c r="J103" s="60"/>
      <c r="K103" s="65"/>
      <c r="L103" s="55"/>
      <c r="M103" s="55"/>
      <c r="N103" s="55"/>
      <c r="O103" s="55"/>
      <c r="P103" s="55"/>
      <c r="Q103" s="55"/>
    </row>
    <row r="104" spans="2:17" outlineLevel="1" x14ac:dyDescent="0.3">
      <c r="D104" s="119" t="s">
        <v>487</v>
      </c>
      <c r="E104" s="272">
        <f>_xlfn.XLOOKUP(_xlfn.XLOOKUP($E$101,TEİAŞ!$A$2:$A$82,TEİAŞ!$B$2:$B$82),TEİAŞ!$L$5:$L$19,TEİAŞ!$O$5:$O$19)</f>
        <v>50242.794999999998</v>
      </c>
      <c r="F104" s="259" t="s">
        <v>490</v>
      </c>
      <c r="I104" s="20"/>
      <c r="J104" s="60"/>
      <c r="K104" s="65"/>
      <c r="L104" s="55"/>
      <c r="M104" s="55"/>
      <c r="N104" s="55"/>
      <c r="O104" s="55"/>
      <c r="P104" s="55"/>
      <c r="Q104" s="55"/>
    </row>
    <row r="105" spans="2:17" outlineLevel="1" x14ac:dyDescent="0.3">
      <c r="D105" s="119" t="s">
        <v>488</v>
      </c>
      <c r="E105" s="272">
        <f>_xlfn.XLOOKUP(_xlfn.XLOOKUP($E$101,TEİAŞ!$A$2:$A$82,TEİAŞ!$B$2:$B$82),TEİAŞ!$L$5:$L$19,TEİAŞ!$N$5:$N$19)</f>
        <v>128.28</v>
      </c>
      <c r="F105" s="259" t="s">
        <v>491</v>
      </c>
      <c r="I105" s="20"/>
      <c r="J105" s="60"/>
      <c r="K105" s="65"/>
      <c r="L105" s="55"/>
      <c r="M105" s="55"/>
      <c r="N105" s="55"/>
      <c r="O105" s="55"/>
      <c r="P105" s="55"/>
      <c r="Q105" s="55"/>
    </row>
    <row r="106" spans="2:17" outlineLevel="1" x14ac:dyDescent="0.3">
      <c r="D106" s="119" t="s">
        <v>489</v>
      </c>
      <c r="E106" s="272">
        <f>_xlfn.XLOOKUP(_xlfn.XLOOKUP($E$101,TEİAŞ!$A$2:$A$82,TEİAŞ!$B$2:$B$82),TEİAŞ!$L$5:$L$19,TEİAŞ!$P$5:$P$19)</f>
        <v>100485.59</v>
      </c>
      <c r="F106" s="259" t="s">
        <v>490</v>
      </c>
      <c r="I106" s="20"/>
      <c r="J106" s="60"/>
      <c r="K106" s="65"/>
      <c r="L106" s="55"/>
      <c r="M106" s="55"/>
      <c r="N106" s="55"/>
      <c r="O106" s="55"/>
      <c r="P106" s="55"/>
      <c r="Q106" s="55"/>
    </row>
    <row r="107" spans="2:17" outlineLevel="1" x14ac:dyDescent="0.3">
      <c r="D107" s="119"/>
      <c r="E107" s="271"/>
      <c r="F107" s="76"/>
      <c r="I107" s="20"/>
      <c r="J107" s="60"/>
      <c r="K107" s="65"/>
      <c r="L107" s="55"/>
      <c r="M107" s="55"/>
      <c r="N107" s="55"/>
      <c r="O107" s="55"/>
      <c r="P107" s="55"/>
      <c r="Q107" s="55"/>
    </row>
    <row r="108" spans="2:17" outlineLevel="1" x14ac:dyDescent="0.3">
      <c r="D108" s="119"/>
      <c r="E108" s="6"/>
      <c r="I108" s="20"/>
      <c r="J108" s="60"/>
      <c r="K108" s="65"/>
      <c r="L108" s="55"/>
      <c r="M108" s="55"/>
      <c r="N108" s="55"/>
      <c r="O108" s="55"/>
      <c r="P108" s="55"/>
      <c r="Q108" s="55"/>
    </row>
    <row r="109" spans="2:17" x14ac:dyDescent="0.3">
      <c r="B109" s="114" t="s">
        <v>203</v>
      </c>
      <c r="D109" s="119"/>
      <c r="E109" s="6"/>
      <c r="I109" s="20"/>
      <c r="J109" s="60"/>
      <c r="K109" s="65"/>
      <c r="L109" s="55"/>
      <c r="M109" s="55"/>
      <c r="N109" s="55"/>
      <c r="O109" s="55"/>
      <c r="P109" s="55"/>
      <c r="Q109" s="55"/>
    </row>
    <row r="110" spans="2:17" x14ac:dyDescent="0.3">
      <c r="D110" s="119"/>
      <c r="E110" s="6"/>
      <c r="I110" s="20"/>
      <c r="J110" s="60"/>
      <c r="K110" s="65"/>
      <c r="L110" s="55"/>
      <c r="M110" s="55"/>
      <c r="N110" s="55"/>
      <c r="O110" s="55"/>
      <c r="P110" s="55"/>
      <c r="Q110" s="55"/>
    </row>
    <row r="111" spans="2:17" collapsed="1" x14ac:dyDescent="0.3">
      <c r="B111" s="114" t="s">
        <v>23</v>
      </c>
      <c r="D111" s="119"/>
      <c r="E111" s="6"/>
      <c r="I111" s="20"/>
      <c r="J111" s="60"/>
      <c r="K111" s="65"/>
      <c r="L111" s="55"/>
      <c r="M111" s="55"/>
      <c r="N111" s="55"/>
      <c r="O111" s="55"/>
      <c r="P111" s="55"/>
      <c r="Q111" s="55"/>
    </row>
    <row r="112" spans="2:17" hidden="1" outlineLevel="1" x14ac:dyDescent="0.3">
      <c r="D112" s="119"/>
      <c r="E112" s="6"/>
      <c r="I112" s="20"/>
      <c r="J112" s="60"/>
      <c r="K112" s="65"/>
      <c r="L112" s="55"/>
      <c r="M112" s="55"/>
      <c r="N112" s="55"/>
      <c r="O112" s="55"/>
      <c r="P112" s="55"/>
      <c r="Q112" s="55"/>
    </row>
    <row r="113" spans="2:17" hidden="1" outlineLevel="1" x14ac:dyDescent="0.3">
      <c r="D113" s="119"/>
      <c r="E113" s="6"/>
      <c r="I113" s="20"/>
      <c r="J113" s="60"/>
      <c r="K113" s="65"/>
      <c r="L113" s="55"/>
      <c r="M113" s="55"/>
      <c r="N113" s="55"/>
      <c r="O113" s="55"/>
      <c r="P113" s="55"/>
      <c r="Q113" s="55"/>
    </row>
    <row r="114" spans="2:17" hidden="1" outlineLevel="1" x14ac:dyDescent="0.3">
      <c r="D114" s="119"/>
      <c r="E114" s="6"/>
      <c r="I114" s="20"/>
      <c r="J114" s="60"/>
      <c r="K114" s="65"/>
      <c r="L114" s="55"/>
      <c r="M114" s="55"/>
      <c r="N114" s="55"/>
      <c r="O114" s="55"/>
      <c r="P114" s="55"/>
      <c r="Q114" s="55"/>
    </row>
    <row r="115" spans="2:17" hidden="1" outlineLevel="1" x14ac:dyDescent="0.3">
      <c r="D115" s="119" t="s">
        <v>385</v>
      </c>
      <c r="E115" s="10">
        <v>0.13500000000000001</v>
      </c>
      <c r="F115" s="259" t="s">
        <v>31</v>
      </c>
      <c r="I115" s="20"/>
      <c r="J115" s="60"/>
      <c r="K115" s="65"/>
      <c r="L115" s="55"/>
      <c r="M115" s="55"/>
      <c r="N115" s="55"/>
      <c r="O115" s="55"/>
      <c r="P115" s="55"/>
      <c r="Q115" s="55"/>
    </row>
    <row r="116" spans="2:17" hidden="1" outlineLevel="1" x14ac:dyDescent="0.3">
      <c r="D116" s="119" t="s">
        <v>386</v>
      </c>
      <c r="E116" s="6"/>
      <c r="I116" s="20"/>
      <c r="J116" s="60"/>
      <c r="K116" s="65"/>
      <c r="L116" s="55"/>
      <c r="M116" s="55"/>
      <c r="N116" s="55"/>
      <c r="O116" s="55"/>
      <c r="P116" s="55"/>
      <c r="Q116" s="55"/>
    </row>
    <row r="117" spans="2:17" hidden="1" outlineLevel="1" x14ac:dyDescent="0.3">
      <c r="D117" s="119"/>
      <c r="E117" s="6"/>
      <c r="I117" s="20"/>
      <c r="J117" s="60"/>
      <c r="K117" s="65"/>
      <c r="L117" s="55"/>
      <c r="M117" s="55"/>
      <c r="N117" s="55"/>
      <c r="O117" s="55"/>
      <c r="P117" s="55"/>
      <c r="Q117" s="55"/>
    </row>
    <row r="118" spans="2:17" hidden="1" outlineLevel="1" x14ac:dyDescent="0.3">
      <c r="D118" s="119"/>
      <c r="E118" s="6"/>
      <c r="I118" s="20"/>
      <c r="J118" s="60"/>
      <c r="K118" s="65"/>
      <c r="L118" s="55"/>
      <c r="M118" s="55"/>
      <c r="N118" s="55"/>
      <c r="O118" s="55"/>
      <c r="P118" s="55"/>
      <c r="Q118" s="55"/>
    </row>
    <row r="119" spans="2:17" x14ac:dyDescent="0.3">
      <c r="B119" s="114" t="s">
        <v>202</v>
      </c>
      <c r="D119" s="119"/>
      <c r="E119" s="6"/>
      <c r="I119" s="20"/>
      <c r="J119" s="60"/>
      <c r="K119" s="65"/>
      <c r="L119" s="55"/>
      <c r="M119" s="55"/>
      <c r="N119" s="55"/>
      <c r="O119" s="55"/>
      <c r="P119" s="55"/>
      <c r="Q119" s="55"/>
    </row>
    <row r="120" spans="2:17" x14ac:dyDescent="0.3">
      <c r="D120" s="119"/>
      <c r="E120" s="6"/>
      <c r="I120" s="20"/>
      <c r="J120" s="60"/>
      <c r="K120" s="65"/>
      <c r="L120" s="55"/>
      <c r="M120" s="55"/>
      <c r="N120" s="55"/>
      <c r="O120" s="55"/>
      <c r="P120" s="55"/>
      <c r="Q120" s="55"/>
    </row>
    <row r="121" spans="2:17" x14ac:dyDescent="0.3">
      <c r="D121" s="119"/>
      <c r="E121" s="6"/>
      <c r="I121" s="20"/>
      <c r="J121" s="60"/>
      <c r="K121" s="65"/>
      <c r="L121" s="55"/>
      <c r="M121" s="55"/>
      <c r="N121" s="55"/>
      <c r="O121" s="55"/>
      <c r="P121" s="55"/>
      <c r="Q121" s="55"/>
    </row>
    <row r="122" spans="2:17" x14ac:dyDescent="0.3">
      <c r="B122" s="114" t="s">
        <v>25</v>
      </c>
      <c r="D122" s="119"/>
      <c r="E122" s="6"/>
      <c r="I122" s="20"/>
      <c r="J122" s="60"/>
      <c r="K122" s="65"/>
      <c r="L122" s="55"/>
      <c r="M122" s="55"/>
      <c r="N122" s="55"/>
      <c r="O122" s="55"/>
      <c r="P122" s="55"/>
      <c r="Q122" s="55"/>
    </row>
    <row r="123" spans="2:17" outlineLevel="1" x14ac:dyDescent="0.3">
      <c r="D123" s="119"/>
      <c r="E123" s="6"/>
      <c r="I123" s="20"/>
      <c r="J123" s="60"/>
      <c r="K123" s="65"/>
      <c r="L123" s="55"/>
      <c r="M123" s="55"/>
      <c r="N123" s="55"/>
      <c r="O123" s="55"/>
      <c r="P123" s="55"/>
      <c r="Q123" s="55"/>
    </row>
    <row r="124" spans="2:17" outlineLevel="1" x14ac:dyDescent="0.3">
      <c r="D124" s="119"/>
      <c r="E124" s="6"/>
      <c r="I124" s="20"/>
      <c r="J124" s="60"/>
      <c r="K124" s="65"/>
      <c r="L124" s="55"/>
      <c r="M124" s="55"/>
      <c r="N124" s="55"/>
      <c r="O124" s="55"/>
      <c r="P124" s="55"/>
      <c r="Q124" s="55"/>
    </row>
    <row r="125" spans="2:17" x14ac:dyDescent="0.3">
      <c r="B125" s="114" t="s">
        <v>200</v>
      </c>
      <c r="D125" s="119"/>
      <c r="E125" s="6"/>
      <c r="I125" s="20"/>
      <c r="J125" s="60"/>
      <c r="K125" s="65"/>
      <c r="L125" s="55"/>
      <c r="M125" s="55"/>
      <c r="N125" s="55"/>
      <c r="O125" s="55"/>
      <c r="P125" s="55"/>
      <c r="Q125" s="55"/>
    </row>
    <row r="126" spans="2:17" x14ac:dyDescent="0.3">
      <c r="D126" s="119"/>
      <c r="E126" s="6"/>
      <c r="I126" s="20"/>
      <c r="J126" s="60"/>
      <c r="K126" s="65"/>
      <c r="L126" s="55"/>
      <c r="M126" s="55"/>
      <c r="N126" s="55"/>
      <c r="O126" s="55"/>
      <c r="P126" s="55"/>
      <c r="Q126" s="273"/>
    </row>
    <row r="127" spans="2:17" x14ac:dyDescent="0.3">
      <c r="B127" s="114" t="s">
        <v>198</v>
      </c>
      <c r="D127" s="119"/>
      <c r="E127" s="6"/>
      <c r="I127" s="20"/>
      <c r="J127" s="60"/>
      <c r="K127" s="65"/>
      <c r="L127" s="55"/>
      <c r="M127" s="55"/>
      <c r="N127" s="55"/>
      <c r="O127" s="55"/>
      <c r="P127" s="55"/>
      <c r="Q127" s="55"/>
    </row>
    <row r="128" spans="2:17" outlineLevel="1" x14ac:dyDescent="0.3">
      <c r="D128" s="119" t="s">
        <v>268</v>
      </c>
      <c r="E128" s="268">
        <v>46235</v>
      </c>
      <c r="F128" s="269" t="s">
        <v>246</v>
      </c>
      <c r="I128" s="20"/>
      <c r="J128" s="60"/>
      <c r="K128" s="65"/>
      <c r="L128" s="55"/>
      <c r="M128" s="55"/>
      <c r="N128" s="55"/>
      <c r="O128" s="55"/>
      <c r="P128" s="55"/>
      <c r="Q128" s="55"/>
    </row>
    <row r="129" spans="1:395" outlineLevel="1" x14ac:dyDescent="0.3">
      <c r="D129" s="119" t="s">
        <v>269</v>
      </c>
      <c r="E129" s="268">
        <v>0</v>
      </c>
      <c r="F129" s="269" t="s">
        <v>81</v>
      </c>
      <c r="I129" s="20"/>
      <c r="J129" s="60"/>
      <c r="K129" s="65"/>
      <c r="L129" s="55"/>
      <c r="M129" s="55"/>
      <c r="N129" s="55"/>
      <c r="O129" s="55"/>
      <c r="P129" s="55"/>
      <c r="Q129" s="55"/>
    </row>
    <row r="130" spans="1:395" outlineLevel="1" x14ac:dyDescent="0.3">
      <c r="D130" s="119"/>
      <c r="E130" s="6"/>
      <c r="I130" s="20"/>
      <c r="J130" s="60"/>
      <c r="K130" s="65"/>
      <c r="L130" s="55"/>
      <c r="M130" s="55"/>
      <c r="N130" s="55"/>
      <c r="O130" s="55"/>
      <c r="P130" s="55"/>
      <c r="Q130" s="55"/>
    </row>
    <row r="131" spans="1:395" outlineLevel="1" x14ac:dyDescent="0.3">
      <c r="D131" s="119" t="s">
        <v>229</v>
      </c>
      <c r="E131" s="10">
        <v>0.5</v>
      </c>
      <c r="F131" s="259" t="s">
        <v>31</v>
      </c>
      <c r="I131" s="20"/>
      <c r="J131" s="60"/>
      <c r="K131" s="65"/>
      <c r="L131" s="55"/>
      <c r="M131" s="55"/>
      <c r="N131" s="55"/>
      <c r="O131" s="55"/>
      <c r="P131" s="55"/>
      <c r="Q131" s="55"/>
    </row>
    <row r="132" spans="1:395" outlineLevel="1" x14ac:dyDescent="0.3">
      <c r="D132" s="119" t="s">
        <v>239</v>
      </c>
      <c r="E132" s="10">
        <f>100%-E131</f>
        <v>0.5</v>
      </c>
      <c r="F132" s="259" t="s">
        <v>31</v>
      </c>
      <c r="I132" s="20"/>
      <c r="J132" s="60"/>
      <c r="K132" s="65"/>
      <c r="L132" s="55"/>
      <c r="M132" s="55"/>
      <c r="N132" s="55"/>
      <c r="O132" s="55"/>
      <c r="P132" s="55"/>
      <c r="Q132" s="55"/>
    </row>
    <row r="133" spans="1:395" outlineLevel="1" x14ac:dyDescent="0.3">
      <c r="D133"/>
      <c r="E133" s="6"/>
      <c r="I133" s="20"/>
      <c r="J133" s="60"/>
      <c r="K133" s="65"/>
      <c r="L133" s="55"/>
      <c r="M133" s="55"/>
      <c r="N133" s="55"/>
      <c r="O133" s="55"/>
      <c r="P133" s="55"/>
      <c r="Q133" s="55"/>
    </row>
    <row r="134" spans="1:395" outlineLevel="1" x14ac:dyDescent="0.3">
      <c r="D134" s="119" t="s">
        <v>240</v>
      </c>
      <c r="E134" s="268">
        <v>46296</v>
      </c>
      <c r="F134" s="269" t="s">
        <v>246</v>
      </c>
      <c r="I134" s="20"/>
      <c r="J134" s="60"/>
      <c r="K134" s="65"/>
      <c r="L134" s="55"/>
      <c r="M134" s="55"/>
      <c r="N134" s="55"/>
      <c r="O134" s="55"/>
      <c r="P134" s="55"/>
      <c r="Q134" s="55"/>
    </row>
    <row r="135" spans="1:395" outlineLevel="1" x14ac:dyDescent="0.3">
      <c r="D135" s="119" t="s">
        <v>241</v>
      </c>
      <c r="E135" s="268">
        <v>10000000</v>
      </c>
      <c r="F135" s="269" t="s">
        <v>81</v>
      </c>
      <c r="I135" s="20"/>
      <c r="J135" s="60"/>
      <c r="K135" s="65"/>
      <c r="L135" s="55"/>
      <c r="M135" s="55"/>
      <c r="N135" s="55"/>
      <c r="O135" s="55"/>
      <c r="P135" s="55"/>
      <c r="Q135" s="55"/>
    </row>
    <row r="136" spans="1:395" outlineLevel="1" x14ac:dyDescent="0.3">
      <c r="B136" s="114" t="s">
        <v>199</v>
      </c>
      <c r="D136" s="119"/>
      <c r="E136" s="271"/>
      <c r="F136" s="76"/>
      <c r="I136" s="20"/>
      <c r="J136" s="60"/>
      <c r="K136" s="65"/>
      <c r="L136" s="55"/>
      <c r="M136" s="55"/>
      <c r="N136" s="55"/>
      <c r="O136" s="55"/>
      <c r="P136" s="55"/>
      <c r="Q136" s="55"/>
    </row>
    <row r="137" spans="1:395" ht="14.4" thickBot="1" x14ac:dyDescent="0.35">
      <c r="A137" s="167"/>
      <c r="B137" s="167"/>
      <c r="C137" s="167"/>
      <c r="D137" s="168"/>
      <c r="E137" s="305"/>
      <c r="F137" s="202"/>
      <c r="G137" s="171"/>
      <c r="H137" s="171"/>
      <c r="I137" s="132"/>
      <c r="J137" s="306"/>
      <c r="K137" s="143"/>
      <c r="L137" s="142"/>
      <c r="M137" s="142"/>
      <c r="N137" s="142"/>
      <c r="O137" s="142"/>
      <c r="P137" s="142"/>
      <c r="Q137" s="142"/>
      <c r="R137" s="171"/>
      <c r="S137" s="171"/>
      <c r="T137" s="171"/>
      <c r="U137" s="171"/>
      <c r="V137" s="171"/>
      <c r="W137" s="171"/>
      <c r="X137" s="171"/>
      <c r="Y137" s="171"/>
      <c r="Z137" s="171"/>
      <c r="AA137" s="171"/>
      <c r="AB137" s="171"/>
      <c r="AC137" s="171"/>
      <c r="AD137" s="171"/>
      <c r="AE137" s="171"/>
      <c r="AF137" s="171"/>
      <c r="AG137" s="171"/>
      <c r="AH137" s="171"/>
      <c r="AI137" s="171"/>
      <c r="AJ137" s="171"/>
      <c r="AK137" s="171"/>
      <c r="AL137" s="171"/>
      <c r="AM137" s="171"/>
      <c r="AN137" s="171"/>
      <c r="AO137" s="171"/>
      <c r="AP137" s="171"/>
      <c r="AQ137" s="171"/>
      <c r="AR137" s="171"/>
      <c r="AS137" s="171"/>
      <c r="AT137" s="171"/>
      <c r="AU137" s="171"/>
      <c r="AV137" s="171"/>
      <c r="AW137" s="171"/>
      <c r="AX137" s="171"/>
      <c r="AY137" s="171"/>
      <c r="AZ137" s="171"/>
      <c r="BA137" s="171"/>
      <c r="BB137" s="171"/>
      <c r="BC137" s="171"/>
      <c r="BD137" s="171"/>
      <c r="BE137" s="171"/>
      <c r="BF137" s="171"/>
      <c r="BG137" s="171"/>
      <c r="BH137" s="171"/>
      <c r="BI137" s="171"/>
      <c r="BJ137" s="171"/>
      <c r="BK137" s="171"/>
      <c r="BL137" s="171"/>
      <c r="BM137" s="171"/>
      <c r="BN137" s="171"/>
      <c r="BO137" s="171"/>
      <c r="BP137" s="171"/>
      <c r="BQ137" s="171"/>
      <c r="BR137" s="171"/>
      <c r="BS137" s="171"/>
      <c r="BT137" s="171"/>
      <c r="BU137" s="171"/>
      <c r="BV137" s="171"/>
      <c r="BW137" s="171"/>
      <c r="BX137" s="171"/>
      <c r="BY137" s="171"/>
      <c r="BZ137" s="171"/>
      <c r="CA137" s="171"/>
      <c r="CB137" s="171"/>
      <c r="CC137" s="171"/>
      <c r="CD137" s="171"/>
      <c r="CE137" s="171"/>
      <c r="CF137" s="171"/>
      <c r="CG137" s="171"/>
      <c r="CH137" s="171"/>
      <c r="CI137" s="171"/>
      <c r="CJ137" s="171"/>
      <c r="CK137" s="171"/>
      <c r="CL137" s="171"/>
      <c r="CM137" s="171"/>
      <c r="CN137" s="171"/>
      <c r="CO137" s="171"/>
      <c r="CP137" s="171"/>
      <c r="CQ137" s="171"/>
      <c r="CR137" s="171"/>
      <c r="CS137" s="171"/>
      <c r="CT137" s="171"/>
      <c r="CU137" s="171"/>
      <c r="CV137" s="171"/>
      <c r="CW137" s="171"/>
      <c r="CX137" s="171"/>
      <c r="CY137" s="171"/>
      <c r="CZ137" s="171"/>
      <c r="DA137" s="171"/>
      <c r="DB137" s="171"/>
      <c r="DC137" s="171"/>
      <c r="DD137" s="171"/>
      <c r="DE137" s="171"/>
      <c r="DF137" s="171"/>
      <c r="DG137" s="171"/>
      <c r="DH137" s="171"/>
      <c r="DI137" s="171"/>
      <c r="DJ137" s="171"/>
      <c r="DK137" s="171"/>
      <c r="DL137" s="171"/>
      <c r="DM137" s="171"/>
      <c r="DN137" s="171"/>
      <c r="DO137" s="171"/>
      <c r="DP137" s="171"/>
      <c r="DQ137" s="171"/>
      <c r="DR137" s="171"/>
      <c r="DS137" s="171"/>
      <c r="DT137" s="171"/>
      <c r="DU137" s="171"/>
      <c r="DV137" s="171"/>
      <c r="DW137" s="171"/>
      <c r="DX137" s="171"/>
      <c r="DY137" s="171"/>
      <c r="DZ137" s="171"/>
      <c r="EA137" s="171"/>
      <c r="EB137" s="171"/>
      <c r="EC137" s="171"/>
      <c r="ED137" s="171"/>
      <c r="EE137" s="171"/>
      <c r="EF137" s="171"/>
      <c r="EG137" s="171"/>
      <c r="EH137" s="171"/>
      <c r="EI137" s="171"/>
      <c r="EJ137" s="171"/>
      <c r="EK137" s="171"/>
      <c r="EL137" s="171"/>
      <c r="EM137" s="171"/>
      <c r="EN137" s="171"/>
      <c r="EO137" s="171"/>
      <c r="EP137" s="171"/>
      <c r="EQ137" s="171"/>
      <c r="ER137" s="171"/>
      <c r="ES137" s="171"/>
      <c r="ET137" s="171"/>
      <c r="EU137" s="171"/>
      <c r="EV137" s="171"/>
      <c r="EW137" s="171"/>
      <c r="EX137" s="171"/>
      <c r="EY137" s="171"/>
      <c r="EZ137" s="171"/>
      <c r="FA137" s="171"/>
      <c r="FB137" s="171"/>
      <c r="FC137" s="171"/>
      <c r="FD137" s="171"/>
      <c r="FE137" s="171"/>
      <c r="FF137" s="171"/>
      <c r="FG137" s="171"/>
      <c r="FH137" s="171"/>
      <c r="FI137" s="171"/>
      <c r="FJ137" s="171"/>
      <c r="FK137" s="171"/>
      <c r="FL137" s="171"/>
      <c r="FM137" s="171"/>
      <c r="FN137" s="171"/>
      <c r="FO137" s="171"/>
      <c r="FP137" s="171"/>
      <c r="FQ137" s="171"/>
      <c r="FR137" s="171"/>
      <c r="FS137" s="171"/>
      <c r="FT137" s="171"/>
      <c r="FU137" s="171"/>
      <c r="FV137" s="171"/>
      <c r="FW137" s="171"/>
      <c r="FX137" s="171"/>
      <c r="FY137" s="171"/>
      <c r="FZ137" s="171"/>
      <c r="GA137" s="171"/>
      <c r="GB137" s="171"/>
      <c r="GC137" s="171"/>
      <c r="GD137" s="171"/>
      <c r="GE137" s="171"/>
      <c r="GF137" s="171"/>
      <c r="GG137" s="171"/>
      <c r="GH137" s="171"/>
      <c r="GI137" s="171"/>
      <c r="GJ137" s="171"/>
      <c r="GK137" s="171"/>
      <c r="GL137" s="171"/>
      <c r="GM137" s="171"/>
      <c r="GN137" s="171"/>
      <c r="GO137" s="171"/>
      <c r="GP137" s="171"/>
      <c r="GQ137" s="171"/>
      <c r="GR137" s="171"/>
      <c r="GS137" s="171"/>
      <c r="GT137" s="171"/>
      <c r="GU137" s="171"/>
      <c r="GV137" s="171"/>
      <c r="GW137" s="171"/>
      <c r="GX137" s="171"/>
      <c r="GY137" s="171"/>
      <c r="GZ137" s="171"/>
      <c r="HA137" s="171"/>
      <c r="HB137" s="171"/>
      <c r="HC137" s="171"/>
      <c r="HD137" s="171"/>
      <c r="HE137" s="171"/>
      <c r="HF137" s="171"/>
      <c r="HG137" s="171"/>
      <c r="HH137" s="171"/>
      <c r="HI137" s="171"/>
      <c r="HJ137" s="171"/>
      <c r="HK137" s="171"/>
      <c r="HL137" s="171"/>
      <c r="HM137" s="171"/>
      <c r="HN137" s="171"/>
      <c r="HO137" s="171"/>
      <c r="HP137" s="171"/>
      <c r="HQ137" s="171"/>
      <c r="HR137" s="171"/>
      <c r="HS137" s="171"/>
      <c r="HT137" s="171"/>
      <c r="HU137" s="171"/>
      <c r="HV137" s="171"/>
      <c r="HW137" s="171"/>
      <c r="HX137" s="171"/>
      <c r="HY137" s="171"/>
      <c r="HZ137" s="171"/>
      <c r="IA137" s="171"/>
      <c r="IB137" s="171"/>
      <c r="IC137" s="171"/>
      <c r="ID137" s="171"/>
      <c r="IE137" s="171"/>
      <c r="IF137" s="171"/>
      <c r="IG137" s="171"/>
      <c r="IH137" s="171"/>
      <c r="II137" s="171"/>
      <c r="IJ137" s="171"/>
      <c r="IK137" s="171"/>
      <c r="IL137" s="171"/>
      <c r="IM137" s="171"/>
      <c r="IN137" s="171"/>
      <c r="IO137" s="171"/>
      <c r="IP137" s="171"/>
      <c r="IQ137" s="171"/>
      <c r="IR137" s="171"/>
      <c r="IS137" s="171"/>
      <c r="IT137" s="171"/>
      <c r="IU137" s="171"/>
      <c r="IV137" s="171"/>
      <c r="IW137" s="171"/>
      <c r="IX137" s="171"/>
      <c r="IY137" s="171"/>
      <c r="IZ137" s="171"/>
      <c r="JA137" s="171"/>
      <c r="JB137" s="171"/>
      <c r="JC137" s="171"/>
      <c r="JD137" s="171"/>
      <c r="JE137" s="171"/>
      <c r="JF137" s="171"/>
      <c r="JG137" s="171"/>
      <c r="JH137" s="171"/>
      <c r="JI137" s="171"/>
      <c r="JJ137" s="171"/>
      <c r="JK137" s="171"/>
      <c r="JL137" s="171"/>
      <c r="JM137" s="171"/>
      <c r="JN137" s="171"/>
      <c r="JO137" s="171"/>
      <c r="JP137" s="171"/>
      <c r="JQ137" s="171"/>
      <c r="JR137" s="171"/>
      <c r="JS137" s="171"/>
      <c r="JT137" s="171"/>
      <c r="JU137" s="171"/>
      <c r="JV137" s="171"/>
      <c r="JW137" s="171"/>
      <c r="JX137" s="171"/>
      <c r="JY137" s="171"/>
      <c r="JZ137" s="171"/>
      <c r="KA137" s="171"/>
      <c r="KB137" s="171"/>
      <c r="KC137" s="171"/>
      <c r="KD137" s="171"/>
      <c r="KE137" s="171"/>
      <c r="KF137" s="171"/>
      <c r="KG137" s="171"/>
      <c r="KH137" s="171"/>
      <c r="KI137" s="171"/>
      <c r="KJ137" s="171"/>
      <c r="KK137" s="171"/>
      <c r="KL137" s="171"/>
      <c r="KM137" s="171"/>
      <c r="KN137" s="171"/>
      <c r="KO137" s="171"/>
      <c r="KP137" s="171"/>
      <c r="KQ137" s="171"/>
      <c r="KR137" s="171"/>
      <c r="KS137" s="171"/>
      <c r="KT137" s="171"/>
      <c r="KU137" s="171"/>
      <c r="KV137" s="171"/>
      <c r="KW137" s="171"/>
      <c r="KX137" s="171"/>
      <c r="KY137" s="171"/>
      <c r="KZ137" s="171"/>
      <c r="LA137" s="171"/>
      <c r="LB137" s="171"/>
      <c r="LC137" s="171"/>
      <c r="LD137" s="171"/>
      <c r="LE137" s="171"/>
      <c r="LF137" s="171"/>
      <c r="LG137" s="171"/>
      <c r="LH137" s="171"/>
      <c r="LI137" s="171"/>
      <c r="LJ137" s="171"/>
      <c r="LK137" s="171"/>
      <c r="LL137" s="171"/>
      <c r="LM137" s="171"/>
      <c r="LN137" s="171"/>
      <c r="LO137" s="171"/>
      <c r="LP137" s="171"/>
      <c r="LQ137" s="171"/>
      <c r="LR137" s="171"/>
      <c r="LS137" s="171"/>
      <c r="LT137" s="171"/>
      <c r="LU137" s="171"/>
      <c r="LV137" s="171"/>
      <c r="LW137" s="171"/>
      <c r="LX137" s="171"/>
      <c r="LY137" s="171"/>
      <c r="LZ137" s="171"/>
      <c r="MA137" s="171"/>
      <c r="MB137" s="171"/>
      <c r="MC137" s="171"/>
      <c r="MD137" s="171"/>
      <c r="ME137" s="171"/>
      <c r="MF137" s="171"/>
      <c r="MG137" s="171"/>
      <c r="MH137" s="171"/>
      <c r="MI137" s="171"/>
      <c r="MJ137" s="171"/>
      <c r="MK137" s="171"/>
      <c r="ML137" s="171"/>
      <c r="MM137" s="171"/>
      <c r="MN137" s="171"/>
      <c r="MO137" s="171"/>
      <c r="MP137" s="171"/>
      <c r="MQ137" s="171"/>
      <c r="MR137" s="171"/>
      <c r="MS137" s="171"/>
      <c r="MT137" s="171"/>
      <c r="MU137" s="171"/>
      <c r="MV137" s="171"/>
      <c r="MW137" s="171"/>
      <c r="MX137" s="171"/>
      <c r="MY137" s="171"/>
      <c r="MZ137" s="171"/>
      <c r="NA137" s="171"/>
      <c r="NB137" s="171"/>
      <c r="NC137" s="171"/>
      <c r="ND137" s="171"/>
      <c r="NE137" s="171"/>
      <c r="NF137" s="171"/>
      <c r="NG137" s="171"/>
      <c r="NH137" s="171"/>
      <c r="NI137" s="171"/>
      <c r="NJ137" s="171"/>
      <c r="NK137" s="171"/>
      <c r="NL137" s="171"/>
      <c r="NM137" s="171"/>
      <c r="NN137" s="171"/>
      <c r="NO137" s="171"/>
      <c r="NP137" s="171"/>
      <c r="NQ137" s="171"/>
      <c r="NR137" s="171"/>
      <c r="NS137" s="171"/>
      <c r="NT137" s="171"/>
      <c r="NU137" s="171"/>
      <c r="NV137" s="171"/>
      <c r="NW137" s="171"/>
      <c r="NX137" s="171"/>
      <c r="NY137" s="171"/>
      <c r="NZ137" s="171"/>
      <c r="OA137" s="171"/>
      <c r="OB137" s="171"/>
      <c r="OC137" s="171"/>
      <c r="OD137" s="171"/>
      <c r="OE137" s="171"/>
    </row>
    <row r="138" spans="1:395" x14ac:dyDescent="0.3">
      <c r="D138" s="119"/>
      <c r="E138" s="271"/>
      <c r="F138" s="76"/>
      <c r="I138" s="20"/>
      <c r="J138" s="60"/>
      <c r="K138" s="65"/>
      <c r="L138" s="55"/>
      <c r="M138" s="55"/>
      <c r="N138" s="55"/>
      <c r="O138" s="55"/>
      <c r="P138" s="55"/>
      <c r="Q138" s="55"/>
    </row>
    <row r="139" spans="1:395" x14ac:dyDescent="0.3">
      <c r="B139" s="114" t="s">
        <v>503</v>
      </c>
      <c r="D139" s="119"/>
      <c r="E139" s="271"/>
      <c r="F139" s="76"/>
      <c r="I139" s="20"/>
      <c r="J139" s="60"/>
      <c r="K139" s="65"/>
      <c r="L139" s="55"/>
      <c r="M139" s="55"/>
      <c r="N139" s="58"/>
      <c r="O139" s="55"/>
      <c r="P139" s="58"/>
      <c r="Q139" s="233" cm="1">
        <f t="array" ref="Q139:OE139">_xlfn.ANCHORARRAY(Q2)</f>
        <v>46174</v>
      </c>
      <c r="R139" s="320">
        <v>46204</v>
      </c>
      <c r="S139" s="320">
        <v>46235</v>
      </c>
      <c r="T139" s="320">
        <v>46266</v>
      </c>
      <c r="U139" s="320">
        <v>46296</v>
      </c>
      <c r="V139" s="320">
        <v>46327</v>
      </c>
      <c r="W139" s="320">
        <v>46357</v>
      </c>
      <c r="X139" s="320">
        <v>46388</v>
      </c>
      <c r="Y139" s="320">
        <v>46419</v>
      </c>
      <c r="Z139" s="320">
        <v>46447</v>
      </c>
      <c r="AA139" s="320">
        <v>46478</v>
      </c>
      <c r="AB139" s="320">
        <v>46508</v>
      </c>
      <c r="AC139" s="320">
        <v>46539</v>
      </c>
      <c r="AD139" s="320">
        <v>46569</v>
      </c>
      <c r="AE139" s="320">
        <v>46600</v>
      </c>
      <c r="AF139" s="320">
        <v>46631</v>
      </c>
      <c r="AG139" s="320">
        <v>46661</v>
      </c>
      <c r="AH139" s="320">
        <v>46692</v>
      </c>
      <c r="AI139" s="320">
        <v>46722</v>
      </c>
      <c r="AJ139" s="320">
        <v>46753</v>
      </c>
      <c r="AK139" s="320">
        <v>46784</v>
      </c>
      <c r="AL139" s="320">
        <v>46813</v>
      </c>
      <c r="AM139" s="320">
        <v>46844</v>
      </c>
      <c r="AN139" s="320">
        <v>46874</v>
      </c>
      <c r="AO139" s="320">
        <v>46905</v>
      </c>
      <c r="AP139" s="320">
        <v>46935</v>
      </c>
      <c r="AQ139" s="320">
        <v>46966</v>
      </c>
      <c r="AR139" s="320">
        <v>46997</v>
      </c>
      <c r="AS139" s="320">
        <v>47027</v>
      </c>
      <c r="AT139" s="320">
        <v>47058</v>
      </c>
      <c r="AU139" s="320">
        <v>47088</v>
      </c>
      <c r="AV139" s="320">
        <v>47119</v>
      </c>
      <c r="AW139" s="320">
        <v>47150</v>
      </c>
      <c r="AX139" s="320">
        <v>47178</v>
      </c>
      <c r="AY139" s="320">
        <v>47209</v>
      </c>
      <c r="AZ139" s="320">
        <v>47239</v>
      </c>
      <c r="BA139" s="320">
        <v>47270</v>
      </c>
      <c r="BB139" s="320">
        <v>47300</v>
      </c>
      <c r="BC139" s="320">
        <v>47331</v>
      </c>
      <c r="BD139" s="320">
        <v>47362</v>
      </c>
      <c r="BE139" s="320">
        <v>47392</v>
      </c>
      <c r="BF139" s="320">
        <v>47423</v>
      </c>
      <c r="BG139" s="320">
        <v>47453</v>
      </c>
      <c r="BH139" s="320">
        <v>47484</v>
      </c>
      <c r="BI139" s="320">
        <v>47515</v>
      </c>
      <c r="BJ139" s="320">
        <v>47543</v>
      </c>
      <c r="BK139" s="320">
        <v>47574</v>
      </c>
      <c r="BL139" s="320">
        <v>47604</v>
      </c>
      <c r="BM139" s="320">
        <v>47635</v>
      </c>
      <c r="BN139" s="320">
        <v>47665</v>
      </c>
      <c r="BO139" s="320">
        <v>47696</v>
      </c>
      <c r="BP139" s="320">
        <v>47727</v>
      </c>
      <c r="BQ139" s="320">
        <v>47757</v>
      </c>
      <c r="BR139" s="320">
        <v>47788</v>
      </c>
      <c r="BS139" s="320">
        <v>47818</v>
      </c>
      <c r="BT139" s="320">
        <v>47849</v>
      </c>
      <c r="BU139" s="320">
        <v>47880</v>
      </c>
      <c r="BV139" s="320">
        <v>47908</v>
      </c>
      <c r="BW139" s="320">
        <v>47939</v>
      </c>
      <c r="BX139" s="320">
        <v>47969</v>
      </c>
      <c r="BY139" s="320">
        <v>48000</v>
      </c>
      <c r="BZ139" s="320">
        <v>48030</v>
      </c>
      <c r="CA139" s="320">
        <v>48061</v>
      </c>
      <c r="CB139" s="320">
        <v>48092</v>
      </c>
      <c r="CC139" s="320">
        <v>48122</v>
      </c>
      <c r="CD139" s="320">
        <v>48153</v>
      </c>
      <c r="CE139" s="320">
        <v>48183</v>
      </c>
      <c r="CF139" s="320">
        <v>48214</v>
      </c>
      <c r="CG139" s="320">
        <v>48245</v>
      </c>
      <c r="CH139" s="320">
        <v>48274</v>
      </c>
      <c r="CI139" s="320">
        <v>48305</v>
      </c>
      <c r="CJ139" s="320">
        <v>48335</v>
      </c>
      <c r="CK139" s="320">
        <v>48366</v>
      </c>
      <c r="CL139" s="320">
        <v>48396</v>
      </c>
      <c r="CM139" s="320">
        <v>48427</v>
      </c>
      <c r="CN139" s="320">
        <v>48458</v>
      </c>
      <c r="CO139" s="320">
        <v>48488</v>
      </c>
      <c r="CP139" s="320">
        <v>48519</v>
      </c>
      <c r="CQ139" s="320">
        <v>48549</v>
      </c>
      <c r="CR139" s="320">
        <v>48580</v>
      </c>
      <c r="CS139" s="320">
        <v>48611</v>
      </c>
      <c r="CT139" s="320">
        <v>48639</v>
      </c>
      <c r="CU139" s="320">
        <v>48670</v>
      </c>
      <c r="CV139" s="320">
        <v>48700</v>
      </c>
      <c r="CW139" s="320">
        <v>48731</v>
      </c>
      <c r="CX139" s="320">
        <v>48761</v>
      </c>
      <c r="CY139" s="320">
        <v>48792</v>
      </c>
      <c r="CZ139" s="320">
        <v>48823</v>
      </c>
      <c r="DA139" s="320">
        <v>48853</v>
      </c>
      <c r="DB139" s="320">
        <v>48884</v>
      </c>
      <c r="DC139" s="320">
        <v>48914</v>
      </c>
      <c r="DD139" s="320">
        <v>48945</v>
      </c>
      <c r="DE139" s="320">
        <v>48976</v>
      </c>
      <c r="DF139" s="320">
        <v>49004</v>
      </c>
      <c r="DG139" s="320">
        <v>49035</v>
      </c>
      <c r="DH139" s="320">
        <v>49065</v>
      </c>
      <c r="DI139" s="320">
        <v>49096</v>
      </c>
      <c r="DJ139" s="320">
        <v>49126</v>
      </c>
      <c r="DK139" s="320">
        <v>49157</v>
      </c>
      <c r="DL139" s="320">
        <v>49188</v>
      </c>
      <c r="DM139" s="320">
        <v>49218</v>
      </c>
      <c r="DN139" s="320">
        <v>49249</v>
      </c>
      <c r="DO139" s="320">
        <v>49279</v>
      </c>
      <c r="DP139" s="320">
        <v>49310</v>
      </c>
      <c r="DQ139" s="320">
        <v>49341</v>
      </c>
      <c r="DR139" s="320">
        <v>49369</v>
      </c>
      <c r="DS139" s="320">
        <v>49400</v>
      </c>
      <c r="DT139" s="320">
        <v>49430</v>
      </c>
      <c r="DU139" s="320">
        <v>49461</v>
      </c>
      <c r="DV139" s="320">
        <v>49491</v>
      </c>
      <c r="DW139" s="320">
        <v>49522</v>
      </c>
      <c r="DX139" s="320">
        <v>49553</v>
      </c>
      <c r="DY139" s="320">
        <v>49583</v>
      </c>
      <c r="DZ139" s="320">
        <v>49614</v>
      </c>
      <c r="EA139" s="320">
        <v>49644</v>
      </c>
      <c r="EB139" s="320">
        <v>49675</v>
      </c>
      <c r="EC139" s="320">
        <v>49706</v>
      </c>
      <c r="ED139" s="320">
        <v>49735</v>
      </c>
      <c r="EE139" s="320">
        <v>49766</v>
      </c>
      <c r="EF139" s="320">
        <v>49796</v>
      </c>
      <c r="EG139" s="320">
        <v>49827</v>
      </c>
      <c r="EH139" s="320">
        <v>49857</v>
      </c>
      <c r="EI139" s="320">
        <v>49888</v>
      </c>
      <c r="EJ139" s="320">
        <v>49919</v>
      </c>
      <c r="EK139" s="320">
        <v>49949</v>
      </c>
      <c r="EL139" s="320">
        <v>49980</v>
      </c>
      <c r="EM139" s="320">
        <v>50010</v>
      </c>
      <c r="EN139" s="320">
        <v>50041</v>
      </c>
      <c r="EO139" s="320">
        <v>50072</v>
      </c>
      <c r="EP139" s="320">
        <v>50100</v>
      </c>
      <c r="EQ139" s="320">
        <v>50131</v>
      </c>
      <c r="ER139" s="320">
        <v>50161</v>
      </c>
      <c r="ES139" s="320">
        <v>50192</v>
      </c>
      <c r="ET139" s="320">
        <v>50222</v>
      </c>
      <c r="EU139" s="320">
        <v>50253</v>
      </c>
      <c r="EV139" s="320">
        <v>50284</v>
      </c>
      <c r="EW139" s="320">
        <v>50314</v>
      </c>
      <c r="EX139" s="320">
        <v>50345</v>
      </c>
      <c r="EY139" s="320">
        <v>50375</v>
      </c>
      <c r="EZ139" s="320">
        <v>50406</v>
      </c>
      <c r="FA139" s="320">
        <v>50437</v>
      </c>
      <c r="FB139" s="320">
        <v>50465</v>
      </c>
      <c r="FC139" s="320">
        <v>50496</v>
      </c>
      <c r="FD139" s="320">
        <v>50526</v>
      </c>
      <c r="FE139" s="320">
        <v>50557</v>
      </c>
      <c r="FF139" s="320">
        <v>50587</v>
      </c>
      <c r="FG139" s="320">
        <v>50618</v>
      </c>
      <c r="FH139" s="320">
        <v>50649</v>
      </c>
      <c r="FI139" s="320">
        <v>50679</v>
      </c>
      <c r="FJ139" s="320">
        <v>50710</v>
      </c>
      <c r="FK139" s="320">
        <v>50740</v>
      </c>
      <c r="FL139" s="320">
        <v>50771</v>
      </c>
      <c r="FM139" s="320">
        <v>50802</v>
      </c>
      <c r="FN139" s="320">
        <v>50830</v>
      </c>
      <c r="FO139" s="320">
        <v>50861</v>
      </c>
      <c r="FP139" s="320">
        <v>50891</v>
      </c>
      <c r="FQ139" s="320">
        <v>50922</v>
      </c>
      <c r="FR139" s="320">
        <v>50952</v>
      </c>
      <c r="FS139" s="320">
        <v>50983</v>
      </c>
      <c r="FT139" s="320">
        <v>51014</v>
      </c>
      <c r="FU139" s="320">
        <v>51044</v>
      </c>
      <c r="FV139" s="320">
        <v>51075</v>
      </c>
      <c r="FW139" s="320">
        <v>51105</v>
      </c>
      <c r="FX139" s="320">
        <v>51136</v>
      </c>
      <c r="FY139" s="320">
        <v>51167</v>
      </c>
      <c r="FZ139" s="320">
        <v>51196</v>
      </c>
      <c r="GA139" s="320">
        <v>51227</v>
      </c>
      <c r="GB139" s="320">
        <v>51257</v>
      </c>
      <c r="GC139" s="320">
        <v>51288</v>
      </c>
      <c r="GD139" s="320">
        <v>51318</v>
      </c>
      <c r="GE139" s="320">
        <v>51349</v>
      </c>
      <c r="GF139" s="320">
        <v>51380</v>
      </c>
      <c r="GG139" s="320">
        <v>51410</v>
      </c>
      <c r="GH139" s="320">
        <v>51441</v>
      </c>
      <c r="GI139" s="320">
        <v>51471</v>
      </c>
      <c r="GJ139" s="320">
        <v>51502</v>
      </c>
      <c r="GK139" s="320">
        <v>51533</v>
      </c>
      <c r="GL139" s="320">
        <v>51561</v>
      </c>
      <c r="GM139" s="320">
        <v>51592</v>
      </c>
      <c r="GN139" s="320">
        <v>51622</v>
      </c>
      <c r="GO139" s="320">
        <v>51653</v>
      </c>
      <c r="GP139" s="320">
        <v>51683</v>
      </c>
      <c r="GQ139" s="320">
        <v>51714</v>
      </c>
      <c r="GR139" s="320">
        <v>51745</v>
      </c>
      <c r="GS139" s="320">
        <v>51775</v>
      </c>
      <c r="GT139" s="320">
        <v>51806</v>
      </c>
      <c r="GU139" s="320">
        <v>51836</v>
      </c>
      <c r="GV139" s="320">
        <v>51867</v>
      </c>
      <c r="GW139" s="320">
        <v>51898</v>
      </c>
      <c r="GX139" s="320">
        <v>51926</v>
      </c>
      <c r="GY139" s="320">
        <v>51957</v>
      </c>
      <c r="GZ139" s="320">
        <v>51987</v>
      </c>
      <c r="HA139" s="320">
        <v>52018</v>
      </c>
      <c r="HB139" s="320">
        <v>52048</v>
      </c>
      <c r="HC139" s="320">
        <v>52079</v>
      </c>
      <c r="HD139" s="320">
        <v>52110</v>
      </c>
      <c r="HE139" s="320">
        <v>52140</v>
      </c>
      <c r="HF139" s="320">
        <v>52171</v>
      </c>
      <c r="HG139" s="320">
        <v>52201</v>
      </c>
      <c r="HH139" s="320">
        <v>52232</v>
      </c>
      <c r="HI139" s="320">
        <v>52263</v>
      </c>
      <c r="HJ139" s="320">
        <v>52291</v>
      </c>
      <c r="HK139" s="320">
        <v>52322</v>
      </c>
      <c r="HL139" s="320">
        <v>52352</v>
      </c>
      <c r="HM139" s="320">
        <v>52383</v>
      </c>
      <c r="HN139" s="320">
        <v>52413</v>
      </c>
      <c r="HO139" s="320">
        <v>52444</v>
      </c>
      <c r="HP139" s="320">
        <v>52475</v>
      </c>
      <c r="HQ139" s="320">
        <v>52505</v>
      </c>
      <c r="HR139" s="320">
        <v>52536</v>
      </c>
      <c r="HS139" s="320">
        <v>52566</v>
      </c>
      <c r="HT139" s="320">
        <v>52597</v>
      </c>
      <c r="HU139" s="320">
        <v>52628</v>
      </c>
      <c r="HV139" s="320">
        <v>52657</v>
      </c>
      <c r="HW139" s="320">
        <v>52688</v>
      </c>
      <c r="HX139" s="320">
        <v>52718</v>
      </c>
      <c r="HY139" s="320">
        <v>52749</v>
      </c>
      <c r="HZ139" s="320">
        <v>52779</v>
      </c>
      <c r="IA139" s="320">
        <v>52810</v>
      </c>
      <c r="IB139" s="320">
        <v>52841</v>
      </c>
      <c r="IC139" s="320">
        <v>52871</v>
      </c>
      <c r="ID139" s="320">
        <v>52902</v>
      </c>
      <c r="IE139" s="320">
        <v>52932</v>
      </c>
      <c r="IF139" s="320">
        <v>52963</v>
      </c>
      <c r="IG139" s="320">
        <v>52994</v>
      </c>
      <c r="IH139" s="320">
        <v>53022</v>
      </c>
      <c r="II139" s="320">
        <v>53053</v>
      </c>
      <c r="IJ139" s="320">
        <v>53083</v>
      </c>
      <c r="IK139" s="320">
        <v>53114</v>
      </c>
      <c r="IL139" s="320">
        <v>53144</v>
      </c>
      <c r="IM139" s="320">
        <v>53175</v>
      </c>
      <c r="IN139" s="320">
        <v>53206</v>
      </c>
      <c r="IO139" s="320">
        <v>53236</v>
      </c>
      <c r="IP139" s="320">
        <v>53267</v>
      </c>
      <c r="IQ139" s="320">
        <v>53297</v>
      </c>
      <c r="IR139" s="320">
        <v>53328</v>
      </c>
      <c r="IS139" s="320">
        <v>53359</v>
      </c>
      <c r="IT139" s="320">
        <v>53387</v>
      </c>
      <c r="IU139" s="320">
        <v>53418</v>
      </c>
      <c r="IV139" s="320">
        <v>53448</v>
      </c>
      <c r="IW139" s="320">
        <v>53479</v>
      </c>
      <c r="IX139" s="320">
        <v>53509</v>
      </c>
      <c r="IY139" s="320">
        <v>53540</v>
      </c>
      <c r="IZ139" s="320">
        <v>53571</v>
      </c>
      <c r="JA139" s="320">
        <v>53601</v>
      </c>
      <c r="JB139" s="320">
        <v>53632</v>
      </c>
      <c r="JC139" s="320">
        <v>53662</v>
      </c>
      <c r="JD139" s="320">
        <v>53693</v>
      </c>
      <c r="JE139" s="320">
        <v>53724</v>
      </c>
      <c r="JF139" s="320">
        <v>53752</v>
      </c>
      <c r="JG139" s="320">
        <v>53783</v>
      </c>
      <c r="JH139" s="320">
        <v>53813</v>
      </c>
      <c r="JI139" s="320">
        <v>53844</v>
      </c>
      <c r="JJ139" s="320">
        <v>53874</v>
      </c>
      <c r="JK139" s="320">
        <v>53905</v>
      </c>
      <c r="JL139" s="320">
        <v>53936</v>
      </c>
      <c r="JM139" s="320">
        <v>53966</v>
      </c>
      <c r="JN139" s="320">
        <v>53997</v>
      </c>
      <c r="JO139" s="320">
        <v>54027</v>
      </c>
      <c r="JP139" s="320">
        <v>54058</v>
      </c>
      <c r="JQ139" s="320">
        <v>54089</v>
      </c>
      <c r="JR139" s="320">
        <v>54118</v>
      </c>
      <c r="JS139" s="320">
        <v>54149</v>
      </c>
      <c r="JT139" s="320">
        <v>54179</v>
      </c>
      <c r="JU139" s="320">
        <v>54210</v>
      </c>
      <c r="JV139" s="320">
        <v>54240</v>
      </c>
      <c r="JW139" s="320">
        <v>54271</v>
      </c>
      <c r="JX139" s="320">
        <v>54302</v>
      </c>
      <c r="JY139" s="320">
        <v>54332</v>
      </c>
      <c r="JZ139" s="320">
        <v>54363</v>
      </c>
      <c r="KA139" s="320">
        <v>54393</v>
      </c>
      <c r="KB139" s="320">
        <v>54424</v>
      </c>
      <c r="KC139" s="320">
        <v>54455</v>
      </c>
      <c r="KD139" s="320">
        <v>54483</v>
      </c>
      <c r="KE139" s="320">
        <v>54514</v>
      </c>
      <c r="KF139" s="320">
        <v>54544</v>
      </c>
      <c r="KG139" s="320">
        <v>54575</v>
      </c>
      <c r="KH139" s="320">
        <v>54605</v>
      </c>
      <c r="KI139" s="320">
        <v>54636</v>
      </c>
      <c r="KJ139" s="320">
        <v>54667</v>
      </c>
      <c r="KK139" s="320">
        <v>54697</v>
      </c>
      <c r="KL139" s="320">
        <v>54728</v>
      </c>
      <c r="KM139" s="320">
        <v>54758</v>
      </c>
      <c r="KN139" s="320">
        <v>54789</v>
      </c>
      <c r="KO139" s="320">
        <v>54820</v>
      </c>
      <c r="KP139" s="320">
        <v>54848</v>
      </c>
      <c r="KQ139" s="320">
        <v>54879</v>
      </c>
      <c r="KR139" s="320">
        <v>54909</v>
      </c>
      <c r="KS139" s="320">
        <v>54940</v>
      </c>
      <c r="KT139" s="320">
        <v>54970</v>
      </c>
      <c r="KU139" s="320">
        <v>55001</v>
      </c>
      <c r="KV139" s="320">
        <v>55032</v>
      </c>
      <c r="KW139" s="320">
        <v>55062</v>
      </c>
      <c r="KX139" s="320">
        <v>55093</v>
      </c>
      <c r="KY139" s="320">
        <v>55123</v>
      </c>
      <c r="KZ139" s="320">
        <v>55154</v>
      </c>
      <c r="LA139" s="320">
        <v>55185</v>
      </c>
      <c r="LB139" s="320">
        <v>55213</v>
      </c>
      <c r="LC139" s="320">
        <v>55244</v>
      </c>
      <c r="LD139" s="320">
        <v>55274</v>
      </c>
      <c r="LE139" s="320">
        <v>55305</v>
      </c>
      <c r="LF139" s="320">
        <v>55335</v>
      </c>
      <c r="LG139" s="320">
        <v>55366</v>
      </c>
      <c r="LH139" s="320">
        <v>55397</v>
      </c>
      <c r="LI139" s="320">
        <v>55427</v>
      </c>
      <c r="LJ139" s="320">
        <v>55458</v>
      </c>
      <c r="LK139" s="320">
        <v>55488</v>
      </c>
      <c r="LL139" s="320">
        <v>55519</v>
      </c>
      <c r="LM139" s="320">
        <v>55550</v>
      </c>
      <c r="LN139" s="320">
        <v>55579</v>
      </c>
      <c r="LO139" s="320">
        <v>55610</v>
      </c>
      <c r="LP139" s="320">
        <v>55640</v>
      </c>
      <c r="LQ139" s="320">
        <v>55671</v>
      </c>
      <c r="LR139" s="320">
        <v>55701</v>
      </c>
      <c r="LS139" s="320">
        <v>55732</v>
      </c>
      <c r="LT139" s="320">
        <v>55763</v>
      </c>
      <c r="LU139" s="320">
        <v>55793</v>
      </c>
      <c r="LV139" s="320">
        <v>55824</v>
      </c>
      <c r="LW139" s="320">
        <v>55854</v>
      </c>
      <c r="LX139" s="320">
        <v>55885</v>
      </c>
      <c r="LY139" s="320">
        <v>55916</v>
      </c>
      <c r="LZ139" s="320">
        <v>55944</v>
      </c>
      <c r="MA139" s="320">
        <v>55975</v>
      </c>
      <c r="MB139" s="320">
        <v>56005</v>
      </c>
      <c r="MC139" s="320">
        <v>56036</v>
      </c>
      <c r="MD139" s="320">
        <v>56066</v>
      </c>
      <c r="ME139" s="320">
        <v>56097</v>
      </c>
      <c r="MF139" s="320">
        <v>56128</v>
      </c>
      <c r="MG139" s="320">
        <v>56158</v>
      </c>
      <c r="MH139" s="320">
        <v>56189</v>
      </c>
      <c r="MI139" s="320">
        <v>56219</v>
      </c>
      <c r="MJ139" s="320">
        <v>56250</v>
      </c>
      <c r="MK139" s="320">
        <v>56281</v>
      </c>
      <c r="ML139" s="320">
        <v>56309</v>
      </c>
      <c r="MM139" s="320">
        <v>56340</v>
      </c>
      <c r="MN139" s="320">
        <v>56370</v>
      </c>
      <c r="MO139" s="320">
        <v>56401</v>
      </c>
      <c r="MP139" s="320">
        <v>56431</v>
      </c>
      <c r="MQ139" s="320">
        <v>56462</v>
      </c>
      <c r="MR139" s="320">
        <v>56493</v>
      </c>
      <c r="MS139" s="320">
        <v>56523</v>
      </c>
      <c r="MT139" s="320">
        <v>56554</v>
      </c>
      <c r="MU139" s="320">
        <v>56584</v>
      </c>
      <c r="MV139" s="320">
        <v>56615</v>
      </c>
      <c r="MW139" s="320">
        <v>56646</v>
      </c>
      <c r="MX139" s="320">
        <v>56674</v>
      </c>
      <c r="MY139" s="320">
        <v>56705</v>
      </c>
      <c r="MZ139" s="320">
        <v>56735</v>
      </c>
      <c r="NA139" s="320">
        <v>56766</v>
      </c>
      <c r="NB139" s="320">
        <v>56796</v>
      </c>
      <c r="NC139" s="320">
        <v>56827</v>
      </c>
      <c r="ND139" s="320">
        <v>56858</v>
      </c>
      <c r="NE139" s="320">
        <v>56888</v>
      </c>
      <c r="NF139" s="320">
        <v>56919</v>
      </c>
      <c r="NG139" s="320">
        <v>56949</v>
      </c>
      <c r="NH139" s="320">
        <v>56980</v>
      </c>
      <c r="NI139" s="320">
        <v>57011</v>
      </c>
      <c r="NJ139" s="320">
        <v>57040</v>
      </c>
      <c r="NK139" s="320">
        <v>57071</v>
      </c>
      <c r="NL139" s="320">
        <v>57101</v>
      </c>
      <c r="NM139" s="320">
        <v>57132</v>
      </c>
      <c r="NN139" s="320">
        <v>57162</v>
      </c>
      <c r="NO139" s="320">
        <v>57193</v>
      </c>
      <c r="NP139" s="320">
        <v>57224</v>
      </c>
      <c r="NQ139" s="320">
        <v>57254</v>
      </c>
      <c r="NR139" s="320">
        <v>57285</v>
      </c>
      <c r="NS139" s="320">
        <v>57315</v>
      </c>
      <c r="NT139" s="320">
        <v>57346</v>
      </c>
      <c r="NU139" s="320">
        <v>57377</v>
      </c>
      <c r="NV139" s="320">
        <v>57405</v>
      </c>
      <c r="NW139" s="320">
        <v>57436</v>
      </c>
      <c r="NX139" s="320">
        <v>57466</v>
      </c>
      <c r="NY139" s="320">
        <v>57497</v>
      </c>
      <c r="NZ139" s="320">
        <v>57527</v>
      </c>
      <c r="OA139" s="320">
        <v>57558</v>
      </c>
      <c r="OB139" s="320">
        <v>57589</v>
      </c>
      <c r="OC139" s="320">
        <v>57619</v>
      </c>
      <c r="OD139" s="320">
        <v>57650</v>
      </c>
      <c r="OE139" s="320">
        <v>57680</v>
      </c>
    </row>
    <row r="140" spans="1:395" x14ac:dyDescent="0.3">
      <c r="D140" s="119"/>
      <c r="E140" s="271"/>
      <c r="F140" s="76"/>
      <c r="I140" s="20"/>
      <c r="J140" s="60"/>
      <c r="K140" s="65"/>
      <c r="L140" s="55"/>
      <c r="M140" s="66"/>
      <c r="N140" s="314" t="s">
        <v>503</v>
      </c>
      <c r="O140" s="312"/>
      <c r="P140" s="313"/>
      <c r="Q140" s="321"/>
      <c r="R140" s="211"/>
      <c r="S140" s="211"/>
      <c r="T140" s="211"/>
      <c r="U140" s="211"/>
      <c r="V140" s="211"/>
      <c r="W140" s="211"/>
      <c r="X140" s="211"/>
      <c r="Y140" s="211"/>
      <c r="Z140" s="211"/>
      <c r="AA140" s="211"/>
      <c r="AB140" s="211"/>
      <c r="AC140" s="211"/>
      <c r="AD140" s="211"/>
      <c r="AE140" s="211"/>
      <c r="AF140" s="211"/>
      <c r="AG140" s="211"/>
      <c r="AH140" s="211"/>
      <c r="AI140" s="211"/>
      <c r="AJ140" s="211"/>
      <c r="AK140" s="211"/>
      <c r="AL140" s="211"/>
      <c r="AM140" s="211"/>
      <c r="AN140" s="211"/>
      <c r="AO140" s="211"/>
      <c r="AP140" s="211"/>
      <c r="AQ140" s="211"/>
      <c r="AR140" s="211"/>
      <c r="AS140" s="211"/>
      <c r="AT140" s="211"/>
      <c r="AU140" s="211"/>
      <c r="AV140" s="211"/>
      <c r="AW140" s="211"/>
      <c r="AX140" s="211"/>
      <c r="AY140" s="211"/>
      <c r="AZ140" s="211"/>
      <c r="BA140" s="211"/>
      <c r="BB140" s="211"/>
      <c r="BC140" s="211"/>
      <c r="BD140" s="211"/>
      <c r="BE140" s="211"/>
      <c r="BF140" s="211"/>
      <c r="BG140" s="211"/>
      <c r="BH140" s="211"/>
      <c r="BI140" s="211"/>
      <c r="BJ140" s="211"/>
      <c r="BK140" s="211"/>
      <c r="BL140" s="211"/>
      <c r="BM140" s="211"/>
      <c r="BN140" s="211"/>
      <c r="BO140" s="211"/>
      <c r="BP140" s="211"/>
      <c r="BQ140" s="211"/>
      <c r="BR140" s="211"/>
      <c r="BS140" s="211"/>
      <c r="BT140" s="211"/>
      <c r="BU140" s="211"/>
      <c r="BV140" s="211"/>
      <c r="BW140" s="211"/>
      <c r="BX140" s="211"/>
      <c r="BY140" s="211"/>
      <c r="BZ140" s="211"/>
      <c r="CA140" s="211"/>
      <c r="CB140" s="211"/>
      <c r="CC140" s="211"/>
      <c r="CD140" s="211"/>
      <c r="CE140" s="211"/>
      <c r="CF140" s="211"/>
      <c r="CG140" s="211"/>
      <c r="CH140" s="211"/>
      <c r="CI140" s="211"/>
      <c r="CJ140" s="211"/>
      <c r="CK140" s="211"/>
      <c r="CL140" s="211"/>
      <c r="CM140" s="211"/>
      <c r="CN140" s="211"/>
      <c r="CO140" s="211"/>
      <c r="CP140" s="211"/>
      <c r="CQ140" s="211"/>
      <c r="CR140" s="211"/>
      <c r="CS140" s="211"/>
      <c r="CT140" s="211"/>
      <c r="CU140" s="211"/>
      <c r="CV140" s="211"/>
      <c r="CW140" s="211"/>
      <c r="CX140" s="211"/>
      <c r="CY140" s="211"/>
      <c r="CZ140" s="211"/>
      <c r="DA140" s="211"/>
      <c r="DB140" s="211"/>
      <c r="DC140" s="211"/>
      <c r="DD140" s="211"/>
      <c r="DE140" s="211"/>
      <c r="DF140" s="211"/>
      <c r="DG140" s="211"/>
      <c r="DH140" s="211"/>
      <c r="DI140" s="211"/>
      <c r="DJ140" s="211"/>
      <c r="DK140" s="211"/>
      <c r="DL140" s="211"/>
      <c r="DM140" s="211"/>
      <c r="DN140" s="211"/>
      <c r="DO140" s="211"/>
      <c r="DP140" s="211"/>
      <c r="DQ140" s="211"/>
      <c r="DR140" s="211"/>
      <c r="DS140" s="211"/>
      <c r="DT140" s="211"/>
      <c r="DU140" s="211"/>
      <c r="DV140" s="211"/>
      <c r="DW140" s="211"/>
      <c r="DX140" s="211"/>
      <c r="DY140" s="211"/>
      <c r="DZ140" s="211"/>
      <c r="EA140" s="211"/>
      <c r="EB140" s="211"/>
      <c r="EC140" s="211"/>
      <c r="ED140" s="211"/>
      <c r="EE140" s="211"/>
      <c r="EF140" s="211"/>
      <c r="EG140" s="211"/>
      <c r="EH140" s="211"/>
      <c r="EI140" s="211"/>
      <c r="EJ140" s="211"/>
      <c r="EK140" s="211"/>
      <c r="EL140" s="211"/>
      <c r="EM140" s="211"/>
      <c r="EN140" s="211"/>
      <c r="EO140" s="211"/>
      <c r="EP140" s="211"/>
      <c r="EQ140" s="211"/>
      <c r="ER140" s="211"/>
      <c r="ES140" s="211"/>
      <c r="ET140" s="211"/>
      <c r="EU140" s="211"/>
      <c r="EV140" s="211"/>
      <c r="EW140" s="211"/>
      <c r="EX140" s="211"/>
      <c r="EY140" s="211"/>
      <c r="EZ140" s="211"/>
      <c r="FA140" s="211"/>
      <c r="FB140" s="211"/>
      <c r="FC140" s="211"/>
      <c r="FD140" s="211"/>
      <c r="FE140" s="211"/>
      <c r="FF140" s="211"/>
      <c r="FG140" s="211"/>
      <c r="FH140" s="211"/>
      <c r="FI140" s="211"/>
      <c r="FJ140" s="211"/>
      <c r="FK140" s="211"/>
      <c r="FL140" s="211"/>
      <c r="FM140" s="211"/>
      <c r="FN140" s="211"/>
      <c r="FO140" s="211"/>
      <c r="FP140" s="211"/>
      <c r="FQ140" s="211"/>
      <c r="FR140" s="211"/>
      <c r="FS140" s="211"/>
      <c r="FT140" s="211"/>
      <c r="FU140" s="211"/>
      <c r="FV140" s="211"/>
      <c r="FW140" s="211"/>
      <c r="FX140" s="211"/>
      <c r="FY140" s="211"/>
      <c r="FZ140" s="211"/>
      <c r="GA140" s="211"/>
      <c r="GB140" s="211"/>
      <c r="GC140" s="211"/>
      <c r="GD140" s="211"/>
      <c r="GE140" s="211"/>
      <c r="GF140" s="211"/>
      <c r="GG140" s="211"/>
      <c r="GH140" s="211"/>
      <c r="GI140" s="211"/>
      <c r="GJ140" s="211"/>
      <c r="GK140" s="211"/>
      <c r="GL140" s="211"/>
      <c r="GM140" s="211"/>
      <c r="GN140" s="211"/>
      <c r="GO140" s="211"/>
      <c r="GP140" s="211"/>
      <c r="GQ140" s="211"/>
      <c r="GR140" s="211"/>
      <c r="GS140" s="211"/>
      <c r="GT140" s="211"/>
      <c r="GU140" s="211"/>
      <c r="GV140" s="211"/>
      <c r="GW140" s="211"/>
      <c r="GX140" s="211"/>
      <c r="GY140" s="211"/>
      <c r="GZ140" s="211"/>
      <c r="HA140" s="211"/>
      <c r="HB140" s="211"/>
      <c r="HC140" s="211"/>
      <c r="HD140" s="211"/>
      <c r="HE140" s="211"/>
      <c r="HF140" s="211"/>
      <c r="HG140" s="211"/>
      <c r="HH140" s="211"/>
      <c r="HI140" s="211"/>
      <c r="HJ140" s="211"/>
      <c r="HK140" s="211"/>
      <c r="HL140" s="211"/>
      <c r="HM140" s="211"/>
      <c r="HN140" s="211"/>
      <c r="HO140" s="211"/>
      <c r="HP140" s="211"/>
      <c r="HQ140" s="211"/>
      <c r="HR140" s="211"/>
      <c r="HS140" s="211"/>
      <c r="HT140" s="211"/>
      <c r="HU140" s="211"/>
      <c r="HV140" s="211"/>
      <c r="HW140" s="211"/>
      <c r="HX140" s="211"/>
      <c r="HY140" s="211"/>
      <c r="HZ140" s="211"/>
      <c r="IA140" s="211"/>
      <c r="IB140" s="211"/>
      <c r="IC140" s="211"/>
      <c r="ID140" s="211"/>
      <c r="IE140" s="211"/>
      <c r="IF140" s="211"/>
      <c r="IG140" s="211"/>
      <c r="IH140" s="211"/>
      <c r="II140" s="211"/>
      <c r="IJ140" s="211"/>
      <c r="IK140" s="211"/>
      <c r="IL140" s="211"/>
      <c r="IM140" s="211"/>
      <c r="IN140" s="211"/>
      <c r="IO140" s="211"/>
      <c r="IP140" s="211"/>
      <c r="IQ140" s="211"/>
      <c r="IR140" s="211"/>
      <c r="IS140" s="211"/>
      <c r="IT140" s="211"/>
      <c r="IU140" s="211"/>
      <c r="IV140" s="211"/>
      <c r="IW140" s="211"/>
      <c r="IX140" s="211"/>
      <c r="IY140" s="211"/>
      <c r="IZ140" s="211"/>
      <c r="JA140" s="211"/>
      <c r="JB140" s="211"/>
      <c r="JC140" s="211"/>
      <c r="JD140" s="211"/>
      <c r="JE140" s="211"/>
      <c r="JF140" s="211"/>
      <c r="JG140" s="211"/>
      <c r="JH140" s="211"/>
      <c r="JI140" s="211"/>
      <c r="JJ140" s="211"/>
      <c r="JK140" s="211"/>
      <c r="JL140" s="211"/>
      <c r="JM140" s="211"/>
      <c r="JN140" s="211"/>
      <c r="JO140" s="211"/>
      <c r="JP140" s="211"/>
      <c r="JQ140" s="211"/>
      <c r="JR140" s="211"/>
      <c r="JS140" s="211"/>
      <c r="JT140" s="211"/>
      <c r="JU140" s="211"/>
      <c r="JV140" s="211"/>
      <c r="JW140" s="211"/>
      <c r="JX140" s="211"/>
      <c r="JY140" s="211"/>
      <c r="JZ140" s="211"/>
      <c r="KA140" s="211"/>
      <c r="KB140" s="211"/>
      <c r="KC140" s="211"/>
      <c r="KD140" s="211"/>
      <c r="KE140" s="211"/>
      <c r="KF140" s="211"/>
      <c r="KG140" s="211"/>
      <c r="KH140" s="211"/>
      <c r="KI140" s="211"/>
      <c r="KJ140" s="211"/>
      <c r="KK140" s="211"/>
      <c r="KL140" s="211"/>
      <c r="KM140" s="211"/>
      <c r="KN140" s="211"/>
      <c r="KO140" s="211"/>
      <c r="KP140" s="211"/>
      <c r="KQ140" s="211"/>
      <c r="KR140" s="211"/>
      <c r="KS140" s="211"/>
      <c r="KT140" s="211"/>
      <c r="KU140" s="211"/>
      <c r="KV140" s="211"/>
      <c r="KW140" s="211"/>
      <c r="KX140" s="211"/>
      <c r="KY140" s="211"/>
      <c r="KZ140" s="211"/>
      <c r="LA140" s="211"/>
      <c r="LB140" s="211"/>
      <c r="LC140" s="211"/>
      <c r="LD140" s="211"/>
      <c r="LE140" s="211"/>
      <c r="LF140" s="211"/>
      <c r="LG140" s="211"/>
      <c r="LH140" s="211"/>
      <c r="LI140" s="211"/>
      <c r="LJ140" s="211"/>
      <c r="LK140" s="211"/>
      <c r="LL140" s="211"/>
      <c r="LM140" s="211"/>
      <c r="LN140" s="211"/>
      <c r="LO140" s="211"/>
      <c r="LP140" s="211"/>
      <c r="LQ140" s="211"/>
      <c r="LR140" s="211"/>
      <c r="LS140" s="211"/>
      <c r="LT140" s="211"/>
      <c r="LU140" s="211"/>
      <c r="LV140" s="211"/>
      <c r="LW140" s="211"/>
      <c r="LX140" s="211"/>
      <c r="LY140" s="211"/>
      <c r="LZ140" s="211"/>
      <c r="MA140" s="211"/>
      <c r="MB140" s="211"/>
      <c r="MC140" s="211"/>
      <c r="MD140" s="211"/>
      <c r="ME140" s="211"/>
      <c r="MF140" s="211"/>
      <c r="MG140" s="211"/>
      <c r="MH140" s="211"/>
      <c r="MI140" s="211"/>
      <c r="MJ140" s="211"/>
      <c r="MK140" s="211"/>
      <c r="ML140" s="211"/>
      <c r="MM140" s="211"/>
      <c r="MN140" s="211"/>
      <c r="MO140" s="211"/>
      <c r="MP140" s="211"/>
      <c r="MQ140" s="211"/>
      <c r="MR140" s="211"/>
      <c r="MS140" s="211"/>
      <c r="MT140" s="211"/>
      <c r="MU140" s="211"/>
      <c r="MV140" s="211"/>
      <c r="MW140" s="211"/>
      <c r="MX140" s="211"/>
      <c r="MY140" s="211"/>
      <c r="MZ140" s="211"/>
      <c r="NA140" s="211"/>
      <c r="NB140" s="211"/>
      <c r="NC140" s="211"/>
      <c r="ND140" s="211"/>
      <c r="NE140" s="211"/>
      <c r="NF140" s="211"/>
      <c r="NG140" s="211"/>
      <c r="NH140" s="211"/>
      <c r="NI140" s="211"/>
      <c r="NJ140" s="211"/>
      <c r="NK140" s="211"/>
      <c r="NL140" s="211"/>
      <c r="NM140" s="211"/>
      <c r="NN140" s="211"/>
      <c r="NO140" s="211"/>
      <c r="NP140" s="211"/>
      <c r="NQ140" s="211"/>
      <c r="NR140" s="211"/>
      <c r="NS140" s="211"/>
      <c r="NT140" s="211"/>
      <c r="NU140" s="211"/>
      <c r="NV140" s="211"/>
      <c r="NW140" s="211"/>
      <c r="NX140" s="211"/>
      <c r="NY140" s="211"/>
      <c r="NZ140" s="211"/>
      <c r="OA140" s="211"/>
      <c r="OB140" s="211"/>
      <c r="OC140" s="211"/>
      <c r="OD140" s="211"/>
      <c r="OE140" s="211"/>
    </row>
    <row r="141" spans="1:395" x14ac:dyDescent="0.3">
      <c r="D141" s="119"/>
      <c r="E141" s="271"/>
      <c r="F141" s="76"/>
      <c r="I141" s="20"/>
      <c r="J141" s="60"/>
      <c r="K141" s="65"/>
      <c r="L141" s="55"/>
      <c r="M141" s="66"/>
      <c r="N141" s="315" t="s">
        <v>509</v>
      </c>
      <c r="O141" s="316"/>
      <c r="P141" s="311" t="s">
        <v>507</v>
      </c>
      <c r="Q141" s="321"/>
      <c r="R141" s="211"/>
      <c r="S141" s="211"/>
      <c r="T141" s="211"/>
      <c r="U141" s="211"/>
      <c r="V141" s="211"/>
      <c r="W141" s="211"/>
      <c r="X141" s="211"/>
      <c r="Y141" s="211"/>
      <c r="Z141" s="211"/>
      <c r="AA141" s="211"/>
      <c r="AB141" s="211"/>
      <c r="AC141" s="211"/>
      <c r="AD141" s="211"/>
      <c r="AE141" s="211"/>
      <c r="AF141" s="211"/>
      <c r="AG141" s="211"/>
      <c r="AH141" s="211"/>
      <c r="AI141" s="211"/>
      <c r="AJ141" s="211"/>
      <c r="AK141" s="211"/>
      <c r="AL141" s="211"/>
      <c r="AM141" s="211"/>
      <c r="AN141" s="211"/>
      <c r="AO141" s="211"/>
      <c r="AP141" s="211"/>
      <c r="AQ141" s="211"/>
      <c r="AR141" s="211"/>
      <c r="AS141" s="211"/>
      <c r="AT141" s="211"/>
      <c r="AU141" s="211"/>
      <c r="AV141" s="211"/>
      <c r="AW141" s="211"/>
      <c r="AX141" s="211"/>
      <c r="AY141" s="211"/>
      <c r="AZ141" s="211"/>
      <c r="BA141" s="211"/>
      <c r="BB141" s="211"/>
      <c r="BC141" s="211"/>
      <c r="BD141" s="211"/>
      <c r="BE141" s="211"/>
      <c r="BF141" s="211"/>
      <c r="BG141" s="211"/>
      <c r="BH141" s="211"/>
      <c r="BI141" s="211"/>
      <c r="BJ141" s="211"/>
      <c r="BK141" s="211"/>
      <c r="BL141" s="211"/>
      <c r="BM141" s="211"/>
      <c r="BN141" s="211"/>
      <c r="BO141" s="211"/>
      <c r="BP141" s="211"/>
      <c r="BQ141" s="211"/>
      <c r="BR141" s="211"/>
      <c r="BS141" s="211"/>
      <c r="BT141" s="211"/>
      <c r="BU141" s="211"/>
      <c r="BV141" s="211"/>
      <c r="BW141" s="211"/>
      <c r="BX141" s="211"/>
      <c r="BY141" s="211"/>
      <c r="BZ141" s="211"/>
      <c r="CA141" s="211"/>
      <c r="CB141" s="211"/>
      <c r="CC141" s="211"/>
      <c r="CD141" s="211"/>
      <c r="CE141" s="211"/>
      <c r="CF141" s="211"/>
      <c r="CG141" s="211"/>
      <c r="CH141" s="211"/>
      <c r="CI141" s="211"/>
      <c r="CJ141" s="211"/>
      <c r="CK141" s="211"/>
      <c r="CL141" s="211"/>
      <c r="CM141" s="211"/>
      <c r="CN141" s="211"/>
      <c r="CO141" s="211"/>
      <c r="CP141" s="211"/>
      <c r="CQ141" s="211"/>
      <c r="CR141" s="211"/>
      <c r="CS141" s="211"/>
      <c r="CT141" s="211"/>
      <c r="CU141" s="211"/>
      <c r="CV141" s="211"/>
      <c r="CW141" s="211"/>
      <c r="CX141" s="211"/>
      <c r="CY141" s="211"/>
      <c r="CZ141" s="211"/>
      <c r="DA141" s="211"/>
      <c r="DB141" s="211"/>
      <c r="DC141" s="211"/>
      <c r="DD141" s="211"/>
      <c r="DE141" s="211"/>
      <c r="DF141" s="211"/>
      <c r="DG141" s="211"/>
      <c r="DH141" s="211"/>
      <c r="DI141" s="211"/>
      <c r="DJ141" s="211"/>
      <c r="DK141" s="211"/>
      <c r="DL141" s="211"/>
      <c r="DM141" s="211"/>
      <c r="DN141" s="211"/>
      <c r="DO141" s="211"/>
      <c r="DP141" s="211"/>
      <c r="DQ141" s="211"/>
      <c r="DR141" s="211"/>
      <c r="DS141" s="211"/>
      <c r="DT141" s="211"/>
      <c r="DU141" s="211"/>
      <c r="DV141" s="211"/>
      <c r="DW141" s="211"/>
      <c r="DX141" s="211"/>
      <c r="DY141" s="211"/>
      <c r="DZ141" s="211"/>
      <c r="EA141" s="211"/>
      <c r="EB141" s="211"/>
      <c r="EC141" s="211"/>
      <c r="ED141" s="211"/>
      <c r="EE141" s="211"/>
      <c r="EF141" s="211"/>
      <c r="EG141" s="211"/>
      <c r="EH141" s="211"/>
      <c r="EI141" s="211"/>
      <c r="EJ141" s="211"/>
      <c r="EK141" s="211"/>
      <c r="EL141" s="211"/>
      <c r="EM141" s="211"/>
      <c r="EN141" s="211"/>
      <c r="EO141" s="211"/>
      <c r="EP141" s="211"/>
      <c r="EQ141" s="211"/>
      <c r="ER141" s="211"/>
      <c r="ES141" s="211"/>
      <c r="ET141" s="211"/>
      <c r="EU141" s="211"/>
      <c r="EV141" s="211"/>
      <c r="EW141" s="211"/>
      <c r="EX141" s="211"/>
      <c r="EY141" s="211"/>
      <c r="EZ141" s="211"/>
      <c r="FA141" s="211"/>
      <c r="FB141" s="211"/>
      <c r="FC141" s="211"/>
      <c r="FD141" s="211"/>
      <c r="FE141" s="211"/>
      <c r="FF141" s="211"/>
      <c r="FG141" s="211"/>
      <c r="FH141" s="211"/>
      <c r="FI141" s="211"/>
      <c r="FJ141" s="211"/>
      <c r="FK141" s="211"/>
      <c r="FL141" s="211"/>
      <c r="FM141" s="211"/>
      <c r="FN141" s="211"/>
      <c r="FO141" s="211"/>
      <c r="FP141" s="211"/>
      <c r="FQ141" s="211"/>
      <c r="FR141" s="211"/>
      <c r="FS141" s="211"/>
      <c r="FT141" s="211"/>
      <c r="FU141" s="211"/>
      <c r="FV141" s="211"/>
      <c r="FW141" s="211"/>
      <c r="FX141" s="211"/>
      <c r="FY141" s="211"/>
      <c r="FZ141" s="211"/>
      <c r="GA141" s="211"/>
      <c r="GB141" s="211"/>
      <c r="GC141" s="211"/>
      <c r="GD141" s="211"/>
      <c r="GE141" s="211"/>
      <c r="GF141" s="211"/>
      <c r="GG141" s="211"/>
      <c r="GH141" s="211"/>
      <c r="GI141" s="211"/>
      <c r="GJ141" s="211"/>
      <c r="GK141" s="211"/>
      <c r="GL141" s="211"/>
      <c r="GM141" s="211"/>
      <c r="GN141" s="211"/>
      <c r="GO141" s="211"/>
      <c r="GP141" s="211"/>
      <c r="GQ141" s="211"/>
      <c r="GR141" s="211"/>
      <c r="GS141" s="211"/>
      <c r="GT141" s="211"/>
      <c r="GU141" s="211"/>
      <c r="GV141" s="211"/>
      <c r="GW141" s="211"/>
      <c r="GX141" s="211"/>
      <c r="GY141" s="211"/>
      <c r="GZ141" s="211"/>
      <c r="HA141" s="211"/>
      <c r="HB141" s="211"/>
      <c r="HC141" s="211"/>
      <c r="HD141" s="211"/>
      <c r="HE141" s="211"/>
      <c r="HF141" s="211"/>
      <c r="HG141" s="211"/>
      <c r="HH141" s="211"/>
      <c r="HI141" s="211"/>
      <c r="HJ141" s="211"/>
      <c r="HK141" s="211"/>
      <c r="HL141" s="211"/>
      <c r="HM141" s="211"/>
      <c r="HN141" s="211"/>
      <c r="HO141" s="211"/>
      <c r="HP141" s="211"/>
      <c r="HQ141" s="211"/>
      <c r="HR141" s="211"/>
      <c r="HS141" s="211"/>
      <c r="HT141" s="211"/>
      <c r="HU141" s="211"/>
      <c r="HV141" s="211"/>
      <c r="HW141" s="211"/>
      <c r="HX141" s="211"/>
      <c r="HY141" s="211"/>
      <c r="HZ141" s="211"/>
      <c r="IA141" s="211"/>
      <c r="IB141" s="211"/>
      <c r="IC141" s="211"/>
      <c r="ID141" s="211"/>
      <c r="IE141" s="211"/>
      <c r="IF141" s="211"/>
      <c r="IG141" s="211"/>
      <c r="IH141" s="211"/>
      <c r="II141" s="211"/>
      <c r="IJ141" s="211"/>
      <c r="IK141" s="211"/>
      <c r="IL141" s="211"/>
      <c r="IM141" s="211"/>
      <c r="IN141" s="211"/>
      <c r="IO141" s="211"/>
      <c r="IP141" s="211"/>
      <c r="IQ141" s="211"/>
      <c r="IR141" s="211"/>
      <c r="IS141" s="211"/>
      <c r="IT141" s="211"/>
      <c r="IU141" s="211"/>
      <c r="IV141" s="211"/>
      <c r="IW141" s="211"/>
      <c r="IX141" s="211"/>
      <c r="IY141" s="211"/>
      <c r="IZ141" s="211"/>
      <c r="JA141" s="211"/>
      <c r="JB141" s="211"/>
      <c r="JC141" s="211"/>
      <c r="JD141" s="211"/>
      <c r="JE141" s="211"/>
      <c r="JF141" s="211"/>
      <c r="JG141" s="211"/>
      <c r="JH141" s="211"/>
      <c r="JI141" s="211"/>
      <c r="JJ141" s="211"/>
      <c r="JK141" s="211"/>
      <c r="JL141" s="211"/>
      <c r="JM141" s="211"/>
      <c r="JN141" s="211"/>
      <c r="JO141" s="211"/>
      <c r="JP141" s="211"/>
      <c r="JQ141" s="211"/>
      <c r="JR141" s="211"/>
      <c r="JS141" s="211"/>
      <c r="JT141" s="211"/>
      <c r="JU141" s="211"/>
      <c r="JV141" s="211"/>
      <c r="JW141" s="211"/>
      <c r="JX141" s="211"/>
      <c r="JY141" s="211"/>
      <c r="JZ141" s="211"/>
      <c r="KA141" s="211"/>
      <c r="KB141" s="211"/>
      <c r="KC141" s="211"/>
      <c r="KD141" s="211"/>
      <c r="KE141" s="211"/>
      <c r="KF141" s="211"/>
      <c r="KG141" s="211"/>
      <c r="KH141" s="211"/>
      <c r="KI141" s="211"/>
      <c r="KJ141" s="211"/>
      <c r="KK141" s="211"/>
      <c r="KL141" s="211"/>
      <c r="KM141" s="211"/>
      <c r="KN141" s="211"/>
      <c r="KO141" s="211"/>
      <c r="KP141" s="211"/>
      <c r="KQ141" s="211"/>
      <c r="KR141" s="211"/>
      <c r="KS141" s="211"/>
      <c r="KT141" s="211"/>
      <c r="KU141" s="211"/>
      <c r="KV141" s="211"/>
      <c r="KW141" s="211"/>
      <c r="KX141" s="211"/>
      <c r="KY141" s="211"/>
      <c r="KZ141" s="211"/>
      <c r="LA141" s="211"/>
      <c r="LB141" s="211"/>
      <c r="LC141" s="211"/>
      <c r="LD141" s="211"/>
      <c r="LE141" s="211"/>
      <c r="LF141" s="211"/>
      <c r="LG141" s="211"/>
      <c r="LH141" s="211"/>
      <c r="LI141" s="211"/>
      <c r="LJ141" s="211"/>
      <c r="LK141" s="211"/>
      <c r="LL141" s="211"/>
      <c r="LM141" s="211"/>
      <c r="LN141" s="211"/>
      <c r="LO141" s="211"/>
      <c r="LP141" s="211"/>
      <c r="LQ141" s="211"/>
      <c r="LR141" s="211"/>
      <c r="LS141" s="211"/>
      <c r="LT141" s="211"/>
      <c r="LU141" s="211"/>
      <c r="LV141" s="211"/>
      <c r="LW141" s="211"/>
      <c r="LX141" s="211"/>
      <c r="LY141" s="211"/>
      <c r="LZ141" s="211"/>
      <c r="MA141" s="211"/>
      <c r="MB141" s="211"/>
      <c r="MC141" s="211"/>
      <c r="MD141" s="211"/>
      <c r="ME141" s="211"/>
      <c r="MF141" s="211"/>
      <c r="MG141" s="211"/>
      <c r="MH141" s="211"/>
      <c r="MI141" s="211"/>
      <c r="MJ141" s="211"/>
      <c r="MK141" s="211"/>
      <c r="ML141" s="211"/>
      <c r="MM141" s="211"/>
      <c r="MN141" s="211"/>
      <c r="MO141" s="211"/>
      <c r="MP141" s="211"/>
      <c r="MQ141" s="211"/>
      <c r="MR141" s="211"/>
      <c r="MS141" s="211"/>
      <c r="MT141" s="211"/>
      <c r="MU141" s="211"/>
      <c r="MV141" s="211"/>
      <c r="MW141" s="211"/>
      <c r="MX141" s="211"/>
      <c r="MY141" s="211"/>
      <c r="MZ141" s="211"/>
      <c r="NA141" s="211"/>
      <c r="NB141" s="211"/>
      <c r="NC141" s="211"/>
      <c r="ND141" s="211"/>
      <c r="NE141" s="211"/>
      <c r="NF141" s="211"/>
      <c r="NG141" s="211"/>
      <c r="NH141" s="211"/>
      <c r="NI141" s="211"/>
      <c r="NJ141" s="211"/>
      <c r="NK141" s="211"/>
      <c r="NL141" s="211"/>
      <c r="NM141" s="211"/>
      <c r="NN141" s="211"/>
      <c r="NO141" s="211"/>
      <c r="NP141" s="211"/>
      <c r="NQ141" s="211"/>
      <c r="NR141" s="211"/>
      <c r="NS141" s="211"/>
      <c r="NT141" s="211"/>
      <c r="NU141" s="211"/>
      <c r="NV141" s="211"/>
      <c r="NW141" s="211"/>
      <c r="NX141" s="211"/>
      <c r="NY141" s="211"/>
      <c r="NZ141" s="211"/>
      <c r="OA141" s="211"/>
      <c r="OB141" s="211"/>
      <c r="OC141" s="211"/>
      <c r="OD141" s="211"/>
      <c r="OE141" s="211"/>
    </row>
    <row r="142" spans="1:395" x14ac:dyDescent="0.3">
      <c r="D142" s="119"/>
      <c r="E142" s="271"/>
      <c r="F142" s="76"/>
      <c r="I142" s="20"/>
      <c r="J142" s="60"/>
      <c r="K142" s="65"/>
      <c r="L142" s="55"/>
      <c r="M142" s="66"/>
      <c r="N142" s="315" t="s">
        <v>508</v>
      </c>
      <c r="O142" s="316"/>
      <c r="P142" s="311" t="s">
        <v>507</v>
      </c>
      <c r="Q142" s="321"/>
      <c r="R142" s="211"/>
      <c r="S142" s="211"/>
      <c r="T142" s="211"/>
      <c r="U142" s="211"/>
      <c r="V142" s="211"/>
      <c r="W142" s="211"/>
      <c r="X142" s="211"/>
      <c r="Y142" s="211"/>
      <c r="Z142" s="211"/>
      <c r="AA142" s="211"/>
      <c r="AB142" s="211"/>
      <c r="AC142" s="211"/>
      <c r="AD142" s="211"/>
      <c r="AE142" s="211"/>
      <c r="AF142" s="211"/>
      <c r="AG142" s="211"/>
      <c r="AH142" s="211"/>
      <c r="AI142" s="211"/>
      <c r="AJ142" s="211"/>
      <c r="AK142" s="211"/>
      <c r="AL142" s="211"/>
      <c r="AM142" s="211"/>
      <c r="AN142" s="211"/>
      <c r="AO142" s="211"/>
      <c r="AP142" s="211"/>
      <c r="AQ142" s="211"/>
      <c r="AR142" s="211"/>
      <c r="AS142" s="211"/>
      <c r="AT142" s="211"/>
      <c r="AU142" s="211"/>
      <c r="AV142" s="211"/>
      <c r="AW142" s="211"/>
      <c r="AX142" s="211"/>
      <c r="AY142" s="211"/>
      <c r="AZ142" s="211"/>
      <c r="BA142" s="211"/>
      <c r="BB142" s="211"/>
      <c r="BC142" s="211"/>
      <c r="BD142" s="211"/>
      <c r="BE142" s="211"/>
      <c r="BF142" s="211"/>
      <c r="BG142" s="211"/>
      <c r="BH142" s="211"/>
      <c r="BI142" s="211"/>
      <c r="BJ142" s="211"/>
      <c r="BK142" s="211"/>
      <c r="BL142" s="211"/>
      <c r="BM142" s="211"/>
      <c r="BN142" s="211"/>
      <c r="BO142" s="211"/>
      <c r="BP142" s="211"/>
      <c r="BQ142" s="211"/>
      <c r="BR142" s="211"/>
      <c r="BS142" s="211"/>
      <c r="BT142" s="211"/>
      <c r="BU142" s="211"/>
      <c r="BV142" s="211"/>
      <c r="BW142" s="211"/>
      <c r="BX142" s="211"/>
      <c r="BY142" s="211"/>
      <c r="BZ142" s="211"/>
      <c r="CA142" s="211"/>
      <c r="CB142" s="211"/>
      <c r="CC142" s="211"/>
      <c r="CD142" s="211"/>
      <c r="CE142" s="211"/>
      <c r="CF142" s="211"/>
      <c r="CG142" s="211"/>
      <c r="CH142" s="211"/>
      <c r="CI142" s="211"/>
      <c r="CJ142" s="211"/>
      <c r="CK142" s="211"/>
      <c r="CL142" s="211"/>
      <c r="CM142" s="211"/>
      <c r="CN142" s="211"/>
      <c r="CO142" s="211"/>
      <c r="CP142" s="211"/>
      <c r="CQ142" s="211"/>
      <c r="CR142" s="211"/>
      <c r="CS142" s="211"/>
      <c r="CT142" s="211"/>
      <c r="CU142" s="211"/>
      <c r="CV142" s="211"/>
      <c r="CW142" s="211"/>
      <c r="CX142" s="211"/>
      <c r="CY142" s="211"/>
      <c r="CZ142" s="211"/>
      <c r="DA142" s="211"/>
      <c r="DB142" s="211"/>
      <c r="DC142" s="211"/>
      <c r="DD142" s="211"/>
      <c r="DE142" s="211"/>
      <c r="DF142" s="211"/>
      <c r="DG142" s="211"/>
      <c r="DH142" s="211"/>
      <c r="DI142" s="211"/>
      <c r="DJ142" s="211"/>
      <c r="DK142" s="211"/>
      <c r="DL142" s="211"/>
      <c r="DM142" s="211"/>
      <c r="DN142" s="211"/>
      <c r="DO142" s="211"/>
      <c r="DP142" s="211"/>
      <c r="DQ142" s="211"/>
      <c r="DR142" s="211"/>
      <c r="DS142" s="211"/>
      <c r="DT142" s="211"/>
      <c r="DU142" s="211"/>
      <c r="DV142" s="211"/>
      <c r="DW142" s="211"/>
      <c r="DX142" s="211"/>
      <c r="DY142" s="211"/>
      <c r="DZ142" s="211"/>
      <c r="EA142" s="211"/>
      <c r="EB142" s="211"/>
      <c r="EC142" s="211"/>
      <c r="ED142" s="211"/>
      <c r="EE142" s="211"/>
      <c r="EF142" s="211"/>
      <c r="EG142" s="211"/>
      <c r="EH142" s="211"/>
      <c r="EI142" s="211"/>
      <c r="EJ142" s="211"/>
      <c r="EK142" s="211"/>
      <c r="EL142" s="211"/>
      <c r="EM142" s="211"/>
      <c r="EN142" s="211"/>
      <c r="EO142" s="211"/>
      <c r="EP142" s="211"/>
      <c r="EQ142" s="211"/>
      <c r="ER142" s="211"/>
      <c r="ES142" s="211"/>
      <c r="ET142" s="211"/>
      <c r="EU142" s="211"/>
      <c r="EV142" s="211"/>
      <c r="EW142" s="211"/>
      <c r="EX142" s="211"/>
      <c r="EY142" s="211"/>
      <c r="EZ142" s="211"/>
      <c r="FA142" s="211"/>
      <c r="FB142" s="211"/>
      <c r="FC142" s="211"/>
      <c r="FD142" s="211"/>
      <c r="FE142" s="211"/>
      <c r="FF142" s="211"/>
      <c r="FG142" s="211"/>
      <c r="FH142" s="211"/>
      <c r="FI142" s="211"/>
      <c r="FJ142" s="211"/>
      <c r="FK142" s="211"/>
      <c r="FL142" s="211"/>
      <c r="FM142" s="211"/>
      <c r="FN142" s="211"/>
      <c r="FO142" s="211"/>
      <c r="FP142" s="211"/>
      <c r="FQ142" s="211"/>
      <c r="FR142" s="211"/>
      <c r="FS142" s="211"/>
      <c r="FT142" s="211"/>
      <c r="FU142" s="211"/>
      <c r="FV142" s="211"/>
      <c r="FW142" s="211"/>
      <c r="FX142" s="211"/>
      <c r="FY142" s="211"/>
      <c r="FZ142" s="211"/>
      <c r="GA142" s="211"/>
      <c r="GB142" s="211"/>
      <c r="GC142" s="211"/>
      <c r="GD142" s="211"/>
      <c r="GE142" s="211"/>
      <c r="GF142" s="211"/>
      <c r="GG142" s="211"/>
      <c r="GH142" s="211"/>
      <c r="GI142" s="211"/>
      <c r="GJ142" s="211"/>
      <c r="GK142" s="211"/>
      <c r="GL142" s="211"/>
      <c r="GM142" s="211"/>
      <c r="GN142" s="211"/>
      <c r="GO142" s="211"/>
      <c r="GP142" s="211"/>
      <c r="GQ142" s="211"/>
      <c r="GR142" s="211"/>
      <c r="GS142" s="211"/>
      <c r="GT142" s="211"/>
      <c r="GU142" s="211"/>
      <c r="GV142" s="211"/>
      <c r="GW142" s="211"/>
      <c r="GX142" s="211"/>
      <c r="GY142" s="211"/>
      <c r="GZ142" s="211"/>
      <c r="HA142" s="211"/>
      <c r="HB142" s="211"/>
      <c r="HC142" s="211"/>
      <c r="HD142" s="211"/>
      <c r="HE142" s="211"/>
      <c r="HF142" s="211"/>
      <c r="HG142" s="211"/>
      <c r="HH142" s="211"/>
      <c r="HI142" s="211"/>
      <c r="HJ142" s="211"/>
      <c r="HK142" s="211"/>
      <c r="HL142" s="211"/>
      <c r="HM142" s="211"/>
      <c r="HN142" s="211"/>
      <c r="HO142" s="211"/>
      <c r="HP142" s="211"/>
      <c r="HQ142" s="211"/>
      <c r="HR142" s="211"/>
      <c r="HS142" s="211"/>
      <c r="HT142" s="211"/>
      <c r="HU142" s="211"/>
      <c r="HV142" s="211"/>
      <c r="HW142" s="211"/>
      <c r="HX142" s="211"/>
      <c r="HY142" s="211"/>
      <c r="HZ142" s="211"/>
      <c r="IA142" s="211"/>
      <c r="IB142" s="211"/>
      <c r="IC142" s="211"/>
      <c r="ID142" s="211"/>
      <c r="IE142" s="211"/>
      <c r="IF142" s="211"/>
      <c r="IG142" s="211"/>
      <c r="IH142" s="211"/>
      <c r="II142" s="211"/>
      <c r="IJ142" s="211"/>
      <c r="IK142" s="211"/>
      <c r="IL142" s="211"/>
      <c r="IM142" s="211"/>
      <c r="IN142" s="211"/>
      <c r="IO142" s="211"/>
      <c r="IP142" s="211"/>
      <c r="IQ142" s="211"/>
      <c r="IR142" s="211"/>
      <c r="IS142" s="211"/>
      <c r="IT142" s="211"/>
      <c r="IU142" s="211"/>
      <c r="IV142" s="211"/>
      <c r="IW142" s="211"/>
      <c r="IX142" s="211"/>
      <c r="IY142" s="211"/>
      <c r="IZ142" s="211"/>
      <c r="JA142" s="211"/>
      <c r="JB142" s="211"/>
      <c r="JC142" s="211"/>
      <c r="JD142" s="211"/>
      <c r="JE142" s="211"/>
      <c r="JF142" s="211"/>
      <c r="JG142" s="211"/>
      <c r="JH142" s="211"/>
      <c r="JI142" s="211"/>
      <c r="JJ142" s="211"/>
      <c r="JK142" s="211"/>
      <c r="JL142" s="211"/>
      <c r="JM142" s="211"/>
      <c r="JN142" s="211"/>
      <c r="JO142" s="211"/>
      <c r="JP142" s="211"/>
      <c r="JQ142" s="211"/>
      <c r="JR142" s="211"/>
      <c r="JS142" s="211"/>
      <c r="JT142" s="211"/>
      <c r="JU142" s="211"/>
      <c r="JV142" s="211"/>
      <c r="JW142" s="211"/>
      <c r="JX142" s="211"/>
      <c r="JY142" s="211"/>
      <c r="JZ142" s="211"/>
      <c r="KA142" s="211"/>
      <c r="KB142" s="211"/>
      <c r="KC142" s="211"/>
      <c r="KD142" s="211"/>
      <c r="KE142" s="211"/>
      <c r="KF142" s="211"/>
      <c r="KG142" s="211"/>
      <c r="KH142" s="211"/>
      <c r="KI142" s="211"/>
      <c r="KJ142" s="211"/>
      <c r="KK142" s="211"/>
      <c r="KL142" s="211"/>
      <c r="KM142" s="211"/>
      <c r="KN142" s="211"/>
      <c r="KO142" s="211"/>
      <c r="KP142" s="211"/>
      <c r="KQ142" s="211"/>
      <c r="KR142" s="211"/>
      <c r="KS142" s="211"/>
      <c r="KT142" s="211"/>
      <c r="KU142" s="211"/>
      <c r="KV142" s="211"/>
      <c r="KW142" s="211"/>
      <c r="KX142" s="211"/>
      <c r="KY142" s="211"/>
      <c r="KZ142" s="211"/>
      <c r="LA142" s="211"/>
      <c r="LB142" s="211"/>
      <c r="LC142" s="211"/>
      <c r="LD142" s="211"/>
      <c r="LE142" s="211"/>
      <c r="LF142" s="211"/>
      <c r="LG142" s="211"/>
      <c r="LH142" s="211"/>
      <c r="LI142" s="211"/>
      <c r="LJ142" s="211"/>
      <c r="LK142" s="211"/>
      <c r="LL142" s="211"/>
      <c r="LM142" s="211"/>
      <c r="LN142" s="211"/>
      <c r="LO142" s="211"/>
      <c r="LP142" s="211"/>
      <c r="LQ142" s="211"/>
      <c r="LR142" s="211"/>
      <c r="LS142" s="211"/>
      <c r="LT142" s="211"/>
      <c r="LU142" s="211"/>
      <c r="LV142" s="211"/>
      <c r="LW142" s="211"/>
      <c r="LX142" s="211"/>
      <c r="LY142" s="211"/>
      <c r="LZ142" s="211"/>
      <c r="MA142" s="211"/>
      <c r="MB142" s="211"/>
      <c r="MC142" s="211"/>
      <c r="MD142" s="211"/>
      <c r="ME142" s="211"/>
      <c r="MF142" s="211"/>
      <c r="MG142" s="211"/>
      <c r="MH142" s="211"/>
      <c r="MI142" s="211"/>
      <c r="MJ142" s="211"/>
      <c r="MK142" s="211"/>
      <c r="ML142" s="211"/>
      <c r="MM142" s="211"/>
      <c r="MN142" s="211"/>
      <c r="MO142" s="211"/>
      <c r="MP142" s="211"/>
      <c r="MQ142" s="211"/>
      <c r="MR142" s="211"/>
      <c r="MS142" s="211"/>
      <c r="MT142" s="211"/>
      <c r="MU142" s="211"/>
      <c r="MV142" s="211"/>
      <c r="MW142" s="211"/>
      <c r="MX142" s="211"/>
      <c r="MY142" s="211"/>
      <c r="MZ142" s="211"/>
      <c r="NA142" s="211"/>
      <c r="NB142" s="211"/>
      <c r="NC142" s="211"/>
      <c r="ND142" s="211"/>
      <c r="NE142" s="211"/>
      <c r="NF142" s="211"/>
      <c r="NG142" s="211"/>
      <c r="NH142" s="211"/>
      <c r="NI142" s="211"/>
      <c r="NJ142" s="211"/>
      <c r="NK142" s="211"/>
      <c r="NL142" s="211"/>
      <c r="NM142" s="211"/>
      <c r="NN142" s="211"/>
      <c r="NO142" s="211"/>
      <c r="NP142" s="211"/>
      <c r="NQ142" s="211"/>
      <c r="NR142" s="211"/>
      <c r="NS142" s="211"/>
      <c r="NT142" s="211"/>
      <c r="NU142" s="211"/>
      <c r="NV142" s="211"/>
      <c r="NW142" s="211"/>
      <c r="NX142" s="211"/>
      <c r="NY142" s="211"/>
      <c r="NZ142" s="211"/>
      <c r="OA142" s="211"/>
      <c r="OB142" s="211"/>
      <c r="OC142" s="211"/>
      <c r="OD142" s="211"/>
      <c r="OE142" s="211"/>
    </row>
    <row r="143" spans="1:395" x14ac:dyDescent="0.3">
      <c r="D143" s="119" t="e" vm="1">
        <v>#VALUE!</v>
      </c>
      <c r="E143" s="268" cm="1">
        <f t="array" aca="1" ref="E143" ca="1">_FV(D143,"Price")</f>
        <v>42.4208</v>
      </c>
      <c r="F143" s="269" t="s">
        <v>505</v>
      </c>
      <c r="I143" s="20"/>
      <c r="J143" s="60"/>
      <c r="K143" s="65"/>
      <c r="L143" s="55"/>
      <c r="M143" s="66"/>
      <c r="N143" s="315" t="s">
        <v>134</v>
      </c>
      <c r="O143" s="316"/>
      <c r="P143" s="311" t="s">
        <v>505</v>
      </c>
      <c r="Q143" cm="1">
        <f t="array" aca="1" ref="Q143:OE143" ca="1">_xlfn.LET(
    _xlpm.MacroDataPredictionTimeRuler,_xlfn.ANCHORARRAY( 'Macro Data Predictions'!B22),
    _xlpm.MacroDataPredictions,_xlfn.ANCHORARRAY( 'Macro Data Predictions'!B30),
    _xlpm.StartIndex, MATCH(MONTH(E1)+YEAR(E1)*12, MONTH(_xlpm.MacroDataPredictionTimeRuler)+YEAR(_xlpm.MacroDataPredictionTimeRuler)*12, 0),
    _xlpm.EndIndex, MATCH(MONTH(E2)+YEAR(E2)*12, MONTH(_xlpm.MacroDataPredictionTimeRuler)+YEAR(_xlpm.MacroDataPredictionTimeRuler)*12, 0),
    INDEX(_xlpm.MacroDataPredictions, _xlfn.SEQUENCE(1,_xlpm.EndIndex-_xlpm.StartIndex+1,_xlpm.StartIndex))
)</f>
        <v>47.391666666666666</v>
      </c>
      <c r="R143">
        <f ca="1"/>
        <v>48.008333333333333</v>
      </c>
      <c r="S143">
        <f ca="1"/>
        <v>48.625</v>
      </c>
      <c r="T143">
        <f ca="1"/>
        <v>49.24166666666666</v>
      </c>
      <c r="U143">
        <f ca="1"/>
        <v>49.858333333333334</v>
      </c>
      <c r="V143">
        <f ca="1"/>
        <v>50.474999999999994</v>
      </c>
      <c r="W143">
        <f ca="1"/>
        <v>51.091666666666669</v>
      </c>
      <c r="X143">
        <f ca="1"/>
        <v>51.734120592948713</v>
      </c>
      <c r="Y143">
        <f ca="1"/>
        <v>52.402361778846156</v>
      </c>
      <c r="Z143">
        <f ca="1"/>
        <v>53.070602964743586</v>
      </c>
      <c r="AA143">
        <f ca="1"/>
        <v>53.738844150641029</v>
      </c>
      <c r="AB143">
        <f ca="1"/>
        <v>54.407085336538458</v>
      </c>
      <c r="AC143">
        <f ca="1"/>
        <v>55.075326522435901</v>
      </c>
      <c r="AD143">
        <f ca="1"/>
        <v>55.74356770833333</v>
      </c>
      <c r="AE143">
        <f ca="1"/>
        <v>56.411808894230774</v>
      </c>
      <c r="AF143">
        <f ca="1"/>
        <v>57.080050080128203</v>
      </c>
      <c r="AG143">
        <f ca="1"/>
        <v>57.748291266025646</v>
      </c>
      <c r="AH143">
        <f ca="1"/>
        <v>58.416532451923075</v>
      </c>
      <c r="AI143">
        <f ca="1"/>
        <v>59.084773637820518</v>
      </c>
      <c r="AJ143">
        <f ca="1"/>
        <v>59.791577955453363</v>
      </c>
      <c r="AK143">
        <f ca="1"/>
        <v>60.53694540482163</v>
      </c>
      <c r="AL143">
        <f ca="1"/>
        <v>61.282312854189897</v>
      </c>
      <c r="AM143">
        <f ca="1"/>
        <v>62.027680303558157</v>
      </c>
      <c r="AN143">
        <f ca="1"/>
        <v>62.773047752926416</v>
      </c>
      <c r="AO143">
        <f ca="1"/>
        <v>63.518415202294683</v>
      </c>
      <c r="AP143">
        <f ca="1"/>
        <v>64.26378265166295</v>
      </c>
      <c r="AQ143">
        <f ca="1"/>
        <v>65.009150101031224</v>
      </c>
      <c r="AR143">
        <f ca="1"/>
        <v>65.75451755039947</v>
      </c>
      <c r="AS143">
        <f ca="1"/>
        <v>66.499884999767744</v>
      </c>
      <c r="AT143">
        <f ca="1"/>
        <v>67.245252449136004</v>
      </c>
      <c r="AU143">
        <f ca="1"/>
        <v>67.990619898504264</v>
      </c>
      <c r="AV143">
        <f ca="1"/>
        <v>68.750626202151082</v>
      </c>
      <c r="AW143">
        <f ca="1"/>
        <v>69.525271360076431</v>
      </c>
      <c r="AX143">
        <f ca="1"/>
        <v>70.299916518001794</v>
      </c>
      <c r="AY143">
        <f ca="1"/>
        <v>71.074561675927157</v>
      </c>
      <c r="AZ143">
        <f ca="1"/>
        <v>71.84920683385252</v>
      </c>
      <c r="BA143">
        <f ca="1"/>
        <v>72.623851991777869</v>
      </c>
      <c r="BB143">
        <f ca="1"/>
        <v>73.398497149703232</v>
      </c>
      <c r="BC143">
        <f ca="1"/>
        <v>74.173142307628581</v>
      </c>
      <c r="BD143">
        <f ca="1"/>
        <v>74.947787465553944</v>
      </c>
      <c r="BE143">
        <f ca="1"/>
        <v>75.722432623479307</v>
      </c>
      <c r="BF143">
        <f ca="1"/>
        <v>76.49707778140467</v>
      </c>
      <c r="BG143">
        <f ca="1"/>
        <v>77.271722939330019</v>
      </c>
      <c r="BH143">
        <f ca="1"/>
        <v>78.063519713700472</v>
      </c>
      <c r="BI143">
        <f ca="1"/>
        <v>78.872468104516031</v>
      </c>
      <c r="BJ143">
        <f ca="1"/>
        <v>79.681416495331575</v>
      </c>
      <c r="BK143">
        <f ca="1"/>
        <v>80.49036488614712</v>
      </c>
      <c r="BL143">
        <f ca="1"/>
        <v>81.299313276962664</v>
      </c>
      <c r="BM143">
        <f ca="1"/>
        <v>82.108261667778223</v>
      </c>
      <c r="BN143">
        <f ca="1"/>
        <v>82.917210058593767</v>
      </c>
      <c r="BO143">
        <f ca="1"/>
        <v>83.726158449409326</v>
      </c>
      <c r="BP143">
        <f ca="1"/>
        <v>84.53510684022487</v>
      </c>
      <c r="BQ143">
        <f ca="1"/>
        <v>85.344055231040414</v>
      </c>
      <c r="BR143">
        <f ca="1"/>
        <v>86.153003621855959</v>
      </c>
      <c r="BS143">
        <f ca="1"/>
        <v>86.961952012671517</v>
      </c>
      <c r="BT143">
        <f ca="1"/>
        <v>87.785057000326333</v>
      </c>
      <c r="BU143">
        <f ca="1"/>
        <v>88.622318584820434</v>
      </c>
      <c r="BV143">
        <f ca="1"/>
        <v>89.459580169314535</v>
      </c>
      <c r="BW143">
        <f ca="1"/>
        <v>90.296841753808621</v>
      </c>
      <c r="BX143">
        <f ca="1"/>
        <v>91.134103338302708</v>
      </c>
      <c r="BY143">
        <f ca="1"/>
        <v>91.971364922796809</v>
      </c>
      <c r="BZ143">
        <f ca="1"/>
        <v>92.80862650729091</v>
      </c>
      <c r="CA143">
        <f ca="1"/>
        <v>93.645888091784997</v>
      </c>
      <c r="CB143">
        <f ca="1"/>
        <v>94.483149676279098</v>
      </c>
      <c r="CC143">
        <f ca="1"/>
        <v>95.320411260773199</v>
      </c>
      <c r="CD143">
        <f ca="1"/>
        <v>96.157672845267285</v>
      </c>
      <c r="CE143">
        <f ca="1"/>
        <v>96.994934429761372</v>
      </c>
      <c r="CF143">
        <f ca="1"/>
        <v>97.839749569854717</v>
      </c>
      <c r="CG143">
        <f ca="1"/>
        <v>98.692118265547293</v>
      </c>
      <c r="CH143">
        <f ca="1"/>
        <v>99.544486961239869</v>
      </c>
      <c r="CI143">
        <f ca="1"/>
        <v>100.39685565693244</v>
      </c>
      <c r="CJ143">
        <f ca="1"/>
        <v>101.24922435262501</v>
      </c>
      <c r="CK143">
        <f ca="1"/>
        <v>102.10159304831758</v>
      </c>
      <c r="CL143">
        <f ca="1"/>
        <v>102.95396174401016</v>
      </c>
      <c r="CM143">
        <f ca="1"/>
        <v>103.80633043970273</v>
      </c>
      <c r="CN143">
        <f ca="1"/>
        <v>104.6586991353953</v>
      </c>
      <c r="CO143">
        <f ca="1"/>
        <v>105.51106783108787</v>
      </c>
      <c r="CP143">
        <f ca="1"/>
        <v>106.36343652678045</v>
      </c>
      <c r="CQ143">
        <f ca="1"/>
        <v>107.21580522247302</v>
      </c>
      <c r="CR143">
        <f ca="1"/>
        <v>108.09049786019564</v>
      </c>
      <c r="CS143">
        <f ca="1"/>
        <v>108.9875144399483</v>
      </c>
      <c r="CT143">
        <f ca="1"/>
        <v>109.88453101970097</v>
      </c>
      <c r="CU143">
        <f ca="1"/>
        <v>110.78154759945363</v>
      </c>
      <c r="CV143">
        <f ca="1"/>
        <v>111.67856417920629</v>
      </c>
      <c r="CW143">
        <f ca="1"/>
        <v>112.57558075895895</v>
      </c>
      <c r="CX143">
        <f ca="1"/>
        <v>113.47259733871162</v>
      </c>
      <c r="CY143">
        <f ca="1"/>
        <v>114.36961391846428</v>
      </c>
      <c r="CZ143">
        <f ca="1"/>
        <v>115.26663049821694</v>
      </c>
      <c r="DA143">
        <f ca="1"/>
        <v>116.1636470779696</v>
      </c>
      <c r="DB143">
        <f ca="1"/>
        <v>117.06066365772227</v>
      </c>
      <c r="DC143">
        <f ca="1"/>
        <v>117.95768023747493</v>
      </c>
      <c r="DD143">
        <f ca="1"/>
        <v>118.89954764621523</v>
      </c>
      <c r="DE143">
        <f ca="1"/>
        <v>119.88626588394315</v>
      </c>
      <c r="DF143">
        <f ca="1"/>
        <v>120.87298412167108</v>
      </c>
      <c r="DG143">
        <f ca="1"/>
        <v>121.85970235939901</v>
      </c>
      <c r="DH143">
        <f ca="1"/>
        <v>122.84642059712694</v>
      </c>
      <c r="DI143">
        <f ca="1"/>
        <v>123.83313883485488</v>
      </c>
      <c r="DJ143">
        <f ca="1"/>
        <v>124.81985707258281</v>
      </c>
      <c r="DK143">
        <f ca="1"/>
        <v>125.80657531031073</v>
      </c>
      <c r="DL143">
        <f ca="1"/>
        <v>126.79329354803866</v>
      </c>
      <c r="DM143">
        <f ca="1"/>
        <v>127.78001178576659</v>
      </c>
      <c r="DN143">
        <f ca="1"/>
        <v>128.76673002349452</v>
      </c>
      <c r="DO143">
        <f ca="1"/>
        <v>129.75344826122245</v>
      </c>
      <c r="DP143">
        <f ca="1"/>
        <v>130.73523290776171</v>
      </c>
      <c r="DQ143">
        <f ca="1"/>
        <v>131.71208396311238</v>
      </c>
      <c r="DR143">
        <f ca="1"/>
        <v>132.68893501846304</v>
      </c>
      <c r="DS143">
        <f ca="1"/>
        <v>133.66578607381368</v>
      </c>
      <c r="DT143">
        <f ca="1"/>
        <v>134.64263712916431</v>
      </c>
      <c r="DU143">
        <f ca="1"/>
        <v>135.61948818451498</v>
      </c>
      <c r="DV143">
        <f ca="1"/>
        <v>136.59633923986561</v>
      </c>
      <c r="DW143">
        <f ca="1"/>
        <v>137.57319029521625</v>
      </c>
      <c r="DX143">
        <f ca="1"/>
        <v>138.55004135056691</v>
      </c>
      <c r="DY143">
        <f ca="1"/>
        <v>139.52689240591758</v>
      </c>
      <c r="DZ143">
        <f ca="1"/>
        <v>140.50374346126821</v>
      </c>
      <c r="EA143">
        <f ca="1"/>
        <v>141.48059451661885</v>
      </c>
      <c r="EB143">
        <f ca="1"/>
        <v>142.50140386946029</v>
      </c>
      <c r="EC143">
        <f ca="1"/>
        <v>143.56617151979248</v>
      </c>
      <c r="ED143">
        <f ca="1"/>
        <v>144.63093917012469</v>
      </c>
      <c r="EE143">
        <f ca="1"/>
        <v>145.69570682045691</v>
      </c>
      <c r="EF143">
        <f ca="1"/>
        <v>146.76047447078912</v>
      </c>
      <c r="EG143">
        <f ca="1"/>
        <v>147.82524212112133</v>
      </c>
      <c r="EH143">
        <f ca="1"/>
        <v>148.89000977145355</v>
      </c>
      <c r="EI143">
        <f ca="1"/>
        <v>149.95477742178574</v>
      </c>
      <c r="EJ143">
        <f ca="1"/>
        <v>151.01954507211795</v>
      </c>
      <c r="EK143">
        <f ca="1"/>
        <v>152.08431272245014</v>
      </c>
      <c r="EL143">
        <f ca="1"/>
        <v>153.14908037278235</v>
      </c>
      <c r="EM143">
        <f ca="1"/>
        <v>154.21384802311456</v>
      </c>
      <c r="EN143">
        <f ca="1"/>
        <v>155.26205262110827</v>
      </c>
      <c r="EO143">
        <f ca="1"/>
        <v>156.29369416676349</v>
      </c>
      <c r="EP143">
        <f ca="1"/>
        <v>157.32533571241868</v>
      </c>
      <c r="EQ143">
        <f ca="1"/>
        <v>158.3569772580739</v>
      </c>
      <c r="ER143">
        <f ca="1"/>
        <v>159.38861880372909</v>
      </c>
      <c r="ES143">
        <f ca="1"/>
        <v>160.42026034938431</v>
      </c>
      <c r="ET143">
        <f ca="1"/>
        <v>161.4519018950395</v>
      </c>
      <c r="EU143">
        <f ca="1"/>
        <v>162.48354344069472</v>
      </c>
      <c r="EV143">
        <f ca="1"/>
        <v>163.51518498634991</v>
      </c>
      <c r="EW143">
        <f ca="1"/>
        <v>164.54682653200513</v>
      </c>
      <c r="EX143">
        <f ca="1"/>
        <v>165.57846807766032</v>
      </c>
      <c r="EY143">
        <f ca="1"/>
        <v>166.61010962331554</v>
      </c>
      <c r="EZ143">
        <f ca="1"/>
        <v>167.68301683079693</v>
      </c>
      <c r="FA143">
        <f ca="1"/>
        <v>168.79718970010458</v>
      </c>
      <c r="FB143">
        <f ca="1"/>
        <v>169.91136256941218</v>
      </c>
      <c r="FC143">
        <f ca="1"/>
        <v>171.02553543871983</v>
      </c>
      <c r="FD143">
        <f ca="1"/>
        <v>172.13970830802742</v>
      </c>
      <c r="FE143">
        <f ca="1"/>
        <v>173.25388117733507</v>
      </c>
      <c r="FF143">
        <f ca="1"/>
        <v>174.36805404664267</v>
      </c>
      <c r="FG143">
        <f ca="1"/>
        <v>175.48222691595032</v>
      </c>
      <c r="FH143">
        <f ca="1"/>
        <v>176.59639978525792</v>
      </c>
      <c r="FI143">
        <f ca="1"/>
        <v>177.71057265456557</v>
      </c>
      <c r="FJ143">
        <f ca="1"/>
        <v>178.82474552387316</v>
      </c>
      <c r="FK143">
        <f ca="1"/>
        <v>179.93891839318081</v>
      </c>
      <c r="FL143">
        <f ca="1"/>
        <v>181.09765817726071</v>
      </c>
      <c r="FM143">
        <f ca="1"/>
        <v>182.30096487611297</v>
      </c>
      <c r="FN143">
        <f ca="1"/>
        <v>183.50427157496517</v>
      </c>
      <c r="FO143">
        <f ca="1"/>
        <v>184.70757827381743</v>
      </c>
      <c r="FP143">
        <f ca="1"/>
        <v>185.91088497266963</v>
      </c>
      <c r="FQ143">
        <f ca="1"/>
        <v>187.11419167152189</v>
      </c>
      <c r="FR143">
        <f ca="1"/>
        <v>188.31749837037412</v>
      </c>
      <c r="FS143">
        <f ca="1"/>
        <v>189.52080506922636</v>
      </c>
      <c r="FT143">
        <f ca="1"/>
        <v>190.72411176807861</v>
      </c>
      <c r="FU143">
        <f ca="1"/>
        <v>191.92741846693082</v>
      </c>
      <c r="FV143">
        <f ca="1"/>
        <v>193.13072516578308</v>
      </c>
      <c r="FW143">
        <f ca="1"/>
        <v>194.33403186463528</v>
      </c>
      <c r="FX143">
        <f ca="1"/>
        <v>195.58547083144163</v>
      </c>
      <c r="FY143">
        <f ca="1"/>
        <v>196.885042066202</v>
      </c>
      <c r="FZ143">
        <f ca="1"/>
        <v>198.18461330096244</v>
      </c>
      <c r="GA143">
        <f ca="1"/>
        <v>199.48418453572282</v>
      </c>
      <c r="GB143">
        <f ca="1"/>
        <v>200.78375577048325</v>
      </c>
      <c r="GC143">
        <f ca="1"/>
        <v>202.08332700524366</v>
      </c>
      <c r="GD143">
        <f ca="1"/>
        <v>203.38289824000407</v>
      </c>
      <c r="GE143">
        <f ca="1"/>
        <v>204.6824694747645</v>
      </c>
      <c r="GF143">
        <f ca="1"/>
        <v>205.98204070952488</v>
      </c>
      <c r="GG143">
        <f ca="1"/>
        <v>207.28161194428532</v>
      </c>
      <c r="GH143">
        <f ca="1"/>
        <v>208.58118317904569</v>
      </c>
      <c r="GI143">
        <f ca="1"/>
        <v>209.88075441380613</v>
      </c>
      <c r="GJ143">
        <f ca="1"/>
        <v>211.23230849795692</v>
      </c>
      <c r="GK143">
        <f ca="1"/>
        <v>212.63584543149818</v>
      </c>
      <c r="GL143">
        <f ca="1"/>
        <v>214.03938236503944</v>
      </c>
      <c r="GM143">
        <f ca="1"/>
        <v>215.44291929858065</v>
      </c>
      <c r="GN143">
        <f ca="1"/>
        <v>216.84645623212191</v>
      </c>
      <c r="GO143">
        <f ca="1"/>
        <v>218.24999316566317</v>
      </c>
      <c r="GP143">
        <f ca="1"/>
        <v>219.65353009920437</v>
      </c>
      <c r="GQ143">
        <f ca="1"/>
        <v>221.05706703274564</v>
      </c>
      <c r="GR143">
        <f ca="1"/>
        <v>222.4606039662869</v>
      </c>
      <c r="GS143">
        <f ca="1"/>
        <v>223.8641408998281</v>
      </c>
      <c r="GT143">
        <f ca="1"/>
        <v>225.26767783336936</v>
      </c>
      <c r="GU143">
        <f ca="1"/>
        <v>226.67121476691062</v>
      </c>
      <c r="GV143">
        <f ca="1"/>
        <v>228.1308931777935</v>
      </c>
      <c r="GW143">
        <f ca="1"/>
        <v>229.64671306601804</v>
      </c>
      <c r="GX143">
        <f ca="1"/>
        <v>231.16253295424258</v>
      </c>
      <c r="GY143">
        <f ca="1"/>
        <v>232.67835284246712</v>
      </c>
      <c r="GZ143">
        <f ca="1"/>
        <v>234.19417273069166</v>
      </c>
      <c r="HA143">
        <f ca="1"/>
        <v>235.7099926189162</v>
      </c>
      <c r="HB143">
        <f ca="1"/>
        <v>237.22581250714074</v>
      </c>
      <c r="HC143">
        <f ca="1"/>
        <v>238.74163239536531</v>
      </c>
      <c r="HD143">
        <f ca="1"/>
        <v>240.25745228358986</v>
      </c>
      <c r="HE143">
        <f ca="1"/>
        <v>241.7732721718144</v>
      </c>
      <c r="HF143">
        <f ca="1"/>
        <v>243.28909206003894</v>
      </c>
      <c r="HG143">
        <f ca="1"/>
        <v>244.80491194826348</v>
      </c>
      <c r="HH143">
        <f ca="1"/>
        <v>246.38136463201701</v>
      </c>
      <c r="HI143">
        <f ca="1"/>
        <v>248.0184501112995</v>
      </c>
      <c r="HJ143">
        <f ca="1"/>
        <v>249.65553559058202</v>
      </c>
      <c r="HK143">
        <f ca="1"/>
        <v>251.29262106986454</v>
      </c>
      <c r="HL143">
        <f ca="1"/>
        <v>252.92970654914703</v>
      </c>
      <c r="HM143">
        <f ca="1"/>
        <v>254.56679202842952</v>
      </c>
      <c r="HN143">
        <f ca="1"/>
        <v>256.20387750771204</v>
      </c>
      <c r="HO143">
        <f ca="1"/>
        <v>257.84096298699455</v>
      </c>
      <c r="HP143">
        <f ca="1"/>
        <v>259.47804846627707</v>
      </c>
      <c r="HQ143">
        <f ca="1"/>
        <v>261.11513394555959</v>
      </c>
      <c r="HR143">
        <f ca="1"/>
        <v>262.75221942484205</v>
      </c>
      <c r="HS143">
        <f ca="1"/>
        <v>264.38930490412457</v>
      </c>
      <c r="HT143">
        <f ca="1"/>
        <v>266.09187380257839</v>
      </c>
      <c r="HU143">
        <f ca="1"/>
        <v>267.85992612020351</v>
      </c>
      <c r="HV143">
        <f ca="1"/>
        <v>269.62797843782857</v>
      </c>
      <c r="HW143">
        <f ca="1"/>
        <v>271.39603075545369</v>
      </c>
      <c r="HX143">
        <f ca="1"/>
        <v>273.16408307307881</v>
      </c>
      <c r="HY143">
        <f ca="1"/>
        <v>274.93213539070393</v>
      </c>
      <c r="HZ143">
        <f ca="1"/>
        <v>276.700187708329</v>
      </c>
      <c r="IA143">
        <f ca="1"/>
        <v>278.46824002595412</v>
      </c>
      <c r="IB143">
        <f ca="1"/>
        <v>280.23629234357924</v>
      </c>
      <c r="IC143">
        <f ca="1"/>
        <v>282.00434466120436</v>
      </c>
      <c r="ID143">
        <f ca="1"/>
        <v>283.77239697882942</v>
      </c>
      <c r="IE143">
        <f ca="1"/>
        <v>285.54044929645454</v>
      </c>
      <c r="IF143">
        <f ca="1"/>
        <v>287.37922370678467</v>
      </c>
      <c r="IG143">
        <f ca="1"/>
        <v>289.28872020981976</v>
      </c>
      <c r="IH143">
        <f ca="1"/>
        <v>291.1982167128549</v>
      </c>
      <c r="II143">
        <f ca="1"/>
        <v>293.10771321589004</v>
      </c>
      <c r="IJ143">
        <f ca="1"/>
        <v>295.01720971892513</v>
      </c>
      <c r="IK143">
        <f ca="1"/>
        <v>296.92670622196022</v>
      </c>
      <c r="IL143">
        <f ca="1"/>
        <v>298.83620272499536</v>
      </c>
      <c r="IM143">
        <f ca="1"/>
        <v>300.7456992280305</v>
      </c>
      <c r="IN143">
        <f ca="1"/>
        <v>302.65519573106565</v>
      </c>
      <c r="IO143">
        <f ca="1"/>
        <v>304.56469223410073</v>
      </c>
      <c r="IP143">
        <f ca="1"/>
        <v>306.47418873713582</v>
      </c>
      <c r="IQ143">
        <f ca="1"/>
        <v>308.38368524017096</v>
      </c>
      <c r="IR143">
        <f ca="1"/>
        <v>310.3695616033275</v>
      </c>
      <c r="IS143">
        <f ca="1"/>
        <v>312.43181782660542</v>
      </c>
      <c r="IT143">
        <f ca="1"/>
        <v>314.49407404988335</v>
      </c>
      <c r="IU143">
        <f ca="1"/>
        <v>316.55633027316128</v>
      </c>
      <c r="IV143">
        <f ca="1"/>
        <v>318.61858649643921</v>
      </c>
      <c r="IW143">
        <f ca="1"/>
        <v>320.68084271971713</v>
      </c>
      <c r="IX143">
        <f ca="1"/>
        <v>322.74309894299506</v>
      </c>
      <c r="IY143">
        <f ca="1"/>
        <v>324.80535516627299</v>
      </c>
      <c r="IZ143">
        <f ca="1"/>
        <v>326.86761138955092</v>
      </c>
      <c r="JA143">
        <f ca="1"/>
        <v>328.92986761282884</v>
      </c>
      <c r="JB143">
        <f ca="1"/>
        <v>330.99212383610677</v>
      </c>
      <c r="JC143">
        <f ca="1"/>
        <v>333.0543800593847</v>
      </c>
      <c r="JD143">
        <f ca="1"/>
        <v>335.19912653159372</v>
      </c>
      <c r="JE143">
        <f ca="1"/>
        <v>337.42636325273395</v>
      </c>
      <c r="JF143">
        <f ca="1"/>
        <v>339.65359997387407</v>
      </c>
      <c r="JG143">
        <f ca="1"/>
        <v>341.88083669501418</v>
      </c>
      <c r="JH143">
        <f ca="1"/>
        <v>344.10807341615441</v>
      </c>
      <c r="JI143">
        <f ca="1"/>
        <v>346.33531013729453</v>
      </c>
      <c r="JJ143">
        <f ca="1"/>
        <v>348.56254685843464</v>
      </c>
      <c r="JK143">
        <f ca="1"/>
        <v>350.78978357957487</v>
      </c>
      <c r="JL143">
        <f ca="1"/>
        <v>353.01702030071499</v>
      </c>
      <c r="JM143">
        <f ca="1"/>
        <v>355.24425702185522</v>
      </c>
      <c r="JN143">
        <f ca="1"/>
        <v>357.47149374299534</v>
      </c>
      <c r="JO143">
        <f ca="1"/>
        <v>359.69873046413545</v>
      </c>
      <c r="JP143">
        <f ca="1"/>
        <v>362.01505665412128</v>
      </c>
      <c r="JQ143">
        <f ca="1"/>
        <v>364.4204723129526</v>
      </c>
      <c r="JR143">
        <f ca="1"/>
        <v>366.82588797178403</v>
      </c>
      <c r="JS143">
        <f ca="1"/>
        <v>369.23130363061534</v>
      </c>
      <c r="JT143">
        <f ca="1"/>
        <v>371.63671928944677</v>
      </c>
      <c r="JU143">
        <f ca="1"/>
        <v>374.04213494827809</v>
      </c>
      <c r="JV143">
        <f ca="1"/>
        <v>376.44755060710952</v>
      </c>
      <c r="JW143">
        <f ca="1"/>
        <v>378.85296626594084</v>
      </c>
      <c r="JX143">
        <f ca="1"/>
        <v>381.25838192477227</v>
      </c>
      <c r="JY143">
        <f ca="1"/>
        <v>383.66379758360358</v>
      </c>
      <c r="JZ143">
        <f ca="1"/>
        <v>386.06921324243501</v>
      </c>
      <c r="KA143">
        <f ca="1"/>
        <v>388.47462890126633</v>
      </c>
      <c r="KB143">
        <f ca="1"/>
        <v>390.97626118645098</v>
      </c>
      <c r="KC143">
        <f ca="1"/>
        <v>393.57411009798886</v>
      </c>
      <c r="KD143">
        <f ca="1"/>
        <v>396.17195900952674</v>
      </c>
      <c r="KE143">
        <f ca="1"/>
        <v>398.76980792106463</v>
      </c>
      <c r="KF143">
        <f ca="1"/>
        <v>401.36765683260251</v>
      </c>
      <c r="KG143">
        <f ca="1"/>
        <v>403.96550574414039</v>
      </c>
      <c r="KH143">
        <f ca="1"/>
        <v>406.56335465567832</v>
      </c>
      <c r="KI143">
        <f ca="1"/>
        <v>409.16120356721621</v>
      </c>
      <c r="KJ143">
        <f ca="1"/>
        <v>411.75905247875409</v>
      </c>
      <c r="KK143">
        <f ca="1"/>
        <v>414.35690139029197</v>
      </c>
      <c r="KL143">
        <f ca="1"/>
        <v>416.95475030182985</v>
      </c>
      <c r="KM143">
        <f ca="1"/>
        <v>419.55259921336773</v>
      </c>
      <c r="KN143">
        <f ca="1"/>
        <v>422.25436208136716</v>
      </c>
      <c r="KO143">
        <f ca="1"/>
        <v>425.06003890582804</v>
      </c>
      <c r="KP143">
        <f ca="1"/>
        <v>427.86571573028891</v>
      </c>
      <c r="KQ143">
        <f ca="1"/>
        <v>430.6713925547499</v>
      </c>
      <c r="KR143">
        <f ca="1"/>
        <v>433.47706937921077</v>
      </c>
      <c r="KS143">
        <f ca="1"/>
        <v>436.28274620367165</v>
      </c>
      <c r="KT143">
        <f ca="1"/>
        <v>439.08842302813264</v>
      </c>
      <c r="KU143">
        <f ca="1"/>
        <v>441.89409985259351</v>
      </c>
      <c r="KV143">
        <f ca="1"/>
        <v>444.69977667705439</v>
      </c>
      <c r="KW143">
        <f ca="1"/>
        <v>447.50545350151538</v>
      </c>
      <c r="KX143">
        <f ca="1"/>
        <v>450.31113032597625</v>
      </c>
      <c r="KY143">
        <f ca="1"/>
        <v>453.11680715043713</v>
      </c>
      <c r="KZ143">
        <f ca="1"/>
        <v>456.0347110478765</v>
      </c>
      <c r="LA143">
        <f ca="1"/>
        <v>459.06484201829426</v>
      </c>
      <c r="LB143">
        <f ca="1"/>
        <v>462.09497298871213</v>
      </c>
      <c r="LC143">
        <f ca="1"/>
        <v>465.12510395912989</v>
      </c>
      <c r="LD143">
        <f ca="1"/>
        <v>468.15523492954765</v>
      </c>
      <c r="LE143">
        <f ca="1"/>
        <v>471.1853658999654</v>
      </c>
      <c r="LF143">
        <f ca="1"/>
        <v>474.21549687038328</v>
      </c>
      <c r="LG143">
        <f ca="1"/>
        <v>477.24562784080103</v>
      </c>
      <c r="LH143">
        <f ca="1"/>
        <v>480.27575881121879</v>
      </c>
      <c r="LI143">
        <f ca="1"/>
        <v>483.30588978163655</v>
      </c>
      <c r="LJ143">
        <f ca="1"/>
        <v>486.33602075205442</v>
      </c>
      <c r="LK143">
        <f ca="1"/>
        <v>489.36615172247218</v>
      </c>
      <c r="LL143">
        <f ca="1"/>
        <v>492.51748793170668</v>
      </c>
      <c r="LM143">
        <f ca="1"/>
        <v>495.79002937975787</v>
      </c>
      <c r="LN143">
        <f ca="1"/>
        <v>499.06257082780905</v>
      </c>
      <c r="LO143">
        <f ca="1"/>
        <v>502.3351122758603</v>
      </c>
      <c r="LP143">
        <f ca="1"/>
        <v>505.60765372391148</v>
      </c>
      <c r="LQ143">
        <f ca="1"/>
        <v>508.88019517196267</v>
      </c>
      <c r="LR143">
        <f ca="1"/>
        <v>512.15273662001391</v>
      </c>
      <c r="LS143">
        <f ca="1"/>
        <v>515.42527806806515</v>
      </c>
      <c r="LT143">
        <f ca="1"/>
        <v>518.69781951611628</v>
      </c>
      <c r="LU143">
        <f ca="1"/>
        <v>521.97036096416753</v>
      </c>
      <c r="LV143">
        <f ca="1"/>
        <v>525.24290241221865</v>
      </c>
      <c r="LW143">
        <f ca="1"/>
        <v>528.5154438602699</v>
      </c>
      <c r="LX143">
        <f ca="1"/>
        <v>531.91888696624324</v>
      </c>
      <c r="LY143">
        <f ca="1"/>
        <v>535.45323173013844</v>
      </c>
      <c r="LZ143">
        <f ca="1"/>
        <v>538.98757649403387</v>
      </c>
      <c r="MA143">
        <f ca="1"/>
        <v>542.52192125792908</v>
      </c>
      <c r="MB143">
        <f ca="1"/>
        <v>546.05626602182451</v>
      </c>
      <c r="MC143">
        <f ca="1"/>
        <v>549.59061078571972</v>
      </c>
      <c r="MD143">
        <f ca="1"/>
        <v>553.12495554961492</v>
      </c>
      <c r="ME143">
        <f ca="1"/>
        <v>556.65930031351036</v>
      </c>
      <c r="MF143">
        <f ca="1"/>
        <v>560.19364507740556</v>
      </c>
      <c r="MG143">
        <f ca="1"/>
        <v>563.727989841301</v>
      </c>
      <c r="MH143">
        <f ca="1"/>
        <v>567.2623346051962</v>
      </c>
      <c r="MI143">
        <f ca="1"/>
        <v>570.79667936909163</v>
      </c>
      <c r="MJ143">
        <f ca="1"/>
        <v>574.47239792354276</v>
      </c>
      <c r="MK143">
        <f ca="1"/>
        <v>578.28949026854957</v>
      </c>
      <c r="ML143">
        <f ca="1"/>
        <v>582.10658261355661</v>
      </c>
      <c r="MM143">
        <f ca="1"/>
        <v>585.92367495856342</v>
      </c>
      <c r="MN143">
        <f ca="1"/>
        <v>589.74076730357046</v>
      </c>
      <c r="MO143">
        <f ca="1"/>
        <v>593.55785964857728</v>
      </c>
      <c r="MP143">
        <f ca="1"/>
        <v>597.37495199358432</v>
      </c>
      <c r="MQ143">
        <f ca="1"/>
        <v>601.19204433859113</v>
      </c>
      <c r="MR143">
        <f ca="1"/>
        <v>605.00913668359817</v>
      </c>
      <c r="MS143">
        <f ca="1"/>
        <v>608.82622902860498</v>
      </c>
      <c r="MT143">
        <f ca="1"/>
        <v>612.64332137361203</v>
      </c>
      <c r="MU143">
        <f ca="1"/>
        <v>616.46041371861884</v>
      </c>
      <c r="MV143">
        <f ca="1"/>
        <v>620.43018975742609</v>
      </c>
      <c r="MW143">
        <f ca="1"/>
        <v>624.55264949003356</v>
      </c>
      <c r="MX143">
        <f ca="1"/>
        <v>628.67510922264114</v>
      </c>
      <c r="MY143">
        <f ca="1"/>
        <v>632.79756895524861</v>
      </c>
      <c r="MZ143">
        <f ca="1"/>
        <v>636.92002868785607</v>
      </c>
      <c r="NA143">
        <f ca="1"/>
        <v>641.04248842046354</v>
      </c>
      <c r="NB143">
        <f ca="1"/>
        <v>645.16494815307112</v>
      </c>
      <c r="NC143">
        <f ca="1"/>
        <v>649.28740788567859</v>
      </c>
      <c r="ND143">
        <f ca="1"/>
        <v>653.40986761828606</v>
      </c>
      <c r="NE143">
        <f ca="1"/>
        <v>657.53232735089352</v>
      </c>
      <c r="NF143">
        <f ca="1"/>
        <v>661.65478708350111</v>
      </c>
      <c r="NG143">
        <f ca="1"/>
        <v>665.77724681610857</v>
      </c>
      <c r="NH143">
        <f ca="1"/>
        <v>670.06460493802035</v>
      </c>
      <c r="NI143">
        <f ca="1"/>
        <v>674.51686144923644</v>
      </c>
      <c r="NJ143">
        <f ca="1"/>
        <v>678.96911796045254</v>
      </c>
      <c r="NK143">
        <f ca="1"/>
        <v>683.42137447166863</v>
      </c>
      <c r="NL143">
        <f ca="1"/>
        <v>687.87363098288472</v>
      </c>
      <c r="NM143">
        <f ca="1"/>
        <v>692.32588749410081</v>
      </c>
      <c r="NN143">
        <f ca="1"/>
        <v>696.7781440053169</v>
      </c>
      <c r="NO143">
        <f ca="1"/>
        <v>701.230400516533</v>
      </c>
      <c r="NP143">
        <f ca="1"/>
        <v>705.68265702774909</v>
      </c>
      <c r="NQ143">
        <f ca="1"/>
        <v>710.13491353896518</v>
      </c>
      <c r="NR143">
        <f ca="1"/>
        <v>714.58717005018127</v>
      </c>
      <c r="NS143">
        <f ca="1"/>
        <v>719.03942656139736</v>
      </c>
      <c r="NT143">
        <f ca="1"/>
        <v>723.66977333306204</v>
      </c>
      <c r="NU143">
        <f ca="1"/>
        <v>728.47821036517553</v>
      </c>
      <c r="NV143">
        <f ca="1"/>
        <v>733.28664739728879</v>
      </c>
      <c r="NW143">
        <f ca="1"/>
        <v>738.09508442940228</v>
      </c>
      <c r="NX143">
        <f ca="1"/>
        <v>742.90352146151554</v>
      </c>
      <c r="NY143">
        <f ca="1"/>
        <v>747.71195849362903</v>
      </c>
      <c r="NZ143">
        <f ca="1"/>
        <v>752.52039552574229</v>
      </c>
      <c r="OA143">
        <f ca="1"/>
        <v>757.32883255785578</v>
      </c>
      <c r="OB143">
        <f ca="1"/>
        <v>762.13726958996904</v>
      </c>
      <c r="OC143">
        <f ca="1"/>
        <v>766.94570662208253</v>
      </c>
      <c r="OD143">
        <f ca="1"/>
        <v>771.75414365419579</v>
      </c>
      <c r="OE143">
        <f ca="1"/>
        <v>776.56258068630927</v>
      </c>
    </row>
    <row r="144" spans="1:395" x14ac:dyDescent="0.3">
      <c r="D144" s="119" t="e" vm="2">
        <v>#VALUE!</v>
      </c>
      <c r="E144" s="268" cm="1">
        <f t="array" aca="1" ref="E144" ca="1">_FV(D144,"Price")</f>
        <v>49.254800000000003</v>
      </c>
      <c r="F144" s="269" t="s">
        <v>506</v>
      </c>
      <c r="I144" s="20"/>
      <c r="J144" s="60"/>
      <c r="K144" s="65"/>
      <c r="L144" s="55"/>
      <c r="M144" s="66"/>
      <c r="N144" s="315" t="s">
        <v>135</v>
      </c>
      <c r="O144" s="316"/>
      <c r="P144" s="311" t="s">
        <v>506</v>
      </c>
      <c r="Q144" s="166" cm="1">
        <f t="array" aca="1" ref="Q144:OE144" ca="1">_xlfn.LET(
    _xlpm.MacroDataPredictionTimeRuler,_xlfn.ANCHORARRAY( 'Macro Data Predictions'!B22),
    _xlpm.MacroDataPredictions,_xlfn.ANCHORARRAY( 'Macro Data Predictions'!B44),
    _xlpm.StartIndex, MATCH(MONTH(E1)+YEAR(E1)*12, MONTH(_xlpm.MacroDataPredictionTimeRuler)+YEAR(_xlpm.MacroDataPredictionTimeRuler)*12, 0),
    _xlpm.EndIndex, MATCH(MONTH(E2)+YEAR(E2)*12, MONTH(_xlpm.MacroDataPredictionTimeRuler)+YEAR(_xlpm.MacroDataPredictionTimeRuler)*12, 0),
    INDEX(_xlpm.MacroDataPredictions, _xlfn.SEQUENCE(1,_xlpm.EndIndex-_xlpm.StartIndex+1,_xlpm.StartIndex))
)</f>
        <v>52.607500000000002</v>
      </c>
      <c r="R144">
        <f ca="1"/>
        <v>53.212500000000006</v>
      </c>
      <c r="S144">
        <f ca="1"/>
        <v>53.817500000000003</v>
      </c>
      <c r="T144">
        <f ca="1"/>
        <v>54.422500000000007</v>
      </c>
      <c r="U144">
        <f ca="1"/>
        <v>55.027500000000003</v>
      </c>
      <c r="V144">
        <f ca="1"/>
        <v>55.632500000000007</v>
      </c>
      <c r="W144">
        <f ca="1"/>
        <v>56.237500000000004</v>
      </c>
      <c r="X144">
        <f ca="1"/>
        <v>56.858016907051287</v>
      </c>
      <c r="Y144">
        <f ca="1"/>
        <v>57.494050721153855</v>
      </c>
      <c r="Z144">
        <f ca="1"/>
        <v>58.130084535256415</v>
      </c>
      <c r="AA144">
        <f ca="1"/>
        <v>58.766118349358983</v>
      </c>
      <c r="AB144">
        <f ca="1"/>
        <v>59.402152163461544</v>
      </c>
      <c r="AC144">
        <f ca="1"/>
        <v>60.038185977564112</v>
      </c>
      <c r="AD144">
        <f ca="1"/>
        <v>60.674219791666673</v>
      </c>
      <c r="AE144">
        <f ca="1"/>
        <v>61.31025360576924</v>
      </c>
      <c r="AF144">
        <f ca="1"/>
        <v>61.946287419871801</v>
      </c>
      <c r="AG144">
        <f ca="1"/>
        <v>62.582321233974369</v>
      </c>
      <c r="AH144">
        <f ca="1"/>
        <v>63.21835504807693</v>
      </c>
      <c r="AI144">
        <f ca="1"/>
        <v>63.854388862179498</v>
      </c>
      <c r="AJ144">
        <f ca="1"/>
        <v>64.546419482046645</v>
      </c>
      <c r="AK144">
        <f ca="1"/>
        <v>65.294446907678378</v>
      </c>
      <c r="AL144">
        <f ca="1"/>
        <v>66.042474333310111</v>
      </c>
      <c r="AM144">
        <f ca="1"/>
        <v>66.790501758941843</v>
      </c>
      <c r="AN144">
        <f ca="1"/>
        <v>67.538529184573576</v>
      </c>
      <c r="AO144">
        <f ca="1"/>
        <v>68.286556610205309</v>
      </c>
      <c r="AP144">
        <f ca="1"/>
        <v>69.034584035837042</v>
      </c>
      <c r="AQ144">
        <f ca="1"/>
        <v>69.78261146146879</v>
      </c>
      <c r="AR144">
        <f ca="1"/>
        <v>70.530638887100523</v>
      </c>
      <c r="AS144">
        <f ca="1"/>
        <v>71.278666312732256</v>
      </c>
      <c r="AT144">
        <f ca="1"/>
        <v>72.026693738363988</v>
      </c>
      <c r="AU144">
        <f ca="1"/>
        <v>72.774721163995721</v>
      </c>
      <c r="AV144">
        <f ca="1"/>
        <v>73.498454165036406</v>
      </c>
      <c r="AW144">
        <f ca="1"/>
        <v>74.197892741486058</v>
      </c>
      <c r="AX144">
        <f ca="1"/>
        <v>74.897331317935709</v>
      </c>
      <c r="AY144">
        <f ca="1"/>
        <v>75.596769894385346</v>
      </c>
      <c r="AZ144">
        <f ca="1"/>
        <v>76.296208470834983</v>
      </c>
      <c r="BA144">
        <f ca="1"/>
        <v>76.995647047284635</v>
      </c>
      <c r="BB144">
        <f ca="1"/>
        <v>77.695085623734286</v>
      </c>
      <c r="BC144">
        <f ca="1"/>
        <v>78.394524200183923</v>
      </c>
      <c r="BD144">
        <f ca="1"/>
        <v>79.093962776633575</v>
      </c>
      <c r="BE144">
        <f ca="1"/>
        <v>79.793401353083226</v>
      </c>
      <c r="BF144">
        <f ca="1"/>
        <v>80.492839929532863</v>
      </c>
      <c r="BG144">
        <f ca="1"/>
        <v>81.1922785059825</v>
      </c>
      <c r="BH144">
        <f ca="1"/>
        <v>81.966695699385497</v>
      </c>
      <c r="BI144">
        <f ca="1"/>
        <v>82.816091509741824</v>
      </c>
      <c r="BJ144">
        <f ca="1"/>
        <v>83.665487320098151</v>
      </c>
      <c r="BK144">
        <f ca="1"/>
        <v>84.514883130454479</v>
      </c>
      <c r="BL144">
        <f ca="1"/>
        <v>85.364278940810806</v>
      </c>
      <c r="BM144">
        <f ca="1"/>
        <v>86.213674751167133</v>
      </c>
      <c r="BN144">
        <f ca="1"/>
        <v>87.06307056152346</v>
      </c>
      <c r="BO144">
        <f ca="1"/>
        <v>87.912466371879788</v>
      </c>
      <c r="BP144">
        <f ca="1"/>
        <v>88.761862182236115</v>
      </c>
      <c r="BQ144">
        <f ca="1"/>
        <v>89.611257992592442</v>
      </c>
      <c r="BR144">
        <f ca="1"/>
        <v>90.460653802948769</v>
      </c>
      <c r="BS144">
        <f ca="1"/>
        <v>91.310049613305097</v>
      </c>
      <c r="BT144">
        <f ca="1"/>
        <v>92.174309850342667</v>
      </c>
      <c r="BU144">
        <f ca="1"/>
        <v>93.05343451406145</v>
      </c>
      <c r="BV144">
        <f ca="1"/>
        <v>93.932559177780263</v>
      </c>
      <c r="BW144">
        <f ca="1"/>
        <v>94.811683841499047</v>
      </c>
      <c r="BX144">
        <f ca="1"/>
        <v>95.690808505217859</v>
      </c>
      <c r="BY144">
        <f ca="1"/>
        <v>96.569933168936643</v>
      </c>
      <c r="BZ144">
        <f ca="1"/>
        <v>97.449057832655456</v>
      </c>
      <c r="CA144">
        <f ca="1"/>
        <v>98.328182496374268</v>
      </c>
      <c r="CB144">
        <f ca="1"/>
        <v>99.207307160093052</v>
      </c>
      <c r="CC144">
        <f ca="1"/>
        <v>100.08643182381186</v>
      </c>
      <c r="CD144">
        <f ca="1"/>
        <v>100.96555648753065</v>
      </c>
      <c r="CE144">
        <f ca="1"/>
        <v>101.84468115124946</v>
      </c>
      <c r="CF144">
        <f ca="1"/>
        <v>102.73173704834745</v>
      </c>
      <c r="CG144">
        <f ca="1"/>
        <v>103.62672417882466</v>
      </c>
      <c r="CH144">
        <f ca="1"/>
        <v>104.52171130930185</v>
      </c>
      <c r="CI144">
        <f ca="1"/>
        <v>105.41669843977905</v>
      </c>
      <c r="CJ144">
        <f ca="1"/>
        <v>106.31168557025626</v>
      </c>
      <c r="CK144">
        <f ca="1"/>
        <v>107.20667270073346</v>
      </c>
      <c r="CL144">
        <f ca="1"/>
        <v>108.10165983121067</v>
      </c>
      <c r="CM144">
        <f ca="1"/>
        <v>108.99664696168787</v>
      </c>
      <c r="CN144">
        <f ca="1"/>
        <v>109.89163409216508</v>
      </c>
      <c r="CO144">
        <f ca="1"/>
        <v>110.78662122264228</v>
      </c>
      <c r="CP144">
        <f ca="1"/>
        <v>111.68160835311947</v>
      </c>
      <c r="CQ144">
        <f ca="1"/>
        <v>112.57659548359668</v>
      </c>
      <c r="CR144">
        <f ca="1"/>
        <v>113.49502275320543</v>
      </c>
      <c r="CS144">
        <f ca="1"/>
        <v>114.43689016194571</v>
      </c>
      <c r="CT144">
        <f ca="1"/>
        <v>115.37875757068602</v>
      </c>
      <c r="CU144">
        <f ca="1"/>
        <v>116.32062497942631</v>
      </c>
      <c r="CV144">
        <f ca="1"/>
        <v>117.26249238816661</v>
      </c>
      <c r="CW144">
        <f ca="1"/>
        <v>118.20435979690691</v>
      </c>
      <c r="CX144">
        <f ca="1"/>
        <v>119.14622720564719</v>
      </c>
      <c r="CY144">
        <f ca="1"/>
        <v>120.0880946143875</v>
      </c>
      <c r="CZ144">
        <f ca="1"/>
        <v>121.02996202312779</v>
      </c>
      <c r="DA144">
        <f ca="1"/>
        <v>121.97182943186809</v>
      </c>
      <c r="DB144">
        <f ca="1"/>
        <v>122.9136968406084</v>
      </c>
      <c r="DC144">
        <f ca="1"/>
        <v>123.85556424934867</v>
      </c>
      <c r="DD144">
        <f ca="1"/>
        <v>124.84452502852599</v>
      </c>
      <c r="DE144">
        <f ca="1"/>
        <v>125.88057917814032</v>
      </c>
      <c r="DF144">
        <f ca="1"/>
        <v>126.91663332775464</v>
      </c>
      <c r="DG144">
        <f ca="1"/>
        <v>127.95268747736897</v>
      </c>
      <c r="DH144">
        <f ca="1"/>
        <v>128.98874162698331</v>
      </c>
      <c r="DI144">
        <f ca="1"/>
        <v>130.02479577659761</v>
      </c>
      <c r="DJ144">
        <f ca="1"/>
        <v>131.06084992621197</v>
      </c>
      <c r="DK144">
        <f ca="1"/>
        <v>132.09690407582627</v>
      </c>
      <c r="DL144">
        <f ca="1"/>
        <v>133.13295822544058</v>
      </c>
      <c r="DM144">
        <f ca="1"/>
        <v>134.16901237505493</v>
      </c>
      <c r="DN144">
        <f ca="1"/>
        <v>135.20506652466923</v>
      </c>
      <c r="DO144">
        <f ca="1"/>
        <v>136.24112067428359</v>
      </c>
      <c r="DP144">
        <f ca="1"/>
        <v>137.27199455314985</v>
      </c>
      <c r="DQ144">
        <f ca="1"/>
        <v>138.29768816126801</v>
      </c>
      <c r="DR144">
        <f ca="1"/>
        <v>139.32338176938617</v>
      </c>
      <c r="DS144">
        <f ca="1"/>
        <v>140.34907537750439</v>
      </c>
      <c r="DT144">
        <f ca="1"/>
        <v>141.37476898562255</v>
      </c>
      <c r="DU144">
        <f ca="1"/>
        <v>142.40046259374071</v>
      </c>
      <c r="DV144">
        <f ca="1"/>
        <v>143.42615620185893</v>
      </c>
      <c r="DW144">
        <f ca="1"/>
        <v>144.45184980997709</v>
      </c>
      <c r="DX144">
        <f ca="1"/>
        <v>145.47754341809525</v>
      </c>
      <c r="DY144">
        <f ca="1"/>
        <v>146.50323702621347</v>
      </c>
      <c r="DZ144">
        <f ca="1"/>
        <v>147.52893063433163</v>
      </c>
      <c r="EA144">
        <f ca="1"/>
        <v>148.55462424244979</v>
      </c>
      <c r="EB144">
        <f ca="1"/>
        <v>149.62647406293331</v>
      </c>
      <c r="EC144">
        <f ca="1"/>
        <v>150.74448009578214</v>
      </c>
      <c r="ED144">
        <f ca="1"/>
        <v>151.86248612863096</v>
      </c>
      <c r="EE144">
        <f ca="1"/>
        <v>152.98049216147976</v>
      </c>
      <c r="EF144">
        <f ca="1"/>
        <v>154.09849819432858</v>
      </c>
      <c r="EG144">
        <f ca="1"/>
        <v>155.21650422717738</v>
      </c>
      <c r="EH144">
        <f ca="1"/>
        <v>156.33451026002621</v>
      </c>
      <c r="EI144">
        <f ca="1"/>
        <v>157.45251629287503</v>
      </c>
      <c r="EJ144">
        <f ca="1"/>
        <v>158.57052232572386</v>
      </c>
      <c r="EK144">
        <f ca="1"/>
        <v>159.68852835857268</v>
      </c>
      <c r="EL144">
        <f ca="1"/>
        <v>160.80653439142151</v>
      </c>
      <c r="EM144">
        <f ca="1"/>
        <v>161.9245404242703</v>
      </c>
      <c r="EN144">
        <f ca="1"/>
        <v>163.0251552521637</v>
      </c>
      <c r="EO144">
        <f ca="1"/>
        <v>164.10837887510166</v>
      </c>
      <c r="EP144">
        <f ca="1"/>
        <v>165.19160249803963</v>
      </c>
      <c r="EQ144">
        <f ca="1"/>
        <v>166.27482612097759</v>
      </c>
      <c r="ER144">
        <f ca="1"/>
        <v>167.35804974391556</v>
      </c>
      <c r="ES144">
        <f ca="1"/>
        <v>168.44127336685352</v>
      </c>
      <c r="ET144">
        <f ca="1"/>
        <v>169.52449698979149</v>
      </c>
      <c r="EU144">
        <f ca="1"/>
        <v>170.60772061272945</v>
      </c>
      <c r="EV144">
        <f ca="1"/>
        <v>171.69094423566742</v>
      </c>
      <c r="EW144">
        <f ca="1"/>
        <v>172.77416785860538</v>
      </c>
      <c r="EX144">
        <f ca="1"/>
        <v>173.85739148154335</v>
      </c>
      <c r="EY144">
        <f ca="1"/>
        <v>174.94061510448131</v>
      </c>
      <c r="EZ144">
        <f ca="1"/>
        <v>176.06716767233678</v>
      </c>
      <c r="FA144">
        <f ca="1"/>
        <v>177.23704918510981</v>
      </c>
      <c r="FB144">
        <f ca="1"/>
        <v>178.40693069788279</v>
      </c>
      <c r="FC144">
        <f ca="1"/>
        <v>179.57681221065582</v>
      </c>
      <c r="FD144">
        <f ca="1"/>
        <v>180.74669372342879</v>
      </c>
      <c r="FE144">
        <f ca="1"/>
        <v>181.91657523620182</v>
      </c>
      <c r="FF144">
        <f ca="1"/>
        <v>183.08645674897485</v>
      </c>
      <c r="FG144">
        <f ca="1"/>
        <v>184.25633826174783</v>
      </c>
      <c r="FH144">
        <f ca="1"/>
        <v>185.42621977452086</v>
      </c>
      <c r="FI144">
        <f ca="1"/>
        <v>186.59610128729383</v>
      </c>
      <c r="FJ144">
        <f ca="1"/>
        <v>187.76598280006687</v>
      </c>
      <c r="FK144">
        <f ca="1"/>
        <v>188.93586431283984</v>
      </c>
      <c r="FL144">
        <f ca="1"/>
        <v>190.15254108612379</v>
      </c>
      <c r="FM144">
        <f ca="1"/>
        <v>191.4160131199186</v>
      </c>
      <c r="FN144">
        <f ca="1"/>
        <v>192.67948515371347</v>
      </c>
      <c r="FO144">
        <f ca="1"/>
        <v>193.94295718750828</v>
      </c>
      <c r="FP144">
        <f ca="1"/>
        <v>195.20642922130315</v>
      </c>
      <c r="FQ144">
        <f ca="1"/>
        <v>196.46990125509797</v>
      </c>
      <c r="FR144">
        <f ca="1"/>
        <v>197.73337328889284</v>
      </c>
      <c r="FS144">
        <f ca="1"/>
        <v>198.9968453226877</v>
      </c>
      <c r="FT144">
        <f ca="1"/>
        <v>200.26031735648252</v>
      </c>
      <c r="FU144">
        <f ca="1"/>
        <v>201.52378939027739</v>
      </c>
      <c r="FV144">
        <f ca="1"/>
        <v>202.7872614240722</v>
      </c>
      <c r="FW144">
        <f ca="1"/>
        <v>204.05073345786707</v>
      </c>
      <c r="FX144">
        <f ca="1"/>
        <v>205.36474437301371</v>
      </c>
      <c r="FY144">
        <f ca="1"/>
        <v>206.72929416951212</v>
      </c>
      <c r="FZ144">
        <f ca="1"/>
        <v>208.09384396601052</v>
      </c>
      <c r="GA144">
        <f ca="1"/>
        <v>209.45839376250899</v>
      </c>
      <c r="GB144">
        <f ca="1"/>
        <v>210.8229435590074</v>
      </c>
      <c r="GC144">
        <f ca="1"/>
        <v>212.18749335550586</v>
      </c>
      <c r="GD144">
        <f ca="1"/>
        <v>213.55204315200427</v>
      </c>
      <c r="GE144">
        <f ca="1"/>
        <v>214.91659294850268</v>
      </c>
      <c r="GF144">
        <f ca="1"/>
        <v>216.28114274500115</v>
      </c>
      <c r="GG144">
        <f ca="1"/>
        <v>217.64569254149956</v>
      </c>
      <c r="GH144">
        <f ca="1"/>
        <v>219.01024233799797</v>
      </c>
      <c r="GI144">
        <f ca="1"/>
        <v>220.37479213449643</v>
      </c>
      <c r="GJ144">
        <f ca="1"/>
        <v>221.79392392285479</v>
      </c>
      <c r="GK144">
        <f ca="1"/>
        <v>223.26763770307309</v>
      </c>
      <c r="GL144">
        <f ca="1"/>
        <v>224.7413514832914</v>
      </c>
      <c r="GM144">
        <f ca="1"/>
        <v>226.2150652635097</v>
      </c>
      <c r="GN144">
        <f ca="1"/>
        <v>227.688779043728</v>
      </c>
      <c r="GO144">
        <f ca="1"/>
        <v>229.16249282394631</v>
      </c>
      <c r="GP144">
        <f ca="1"/>
        <v>230.63620660416461</v>
      </c>
      <c r="GQ144">
        <f ca="1"/>
        <v>232.10992038438292</v>
      </c>
      <c r="GR144">
        <f ca="1"/>
        <v>233.58363416460122</v>
      </c>
      <c r="GS144">
        <f ca="1"/>
        <v>235.05734794481953</v>
      </c>
      <c r="GT144">
        <f ca="1"/>
        <v>236.53106172503783</v>
      </c>
      <c r="GU144">
        <f ca="1"/>
        <v>238.00477550525613</v>
      </c>
      <c r="GV144">
        <f ca="1"/>
        <v>239.53743783668318</v>
      </c>
      <c r="GW144">
        <f ca="1"/>
        <v>241.12904871931894</v>
      </c>
      <c r="GX144">
        <f ca="1"/>
        <v>242.72065960195471</v>
      </c>
      <c r="GY144">
        <f ca="1"/>
        <v>244.3122704845905</v>
      </c>
      <c r="GZ144">
        <f ca="1"/>
        <v>245.90388136722626</v>
      </c>
      <c r="HA144">
        <f ca="1"/>
        <v>247.49549224986202</v>
      </c>
      <c r="HB144">
        <f ca="1"/>
        <v>249.08710313249782</v>
      </c>
      <c r="HC144">
        <f ca="1"/>
        <v>250.67871401513358</v>
      </c>
      <c r="HD144">
        <f ca="1"/>
        <v>252.27032489776934</v>
      </c>
      <c r="HE144">
        <f ca="1"/>
        <v>253.86193578040513</v>
      </c>
      <c r="HF144">
        <f ca="1"/>
        <v>255.45354666304087</v>
      </c>
      <c r="HG144">
        <f ca="1"/>
        <v>257.04515754567666</v>
      </c>
      <c r="HH144">
        <f ca="1"/>
        <v>258.70043286361783</v>
      </c>
      <c r="HI144">
        <f ca="1"/>
        <v>260.41937261686451</v>
      </c>
      <c r="HJ144">
        <f ca="1"/>
        <v>262.13831237011112</v>
      </c>
      <c r="HK144">
        <f ca="1"/>
        <v>263.85725212335774</v>
      </c>
      <c r="HL144">
        <f ca="1"/>
        <v>265.57619187660441</v>
      </c>
      <c r="HM144">
        <f ca="1"/>
        <v>267.29513162985103</v>
      </c>
      <c r="HN144">
        <f ca="1"/>
        <v>269.01407138309764</v>
      </c>
      <c r="HO144">
        <f ca="1"/>
        <v>270.73301113634432</v>
      </c>
      <c r="HP144">
        <f ca="1"/>
        <v>272.45195088959088</v>
      </c>
      <c r="HQ144">
        <f ca="1"/>
        <v>274.17089064283755</v>
      </c>
      <c r="HR144">
        <f ca="1"/>
        <v>275.88983039608416</v>
      </c>
      <c r="HS144">
        <f ca="1"/>
        <v>277.60877014933078</v>
      </c>
      <c r="HT144">
        <f ca="1"/>
        <v>279.3964674927073</v>
      </c>
      <c r="HU144">
        <f ca="1"/>
        <v>281.25292242621367</v>
      </c>
      <c r="HV144">
        <f ca="1"/>
        <v>283.10937735972004</v>
      </c>
      <c r="HW144">
        <f ca="1"/>
        <v>284.96583229322636</v>
      </c>
      <c r="HX144">
        <f ca="1"/>
        <v>286.82228722673273</v>
      </c>
      <c r="HY144">
        <f ca="1"/>
        <v>288.6787421602391</v>
      </c>
      <c r="HZ144">
        <f ca="1"/>
        <v>290.53519709374547</v>
      </c>
      <c r="IA144">
        <f ca="1"/>
        <v>292.39165202725184</v>
      </c>
      <c r="IB144">
        <f ca="1"/>
        <v>294.24810696075821</v>
      </c>
      <c r="IC144">
        <f ca="1"/>
        <v>296.10456189426452</v>
      </c>
      <c r="ID144">
        <f ca="1"/>
        <v>297.96101682777089</v>
      </c>
      <c r="IE144">
        <f ca="1"/>
        <v>299.81747176127726</v>
      </c>
      <c r="IF144">
        <f ca="1"/>
        <v>301.74818489212385</v>
      </c>
      <c r="IG144">
        <f ca="1"/>
        <v>303.75315622031076</v>
      </c>
      <c r="IH144">
        <f ca="1"/>
        <v>305.75812754849767</v>
      </c>
      <c r="II144">
        <f ca="1"/>
        <v>307.76309887668452</v>
      </c>
      <c r="IJ144">
        <f ca="1"/>
        <v>309.76807020487138</v>
      </c>
      <c r="IK144">
        <f ca="1"/>
        <v>311.77304153305829</v>
      </c>
      <c r="IL144">
        <f ca="1"/>
        <v>313.7780128612452</v>
      </c>
      <c r="IM144">
        <f ca="1"/>
        <v>315.782984189432</v>
      </c>
      <c r="IN144">
        <f ca="1"/>
        <v>317.78795551761891</v>
      </c>
      <c r="IO144">
        <f ca="1"/>
        <v>319.79292684580582</v>
      </c>
      <c r="IP144">
        <f ca="1"/>
        <v>321.79789817399268</v>
      </c>
      <c r="IQ144">
        <f ca="1"/>
        <v>323.80286950217953</v>
      </c>
      <c r="IR144">
        <f ca="1"/>
        <v>325.8880396834939</v>
      </c>
      <c r="IS144">
        <f ca="1"/>
        <v>328.05340871793572</v>
      </c>
      <c r="IT144">
        <f ca="1"/>
        <v>330.21877775237755</v>
      </c>
      <c r="IU144">
        <f ca="1"/>
        <v>332.38414678681937</v>
      </c>
      <c r="IV144">
        <f ca="1"/>
        <v>334.5495158212612</v>
      </c>
      <c r="IW144">
        <f ca="1"/>
        <v>336.71488485570302</v>
      </c>
      <c r="IX144">
        <f ca="1"/>
        <v>338.88025389014484</v>
      </c>
      <c r="IY144">
        <f ca="1"/>
        <v>341.04562292458667</v>
      </c>
      <c r="IZ144">
        <f ca="1"/>
        <v>343.21099195902849</v>
      </c>
      <c r="JA144">
        <f ca="1"/>
        <v>345.37636099347031</v>
      </c>
      <c r="JB144">
        <f ca="1"/>
        <v>347.54173002791214</v>
      </c>
      <c r="JC144">
        <f ca="1"/>
        <v>349.70709906235396</v>
      </c>
      <c r="JD144">
        <f ca="1"/>
        <v>351.95908285817347</v>
      </c>
      <c r="JE144">
        <f ca="1"/>
        <v>354.29768141537062</v>
      </c>
      <c r="JF144">
        <f ca="1"/>
        <v>356.63627997256776</v>
      </c>
      <c r="JG144">
        <f ca="1"/>
        <v>358.97487852976496</v>
      </c>
      <c r="JH144">
        <f ca="1"/>
        <v>361.31347708696211</v>
      </c>
      <c r="JI144">
        <f ca="1"/>
        <v>363.65207564415925</v>
      </c>
      <c r="JJ144">
        <f ca="1"/>
        <v>365.99067420135646</v>
      </c>
      <c r="JK144">
        <f ca="1"/>
        <v>368.3292727585536</v>
      </c>
      <c r="JL144">
        <f ca="1"/>
        <v>370.66787131575074</v>
      </c>
      <c r="JM144">
        <f ca="1"/>
        <v>373.00646987294795</v>
      </c>
      <c r="JN144">
        <f ca="1"/>
        <v>375.34506843014509</v>
      </c>
      <c r="JO144">
        <f ca="1"/>
        <v>377.68366698734224</v>
      </c>
      <c r="JP144">
        <f ca="1"/>
        <v>380.11580948682729</v>
      </c>
      <c r="JQ144">
        <f ca="1"/>
        <v>382.64149592860025</v>
      </c>
      <c r="JR144">
        <f ca="1"/>
        <v>385.16718237037321</v>
      </c>
      <c r="JS144">
        <f ca="1"/>
        <v>387.69286881214612</v>
      </c>
      <c r="JT144">
        <f ca="1"/>
        <v>390.21855525391908</v>
      </c>
      <c r="JU144">
        <f ca="1"/>
        <v>392.74424169569204</v>
      </c>
      <c r="JV144">
        <f ca="1"/>
        <v>395.26992813746494</v>
      </c>
      <c r="JW144">
        <f ca="1"/>
        <v>397.79561457923791</v>
      </c>
      <c r="JX144">
        <f ca="1"/>
        <v>400.32130102101087</v>
      </c>
      <c r="JY144">
        <f ca="1"/>
        <v>402.84698746278377</v>
      </c>
      <c r="JZ144">
        <f ca="1"/>
        <v>405.37267390455673</v>
      </c>
      <c r="KA144">
        <f ca="1"/>
        <v>407.8983603463297</v>
      </c>
      <c r="KB144">
        <f ca="1"/>
        <v>410.52507424577357</v>
      </c>
      <c r="KC144">
        <f ca="1"/>
        <v>413.25281560288829</v>
      </c>
      <c r="KD144">
        <f ca="1"/>
        <v>415.98055696000313</v>
      </c>
      <c r="KE144">
        <f ca="1"/>
        <v>418.70829831711785</v>
      </c>
      <c r="KF144">
        <f ca="1"/>
        <v>421.43603967423269</v>
      </c>
      <c r="KG144">
        <f ca="1"/>
        <v>424.16378103134741</v>
      </c>
      <c r="KH144">
        <f ca="1"/>
        <v>426.89152238846225</v>
      </c>
      <c r="KI144">
        <f ca="1"/>
        <v>429.61926374557697</v>
      </c>
      <c r="KJ144">
        <f ca="1"/>
        <v>432.34700510269181</v>
      </c>
      <c r="KK144">
        <f ca="1"/>
        <v>435.07474645980653</v>
      </c>
      <c r="KL144">
        <f ca="1"/>
        <v>437.80248781692137</v>
      </c>
      <c r="KM144">
        <f ca="1"/>
        <v>440.53022917403609</v>
      </c>
      <c r="KN144">
        <f ca="1"/>
        <v>443.3670801854355</v>
      </c>
      <c r="KO144">
        <f ca="1"/>
        <v>446.31304085111947</v>
      </c>
      <c r="KP144">
        <f ca="1"/>
        <v>449.25900151680344</v>
      </c>
      <c r="KQ144">
        <f ca="1"/>
        <v>452.20496218248741</v>
      </c>
      <c r="KR144">
        <f ca="1"/>
        <v>455.15092284817132</v>
      </c>
      <c r="KS144">
        <f ca="1"/>
        <v>458.09688351385529</v>
      </c>
      <c r="KT144">
        <f ca="1"/>
        <v>461.04284417953926</v>
      </c>
      <c r="KU144">
        <f ca="1"/>
        <v>463.98880484522323</v>
      </c>
      <c r="KV144">
        <f ca="1"/>
        <v>466.93476551090714</v>
      </c>
      <c r="KW144">
        <f ca="1"/>
        <v>469.88072617659111</v>
      </c>
      <c r="KX144">
        <f ca="1"/>
        <v>472.82668684227508</v>
      </c>
      <c r="KY144">
        <f ca="1"/>
        <v>475.77264750795905</v>
      </c>
      <c r="KZ144">
        <f ca="1"/>
        <v>478.83644660027039</v>
      </c>
      <c r="LA144">
        <f ca="1"/>
        <v>482.01808411920905</v>
      </c>
      <c r="LB144">
        <f ca="1"/>
        <v>485.19972163814771</v>
      </c>
      <c r="LC144">
        <f ca="1"/>
        <v>488.38135915708642</v>
      </c>
      <c r="LD144">
        <f ca="1"/>
        <v>491.56299667602508</v>
      </c>
      <c r="LE144">
        <f ca="1"/>
        <v>494.74463419496374</v>
      </c>
      <c r="LF144">
        <f ca="1"/>
        <v>497.92627171390245</v>
      </c>
      <c r="LG144">
        <f ca="1"/>
        <v>501.10790923284111</v>
      </c>
      <c r="LH144">
        <f ca="1"/>
        <v>504.28954675177977</v>
      </c>
      <c r="LI144">
        <f ca="1"/>
        <v>507.47118427071848</v>
      </c>
      <c r="LJ144">
        <f ca="1"/>
        <v>510.65282178965708</v>
      </c>
      <c r="LK144">
        <f ca="1"/>
        <v>513.8344593085958</v>
      </c>
      <c r="LL144">
        <f ca="1"/>
        <v>517.14336232829203</v>
      </c>
      <c r="LM144">
        <f ca="1"/>
        <v>520.57953084874578</v>
      </c>
      <c r="LN144">
        <f ca="1"/>
        <v>524.01569936919952</v>
      </c>
      <c r="LO144">
        <f ca="1"/>
        <v>527.45186788965339</v>
      </c>
      <c r="LP144">
        <f ca="1"/>
        <v>530.88803641010713</v>
      </c>
      <c r="LQ144">
        <f ca="1"/>
        <v>534.32420493056088</v>
      </c>
      <c r="LR144">
        <f ca="1"/>
        <v>537.76037345101463</v>
      </c>
      <c r="LS144">
        <f ca="1"/>
        <v>541.19654197146838</v>
      </c>
      <c r="LT144">
        <f ca="1"/>
        <v>544.63271049192213</v>
      </c>
      <c r="LU144">
        <f ca="1"/>
        <v>548.06887901237599</v>
      </c>
      <c r="LV144">
        <f ca="1"/>
        <v>551.50504753282974</v>
      </c>
      <c r="LW144">
        <f ca="1"/>
        <v>554.94121605328348</v>
      </c>
      <c r="LX144">
        <f ca="1"/>
        <v>558.51483131455541</v>
      </c>
      <c r="LY144">
        <f ca="1"/>
        <v>562.22589331664551</v>
      </c>
      <c r="LZ144">
        <f ca="1"/>
        <v>565.9369553187355</v>
      </c>
      <c r="MA144">
        <f ca="1"/>
        <v>569.6480173208256</v>
      </c>
      <c r="MB144">
        <f ca="1"/>
        <v>573.3590793229157</v>
      </c>
      <c r="MC144">
        <f ca="1"/>
        <v>577.07014132500581</v>
      </c>
      <c r="MD144">
        <f ca="1"/>
        <v>580.7812033270958</v>
      </c>
      <c r="ME144">
        <f ca="1"/>
        <v>584.4922653291859</v>
      </c>
      <c r="MF144">
        <f ca="1"/>
        <v>588.203327331276</v>
      </c>
      <c r="MG144">
        <f ca="1"/>
        <v>591.9143893333661</v>
      </c>
      <c r="MH144">
        <f ca="1"/>
        <v>595.62545133545609</v>
      </c>
      <c r="MI144">
        <f ca="1"/>
        <v>599.33651333754619</v>
      </c>
      <c r="MJ144">
        <f ca="1"/>
        <v>603.19601781971983</v>
      </c>
      <c r="MK144">
        <f ca="1"/>
        <v>607.20396478197722</v>
      </c>
      <c r="ML144">
        <f ca="1"/>
        <v>611.21191174423438</v>
      </c>
      <c r="MM144">
        <f ca="1"/>
        <v>615.21985870649178</v>
      </c>
      <c r="MN144">
        <f ca="1"/>
        <v>619.22780566874894</v>
      </c>
      <c r="MO144">
        <f ca="1"/>
        <v>623.23575263100622</v>
      </c>
      <c r="MP144">
        <f ca="1"/>
        <v>627.2436995932635</v>
      </c>
      <c r="MQ144">
        <f ca="1"/>
        <v>631.25164655552067</v>
      </c>
      <c r="MR144">
        <f ca="1"/>
        <v>635.25959351777806</v>
      </c>
      <c r="MS144">
        <f ca="1"/>
        <v>639.26754048003522</v>
      </c>
      <c r="MT144">
        <f ca="1"/>
        <v>643.27548744229262</v>
      </c>
      <c r="MU144">
        <f ca="1"/>
        <v>647.28343440454978</v>
      </c>
      <c r="MV144">
        <f ca="1"/>
        <v>651.45169924529739</v>
      </c>
      <c r="MW144">
        <f ca="1"/>
        <v>655.78028196453533</v>
      </c>
      <c r="MX144">
        <f ca="1"/>
        <v>660.10886468377316</v>
      </c>
      <c r="MY144">
        <f ca="1"/>
        <v>664.43744740301099</v>
      </c>
      <c r="MZ144">
        <f ca="1"/>
        <v>668.76603012224894</v>
      </c>
      <c r="NA144">
        <f ca="1"/>
        <v>673.09461284148676</v>
      </c>
      <c r="NB144">
        <f ca="1"/>
        <v>677.42319556072471</v>
      </c>
      <c r="NC144">
        <f ca="1"/>
        <v>681.75177827996254</v>
      </c>
      <c r="ND144">
        <f ca="1"/>
        <v>686.08036099920037</v>
      </c>
      <c r="NE144">
        <f ca="1"/>
        <v>690.40894371843831</v>
      </c>
      <c r="NF144">
        <f ca="1"/>
        <v>694.73752643767625</v>
      </c>
      <c r="NG144">
        <f ca="1"/>
        <v>699.06610915691408</v>
      </c>
      <c r="NH144">
        <f ca="1"/>
        <v>703.56783518492148</v>
      </c>
      <c r="NI144">
        <f ca="1"/>
        <v>708.24270452169833</v>
      </c>
      <c r="NJ144">
        <f ca="1"/>
        <v>712.91757385847518</v>
      </c>
      <c r="NK144">
        <f ca="1"/>
        <v>717.59244319525214</v>
      </c>
      <c r="NL144">
        <f ca="1"/>
        <v>722.267312532029</v>
      </c>
      <c r="NM144">
        <f ca="1"/>
        <v>726.94218186880585</v>
      </c>
      <c r="NN144">
        <f ca="1"/>
        <v>731.61705120558281</v>
      </c>
      <c r="NO144">
        <f ca="1"/>
        <v>736.29192054235966</v>
      </c>
      <c r="NP144">
        <f ca="1"/>
        <v>740.96678987913651</v>
      </c>
      <c r="NQ144">
        <f ca="1"/>
        <v>745.64165921591348</v>
      </c>
      <c r="NR144">
        <f ca="1"/>
        <v>750.31652855269033</v>
      </c>
      <c r="NS144">
        <f ca="1"/>
        <v>754.99139788946718</v>
      </c>
      <c r="NT144">
        <f ca="1"/>
        <v>759.85326199971519</v>
      </c>
      <c r="NU144">
        <f ca="1"/>
        <v>764.90212088343424</v>
      </c>
      <c r="NV144">
        <f ca="1"/>
        <v>769.95097976715329</v>
      </c>
      <c r="NW144">
        <f ca="1"/>
        <v>774.99983865087233</v>
      </c>
      <c r="NX144">
        <f ca="1"/>
        <v>780.04869753459138</v>
      </c>
      <c r="NY144">
        <f ca="1"/>
        <v>785.09755641831043</v>
      </c>
      <c r="NZ144">
        <f ca="1"/>
        <v>790.14641530202948</v>
      </c>
      <c r="OA144">
        <f ca="1"/>
        <v>795.19527418574853</v>
      </c>
      <c r="OB144">
        <f ca="1"/>
        <v>800.24413306946758</v>
      </c>
      <c r="OC144">
        <f ca="1"/>
        <v>805.29299195318663</v>
      </c>
      <c r="OD144">
        <f ca="1"/>
        <v>810.34185083690568</v>
      </c>
      <c r="OE144">
        <f ca="1"/>
        <v>815.39070972062473</v>
      </c>
    </row>
    <row r="145" spans="1:395" x14ac:dyDescent="0.3">
      <c r="D145" s="119"/>
      <c r="E145" s="271"/>
      <c r="F145" s="76"/>
      <c r="I145" s="20"/>
      <c r="J145" s="60"/>
      <c r="K145" s="65"/>
      <c r="L145" s="55"/>
      <c r="M145" s="66"/>
      <c r="N145" s="315"/>
      <c r="O145" s="316"/>
      <c r="P145" s="311"/>
      <c r="Q145" s="166"/>
    </row>
    <row r="146" spans="1:395" x14ac:dyDescent="0.3">
      <c r="D146" s="119"/>
      <c r="E146" s="271"/>
      <c r="F146" s="76"/>
      <c r="I146" s="20"/>
      <c r="J146" s="60"/>
      <c r="K146" s="65"/>
      <c r="L146" s="55"/>
      <c r="M146" s="66"/>
      <c r="N146" s="317"/>
      <c r="O146" s="318"/>
      <c r="P146" s="319"/>
      <c r="Q146" s="322"/>
    </row>
    <row r="147" spans="1:395" ht="14.4" thickBot="1" x14ac:dyDescent="0.35">
      <c r="A147" s="167"/>
      <c r="B147" s="167" t="s">
        <v>504</v>
      </c>
      <c r="C147" s="167"/>
      <c r="D147" s="168"/>
      <c r="E147" s="169"/>
      <c r="F147" s="171"/>
      <c r="G147" s="171"/>
      <c r="H147" s="171"/>
      <c r="I147" s="132"/>
      <c r="J147" s="132"/>
      <c r="K147" s="143"/>
      <c r="L147" s="142"/>
      <c r="M147" s="142"/>
      <c r="N147" s="307"/>
      <c r="O147" s="307"/>
      <c r="P147" s="307"/>
      <c r="Q147" s="307"/>
      <c r="R147" s="171"/>
      <c r="S147" s="171"/>
      <c r="T147" s="171"/>
      <c r="U147" s="171"/>
      <c r="V147" s="171"/>
      <c r="W147" s="171"/>
      <c r="X147" s="171"/>
      <c r="Y147" s="171"/>
      <c r="Z147" s="171"/>
      <c r="AA147" s="171"/>
      <c r="AB147" s="171"/>
      <c r="AC147" s="171"/>
      <c r="AD147" s="171"/>
      <c r="AE147" s="171"/>
      <c r="AF147" s="171"/>
      <c r="AG147" s="171"/>
      <c r="AH147" s="171"/>
      <c r="AI147" s="171"/>
      <c r="AJ147" s="171"/>
      <c r="AK147" s="171"/>
      <c r="AL147" s="171"/>
      <c r="AM147" s="171"/>
      <c r="AN147" s="171"/>
      <c r="AO147" s="171"/>
      <c r="AP147" s="171"/>
      <c r="AQ147" s="171"/>
      <c r="AR147" s="171"/>
      <c r="AS147" s="171"/>
      <c r="AT147" s="171"/>
      <c r="AU147" s="171"/>
      <c r="AV147" s="171"/>
      <c r="AW147" s="171"/>
      <c r="AX147" s="171"/>
      <c r="AY147" s="171"/>
      <c r="AZ147" s="171"/>
      <c r="BA147" s="171"/>
      <c r="BB147" s="171"/>
      <c r="BC147" s="171"/>
      <c r="BD147" s="171"/>
      <c r="BE147" s="171"/>
      <c r="BF147" s="171"/>
      <c r="BG147" s="171"/>
      <c r="BH147" s="171"/>
      <c r="BI147" s="171"/>
      <c r="BJ147" s="171"/>
      <c r="BK147" s="171"/>
      <c r="BL147" s="171"/>
      <c r="BM147" s="171"/>
      <c r="BN147" s="171"/>
      <c r="BO147" s="171"/>
      <c r="BP147" s="171"/>
      <c r="BQ147" s="171"/>
      <c r="BR147" s="171"/>
      <c r="BS147" s="171"/>
      <c r="BT147" s="171"/>
      <c r="BU147" s="171"/>
      <c r="BV147" s="171"/>
      <c r="BW147" s="171"/>
      <c r="BX147" s="171"/>
      <c r="BY147" s="171"/>
      <c r="BZ147" s="171"/>
      <c r="CA147" s="171"/>
      <c r="CB147" s="171"/>
      <c r="CC147" s="171"/>
      <c r="CD147" s="171"/>
      <c r="CE147" s="171"/>
      <c r="CF147" s="171"/>
      <c r="CG147" s="171"/>
      <c r="CH147" s="171"/>
      <c r="CI147" s="171"/>
      <c r="CJ147" s="171"/>
      <c r="CK147" s="171"/>
      <c r="CL147" s="171"/>
      <c r="CM147" s="171"/>
      <c r="CN147" s="171"/>
      <c r="CO147" s="171"/>
      <c r="CP147" s="171"/>
      <c r="CQ147" s="171"/>
      <c r="CR147" s="171"/>
      <c r="CS147" s="171"/>
      <c r="CT147" s="171"/>
      <c r="CU147" s="171"/>
      <c r="CV147" s="171"/>
      <c r="CW147" s="171"/>
      <c r="CX147" s="171"/>
      <c r="CY147" s="171"/>
      <c r="CZ147" s="171"/>
      <c r="DA147" s="171"/>
      <c r="DB147" s="171"/>
      <c r="DC147" s="171"/>
      <c r="DD147" s="171"/>
      <c r="DE147" s="171"/>
      <c r="DF147" s="171"/>
      <c r="DG147" s="171"/>
      <c r="DH147" s="171"/>
      <c r="DI147" s="171"/>
      <c r="DJ147" s="171"/>
      <c r="DK147" s="171"/>
      <c r="DL147" s="171"/>
      <c r="DM147" s="171"/>
      <c r="DN147" s="171"/>
      <c r="DO147" s="171"/>
      <c r="DP147" s="171"/>
      <c r="DQ147" s="171"/>
      <c r="DR147" s="171"/>
      <c r="DS147" s="171"/>
      <c r="DT147" s="171"/>
      <c r="DU147" s="171"/>
      <c r="DV147" s="171"/>
      <c r="DW147" s="171"/>
      <c r="DX147" s="171"/>
      <c r="DY147" s="171"/>
      <c r="DZ147" s="171"/>
      <c r="EA147" s="171"/>
      <c r="EB147" s="171"/>
      <c r="EC147" s="171"/>
      <c r="ED147" s="171"/>
      <c r="EE147" s="171"/>
      <c r="EF147" s="171"/>
      <c r="EG147" s="171"/>
      <c r="EH147" s="171"/>
      <c r="EI147" s="171"/>
      <c r="EJ147" s="171"/>
      <c r="EK147" s="171"/>
      <c r="EL147" s="171"/>
      <c r="EM147" s="171"/>
      <c r="EN147" s="171"/>
      <c r="EO147" s="171"/>
      <c r="EP147" s="171"/>
      <c r="EQ147" s="171"/>
      <c r="ER147" s="171"/>
      <c r="ES147" s="171"/>
      <c r="ET147" s="171"/>
      <c r="EU147" s="171"/>
      <c r="EV147" s="171"/>
      <c r="EW147" s="171"/>
      <c r="EX147" s="171"/>
      <c r="EY147" s="171"/>
      <c r="EZ147" s="171"/>
      <c r="FA147" s="171"/>
      <c r="FB147" s="171"/>
      <c r="FC147" s="171"/>
      <c r="FD147" s="171"/>
      <c r="FE147" s="171"/>
      <c r="FF147" s="171"/>
      <c r="FG147" s="171"/>
      <c r="FH147" s="171"/>
      <c r="FI147" s="171"/>
      <c r="FJ147" s="171"/>
      <c r="FK147" s="171"/>
      <c r="FL147" s="171"/>
      <c r="FM147" s="171"/>
      <c r="FN147" s="171"/>
      <c r="FO147" s="171"/>
      <c r="FP147" s="171"/>
      <c r="FQ147" s="171"/>
      <c r="FR147" s="171"/>
      <c r="FS147" s="171"/>
      <c r="FT147" s="171"/>
      <c r="FU147" s="171"/>
      <c r="FV147" s="171"/>
      <c r="FW147" s="171"/>
      <c r="FX147" s="171"/>
      <c r="FY147" s="171"/>
      <c r="FZ147" s="171"/>
      <c r="GA147" s="171"/>
      <c r="GB147" s="171"/>
      <c r="GC147" s="171"/>
      <c r="GD147" s="171"/>
      <c r="GE147" s="171"/>
      <c r="GF147" s="171"/>
      <c r="GG147" s="171"/>
      <c r="GH147" s="171"/>
      <c r="GI147" s="171"/>
      <c r="GJ147" s="171"/>
      <c r="GK147" s="171"/>
      <c r="GL147" s="171"/>
      <c r="GM147" s="171"/>
      <c r="GN147" s="171"/>
      <c r="GO147" s="171"/>
      <c r="GP147" s="171"/>
      <c r="GQ147" s="171"/>
      <c r="GR147" s="171"/>
      <c r="GS147" s="171"/>
      <c r="GT147" s="171"/>
      <c r="GU147" s="171"/>
      <c r="GV147" s="171"/>
      <c r="GW147" s="171"/>
      <c r="GX147" s="171"/>
      <c r="GY147" s="171"/>
      <c r="GZ147" s="171"/>
      <c r="HA147" s="171"/>
      <c r="HB147" s="171"/>
      <c r="HC147" s="171"/>
      <c r="HD147" s="171"/>
      <c r="HE147" s="171"/>
      <c r="HF147" s="171"/>
      <c r="HG147" s="171"/>
      <c r="HH147" s="171"/>
      <c r="HI147" s="171"/>
      <c r="HJ147" s="171"/>
      <c r="HK147" s="171"/>
      <c r="HL147" s="171"/>
      <c r="HM147" s="171"/>
      <c r="HN147" s="171"/>
      <c r="HO147" s="171"/>
      <c r="HP147" s="171"/>
      <c r="HQ147" s="171"/>
      <c r="HR147" s="171"/>
      <c r="HS147" s="171"/>
      <c r="HT147" s="171"/>
      <c r="HU147" s="171"/>
      <c r="HV147" s="171"/>
      <c r="HW147" s="171"/>
      <c r="HX147" s="171"/>
      <c r="HY147" s="171"/>
      <c r="HZ147" s="171"/>
      <c r="IA147" s="171"/>
      <c r="IB147" s="171"/>
      <c r="IC147" s="171"/>
      <c r="ID147" s="171"/>
      <c r="IE147" s="171"/>
      <c r="IF147" s="171"/>
      <c r="IG147" s="171"/>
      <c r="IH147" s="171"/>
      <c r="II147" s="171"/>
      <c r="IJ147" s="171"/>
      <c r="IK147" s="171"/>
      <c r="IL147" s="171"/>
      <c r="IM147" s="171"/>
      <c r="IN147" s="171"/>
      <c r="IO147" s="171"/>
      <c r="IP147" s="171"/>
      <c r="IQ147" s="171"/>
      <c r="IR147" s="171"/>
      <c r="IS147" s="171"/>
      <c r="IT147" s="171"/>
      <c r="IU147" s="171"/>
      <c r="IV147" s="171"/>
      <c r="IW147" s="171"/>
      <c r="IX147" s="171"/>
      <c r="IY147" s="171"/>
      <c r="IZ147" s="171"/>
      <c r="JA147" s="171"/>
      <c r="JB147" s="171"/>
      <c r="JC147" s="171"/>
      <c r="JD147" s="171"/>
      <c r="JE147" s="171"/>
      <c r="JF147" s="171"/>
      <c r="JG147" s="171"/>
      <c r="JH147" s="171"/>
      <c r="JI147" s="171"/>
      <c r="JJ147" s="171"/>
      <c r="JK147" s="171"/>
      <c r="JL147" s="171"/>
      <c r="JM147" s="171"/>
      <c r="JN147" s="171"/>
      <c r="JO147" s="171"/>
      <c r="JP147" s="171"/>
      <c r="JQ147" s="171"/>
      <c r="JR147" s="171"/>
      <c r="JS147" s="171"/>
      <c r="JT147" s="171"/>
      <c r="JU147" s="171"/>
      <c r="JV147" s="171"/>
      <c r="JW147" s="171"/>
      <c r="JX147" s="171"/>
      <c r="JY147" s="171"/>
      <c r="JZ147" s="171"/>
      <c r="KA147" s="171"/>
      <c r="KB147" s="171"/>
      <c r="KC147" s="171"/>
      <c r="KD147" s="171"/>
      <c r="KE147" s="171"/>
      <c r="KF147" s="171"/>
      <c r="KG147" s="171"/>
      <c r="KH147" s="171"/>
      <c r="KI147" s="171"/>
      <c r="KJ147" s="171"/>
      <c r="KK147" s="171"/>
      <c r="KL147" s="171"/>
      <c r="KM147" s="171"/>
      <c r="KN147" s="171"/>
      <c r="KO147" s="171"/>
      <c r="KP147" s="171"/>
      <c r="KQ147" s="171"/>
      <c r="KR147" s="171"/>
      <c r="KS147" s="171"/>
      <c r="KT147" s="171"/>
      <c r="KU147" s="171"/>
      <c r="KV147" s="171"/>
      <c r="KW147" s="171"/>
      <c r="KX147" s="171"/>
      <c r="KY147" s="171"/>
      <c r="KZ147" s="171"/>
      <c r="LA147" s="171"/>
      <c r="LB147" s="171"/>
      <c r="LC147" s="171"/>
      <c r="LD147" s="171"/>
      <c r="LE147" s="171"/>
      <c r="LF147" s="171"/>
      <c r="LG147" s="171"/>
      <c r="LH147" s="171"/>
      <c r="LI147" s="171"/>
      <c r="LJ147" s="171"/>
      <c r="LK147" s="171"/>
      <c r="LL147" s="171"/>
      <c r="LM147" s="171"/>
      <c r="LN147" s="171"/>
      <c r="LO147" s="171"/>
      <c r="LP147" s="171"/>
      <c r="LQ147" s="171"/>
      <c r="LR147" s="171"/>
      <c r="LS147" s="171"/>
      <c r="LT147" s="171"/>
      <c r="LU147" s="171"/>
      <c r="LV147" s="171"/>
      <c r="LW147" s="171"/>
      <c r="LX147" s="171"/>
      <c r="LY147" s="171"/>
      <c r="LZ147" s="171"/>
      <c r="MA147" s="171"/>
      <c r="MB147" s="171"/>
      <c r="MC147" s="171"/>
      <c r="MD147" s="171"/>
      <c r="ME147" s="171"/>
      <c r="MF147" s="171"/>
      <c r="MG147" s="171"/>
      <c r="MH147" s="171"/>
      <c r="MI147" s="171"/>
      <c r="MJ147" s="171"/>
      <c r="MK147" s="171"/>
      <c r="ML147" s="171"/>
      <c r="MM147" s="171"/>
      <c r="MN147" s="171"/>
      <c r="MO147" s="171"/>
      <c r="MP147" s="171"/>
      <c r="MQ147" s="171"/>
      <c r="MR147" s="171"/>
      <c r="MS147" s="171"/>
      <c r="MT147" s="171"/>
      <c r="MU147" s="171"/>
      <c r="MV147" s="171"/>
      <c r="MW147" s="171"/>
      <c r="MX147" s="171"/>
      <c r="MY147" s="171"/>
      <c r="MZ147" s="171"/>
      <c r="NA147" s="171"/>
      <c r="NB147" s="171"/>
      <c r="NC147" s="171"/>
      <c r="ND147" s="171"/>
      <c r="NE147" s="171"/>
      <c r="NF147" s="171"/>
      <c r="NG147" s="171"/>
      <c r="NH147" s="171"/>
      <c r="NI147" s="171"/>
      <c r="NJ147" s="171"/>
      <c r="NK147" s="171"/>
      <c r="NL147" s="171"/>
      <c r="NM147" s="171"/>
      <c r="NN147" s="171"/>
      <c r="NO147" s="171"/>
      <c r="NP147" s="171"/>
      <c r="NQ147" s="171"/>
      <c r="NR147" s="171"/>
      <c r="NS147" s="171"/>
      <c r="NT147" s="171"/>
      <c r="NU147" s="171"/>
      <c r="NV147" s="171"/>
      <c r="NW147" s="171"/>
      <c r="NX147" s="171"/>
      <c r="NY147" s="171"/>
      <c r="NZ147" s="171"/>
      <c r="OA147" s="171"/>
      <c r="OB147" s="171"/>
      <c r="OC147" s="171"/>
      <c r="OD147" s="171"/>
      <c r="OE147" s="171"/>
    </row>
    <row r="148" spans="1:395" x14ac:dyDescent="0.3">
      <c r="D148" s="119"/>
      <c r="E148" s="6"/>
      <c r="K148" s="65"/>
      <c r="L148" s="55"/>
      <c r="M148" s="112" t="s">
        <v>366</v>
      </c>
      <c r="N148" s="189"/>
      <c r="O148" s="189"/>
      <c r="P148" s="189"/>
      <c r="Q148" s="189"/>
      <c r="R148" s="55"/>
      <c r="S148" s="55"/>
      <c r="T148" s="55"/>
      <c r="U148" s="55"/>
      <c r="V148" s="55"/>
      <c r="W148" s="55"/>
      <c r="X148" s="55"/>
      <c r="Y148" s="55"/>
      <c r="Z148" s="55"/>
      <c r="AA148" s="55"/>
      <c r="AB148" s="55"/>
      <c r="AC148" s="55"/>
      <c r="AD148" s="55"/>
      <c r="AE148" s="55"/>
      <c r="AF148" s="55"/>
      <c r="AG148" s="55"/>
      <c r="AH148" s="55"/>
      <c r="AI148" s="55"/>
      <c r="AJ148" s="55"/>
      <c r="AK148" s="55"/>
      <c r="AL148" s="55"/>
      <c r="AM148" s="55"/>
      <c r="AN148" s="55"/>
      <c r="AO148" s="55"/>
      <c r="AP148" s="55"/>
      <c r="AQ148" s="55"/>
      <c r="AR148" s="55"/>
      <c r="AS148" s="55"/>
      <c r="AT148" s="55"/>
      <c r="AU148" s="55"/>
      <c r="AV148" s="55"/>
      <c r="AW148" s="55"/>
      <c r="AX148" s="55"/>
      <c r="AY148" s="55"/>
      <c r="AZ148" s="55"/>
      <c r="BA148" s="55"/>
      <c r="BB148" s="55"/>
      <c r="BC148" s="55"/>
      <c r="BD148" s="55"/>
      <c r="BE148" s="55"/>
      <c r="BF148" s="55"/>
      <c r="BG148" s="55"/>
      <c r="BH148" s="55"/>
      <c r="BI148" s="55"/>
      <c r="BJ148" s="55"/>
      <c r="BK148" s="55"/>
      <c r="BL148" s="55"/>
      <c r="BM148" s="55"/>
      <c r="BN148" s="55"/>
      <c r="BO148" s="55"/>
      <c r="BP148" s="55"/>
      <c r="BQ148" s="55"/>
      <c r="BR148" s="55"/>
      <c r="BS148" s="55"/>
      <c r="BT148" s="55"/>
      <c r="BU148" s="55"/>
      <c r="BV148" s="55"/>
      <c r="BW148" s="55"/>
      <c r="BX148" s="55"/>
      <c r="BY148" s="55"/>
      <c r="BZ148" s="55"/>
      <c r="CA148" s="55"/>
      <c r="CB148" s="55"/>
      <c r="CC148" s="55"/>
      <c r="CD148" s="55"/>
      <c r="CE148" s="55"/>
      <c r="CF148" s="55"/>
      <c r="CG148" s="55"/>
      <c r="CH148" s="55"/>
      <c r="CI148" s="55"/>
      <c r="CJ148" s="55"/>
      <c r="CK148" s="55"/>
      <c r="CL148" s="55"/>
      <c r="CM148" s="55"/>
      <c r="CN148" s="55"/>
      <c r="CO148" s="55"/>
      <c r="CP148" s="55"/>
      <c r="CQ148" s="55"/>
      <c r="CR148" s="55"/>
      <c r="CS148" s="55"/>
      <c r="CT148" s="55"/>
      <c r="CU148" s="55"/>
      <c r="CV148" s="55"/>
      <c r="CW148" s="55"/>
      <c r="CX148" s="55"/>
      <c r="CY148" s="55"/>
      <c r="CZ148" s="55"/>
      <c r="DA148" s="55"/>
      <c r="DB148" s="55"/>
      <c r="DC148" s="55"/>
      <c r="DD148" s="55"/>
      <c r="DE148" s="55"/>
      <c r="DF148" s="55"/>
      <c r="DG148" s="55"/>
      <c r="DH148" s="55"/>
      <c r="DI148" s="55"/>
      <c r="DJ148" s="55"/>
      <c r="DK148" s="55"/>
      <c r="DL148" s="55"/>
      <c r="DM148" s="55"/>
      <c r="DN148" s="55"/>
      <c r="DO148" s="55"/>
      <c r="DP148" s="55"/>
      <c r="DQ148" s="55"/>
      <c r="DR148" s="55"/>
      <c r="DS148" s="55"/>
      <c r="DT148" s="55"/>
      <c r="DU148" s="55"/>
      <c r="DV148" s="55"/>
      <c r="DW148" s="55"/>
      <c r="DX148" s="55"/>
      <c r="DY148" s="55"/>
      <c r="DZ148" s="55"/>
      <c r="EA148" s="55"/>
      <c r="EB148" s="55"/>
      <c r="EC148" s="55"/>
      <c r="ED148" s="55"/>
      <c r="EE148" s="55"/>
      <c r="EF148" s="55"/>
      <c r="EG148" s="55"/>
      <c r="EH148" s="55"/>
      <c r="EI148" s="55"/>
      <c r="EJ148" s="55"/>
      <c r="EK148" s="55"/>
      <c r="EL148" s="55"/>
      <c r="EM148" s="55"/>
      <c r="EN148" s="55"/>
      <c r="EO148" s="55"/>
      <c r="EP148" s="55"/>
      <c r="EQ148" s="55"/>
      <c r="ER148" s="55"/>
      <c r="ES148" s="55"/>
      <c r="ET148" s="55"/>
      <c r="EU148" s="55"/>
      <c r="EV148" s="55"/>
      <c r="EW148" s="55"/>
      <c r="EX148" s="55"/>
      <c r="EY148" s="55"/>
      <c r="EZ148" s="55"/>
      <c r="FA148" s="55"/>
      <c r="FB148" s="55"/>
      <c r="FC148" s="55"/>
      <c r="FD148" s="55"/>
      <c r="FE148" s="55"/>
      <c r="FF148" s="55"/>
      <c r="FG148" s="55"/>
      <c r="FH148" s="55"/>
      <c r="FI148" s="55"/>
      <c r="FJ148" s="55"/>
      <c r="FK148" s="55"/>
      <c r="FL148" s="55"/>
      <c r="FM148" s="55"/>
      <c r="FN148" s="55"/>
      <c r="FO148" s="55"/>
      <c r="FP148" s="55"/>
      <c r="FQ148" s="55"/>
      <c r="FR148" s="55"/>
      <c r="FS148" s="55"/>
      <c r="FT148" s="55"/>
      <c r="FU148" s="55"/>
      <c r="FV148" s="55"/>
      <c r="FW148" s="55"/>
      <c r="FX148" s="55"/>
      <c r="FY148" s="55"/>
      <c r="FZ148" s="55"/>
      <c r="GA148" s="55"/>
      <c r="GB148" s="55"/>
      <c r="GC148" s="55"/>
      <c r="GD148" s="55"/>
      <c r="GE148" s="55"/>
      <c r="GF148" s="55"/>
      <c r="GG148" s="55"/>
      <c r="GH148" s="55"/>
      <c r="GI148" s="55"/>
      <c r="GJ148" s="55"/>
      <c r="GK148" s="55"/>
      <c r="GL148" s="55"/>
      <c r="GM148" s="55"/>
      <c r="GN148" s="55"/>
      <c r="GO148" s="55"/>
      <c r="GP148" s="55"/>
      <c r="GQ148" s="55"/>
      <c r="GR148" s="55"/>
      <c r="GS148" s="55"/>
      <c r="GT148" s="55"/>
      <c r="GU148" s="55"/>
      <c r="GV148" s="55"/>
      <c r="GW148" s="55"/>
      <c r="GX148" s="55"/>
      <c r="GY148" s="55"/>
      <c r="GZ148" s="55"/>
      <c r="HA148" s="55"/>
      <c r="HB148" s="55"/>
      <c r="HC148" s="55"/>
      <c r="HD148" s="55"/>
      <c r="HE148" s="55"/>
      <c r="HF148" s="55"/>
      <c r="HG148" s="55"/>
      <c r="HH148" s="55"/>
      <c r="HI148" s="55"/>
      <c r="HJ148" s="55"/>
      <c r="HK148" s="55"/>
      <c r="HL148" s="55"/>
      <c r="HM148" s="55"/>
      <c r="HN148" s="55"/>
      <c r="HO148" s="55"/>
      <c r="HP148" s="55"/>
      <c r="HQ148" s="55"/>
      <c r="HR148" s="55"/>
      <c r="HS148" s="55"/>
      <c r="HT148" s="55"/>
      <c r="HU148" s="55"/>
      <c r="HV148" s="55"/>
      <c r="HW148" s="55"/>
      <c r="HX148" s="55"/>
      <c r="HY148" s="55"/>
      <c r="HZ148" s="55"/>
      <c r="IA148" s="55"/>
      <c r="IB148" s="55"/>
      <c r="IC148" s="55"/>
      <c r="ID148" s="55"/>
      <c r="IE148" s="55"/>
      <c r="IF148" s="55"/>
      <c r="IG148" s="55"/>
      <c r="IH148" s="55"/>
      <c r="II148" s="55"/>
      <c r="IJ148" s="55"/>
      <c r="IK148" s="55"/>
      <c r="IL148" s="55"/>
      <c r="IM148" s="55"/>
      <c r="IN148" s="55"/>
      <c r="IO148" s="55"/>
      <c r="IP148" s="55"/>
      <c r="IQ148" s="55"/>
      <c r="IR148" s="55"/>
      <c r="IS148" s="55"/>
      <c r="IT148" s="55"/>
      <c r="IU148" s="55"/>
      <c r="IV148" s="55"/>
      <c r="IW148" s="55"/>
      <c r="IX148" s="55"/>
      <c r="IY148" s="55"/>
      <c r="IZ148" s="55"/>
      <c r="JA148" s="55"/>
      <c r="JB148" s="55"/>
      <c r="JC148" s="55"/>
      <c r="JD148" s="55"/>
      <c r="JE148" s="55"/>
      <c r="JF148" s="55"/>
      <c r="JG148" s="55"/>
      <c r="JH148" s="55"/>
      <c r="JI148" s="55"/>
      <c r="JJ148" s="55"/>
      <c r="JK148" s="55"/>
      <c r="JL148" s="55"/>
      <c r="JM148" s="55"/>
      <c r="JN148" s="55"/>
      <c r="JO148" s="55"/>
      <c r="JP148" s="55"/>
      <c r="JQ148" s="55"/>
      <c r="JR148" s="55"/>
      <c r="JS148" s="55"/>
      <c r="JT148" s="55"/>
      <c r="JU148" s="55"/>
      <c r="JV148" s="55"/>
      <c r="JW148" s="55"/>
      <c r="JX148" s="55"/>
      <c r="JY148" s="55"/>
      <c r="JZ148" s="55"/>
      <c r="KA148" s="55"/>
      <c r="KB148" s="55"/>
      <c r="KC148" s="55"/>
      <c r="KD148" s="55"/>
      <c r="KE148" s="55"/>
      <c r="KF148" s="55"/>
      <c r="KG148" s="55"/>
      <c r="KH148" s="55"/>
      <c r="KI148" s="55"/>
      <c r="KJ148" s="55"/>
      <c r="KK148" s="55"/>
      <c r="KL148" s="55"/>
      <c r="KM148" s="55"/>
      <c r="KN148" s="55"/>
      <c r="KO148" s="55"/>
      <c r="KP148" s="55"/>
      <c r="KQ148" s="55"/>
      <c r="KR148" s="55"/>
      <c r="KS148" s="55"/>
      <c r="KT148" s="55"/>
      <c r="KU148" s="55"/>
      <c r="KV148" s="55"/>
      <c r="KW148" s="55"/>
      <c r="KX148" s="55"/>
      <c r="KY148" s="55"/>
      <c r="KZ148" s="55"/>
      <c r="LA148" s="55"/>
      <c r="LB148" s="55"/>
      <c r="LC148" s="55"/>
      <c r="LD148" s="55"/>
      <c r="LE148" s="55"/>
      <c r="LF148" s="55"/>
      <c r="LG148" s="55"/>
      <c r="LH148" s="55"/>
      <c r="LI148" s="55"/>
      <c r="LJ148" s="55"/>
      <c r="LK148" s="55"/>
      <c r="LL148" s="55"/>
      <c r="LM148" s="55"/>
      <c r="LN148" s="55"/>
      <c r="LO148" s="55"/>
      <c r="LP148" s="55"/>
      <c r="LQ148" s="55"/>
      <c r="LR148" s="55"/>
      <c r="LS148" s="55"/>
      <c r="LT148" s="55"/>
      <c r="LU148" s="55"/>
      <c r="LV148" s="55"/>
      <c r="LW148" s="55"/>
      <c r="LX148" s="55"/>
      <c r="LY148" s="55"/>
      <c r="LZ148" s="55"/>
      <c r="MA148" s="55"/>
      <c r="MB148" s="55"/>
      <c r="MC148" s="55"/>
      <c r="MD148" s="55"/>
      <c r="ME148" s="55"/>
      <c r="MF148" s="55"/>
      <c r="MG148" s="55"/>
      <c r="MH148" s="55"/>
      <c r="MI148" s="55"/>
      <c r="MJ148" s="55"/>
      <c r="MK148" s="55"/>
      <c r="ML148" s="55"/>
      <c r="MM148" s="55"/>
      <c r="MN148" s="55"/>
      <c r="MO148" s="55"/>
      <c r="MP148" s="55"/>
      <c r="MQ148" s="55"/>
      <c r="MR148" s="55"/>
      <c r="MS148" s="55"/>
      <c r="MT148" s="55"/>
      <c r="MU148" s="55"/>
      <c r="MV148" s="55"/>
      <c r="MW148" s="55"/>
      <c r="MX148" s="55"/>
      <c r="MY148" s="55"/>
      <c r="MZ148" s="55"/>
      <c r="NA148" s="55"/>
      <c r="NB148" s="55"/>
      <c r="NC148" s="55"/>
      <c r="ND148" s="55"/>
      <c r="NE148" s="55"/>
      <c r="NF148" s="55"/>
      <c r="NG148" s="55"/>
      <c r="NH148" s="55"/>
      <c r="NI148" s="55"/>
      <c r="NJ148" s="55"/>
      <c r="NK148" s="55"/>
      <c r="NL148" s="55"/>
      <c r="NM148" s="55"/>
      <c r="NN148" s="55"/>
      <c r="NO148" s="55"/>
      <c r="NP148" s="55"/>
      <c r="NQ148" s="55"/>
      <c r="NR148" s="55"/>
      <c r="NS148" s="55"/>
      <c r="NT148" s="55"/>
      <c r="NU148" s="55"/>
      <c r="NV148" s="55"/>
      <c r="NW148" s="55"/>
      <c r="NX148" s="55"/>
      <c r="NY148" s="55"/>
      <c r="NZ148" s="55"/>
      <c r="OA148" s="55"/>
      <c r="OB148" s="55"/>
      <c r="OC148" s="55"/>
      <c r="OD148" s="55"/>
      <c r="OE148" s="55"/>
    </row>
    <row r="149" spans="1:395" x14ac:dyDescent="0.3">
      <c r="D149" s="119"/>
      <c r="E149" s="6"/>
      <c r="K149" s="65"/>
      <c r="L149" s="55"/>
      <c r="M149" s="112"/>
      <c r="N149" s="189"/>
      <c r="O149" s="189"/>
      <c r="P149" s="189"/>
      <c r="Q149" s="189"/>
      <c r="R149" s="55"/>
      <c r="S149" s="55"/>
      <c r="T149" s="55"/>
      <c r="U149" s="55"/>
      <c r="V149" s="55"/>
      <c r="W149" s="55"/>
      <c r="X149" s="55"/>
      <c r="Y149" s="55"/>
      <c r="Z149" s="55"/>
      <c r="AA149" s="55"/>
      <c r="AB149" s="55"/>
      <c r="AC149" s="55"/>
      <c r="AD149" s="55"/>
      <c r="AE149" s="55"/>
      <c r="AF149" s="55"/>
      <c r="AG149" s="55"/>
      <c r="AH149" s="55"/>
      <c r="AI149" s="55"/>
      <c r="AJ149" s="55"/>
      <c r="AK149" s="55"/>
      <c r="AL149" s="55"/>
      <c r="AM149" s="55"/>
      <c r="AN149" s="55"/>
      <c r="AO149" s="55"/>
      <c r="AP149" s="55"/>
      <c r="AQ149" s="55"/>
      <c r="AR149" s="55"/>
      <c r="AS149" s="55"/>
      <c r="AT149" s="55"/>
      <c r="AU149" s="55"/>
      <c r="AV149" s="55"/>
      <c r="AW149" s="55"/>
      <c r="AX149" s="55"/>
      <c r="AY149" s="55"/>
      <c r="AZ149" s="55"/>
      <c r="BA149" s="55"/>
      <c r="BB149" s="55"/>
      <c r="BC149" s="55"/>
      <c r="BD149" s="55"/>
      <c r="BE149" s="55"/>
      <c r="BF149" s="55"/>
      <c r="BG149" s="55"/>
      <c r="BH149" s="55"/>
      <c r="BI149" s="55"/>
      <c r="BJ149" s="55"/>
      <c r="BK149" s="55"/>
      <c r="BL149" s="55"/>
      <c r="BM149" s="55"/>
      <c r="BN149" s="55"/>
      <c r="BO149" s="55"/>
      <c r="BP149" s="55"/>
      <c r="BQ149" s="55"/>
      <c r="BR149" s="55"/>
      <c r="BS149" s="55"/>
      <c r="BT149" s="55"/>
      <c r="BU149" s="55"/>
      <c r="BV149" s="55"/>
      <c r="BW149" s="55"/>
      <c r="BX149" s="55"/>
      <c r="BY149" s="55"/>
      <c r="BZ149" s="55"/>
      <c r="CA149" s="55"/>
      <c r="CB149" s="55"/>
      <c r="CC149" s="55"/>
      <c r="CD149" s="55"/>
      <c r="CE149" s="55"/>
      <c r="CF149" s="55"/>
      <c r="CG149" s="55"/>
      <c r="CH149" s="55"/>
      <c r="CI149" s="55"/>
      <c r="CJ149" s="55"/>
      <c r="CK149" s="55"/>
      <c r="CL149" s="55"/>
      <c r="CM149" s="55"/>
      <c r="CN149" s="55"/>
      <c r="CO149" s="55"/>
      <c r="CP149" s="55"/>
      <c r="CQ149" s="55"/>
      <c r="CR149" s="55"/>
      <c r="CS149" s="55"/>
      <c r="CT149" s="55"/>
      <c r="CU149" s="55"/>
      <c r="CV149" s="55"/>
      <c r="CW149" s="55"/>
      <c r="CX149" s="55"/>
      <c r="CY149" s="55"/>
      <c r="CZ149" s="55"/>
      <c r="DA149" s="55"/>
      <c r="DB149" s="55"/>
      <c r="DC149" s="55"/>
      <c r="DD149" s="55"/>
      <c r="DE149" s="55"/>
      <c r="DF149" s="55"/>
      <c r="DG149" s="55"/>
      <c r="DH149" s="55"/>
      <c r="DI149" s="55"/>
      <c r="DJ149" s="55"/>
      <c r="DK149" s="55"/>
      <c r="DL149" s="55"/>
      <c r="DM149" s="55"/>
      <c r="DN149" s="55"/>
      <c r="DO149" s="55"/>
      <c r="DP149" s="55"/>
      <c r="DQ149" s="55"/>
      <c r="DR149" s="55"/>
      <c r="DS149" s="55"/>
      <c r="DT149" s="55"/>
      <c r="DU149" s="55"/>
      <c r="DV149" s="55"/>
      <c r="DW149" s="55"/>
      <c r="DX149" s="55"/>
      <c r="DY149" s="55"/>
      <c r="DZ149" s="55"/>
      <c r="EA149" s="55"/>
      <c r="EB149" s="55"/>
      <c r="EC149" s="55"/>
      <c r="ED149" s="55"/>
      <c r="EE149" s="55"/>
      <c r="EF149" s="55"/>
      <c r="EG149" s="55"/>
      <c r="EH149" s="55"/>
      <c r="EI149" s="55"/>
      <c r="EJ149" s="55"/>
      <c r="EK149" s="55"/>
      <c r="EL149" s="55"/>
      <c r="EM149" s="55"/>
      <c r="EN149" s="55"/>
      <c r="EO149" s="55"/>
      <c r="EP149" s="55"/>
      <c r="EQ149" s="55"/>
      <c r="ER149" s="55"/>
      <c r="ES149" s="55"/>
      <c r="ET149" s="55"/>
      <c r="EU149" s="55"/>
      <c r="EV149" s="55"/>
      <c r="EW149" s="55"/>
      <c r="EX149" s="55"/>
      <c r="EY149" s="55"/>
      <c r="EZ149" s="55"/>
      <c r="FA149" s="55"/>
      <c r="FB149" s="55"/>
      <c r="FC149" s="55"/>
      <c r="FD149" s="55"/>
      <c r="FE149" s="55"/>
      <c r="FF149" s="55"/>
      <c r="FG149" s="55"/>
      <c r="FH149" s="55"/>
      <c r="FI149" s="55"/>
      <c r="FJ149" s="55"/>
      <c r="FK149" s="55"/>
      <c r="FL149" s="55"/>
      <c r="FM149" s="55"/>
      <c r="FN149" s="55"/>
      <c r="FO149" s="55"/>
      <c r="FP149" s="55"/>
      <c r="FQ149" s="55"/>
      <c r="FR149" s="55"/>
      <c r="FS149" s="55"/>
      <c r="FT149" s="55"/>
      <c r="FU149" s="55"/>
      <c r="FV149" s="55"/>
      <c r="FW149" s="55"/>
      <c r="FX149" s="55"/>
      <c r="FY149" s="55"/>
      <c r="FZ149" s="55"/>
      <c r="GA149" s="55"/>
      <c r="GB149" s="55"/>
      <c r="GC149" s="55"/>
      <c r="GD149" s="55"/>
      <c r="GE149" s="55"/>
      <c r="GF149" s="55"/>
      <c r="GG149" s="55"/>
      <c r="GH149" s="55"/>
      <c r="GI149" s="55"/>
      <c r="GJ149" s="55"/>
      <c r="GK149" s="55"/>
      <c r="GL149" s="55"/>
      <c r="GM149" s="55"/>
      <c r="GN149" s="55"/>
      <c r="GO149" s="55"/>
      <c r="GP149" s="55"/>
      <c r="GQ149" s="55"/>
      <c r="GR149" s="55"/>
      <c r="GS149" s="55"/>
      <c r="GT149" s="55"/>
      <c r="GU149" s="55"/>
      <c r="GV149" s="55"/>
      <c r="GW149" s="55"/>
      <c r="GX149" s="55"/>
      <c r="GY149" s="55"/>
      <c r="GZ149" s="55"/>
      <c r="HA149" s="55"/>
      <c r="HB149" s="55"/>
      <c r="HC149" s="55"/>
      <c r="HD149" s="55"/>
      <c r="HE149" s="55"/>
      <c r="HF149" s="55"/>
      <c r="HG149" s="55"/>
      <c r="HH149" s="55"/>
      <c r="HI149" s="55"/>
      <c r="HJ149" s="55"/>
      <c r="HK149" s="55"/>
      <c r="HL149" s="55"/>
      <c r="HM149" s="55"/>
      <c r="HN149" s="55"/>
      <c r="HO149" s="55"/>
      <c r="HP149" s="55"/>
      <c r="HQ149" s="55"/>
      <c r="HR149" s="55"/>
      <c r="HS149" s="55"/>
      <c r="HT149" s="55"/>
      <c r="HU149" s="55"/>
      <c r="HV149" s="55"/>
      <c r="HW149" s="55"/>
      <c r="HX149" s="55"/>
      <c r="HY149" s="55"/>
      <c r="HZ149" s="55"/>
      <c r="IA149" s="55"/>
      <c r="IB149" s="55"/>
      <c r="IC149" s="55"/>
      <c r="ID149" s="55"/>
      <c r="IE149" s="55"/>
      <c r="IF149" s="55"/>
      <c r="IG149" s="55"/>
      <c r="IH149" s="55"/>
      <c r="II149" s="55"/>
      <c r="IJ149" s="55"/>
      <c r="IK149" s="55"/>
      <c r="IL149" s="55"/>
      <c r="IM149" s="55"/>
      <c r="IN149" s="55"/>
      <c r="IO149" s="55"/>
      <c r="IP149" s="55"/>
      <c r="IQ149" s="55"/>
      <c r="IR149" s="55"/>
      <c r="IS149" s="55"/>
      <c r="IT149" s="55"/>
      <c r="IU149" s="55"/>
      <c r="IV149" s="55"/>
      <c r="IW149" s="55"/>
      <c r="IX149" s="55"/>
      <c r="IY149" s="55"/>
      <c r="IZ149" s="55"/>
      <c r="JA149" s="55"/>
      <c r="JB149" s="55"/>
      <c r="JC149" s="55"/>
      <c r="JD149" s="55"/>
      <c r="JE149" s="55"/>
      <c r="JF149" s="55"/>
      <c r="JG149" s="55"/>
      <c r="JH149" s="55"/>
      <c r="JI149" s="55"/>
      <c r="JJ149" s="55"/>
      <c r="JK149" s="55"/>
      <c r="JL149" s="55"/>
      <c r="JM149" s="55"/>
      <c r="JN149" s="55"/>
      <c r="JO149" s="55"/>
      <c r="JP149" s="55"/>
      <c r="JQ149" s="55"/>
      <c r="JR149" s="55"/>
      <c r="JS149" s="55"/>
      <c r="JT149" s="55"/>
      <c r="JU149" s="55"/>
      <c r="JV149" s="55"/>
      <c r="JW149" s="55"/>
      <c r="JX149" s="55"/>
      <c r="JY149" s="55"/>
      <c r="JZ149" s="55"/>
      <c r="KA149" s="55"/>
      <c r="KB149" s="55"/>
      <c r="KC149" s="55"/>
      <c r="KD149" s="55"/>
      <c r="KE149" s="55"/>
      <c r="KF149" s="55"/>
      <c r="KG149" s="55"/>
      <c r="KH149" s="55"/>
      <c r="KI149" s="55"/>
      <c r="KJ149" s="55"/>
      <c r="KK149" s="55"/>
      <c r="KL149" s="55"/>
      <c r="KM149" s="55"/>
      <c r="KN149" s="55"/>
      <c r="KO149" s="55"/>
      <c r="KP149" s="55"/>
      <c r="KQ149" s="55"/>
      <c r="KR149" s="55"/>
      <c r="KS149" s="55"/>
      <c r="KT149" s="55"/>
      <c r="KU149" s="55"/>
      <c r="KV149" s="55"/>
      <c r="KW149" s="55"/>
      <c r="KX149" s="55"/>
      <c r="KY149" s="55"/>
      <c r="KZ149" s="55"/>
      <c r="LA149" s="55"/>
      <c r="LB149" s="55"/>
      <c r="LC149" s="55"/>
      <c r="LD149" s="55"/>
      <c r="LE149" s="55"/>
      <c r="LF149" s="55"/>
      <c r="LG149" s="55"/>
      <c r="LH149" s="55"/>
      <c r="LI149" s="55"/>
      <c r="LJ149" s="55"/>
      <c r="LK149" s="55"/>
      <c r="LL149" s="55"/>
      <c r="LM149" s="55"/>
      <c r="LN149" s="55"/>
      <c r="LO149" s="55"/>
      <c r="LP149" s="55"/>
      <c r="LQ149" s="55"/>
      <c r="LR149" s="55"/>
      <c r="LS149" s="55"/>
      <c r="LT149" s="55"/>
      <c r="LU149" s="55"/>
      <c r="LV149" s="55"/>
      <c r="LW149" s="55"/>
      <c r="LX149" s="55"/>
      <c r="LY149" s="55"/>
      <c r="LZ149" s="55"/>
      <c r="MA149" s="55"/>
      <c r="MB149" s="55"/>
      <c r="MC149" s="55"/>
      <c r="MD149" s="55"/>
      <c r="ME149" s="55"/>
      <c r="MF149" s="55"/>
      <c r="MG149" s="55"/>
      <c r="MH149" s="55"/>
      <c r="MI149" s="55"/>
      <c r="MJ149" s="55"/>
      <c r="MK149" s="55"/>
      <c r="ML149" s="55"/>
      <c r="MM149" s="55"/>
      <c r="MN149" s="55"/>
      <c r="MO149" s="55"/>
      <c r="MP149" s="55"/>
      <c r="MQ149" s="55"/>
      <c r="MR149" s="55"/>
      <c r="MS149" s="55"/>
      <c r="MT149" s="55"/>
      <c r="MU149" s="55"/>
      <c r="MV149" s="55"/>
      <c r="MW149" s="55"/>
      <c r="MX149" s="55"/>
      <c r="MY149" s="55"/>
      <c r="MZ149" s="55"/>
      <c r="NA149" s="55"/>
      <c r="NB149" s="55"/>
      <c r="NC149" s="55"/>
      <c r="ND149" s="55"/>
      <c r="NE149" s="55"/>
      <c r="NF149" s="55"/>
      <c r="NG149" s="55"/>
      <c r="NH149" s="55"/>
      <c r="NI149" s="55"/>
      <c r="NJ149" s="55"/>
      <c r="NK149" s="55"/>
      <c r="NL149" s="55"/>
      <c r="NM149" s="55"/>
      <c r="NN149" s="55"/>
      <c r="NO149" s="55"/>
      <c r="NP149" s="55"/>
      <c r="NQ149" s="55"/>
      <c r="NR149" s="55"/>
      <c r="NS149" s="55"/>
      <c r="NT149" s="55"/>
      <c r="NU149" s="55"/>
      <c r="NV149" s="55"/>
      <c r="NW149" s="55"/>
      <c r="NX149" s="55"/>
      <c r="NY149" s="55"/>
      <c r="NZ149" s="55"/>
      <c r="OA149" s="55"/>
      <c r="OB149" s="55"/>
      <c r="OC149" s="55"/>
      <c r="OD149" s="55"/>
      <c r="OE149" s="55"/>
    </row>
    <row r="150" spans="1:395" x14ac:dyDescent="0.3">
      <c r="D150" s="119"/>
      <c r="E150" s="6"/>
      <c r="K150" s="65"/>
      <c r="L150" s="55"/>
      <c r="M150" s="66"/>
      <c r="N150" s="308" t="s">
        <v>0</v>
      </c>
      <c r="O150" s="309"/>
      <c r="P150" s="310"/>
      <c r="Q150" s="309"/>
      <c r="R150" s="91"/>
      <c r="S150" s="91"/>
      <c r="T150" s="91"/>
      <c r="U150" s="91"/>
      <c r="V150" s="91"/>
      <c r="W150" s="91"/>
      <c r="X150" s="91"/>
      <c r="Y150" s="91"/>
      <c r="Z150" s="91"/>
      <c r="AA150" s="91"/>
      <c r="AB150" s="91"/>
      <c r="AC150" s="91"/>
      <c r="AD150" s="91"/>
      <c r="AE150" s="91"/>
      <c r="AF150" s="91"/>
      <c r="AG150" s="91"/>
      <c r="AH150" s="91"/>
      <c r="AI150" s="91"/>
      <c r="AJ150" s="91"/>
      <c r="AK150" s="91"/>
      <c r="AL150" s="91"/>
      <c r="AM150" s="91"/>
      <c r="AN150" s="91"/>
      <c r="AO150" s="91"/>
      <c r="AP150" s="91"/>
      <c r="AQ150" s="91"/>
      <c r="AR150" s="91"/>
      <c r="AS150" s="91"/>
      <c r="AT150" s="91"/>
      <c r="AU150" s="91"/>
      <c r="AV150" s="91"/>
      <c r="AW150" s="91"/>
      <c r="AX150" s="91"/>
      <c r="AY150" s="91"/>
      <c r="AZ150" s="91"/>
      <c r="BA150" s="91"/>
      <c r="BB150" s="91"/>
      <c r="BC150" s="91"/>
      <c r="BD150" s="91"/>
      <c r="BE150" s="91"/>
      <c r="BF150" s="91"/>
      <c r="BG150" s="91"/>
      <c r="BH150" s="91"/>
      <c r="BI150" s="91"/>
      <c r="BJ150" s="91"/>
      <c r="BK150" s="91"/>
      <c r="BL150" s="91"/>
      <c r="BM150" s="91"/>
      <c r="BN150" s="91"/>
      <c r="BO150" s="91"/>
      <c r="BP150" s="91"/>
      <c r="BQ150" s="91"/>
      <c r="BR150" s="91"/>
      <c r="BS150" s="91"/>
      <c r="BT150" s="91"/>
      <c r="BU150" s="91"/>
      <c r="BV150" s="91"/>
      <c r="BW150" s="91"/>
      <c r="BX150" s="91"/>
      <c r="BY150" s="91"/>
      <c r="BZ150" s="91"/>
      <c r="CA150" s="91"/>
      <c r="CB150" s="91"/>
      <c r="CC150" s="91"/>
      <c r="CD150" s="91"/>
      <c r="CE150" s="91"/>
      <c r="CF150" s="91"/>
      <c r="CG150" s="91"/>
      <c r="CH150" s="91"/>
      <c r="CI150" s="91"/>
      <c r="CJ150" s="91"/>
      <c r="CK150" s="91"/>
      <c r="CL150" s="91"/>
      <c r="CM150" s="91"/>
      <c r="CN150" s="91"/>
      <c r="CO150" s="91"/>
      <c r="CP150" s="91"/>
      <c r="CQ150" s="91"/>
      <c r="CR150" s="91"/>
      <c r="CS150" s="91"/>
      <c r="CT150" s="91"/>
      <c r="CU150" s="91"/>
      <c r="CV150" s="91"/>
      <c r="CW150" s="91"/>
      <c r="CX150" s="91"/>
      <c r="CY150" s="91"/>
      <c r="CZ150" s="91"/>
      <c r="DA150" s="91"/>
      <c r="DB150" s="91"/>
      <c r="DC150" s="91"/>
      <c r="DD150" s="91"/>
      <c r="DE150" s="91"/>
      <c r="DF150" s="91"/>
      <c r="DG150" s="91"/>
      <c r="DH150" s="91"/>
      <c r="DI150" s="91"/>
      <c r="DJ150" s="91"/>
      <c r="DK150" s="91"/>
      <c r="DL150" s="91"/>
      <c r="DM150" s="91"/>
      <c r="DN150" s="91"/>
      <c r="DO150" s="91"/>
      <c r="DP150" s="91"/>
      <c r="DQ150" s="91"/>
      <c r="DR150" s="91"/>
      <c r="DS150" s="91"/>
      <c r="DT150" s="91"/>
      <c r="DU150" s="91"/>
      <c r="DV150" s="91"/>
      <c r="DW150" s="91"/>
      <c r="DX150" s="91"/>
      <c r="DY150" s="91"/>
      <c r="DZ150" s="91"/>
      <c r="EA150" s="91"/>
      <c r="EB150" s="91"/>
      <c r="EC150" s="91"/>
      <c r="ED150" s="91"/>
      <c r="EE150" s="91"/>
      <c r="EF150" s="91"/>
      <c r="EG150" s="91"/>
      <c r="EH150" s="91"/>
      <c r="EI150" s="91"/>
      <c r="EJ150" s="91"/>
      <c r="EK150" s="91"/>
      <c r="EL150" s="91"/>
      <c r="EM150" s="91"/>
      <c r="EN150" s="91"/>
      <c r="EO150" s="91"/>
      <c r="EP150" s="91"/>
      <c r="EQ150" s="91"/>
      <c r="ER150" s="91"/>
      <c r="ES150" s="91"/>
      <c r="ET150" s="91"/>
      <c r="EU150" s="91"/>
      <c r="EV150" s="91"/>
      <c r="EW150" s="91"/>
      <c r="EX150" s="91"/>
      <c r="EY150" s="91"/>
      <c r="EZ150" s="91"/>
      <c r="FA150" s="91"/>
      <c r="FB150" s="91"/>
      <c r="FC150" s="91"/>
      <c r="FD150" s="91"/>
      <c r="FE150" s="91"/>
      <c r="FF150" s="91"/>
      <c r="FG150" s="91"/>
      <c r="FH150" s="91"/>
      <c r="FI150" s="91"/>
      <c r="FJ150" s="91"/>
      <c r="FK150" s="91"/>
      <c r="FL150" s="91"/>
      <c r="FM150" s="91"/>
      <c r="FN150" s="91"/>
      <c r="FO150" s="91"/>
      <c r="FP150" s="91"/>
      <c r="FQ150" s="91"/>
      <c r="FR150" s="91"/>
      <c r="FS150" s="91"/>
      <c r="FT150" s="91"/>
      <c r="FU150" s="91"/>
      <c r="FV150" s="91"/>
      <c r="FW150" s="91"/>
      <c r="FX150" s="91"/>
      <c r="FY150" s="91"/>
      <c r="FZ150" s="91"/>
      <c r="GA150" s="91"/>
      <c r="GB150" s="91"/>
      <c r="GC150" s="91"/>
      <c r="GD150" s="91"/>
      <c r="GE150" s="91"/>
      <c r="GF150" s="91"/>
      <c r="GG150" s="91"/>
      <c r="GH150" s="91"/>
      <c r="GI150" s="91"/>
      <c r="GJ150" s="91"/>
      <c r="GK150" s="91"/>
      <c r="GL150" s="91"/>
      <c r="GM150" s="91"/>
      <c r="GN150" s="91"/>
      <c r="GO150" s="91"/>
      <c r="GP150" s="91"/>
      <c r="GQ150" s="91"/>
      <c r="GR150" s="91"/>
      <c r="GS150" s="91"/>
      <c r="GT150" s="91"/>
      <c r="GU150" s="91"/>
      <c r="GV150" s="91"/>
      <c r="GW150" s="91"/>
      <c r="GX150" s="91"/>
      <c r="GY150" s="91"/>
      <c r="GZ150" s="91"/>
      <c r="HA150" s="91"/>
      <c r="HB150" s="91"/>
      <c r="HC150" s="91"/>
      <c r="HD150" s="91"/>
      <c r="HE150" s="91"/>
      <c r="HF150" s="91"/>
      <c r="HG150" s="91"/>
      <c r="HH150" s="91"/>
      <c r="HI150" s="91"/>
      <c r="HJ150" s="91"/>
      <c r="HK150" s="91"/>
      <c r="HL150" s="91"/>
      <c r="HM150" s="91"/>
      <c r="HN150" s="91"/>
      <c r="HO150" s="91"/>
      <c r="HP150" s="91"/>
      <c r="HQ150" s="91"/>
      <c r="HR150" s="91"/>
      <c r="HS150" s="91"/>
      <c r="HT150" s="91"/>
      <c r="HU150" s="91"/>
      <c r="HV150" s="91"/>
      <c r="HW150" s="91"/>
      <c r="HX150" s="91"/>
      <c r="HY150" s="91"/>
      <c r="HZ150" s="91"/>
      <c r="IA150" s="91"/>
      <c r="IB150" s="91"/>
      <c r="IC150" s="91"/>
      <c r="ID150" s="91"/>
      <c r="IE150" s="91"/>
      <c r="IF150" s="91"/>
      <c r="IG150" s="91"/>
      <c r="IH150" s="91"/>
      <c r="II150" s="91"/>
      <c r="IJ150" s="91"/>
      <c r="IK150" s="91"/>
      <c r="IL150" s="91"/>
      <c r="IM150" s="91"/>
      <c r="IN150" s="91"/>
      <c r="IO150" s="91"/>
      <c r="IP150" s="91"/>
      <c r="IQ150" s="91"/>
      <c r="IR150" s="91"/>
      <c r="IS150" s="91"/>
      <c r="IT150" s="91"/>
      <c r="IU150" s="91"/>
      <c r="IV150" s="91"/>
      <c r="IW150" s="91"/>
      <c r="IX150" s="91"/>
      <c r="IY150" s="91"/>
      <c r="IZ150" s="91"/>
      <c r="JA150" s="91"/>
      <c r="JB150" s="91"/>
      <c r="JC150" s="91"/>
      <c r="JD150" s="91"/>
      <c r="JE150" s="91"/>
      <c r="JF150" s="91"/>
      <c r="JG150" s="91"/>
      <c r="JH150" s="91"/>
      <c r="JI150" s="91"/>
      <c r="JJ150" s="91"/>
      <c r="JK150" s="91"/>
      <c r="JL150" s="91"/>
      <c r="JM150" s="91"/>
      <c r="JN150" s="91"/>
      <c r="JO150" s="91"/>
      <c r="JP150" s="91"/>
      <c r="JQ150" s="91"/>
      <c r="JR150" s="91"/>
      <c r="JS150" s="91"/>
      <c r="JT150" s="91"/>
      <c r="JU150" s="91"/>
      <c r="JV150" s="91"/>
      <c r="JW150" s="91"/>
      <c r="JX150" s="91"/>
      <c r="JY150" s="91"/>
      <c r="JZ150" s="91"/>
      <c r="KA150" s="91"/>
      <c r="KB150" s="91"/>
      <c r="KC150" s="91"/>
      <c r="KD150" s="91"/>
      <c r="KE150" s="91"/>
      <c r="KF150" s="91"/>
      <c r="KG150" s="91"/>
      <c r="KH150" s="91"/>
      <c r="KI150" s="91"/>
      <c r="KJ150" s="91"/>
      <c r="KK150" s="91"/>
      <c r="KL150" s="91"/>
      <c r="KM150" s="91"/>
      <c r="KN150" s="91"/>
      <c r="KO150" s="91"/>
      <c r="KP150" s="91"/>
      <c r="KQ150" s="91"/>
      <c r="KR150" s="91"/>
      <c r="KS150" s="91"/>
      <c r="KT150" s="91"/>
      <c r="KU150" s="91"/>
      <c r="KV150" s="91"/>
      <c r="KW150" s="91"/>
      <c r="KX150" s="91"/>
      <c r="KY150" s="91"/>
      <c r="KZ150" s="91"/>
      <c r="LA150" s="91"/>
      <c r="LB150" s="91"/>
      <c r="LC150" s="91"/>
      <c r="LD150" s="91"/>
      <c r="LE150" s="91"/>
      <c r="LF150" s="91"/>
      <c r="LG150" s="91"/>
      <c r="LH150" s="91"/>
      <c r="LI150" s="91"/>
      <c r="LJ150" s="91"/>
      <c r="LK150" s="91"/>
      <c r="LL150" s="91"/>
      <c r="LM150" s="91"/>
      <c r="LN150" s="91"/>
      <c r="LO150" s="91"/>
      <c r="LP150" s="91"/>
      <c r="LQ150" s="91"/>
      <c r="LR150" s="91"/>
      <c r="LS150" s="91"/>
      <c r="LT150" s="91"/>
      <c r="LU150" s="91"/>
      <c r="LV150" s="91"/>
      <c r="LW150" s="91"/>
      <c r="LX150" s="91"/>
      <c r="LY150" s="91"/>
      <c r="LZ150" s="91"/>
      <c r="MA150" s="91"/>
      <c r="MB150" s="91"/>
      <c r="MC150" s="91"/>
      <c r="MD150" s="91"/>
      <c r="ME150" s="91"/>
      <c r="MF150" s="91"/>
      <c r="MG150" s="91"/>
      <c r="MH150" s="91"/>
      <c r="MI150" s="91"/>
      <c r="MJ150" s="91"/>
      <c r="MK150" s="91"/>
      <c r="ML150" s="91"/>
      <c r="MM150" s="91"/>
      <c r="MN150" s="91"/>
      <c r="MO150" s="91"/>
      <c r="MP150" s="91"/>
      <c r="MQ150" s="91"/>
      <c r="MR150" s="91"/>
      <c r="MS150" s="91"/>
      <c r="MT150" s="91"/>
      <c r="MU150" s="91"/>
      <c r="MV150" s="91"/>
      <c r="MW150" s="91"/>
      <c r="MX150" s="91"/>
      <c r="MY150" s="91"/>
      <c r="MZ150" s="91"/>
      <c r="NA150" s="91"/>
      <c r="NB150" s="91"/>
      <c r="NC150" s="91"/>
      <c r="ND150" s="91"/>
      <c r="NE150" s="91"/>
      <c r="NF150" s="91"/>
      <c r="NG150" s="91"/>
      <c r="NH150" s="91"/>
      <c r="NI150" s="91"/>
      <c r="NJ150" s="91"/>
      <c r="NK150" s="91"/>
      <c r="NL150" s="91"/>
      <c r="NM150" s="91"/>
      <c r="NN150" s="91"/>
      <c r="NO150" s="91"/>
      <c r="NP150" s="91"/>
      <c r="NQ150" s="91"/>
      <c r="NR150" s="91"/>
      <c r="NS150" s="91"/>
      <c r="NT150" s="91"/>
      <c r="NU150" s="91"/>
      <c r="NV150" s="91"/>
      <c r="NW150" s="91"/>
      <c r="NX150" s="91"/>
      <c r="NY150" s="91"/>
      <c r="NZ150" s="91"/>
      <c r="OA150" s="91"/>
      <c r="OB150" s="91"/>
      <c r="OC150" s="91"/>
      <c r="OD150" s="91"/>
      <c r="OE150" s="91"/>
    </row>
    <row r="151" spans="1:395" outlineLevel="1" x14ac:dyDescent="0.3">
      <c r="E151" s="6"/>
      <c r="K151" s="65"/>
      <c r="L151" s="55"/>
      <c r="M151" s="66"/>
      <c r="N151" s="25" t="s">
        <v>234</v>
      </c>
      <c r="O151" s="25"/>
      <c r="P151" s="27" t="s">
        <v>29</v>
      </c>
      <c r="Q151" s="25" cm="1">
        <f t="array" ref="Q151:OE151">IF(_xlfn.ANCHORARRAY(Q33)="",0,_xlfn.ANCHORARRAY(Q33)*E66)</f>
        <v>0</v>
      </c>
      <c r="R151" s="25">
        <v>0</v>
      </c>
      <c r="S151" s="25">
        <v>0</v>
      </c>
      <c r="T151" s="25">
        <v>0</v>
      </c>
      <c r="U151" s="25">
        <v>0</v>
      </c>
      <c r="V151" s="25">
        <v>0</v>
      </c>
      <c r="W151" s="25">
        <v>0</v>
      </c>
      <c r="X151" s="25">
        <v>0</v>
      </c>
      <c r="Y151" s="25">
        <v>0</v>
      </c>
      <c r="Z151" s="25">
        <v>0</v>
      </c>
      <c r="AA151" s="25">
        <v>0</v>
      </c>
      <c r="AB151" s="25">
        <v>0</v>
      </c>
      <c r="AC151" s="25">
        <v>0</v>
      </c>
      <c r="AD151" s="25">
        <v>0</v>
      </c>
      <c r="AE151" s="25">
        <v>0</v>
      </c>
      <c r="AF151" s="25">
        <v>0</v>
      </c>
      <c r="AG151" s="25">
        <v>0</v>
      </c>
      <c r="AH151" s="25">
        <v>0</v>
      </c>
      <c r="AI151" s="25">
        <v>0</v>
      </c>
      <c r="AJ151" s="25">
        <v>0</v>
      </c>
      <c r="AK151" s="25">
        <v>0</v>
      </c>
      <c r="AL151" s="25">
        <v>0</v>
      </c>
      <c r="AM151" s="25">
        <v>0</v>
      </c>
      <c r="AN151" s="25">
        <v>0</v>
      </c>
      <c r="AO151" s="25">
        <v>0</v>
      </c>
      <c r="AP151" s="25">
        <v>0</v>
      </c>
      <c r="AQ151" s="25">
        <v>0</v>
      </c>
      <c r="AR151" s="25">
        <v>0</v>
      </c>
      <c r="AS151" s="25">
        <v>0</v>
      </c>
      <c r="AT151" s="25">
        <v>0</v>
      </c>
      <c r="AU151" s="25">
        <v>0</v>
      </c>
      <c r="AV151" s="25">
        <v>18.600000000000001</v>
      </c>
      <c r="AW151" s="25">
        <v>43.4</v>
      </c>
      <c r="AX151" s="25">
        <v>74.400000000000006</v>
      </c>
      <c r="AY151" s="25">
        <v>93</v>
      </c>
      <c r="AZ151" s="25">
        <v>93</v>
      </c>
      <c r="BA151" s="25">
        <v>93</v>
      </c>
      <c r="BB151" s="25">
        <v>93</v>
      </c>
      <c r="BC151" s="25">
        <v>93</v>
      </c>
      <c r="BD151" s="25">
        <v>93</v>
      </c>
      <c r="BE151" s="25">
        <v>93</v>
      </c>
      <c r="BF151" s="25">
        <v>93</v>
      </c>
      <c r="BG151" s="25">
        <v>93</v>
      </c>
      <c r="BH151" s="25">
        <v>93</v>
      </c>
      <c r="BI151" s="25">
        <v>93</v>
      </c>
      <c r="BJ151" s="25">
        <v>93</v>
      </c>
      <c r="BK151" s="25">
        <v>93</v>
      </c>
      <c r="BL151" s="25">
        <v>93</v>
      </c>
      <c r="BM151" s="25">
        <v>93</v>
      </c>
      <c r="BN151" s="25">
        <v>93</v>
      </c>
      <c r="BO151" s="25">
        <v>93</v>
      </c>
      <c r="BP151" s="25">
        <v>93</v>
      </c>
      <c r="BQ151" s="25">
        <v>93</v>
      </c>
      <c r="BR151" s="25">
        <v>93</v>
      </c>
      <c r="BS151" s="25">
        <v>93</v>
      </c>
      <c r="BT151" s="25">
        <v>93</v>
      </c>
      <c r="BU151" s="25">
        <v>93</v>
      </c>
      <c r="BV151" s="25">
        <v>93</v>
      </c>
      <c r="BW151" s="25">
        <v>93</v>
      </c>
      <c r="BX151" s="25">
        <v>93</v>
      </c>
      <c r="BY151" s="25">
        <v>93</v>
      </c>
      <c r="BZ151" s="25">
        <v>93</v>
      </c>
      <c r="CA151" s="25">
        <v>93</v>
      </c>
      <c r="CB151" s="25">
        <v>93</v>
      </c>
      <c r="CC151" s="25">
        <v>93</v>
      </c>
      <c r="CD151" s="25">
        <v>93</v>
      </c>
      <c r="CE151" s="25">
        <v>93</v>
      </c>
      <c r="CF151" s="25">
        <v>93</v>
      </c>
      <c r="CG151" s="25">
        <v>93</v>
      </c>
      <c r="CH151" s="25">
        <v>93</v>
      </c>
      <c r="CI151" s="25">
        <v>93</v>
      </c>
      <c r="CJ151" s="25">
        <v>93</v>
      </c>
      <c r="CK151" s="25">
        <v>93</v>
      </c>
      <c r="CL151" s="25">
        <v>93</v>
      </c>
      <c r="CM151" s="25">
        <v>93</v>
      </c>
      <c r="CN151" s="25">
        <v>93</v>
      </c>
      <c r="CO151" s="25">
        <v>93</v>
      </c>
      <c r="CP151" s="25">
        <v>93</v>
      </c>
      <c r="CQ151" s="25">
        <v>93</v>
      </c>
      <c r="CR151" s="25">
        <v>93</v>
      </c>
      <c r="CS151" s="25">
        <v>93</v>
      </c>
      <c r="CT151" s="25">
        <v>93</v>
      </c>
      <c r="CU151" s="25">
        <v>93</v>
      </c>
      <c r="CV151" s="25">
        <v>93</v>
      </c>
      <c r="CW151" s="25">
        <v>93</v>
      </c>
      <c r="CX151" s="25">
        <v>93</v>
      </c>
      <c r="CY151" s="25">
        <v>93</v>
      </c>
      <c r="CZ151" s="25">
        <v>93</v>
      </c>
      <c r="DA151" s="25">
        <v>93</v>
      </c>
      <c r="DB151" s="25">
        <v>93</v>
      </c>
      <c r="DC151" s="25">
        <v>93</v>
      </c>
      <c r="DD151" s="25">
        <v>93</v>
      </c>
      <c r="DE151" s="25">
        <v>93</v>
      </c>
      <c r="DF151" s="25">
        <v>93</v>
      </c>
      <c r="DG151" s="25">
        <v>93</v>
      </c>
      <c r="DH151" s="25">
        <v>93</v>
      </c>
      <c r="DI151" s="25">
        <v>93</v>
      </c>
      <c r="DJ151" s="25">
        <v>93</v>
      </c>
      <c r="DK151" s="25">
        <v>93</v>
      </c>
      <c r="DL151" s="25">
        <v>93</v>
      </c>
      <c r="DM151" s="25">
        <v>93</v>
      </c>
      <c r="DN151" s="25">
        <v>93</v>
      </c>
      <c r="DO151" s="25">
        <v>93</v>
      </c>
      <c r="DP151" s="25">
        <v>93</v>
      </c>
      <c r="DQ151" s="25">
        <v>93</v>
      </c>
      <c r="DR151" s="25">
        <v>93</v>
      </c>
      <c r="DS151" s="25">
        <v>93</v>
      </c>
      <c r="DT151" s="25">
        <v>93</v>
      </c>
      <c r="DU151" s="25">
        <v>93</v>
      </c>
      <c r="DV151" s="25">
        <v>93</v>
      </c>
      <c r="DW151" s="25">
        <v>93</v>
      </c>
      <c r="DX151" s="25">
        <v>93</v>
      </c>
      <c r="DY151" s="25">
        <v>93</v>
      </c>
      <c r="DZ151" s="25">
        <v>93</v>
      </c>
      <c r="EA151" s="25">
        <v>93</v>
      </c>
      <c r="EB151" s="25">
        <v>93</v>
      </c>
      <c r="EC151" s="25">
        <v>93</v>
      </c>
      <c r="ED151" s="25">
        <v>93</v>
      </c>
      <c r="EE151" s="25">
        <v>93</v>
      </c>
      <c r="EF151" s="25">
        <v>93</v>
      </c>
      <c r="EG151" s="25">
        <v>93</v>
      </c>
      <c r="EH151" s="25">
        <v>93</v>
      </c>
      <c r="EI151" s="25">
        <v>93</v>
      </c>
      <c r="EJ151" s="25">
        <v>93</v>
      </c>
      <c r="EK151" s="25">
        <v>93</v>
      </c>
      <c r="EL151" s="25">
        <v>93</v>
      </c>
      <c r="EM151" s="25">
        <v>93</v>
      </c>
      <c r="EN151" s="25">
        <v>93</v>
      </c>
      <c r="EO151" s="25">
        <v>93</v>
      </c>
      <c r="EP151" s="25">
        <v>93</v>
      </c>
      <c r="EQ151" s="25">
        <v>93</v>
      </c>
      <c r="ER151" s="25">
        <v>93</v>
      </c>
      <c r="ES151" s="25">
        <v>93</v>
      </c>
      <c r="ET151" s="25">
        <v>93</v>
      </c>
      <c r="EU151" s="25">
        <v>93</v>
      </c>
      <c r="EV151" s="25">
        <v>93</v>
      </c>
      <c r="EW151" s="25">
        <v>93</v>
      </c>
      <c r="EX151" s="25">
        <v>93</v>
      </c>
      <c r="EY151" s="25">
        <v>93</v>
      </c>
      <c r="EZ151" s="25">
        <v>93</v>
      </c>
      <c r="FA151" s="25">
        <v>93</v>
      </c>
      <c r="FB151" s="25">
        <v>93</v>
      </c>
      <c r="FC151" s="25">
        <v>93</v>
      </c>
      <c r="FD151" s="25">
        <v>93</v>
      </c>
      <c r="FE151" s="25">
        <v>93</v>
      </c>
      <c r="FF151" s="25">
        <v>93</v>
      </c>
      <c r="FG151" s="25">
        <v>93</v>
      </c>
      <c r="FH151" s="25">
        <v>93</v>
      </c>
      <c r="FI151" s="25">
        <v>93</v>
      </c>
      <c r="FJ151" s="25">
        <v>93</v>
      </c>
      <c r="FK151" s="25">
        <v>93</v>
      </c>
      <c r="FL151" s="25">
        <v>93</v>
      </c>
      <c r="FM151" s="25">
        <v>93</v>
      </c>
      <c r="FN151" s="25">
        <v>93</v>
      </c>
      <c r="FO151" s="25">
        <v>93</v>
      </c>
      <c r="FP151" s="25">
        <v>93</v>
      </c>
      <c r="FQ151" s="25">
        <v>93</v>
      </c>
      <c r="FR151" s="25">
        <v>93</v>
      </c>
      <c r="FS151" s="25">
        <v>93</v>
      </c>
      <c r="FT151" s="25">
        <v>93</v>
      </c>
      <c r="FU151" s="25">
        <v>93</v>
      </c>
      <c r="FV151" s="25">
        <v>93</v>
      </c>
      <c r="FW151" s="25">
        <v>93</v>
      </c>
      <c r="FX151" s="25">
        <v>93</v>
      </c>
      <c r="FY151" s="25">
        <v>93</v>
      </c>
      <c r="FZ151" s="25">
        <v>93</v>
      </c>
      <c r="GA151" s="25">
        <v>93</v>
      </c>
      <c r="GB151" s="25">
        <v>93</v>
      </c>
      <c r="GC151" s="25">
        <v>93</v>
      </c>
      <c r="GD151" s="25">
        <v>93</v>
      </c>
      <c r="GE151" s="25">
        <v>93</v>
      </c>
      <c r="GF151" s="25">
        <v>93</v>
      </c>
      <c r="GG151" s="25">
        <v>93</v>
      </c>
      <c r="GH151" s="25">
        <v>93</v>
      </c>
      <c r="GI151" s="25">
        <v>93</v>
      </c>
      <c r="GJ151" s="25">
        <v>93</v>
      </c>
      <c r="GK151" s="25">
        <v>93</v>
      </c>
      <c r="GL151" s="25">
        <v>93</v>
      </c>
      <c r="GM151" s="25">
        <v>93</v>
      </c>
      <c r="GN151" s="25">
        <v>93</v>
      </c>
      <c r="GO151" s="25">
        <v>93</v>
      </c>
      <c r="GP151" s="25">
        <v>93</v>
      </c>
      <c r="GQ151" s="25">
        <v>93</v>
      </c>
      <c r="GR151" s="25">
        <v>93</v>
      </c>
      <c r="GS151" s="25">
        <v>93</v>
      </c>
      <c r="GT151" s="25">
        <v>93</v>
      </c>
      <c r="GU151" s="25">
        <v>93</v>
      </c>
      <c r="GV151" s="25">
        <v>93</v>
      </c>
      <c r="GW151" s="25">
        <v>93</v>
      </c>
      <c r="GX151" s="25">
        <v>93</v>
      </c>
      <c r="GY151" s="25">
        <v>93</v>
      </c>
      <c r="GZ151" s="25">
        <v>93</v>
      </c>
      <c r="HA151" s="25">
        <v>93</v>
      </c>
      <c r="HB151" s="25">
        <v>93</v>
      </c>
      <c r="HC151" s="25">
        <v>93</v>
      </c>
      <c r="HD151" s="25">
        <v>93</v>
      </c>
      <c r="HE151" s="25">
        <v>93</v>
      </c>
      <c r="HF151" s="25">
        <v>93</v>
      </c>
      <c r="HG151" s="25">
        <v>93</v>
      </c>
      <c r="HH151" s="25">
        <v>93</v>
      </c>
      <c r="HI151" s="25">
        <v>93</v>
      </c>
      <c r="HJ151" s="25">
        <v>93</v>
      </c>
      <c r="HK151" s="25">
        <v>93</v>
      </c>
      <c r="HL151" s="25">
        <v>93</v>
      </c>
      <c r="HM151" s="25">
        <v>93</v>
      </c>
      <c r="HN151" s="25">
        <v>93</v>
      </c>
      <c r="HO151" s="25">
        <v>93</v>
      </c>
      <c r="HP151" s="25">
        <v>93</v>
      </c>
      <c r="HQ151" s="25">
        <v>93</v>
      </c>
      <c r="HR151" s="25">
        <v>93</v>
      </c>
      <c r="HS151" s="25">
        <v>93</v>
      </c>
      <c r="HT151" s="25">
        <v>93</v>
      </c>
      <c r="HU151" s="25">
        <v>93</v>
      </c>
      <c r="HV151" s="25">
        <v>93</v>
      </c>
      <c r="HW151" s="25">
        <v>93</v>
      </c>
      <c r="HX151" s="25">
        <v>93</v>
      </c>
      <c r="HY151" s="25">
        <v>93</v>
      </c>
      <c r="HZ151" s="25">
        <v>93</v>
      </c>
      <c r="IA151" s="25">
        <v>93</v>
      </c>
      <c r="IB151" s="25">
        <v>93</v>
      </c>
      <c r="IC151" s="25">
        <v>93</v>
      </c>
      <c r="ID151" s="25">
        <v>93</v>
      </c>
      <c r="IE151" s="25">
        <v>93</v>
      </c>
      <c r="IF151" s="25">
        <v>93</v>
      </c>
      <c r="IG151" s="25">
        <v>93</v>
      </c>
      <c r="IH151" s="25">
        <v>93</v>
      </c>
      <c r="II151" s="25">
        <v>93</v>
      </c>
      <c r="IJ151" s="25">
        <v>93</v>
      </c>
      <c r="IK151" s="25">
        <v>93</v>
      </c>
      <c r="IL151" s="25">
        <v>93</v>
      </c>
      <c r="IM151" s="25">
        <v>93</v>
      </c>
      <c r="IN151" s="25">
        <v>93</v>
      </c>
      <c r="IO151" s="25">
        <v>93</v>
      </c>
      <c r="IP151" s="25">
        <v>93</v>
      </c>
      <c r="IQ151" s="25">
        <v>93</v>
      </c>
      <c r="IR151" s="25">
        <v>93</v>
      </c>
      <c r="IS151" s="25">
        <v>93</v>
      </c>
      <c r="IT151" s="25">
        <v>93</v>
      </c>
      <c r="IU151" s="25">
        <v>93</v>
      </c>
      <c r="IV151" s="25">
        <v>93</v>
      </c>
      <c r="IW151" s="25">
        <v>93</v>
      </c>
      <c r="IX151" s="25">
        <v>93</v>
      </c>
      <c r="IY151" s="25">
        <v>93</v>
      </c>
      <c r="IZ151" s="25">
        <v>93</v>
      </c>
      <c r="JA151" s="25">
        <v>93</v>
      </c>
      <c r="JB151" s="25">
        <v>93</v>
      </c>
      <c r="JC151" s="25">
        <v>93</v>
      </c>
      <c r="JD151" s="25">
        <v>93</v>
      </c>
      <c r="JE151" s="25">
        <v>93</v>
      </c>
      <c r="JF151" s="25">
        <v>93</v>
      </c>
      <c r="JG151" s="25">
        <v>93</v>
      </c>
      <c r="JH151" s="25">
        <v>93</v>
      </c>
      <c r="JI151" s="25">
        <v>93</v>
      </c>
      <c r="JJ151" s="25">
        <v>93</v>
      </c>
      <c r="JK151" s="25">
        <v>93</v>
      </c>
      <c r="JL151" s="25">
        <v>93</v>
      </c>
      <c r="JM151" s="25">
        <v>93</v>
      </c>
      <c r="JN151" s="25">
        <v>93</v>
      </c>
      <c r="JO151" s="25">
        <v>93</v>
      </c>
      <c r="JP151" s="25">
        <v>93</v>
      </c>
      <c r="JQ151" s="25">
        <v>93</v>
      </c>
      <c r="JR151" s="25">
        <v>93</v>
      </c>
      <c r="JS151" s="25">
        <v>93</v>
      </c>
      <c r="JT151" s="25">
        <v>93</v>
      </c>
      <c r="JU151" s="25">
        <v>93</v>
      </c>
      <c r="JV151" s="25">
        <v>93</v>
      </c>
      <c r="JW151" s="25">
        <v>93</v>
      </c>
      <c r="JX151" s="25">
        <v>93</v>
      </c>
      <c r="JY151" s="25">
        <v>93</v>
      </c>
      <c r="JZ151" s="25">
        <v>93</v>
      </c>
      <c r="KA151" s="25">
        <v>93</v>
      </c>
      <c r="KB151" s="25">
        <v>93</v>
      </c>
      <c r="KC151" s="25">
        <v>93</v>
      </c>
      <c r="KD151" s="25">
        <v>93</v>
      </c>
      <c r="KE151" s="25">
        <v>93</v>
      </c>
      <c r="KF151" s="25">
        <v>93</v>
      </c>
      <c r="KG151" s="25">
        <v>93</v>
      </c>
      <c r="KH151" s="25">
        <v>93</v>
      </c>
      <c r="KI151" s="25">
        <v>93</v>
      </c>
      <c r="KJ151" s="25">
        <v>93</v>
      </c>
      <c r="KK151" s="25">
        <v>93</v>
      </c>
      <c r="KL151" s="25">
        <v>93</v>
      </c>
      <c r="KM151" s="25">
        <v>93</v>
      </c>
      <c r="KN151" s="25">
        <v>93</v>
      </c>
      <c r="KO151" s="25">
        <v>93</v>
      </c>
      <c r="KP151" s="25">
        <v>93</v>
      </c>
      <c r="KQ151" s="25">
        <v>93</v>
      </c>
      <c r="KR151" s="25">
        <v>93</v>
      </c>
      <c r="KS151" s="25">
        <v>93</v>
      </c>
      <c r="KT151" s="25">
        <v>93</v>
      </c>
      <c r="KU151" s="25">
        <v>93</v>
      </c>
      <c r="KV151" s="25">
        <v>93</v>
      </c>
      <c r="KW151" s="25">
        <v>93</v>
      </c>
      <c r="KX151" s="25">
        <v>93</v>
      </c>
      <c r="KY151" s="25">
        <v>93</v>
      </c>
      <c r="KZ151" s="25">
        <v>93</v>
      </c>
      <c r="LA151" s="25">
        <v>93</v>
      </c>
      <c r="LB151" s="25">
        <v>93</v>
      </c>
      <c r="LC151" s="25">
        <v>93</v>
      </c>
      <c r="LD151" s="25">
        <v>93</v>
      </c>
      <c r="LE151" s="25">
        <v>93</v>
      </c>
      <c r="LF151" s="25">
        <v>93</v>
      </c>
      <c r="LG151" s="25">
        <v>93</v>
      </c>
      <c r="LH151" s="25">
        <v>93</v>
      </c>
      <c r="LI151" s="25">
        <v>93</v>
      </c>
      <c r="LJ151" s="25">
        <v>93</v>
      </c>
      <c r="LK151" s="25">
        <v>93</v>
      </c>
      <c r="LL151" s="25">
        <v>93</v>
      </c>
      <c r="LM151" s="25">
        <v>93</v>
      </c>
      <c r="LN151" s="25">
        <v>93</v>
      </c>
      <c r="LO151" s="25">
        <v>93</v>
      </c>
      <c r="LP151" s="25">
        <v>93</v>
      </c>
      <c r="LQ151" s="25">
        <v>93</v>
      </c>
      <c r="LR151" s="25">
        <v>93</v>
      </c>
      <c r="LS151" s="25">
        <v>93</v>
      </c>
      <c r="LT151" s="25">
        <v>93</v>
      </c>
      <c r="LU151" s="25">
        <v>93</v>
      </c>
      <c r="LV151" s="25">
        <v>93</v>
      </c>
      <c r="LW151" s="25">
        <v>93</v>
      </c>
      <c r="LX151" s="25">
        <v>93</v>
      </c>
      <c r="LY151" s="25">
        <v>93</v>
      </c>
      <c r="LZ151" s="25">
        <v>93</v>
      </c>
      <c r="MA151" s="25">
        <v>93</v>
      </c>
      <c r="MB151" s="25">
        <v>93</v>
      </c>
      <c r="MC151" s="25">
        <v>93</v>
      </c>
      <c r="MD151" s="25">
        <v>93</v>
      </c>
      <c r="ME151" s="25">
        <v>93</v>
      </c>
      <c r="MF151" s="25">
        <v>93</v>
      </c>
      <c r="MG151" s="25">
        <v>93</v>
      </c>
      <c r="MH151" s="25">
        <v>93</v>
      </c>
      <c r="MI151" s="25">
        <v>93</v>
      </c>
      <c r="MJ151" s="25">
        <v>93</v>
      </c>
      <c r="MK151" s="25">
        <v>93</v>
      </c>
      <c r="ML151" s="25">
        <v>93</v>
      </c>
      <c r="MM151" s="25">
        <v>93</v>
      </c>
      <c r="MN151" s="25">
        <v>93</v>
      </c>
      <c r="MO151" s="25">
        <v>93</v>
      </c>
      <c r="MP151" s="25">
        <v>93</v>
      </c>
      <c r="MQ151" s="25">
        <v>93</v>
      </c>
      <c r="MR151" s="25">
        <v>93</v>
      </c>
      <c r="MS151" s="25">
        <v>93</v>
      </c>
      <c r="MT151" s="25">
        <v>93</v>
      </c>
      <c r="MU151" s="25">
        <v>93</v>
      </c>
      <c r="MV151" s="25">
        <v>93</v>
      </c>
      <c r="MW151" s="25">
        <v>93</v>
      </c>
      <c r="MX151" s="25">
        <v>93</v>
      </c>
      <c r="MY151" s="25">
        <v>93</v>
      </c>
      <c r="MZ151" s="25">
        <v>93</v>
      </c>
      <c r="NA151" s="25">
        <v>93</v>
      </c>
      <c r="NB151" s="25">
        <v>93</v>
      </c>
      <c r="NC151" s="25">
        <v>93</v>
      </c>
      <c r="ND151" s="25">
        <v>93</v>
      </c>
      <c r="NE151" s="25">
        <v>93</v>
      </c>
      <c r="NF151" s="25">
        <v>93</v>
      </c>
      <c r="NG151" s="25">
        <v>93</v>
      </c>
      <c r="NH151" s="25">
        <v>93</v>
      </c>
      <c r="NI151" s="25">
        <v>93</v>
      </c>
      <c r="NJ151" s="25">
        <v>93</v>
      </c>
      <c r="NK151" s="25">
        <v>93</v>
      </c>
      <c r="NL151" s="25">
        <v>93</v>
      </c>
      <c r="NM151" s="25">
        <v>93</v>
      </c>
      <c r="NN151" s="25">
        <v>93</v>
      </c>
      <c r="NO151" s="25">
        <v>93</v>
      </c>
      <c r="NP151" s="25">
        <v>93</v>
      </c>
      <c r="NQ151" s="25">
        <v>93</v>
      </c>
      <c r="NR151" s="25">
        <v>93</v>
      </c>
      <c r="NS151" s="25">
        <v>93</v>
      </c>
      <c r="NT151" s="25">
        <v>93</v>
      </c>
      <c r="NU151" s="25">
        <v>93</v>
      </c>
      <c r="NV151" s="25">
        <v>93</v>
      </c>
      <c r="NW151" s="25">
        <v>93</v>
      </c>
      <c r="NX151" s="25">
        <v>93</v>
      </c>
      <c r="NY151" s="25">
        <v>93</v>
      </c>
      <c r="NZ151" s="25">
        <v>93</v>
      </c>
      <c r="OA151" s="25">
        <v>93</v>
      </c>
      <c r="OB151" s="25">
        <v>93</v>
      </c>
      <c r="OC151" s="25">
        <v>93</v>
      </c>
      <c r="OD151" s="25">
        <v>93</v>
      </c>
      <c r="OE151" s="25">
        <v>93</v>
      </c>
    </row>
    <row r="152" spans="1:395" outlineLevel="1" x14ac:dyDescent="0.3">
      <c r="E152" s="6"/>
      <c r="K152" s="65"/>
      <c r="L152" s="55"/>
      <c r="M152" s="66"/>
      <c r="N152" s="25" t="s">
        <v>127</v>
      </c>
      <c r="O152" s="25"/>
      <c r="P152" s="27" t="s">
        <v>31</v>
      </c>
      <c r="Q152" s="25" cm="1">
        <f t="array" ref="Q152:OE152">_xlfn.ANCHORARRAY(Q1)*E69</f>
        <v>0.36271325902684531</v>
      </c>
      <c r="R152" s="25">
        <v>0.36271325902684531</v>
      </c>
      <c r="S152" s="25">
        <v>0.36271325902684531</v>
      </c>
      <c r="T152" s="25">
        <v>0.36271325902684531</v>
      </c>
      <c r="U152" s="25">
        <v>0.36271325902684531</v>
      </c>
      <c r="V152" s="25">
        <v>0.36271325902684531</v>
      </c>
      <c r="W152" s="25">
        <v>0.36271325902684531</v>
      </c>
      <c r="X152" s="25">
        <v>0.36271325902684531</v>
      </c>
      <c r="Y152" s="25">
        <v>0.36271325902684531</v>
      </c>
      <c r="Z152" s="25">
        <v>0.36271325902684531</v>
      </c>
      <c r="AA152" s="25">
        <v>0.36271325902684531</v>
      </c>
      <c r="AB152" s="25">
        <v>0.36271325902684531</v>
      </c>
      <c r="AC152" s="25">
        <v>0.36271325902684531</v>
      </c>
      <c r="AD152" s="25">
        <v>0.36271325902684531</v>
      </c>
      <c r="AE152" s="25">
        <v>0.36271325902684531</v>
      </c>
      <c r="AF152" s="25">
        <v>0.36271325902684531</v>
      </c>
      <c r="AG152" s="25">
        <v>0.36271325902684531</v>
      </c>
      <c r="AH152" s="25">
        <v>0.36271325902684531</v>
      </c>
      <c r="AI152" s="25">
        <v>0.36271325902684531</v>
      </c>
      <c r="AJ152" s="25">
        <v>0.36271325902684531</v>
      </c>
      <c r="AK152" s="25">
        <v>0.36271325902684531</v>
      </c>
      <c r="AL152" s="25">
        <v>0.36271325902684531</v>
      </c>
      <c r="AM152" s="25">
        <v>0.36271325902684531</v>
      </c>
      <c r="AN152" s="25">
        <v>0.36271325902684531</v>
      </c>
      <c r="AO152" s="25">
        <v>0.36271325902684531</v>
      </c>
      <c r="AP152" s="25">
        <v>0.36271325902684531</v>
      </c>
      <c r="AQ152" s="25">
        <v>0.36271325902684531</v>
      </c>
      <c r="AR152" s="25">
        <v>0.36271325902684531</v>
      </c>
      <c r="AS152" s="25">
        <v>0.36271325902684531</v>
      </c>
      <c r="AT152" s="25">
        <v>0.36271325902684531</v>
      </c>
      <c r="AU152" s="25">
        <v>0.36271325902684531</v>
      </c>
      <c r="AV152" s="25">
        <v>0.36271325902684531</v>
      </c>
      <c r="AW152" s="25">
        <v>0.36271325902684531</v>
      </c>
      <c r="AX152" s="25">
        <v>0.36271325902684531</v>
      </c>
      <c r="AY152" s="25">
        <v>0.36271325902684531</v>
      </c>
      <c r="AZ152" s="25">
        <v>0.36271325902684531</v>
      </c>
      <c r="BA152" s="25">
        <v>0.36271325902684531</v>
      </c>
      <c r="BB152" s="25">
        <v>0.36271325902684531</v>
      </c>
      <c r="BC152" s="25">
        <v>0.36271325902684531</v>
      </c>
      <c r="BD152" s="25">
        <v>0.36271325902684531</v>
      </c>
      <c r="BE152" s="25">
        <v>0.36271325902684531</v>
      </c>
      <c r="BF152" s="25">
        <v>0.36271325902684531</v>
      </c>
      <c r="BG152" s="25">
        <v>0.36271325902684531</v>
      </c>
      <c r="BH152" s="25">
        <v>0.36271325902684531</v>
      </c>
      <c r="BI152" s="25">
        <v>0.36271325902684531</v>
      </c>
      <c r="BJ152" s="25">
        <v>0.36271325902684531</v>
      </c>
      <c r="BK152" s="25">
        <v>0.36271325902684531</v>
      </c>
      <c r="BL152" s="25">
        <v>0.36271325902684531</v>
      </c>
      <c r="BM152" s="25">
        <v>0.36271325902684531</v>
      </c>
      <c r="BN152" s="25">
        <v>0.36271325902684531</v>
      </c>
      <c r="BO152" s="25">
        <v>0.36271325902684531</v>
      </c>
      <c r="BP152" s="25">
        <v>0.36271325902684531</v>
      </c>
      <c r="BQ152" s="25">
        <v>0.36271325902684531</v>
      </c>
      <c r="BR152" s="25">
        <v>0.36271325902684531</v>
      </c>
      <c r="BS152" s="25">
        <v>0.36271325902684531</v>
      </c>
      <c r="BT152" s="25">
        <v>0.36271325902684531</v>
      </c>
      <c r="BU152" s="25">
        <v>0.36271325902684531</v>
      </c>
      <c r="BV152" s="25">
        <v>0.36271325902684531</v>
      </c>
      <c r="BW152" s="25">
        <v>0.36271325902684531</v>
      </c>
      <c r="BX152" s="25">
        <v>0.36271325902684531</v>
      </c>
      <c r="BY152" s="25">
        <v>0.36271325902684531</v>
      </c>
      <c r="BZ152" s="25">
        <v>0.36271325902684531</v>
      </c>
      <c r="CA152" s="25">
        <v>0.36271325902684531</v>
      </c>
      <c r="CB152" s="25">
        <v>0.36271325902684531</v>
      </c>
      <c r="CC152" s="25">
        <v>0.36271325902684531</v>
      </c>
      <c r="CD152" s="25">
        <v>0.36271325902684531</v>
      </c>
      <c r="CE152" s="25">
        <v>0.36271325902684531</v>
      </c>
      <c r="CF152" s="25">
        <v>0.36271325902684531</v>
      </c>
      <c r="CG152" s="25">
        <v>0.36271325902684531</v>
      </c>
      <c r="CH152" s="25">
        <v>0.36271325902684531</v>
      </c>
      <c r="CI152" s="25">
        <v>0.36271325902684531</v>
      </c>
      <c r="CJ152" s="25">
        <v>0.36271325902684531</v>
      </c>
      <c r="CK152" s="25">
        <v>0.36271325902684531</v>
      </c>
      <c r="CL152" s="25">
        <v>0.36271325902684531</v>
      </c>
      <c r="CM152" s="25">
        <v>0.36271325902684531</v>
      </c>
      <c r="CN152" s="25">
        <v>0.36271325902684531</v>
      </c>
      <c r="CO152" s="25">
        <v>0.36271325902684531</v>
      </c>
      <c r="CP152" s="25">
        <v>0.36271325902684531</v>
      </c>
      <c r="CQ152" s="25">
        <v>0.36271325902684531</v>
      </c>
      <c r="CR152" s="25">
        <v>0.36271325902684531</v>
      </c>
      <c r="CS152" s="25">
        <v>0.36271325902684531</v>
      </c>
      <c r="CT152" s="25">
        <v>0.36271325902684531</v>
      </c>
      <c r="CU152" s="25">
        <v>0.36271325902684531</v>
      </c>
      <c r="CV152" s="25">
        <v>0.36271325902684531</v>
      </c>
      <c r="CW152" s="25">
        <v>0.36271325902684531</v>
      </c>
      <c r="CX152" s="25">
        <v>0.36271325902684531</v>
      </c>
      <c r="CY152" s="25">
        <v>0.36271325902684531</v>
      </c>
      <c r="CZ152" s="25">
        <v>0.36271325902684531</v>
      </c>
      <c r="DA152" s="25">
        <v>0.36271325902684531</v>
      </c>
      <c r="DB152" s="25">
        <v>0.36271325902684531</v>
      </c>
      <c r="DC152" s="25">
        <v>0.36271325902684531</v>
      </c>
      <c r="DD152" s="25">
        <v>0.36271325902684531</v>
      </c>
      <c r="DE152" s="25">
        <v>0.36271325902684531</v>
      </c>
      <c r="DF152" s="25">
        <v>0.36271325902684531</v>
      </c>
      <c r="DG152" s="25">
        <v>0.36271325902684531</v>
      </c>
      <c r="DH152" s="25">
        <v>0.36271325902684531</v>
      </c>
      <c r="DI152" s="25">
        <v>0.36271325902684531</v>
      </c>
      <c r="DJ152" s="25">
        <v>0.36271325902684531</v>
      </c>
      <c r="DK152" s="25">
        <v>0.36271325902684531</v>
      </c>
      <c r="DL152" s="25">
        <v>0.36271325902684531</v>
      </c>
      <c r="DM152" s="25">
        <v>0.36271325902684531</v>
      </c>
      <c r="DN152" s="25">
        <v>0.36271325902684531</v>
      </c>
      <c r="DO152" s="25">
        <v>0.36271325902684531</v>
      </c>
      <c r="DP152" s="25">
        <v>0.36271325902684531</v>
      </c>
      <c r="DQ152" s="25">
        <v>0.36271325902684531</v>
      </c>
      <c r="DR152" s="25">
        <v>0.36271325902684531</v>
      </c>
      <c r="DS152" s="25">
        <v>0.36271325902684531</v>
      </c>
      <c r="DT152" s="25">
        <v>0.36271325902684531</v>
      </c>
      <c r="DU152" s="25">
        <v>0.36271325902684531</v>
      </c>
      <c r="DV152" s="25">
        <v>0.36271325902684531</v>
      </c>
      <c r="DW152" s="25">
        <v>0.36271325902684531</v>
      </c>
      <c r="DX152" s="25">
        <v>0.36271325902684531</v>
      </c>
      <c r="DY152" s="25">
        <v>0.36271325902684531</v>
      </c>
      <c r="DZ152" s="25">
        <v>0.36271325902684531</v>
      </c>
      <c r="EA152" s="25">
        <v>0.36271325902684531</v>
      </c>
      <c r="EB152" s="25">
        <v>0.36271325902684531</v>
      </c>
      <c r="EC152" s="25">
        <v>0.36271325902684531</v>
      </c>
      <c r="ED152" s="25">
        <v>0.36271325902684531</v>
      </c>
      <c r="EE152" s="25">
        <v>0.36271325902684531</v>
      </c>
      <c r="EF152" s="25">
        <v>0.36271325902684531</v>
      </c>
      <c r="EG152" s="25">
        <v>0.36271325902684531</v>
      </c>
      <c r="EH152" s="25">
        <v>0.36271325902684531</v>
      </c>
      <c r="EI152" s="25">
        <v>0.36271325902684531</v>
      </c>
      <c r="EJ152" s="25">
        <v>0.36271325902684531</v>
      </c>
      <c r="EK152" s="25">
        <v>0.36271325902684531</v>
      </c>
      <c r="EL152" s="25">
        <v>0.36271325902684531</v>
      </c>
      <c r="EM152" s="25">
        <v>0.36271325902684531</v>
      </c>
      <c r="EN152" s="25">
        <v>0.36271325902684531</v>
      </c>
      <c r="EO152" s="25">
        <v>0.36271325902684531</v>
      </c>
      <c r="EP152" s="25">
        <v>0.36271325902684531</v>
      </c>
      <c r="EQ152" s="25">
        <v>0.36271325902684531</v>
      </c>
      <c r="ER152" s="25">
        <v>0.36271325902684531</v>
      </c>
      <c r="ES152" s="25">
        <v>0.36271325902684531</v>
      </c>
      <c r="ET152" s="25">
        <v>0.36271325902684531</v>
      </c>
      <c r="EU152" s="25">
        <v>0.36271325902684531</v>
      </c>
      <c r="EV152" s="25">
        <v>0.36271325902684531</v>
      </c>
      <c r="EW152" s="25">
        <v>0.36271325902684531</v>
      </c>
      <c r="EX152" s="25">
        <v>0.36271325902684531</v>
      </c>
      <c r="EY152" s="25">
        <v>0.36271325902684531</v>
      </c>
      <c r="EZ152" s="25">
        <v>0.36271325902684531</v>
      </c>
      <c r="FA152" s="25">
        <v>0.36271325902684531</v>
      </c>
      <c r="FB152" s="25">
        <v>0.36271325902684531</v>
      </c>
      <c r="FC152" s="25">
        <v>0.36271325902684531</v>
      </c>
      <c r="FD152" s="25">
        <v>0.36271325902684531</v>
      </c>
      <c r="FE152" s="25">
        <v>0.36271325902684531</v>
      </c>
      <c r="FF152" s="25">
        <v>0.36271325902684531</v>
      </c>
      <c r="FG152" s="25">
        <v>0.36271325902684531</v>
      </c>
      <c r="FH152" s="25">
        <v>0.36271325902684531</v>
      </c>
      <c r="FI152" s="25">
        <v>0.36271325902684531</v>
      </c>
      <c r="FJ152" s="25">
        <v>0.36271325902684531</v>
      </c>
      <c r="FK152" s="25">
        <v>0.36271325902684531</v>
      </c>
      <c r="FL152" s="25">
        <v>0.36271325902684531</v>
      </c>
      <c r="FM152" s="25">
        <v>0.36271325902684531</v>
      </c>
      <c r="FN152" s="25">
        <v>0.36271325902684531</v>
      </c>
      <c r="FO152" s="25">
        <v>0.36271325902684531</v>
      </c>
      <c r="FP152" s="25">
        <v>0.36271325902684531</v>
      </c>
      <c r="FQ152" s="25">
        <v>0.36271325902684531</v>
      </c>
      <c r="FR152" s="25">
        <v>0.36271325902684531</v>
      </c>
      <c r="FS152" s="25">
        <v>0.36271325902684531</v>
      </c>
      <c r="FT152" s="25">
        <v>0.36271325902684531</v>
      </c>
      <c r="FU152" s="25">
        <v>0.36271325902684531</v>
      </c>
      <c r="FV152" s="25">
        <v>0.36271325902684531</v>
      </c>
      <c r="FW152" s="25">
        <v>0.36271325902684531</v>
      </c>
      <c r="FX152" s="25">
        <v>0.36271325902684531</v>
      </c>
      <c r="FY152" s="25">
        <v>0.36271325902684531</v>
      </c>
      <c r="FZ152" s="25">
        <v>0.36271325902684531</v>
      </c>
      <c r="GA152" s="25">
        <v>0.36271325902684531</v>
      </c>
      <c r="GB152" s="25">
        <v>0.36271325902684531</v>
      </c>
      <c r="GC152" s="25">
        <v>0.36271325902684531</v>
      </c>
      <c r="GD152" s="25">
        <v>0.36271325902684531</v>
      </c>
      <c r="GE152" s="25">
        <v>0.36271325902684531</v>
      </c>
      <c r="GF152" s="25">
        <v>0.36271325902684531</v>
      </c>
      <c r="GG152" s="25">
        <v>0.36271325902684531</v>
      </c>
      <c r="GH152" s="25">
        <v>0.36271325902684531</v>
      </c>
      <c r="GI152" s="25">
        <v>0.36271325902684531</v>
      </c>
      <c r="GJ152" s="25">
        <v>0.36271325902684531</v>
      </c>
      <c r="GK152" s="25">
        <v>0.36271325902684531</v>
      </c>
      <c r="GL152" s="25">
        <v>0.36271325902684531</v>
      </c>
      <c r="GM152" s="25">
        <v>0.36271325902684531</v>
      </c>
      <c r="GN152" s="25">
        <v>0.36271325902684531</v>
      </c>
      <c r="GO152" s="25">
        <v>0.36271325902684531</v>
      </c>
      <c r="GP152" s="25">
        <v>0.36271325902684531</v>
      </c>
      <c r="GQ152" s="25">
        <v>0.36271325902684531</v>
      </c>
      <c r="GR152" s="25">
        <v>0.36271325902684531</v>
      </c>
      <c r="GS152" s="25">
        <v>0.36271325902684531</v>
      </c>
      <c r="GT152" s="25">
        <v>0.36271325902684531</v>
      </c>
      <c r="GU152" s="25">
        <v>0.36271325902684531</v>
      </c>
      <c r="GV152" s="25">
        <v>0.36271325902684531</v>
      </c>
      <c r="GW152" s="25">
        <v>0.36271325902684531</v>
      </c>
      <c r="GX152" s="25">
        <v>0.36271325902684531</v>
      </c>
      <c r="GY152" s="25">
        <v>0.36271325902684531</v>
      </c>
      <c r="GZ152" s="25">
        <v>0.36271325902684531</v>
      </c>
      <c r="HA152" s="25">
        <v>0.36271325902684531</v>
      </c>
      <c r="HB152" s="25">
        <v>0.36271325902684531</v>
      </c>
      <c r="HC152" s="25">
        <v>0.36271325902684531</v>
      </c>
      <c r="HD152" s="25">
        <v>0.36271325902684531</v>
      </c>
      <c r="HE152" s="25">
        <v>0.36271325902684531</v>
      </c>
      <c r="HF152" s="25">
        <v>0.36271325902684531</v>
      </c>
      <c r="HG152" s="25">
        <v>0.36271325902684531</v>
      </c>
      <c r="HH152" s="25">
        <v>0.36271325902684531</v>
      </c>
      <c r="HI152" s="25">
        <v>0.36271325902684531</v>
      </c>
      <c r="HJ152" s="25">
        <v>0.36271325902684531</v>
      </c>
      <c r="HK152" s="25">
        <v>0.36271325902684531</v>
      </c>
      <c r="HL152" s="25">
        <v>0.36271325902684531</v>
      </c>
      <c r="HM152" s="25">
        <v>0.36271325902684531</v>
      </c>
      <c r="HN152" s="25">
        <v>0.36271325902684531</v>
      </c>
      <c r="HO152" s="25">
        <v>0.36271325902684531</v>
      </c>
      <c r="HP152" s="25">
        <v>0.36271325902684531</v>
      </c>
      <c r="HQ152" s="25">
        <v>0.36271325902684531</v>
      </c>
      <c r="HR152" s="25">
        <v>0.36271325902684531</v>
      </c>
      <c r="HS152" s="25">
        <v>0.36271325902684531</v>
      </c>
      <c r="HT152" s="25">
        <v>0.36271325902684531</v>
      </c>
      <c r="HU152" s="25">
        <v>0.36271325902684531</v>
      </c>
      <c r="HV152" s="25">
        <v>0.36271325902684531</v>
      </c>
      <c r="HW152" s="25">
        <v>0.36271325902684531</v>
      </c>
      <c r="HX152" s="25">
        <v>0.36271325902684531</v>
      </c>
      <c r="HY152" s="25">
        <v>0.36271325902684531</v>
      </c>
      <c r="HZ152" s="25">
        <v>0.36271325902684531</v>
      </c>
      <c r="IA152" s="25">
        <v>0.36271325902684531</v>
      </c>
      <c r="IB152" s="25">
        <v>0.36271325902684531</v>
      </c>
      <c r="IC152" s="25">
        <v>0.36271325902684531</v>
      </c>
      <c r="ID152" s="25">
        <v>0.36271325902684531</v>
      </c>
      <c r="IE152" s="25">
        <v>0.36271325902684531</v>
      </c>
      <c r="IF152" s="25">
        <v>0.36271325902684531</v>
      </c>
      <c r="IG152" s="25">
        <v>0.36271325902684531</v>
      </c>
      <c r="IH152" s="25">
        <v>0.36271325902684531</v>
      </c>
      <c r="II152" s="25">
        <v>0.36271325902684531</v>
      </c>
      <c r="IJ152" s="25">
        <v>0.36271325902684531</v>
      </c>
      <c r="IK152" s="25">
        <v>0.36271325902684531</v>
      </c>
      <c r="IL152" s="25">
        <v>0.36271325902684531</v>
      </c>
      <c r="IM152" s="25">
        <v>0.36271325902684531</v>
      </c>
      <c r="IN152" s="25">
        <v>0.36271325902684531</v>
      </c>
      <c r="IO152" s="25">
        <v>0.36271325902684531</v>
      </c>
      <c r="IP152" s="25">
        <v>0.36271325902684531</v>
      </c>
      <c r="IQ152" s="25">
        <v>0.36271325902684531</v>
      </c>
      <c r="IR152" s="25">
        <v>0.36271325902684531</v>
      </c>
      <c r="IS152" s="25">
        <v>0.36271325902684531</v>
      </c>
      <c r="IT152" s="25">
        <v>0.36271325902684531</v>
      </c>
      <c r="IU152" s="25">
        <v>0.36271325902684531</v>
      </c>
      <c r="IV152" s="25">
        <v>0.36271325902684531</v>
      </c>
      <c r="IW152" s="25">
        <v>0.36271325902684531</v>
      </c>
      <c r="IX152" s="25">
        <v>0.36271325902684531</v>
      </c>
      <c r="IY152" s="25">
        <v>0.36271325902684531</v>
      </c>
      <c r="IZ152" s="25">
        <v>0.36271325902684531</v>
      </c>
      <c r="JA152" s="25">
        <v>0.36271325902684531</v>
      </c>
      <c r="JB152" s="25">
        <v>0.36271325902684531</v>
      </c>
      <c r="JC152" s="25">
        <v>0.36271325902684531</v>
      </c>
      <c r="JD152" s="25">
        <v>0.36271325902684531</v>
      </c>
      <c r="JE152" s="25">
        <v>0.36271325902684531</v>
      </c>
      <c r="JF152" s="25">
        <v>0.36271325902684531</v>
      </c>
      <c r="JG152" s="25">
        <v>0.36271325902684531</v>
      </c>
      <c r="JH152" s="25">
        <v>0.36271325902684531</v>
      </c>
      <c r="JI152" s="25">
        <v>0.36271325902684531</v>
      </c>
      <c r="JJ152" s="25">
        <v>0.36271325902684531</v>
      </c>
      <c r="JK152" s="25">
        <v>0.36271325902684531</v>
      </c>
      <c r="JL152" s="25">
        <v>0.36271325902684531</v>
      </c>
      <c r="JM152" s="25">
        <v>0.36271325902684531</v>
      </c>
      <c r="JN152" s="25">
        <v>0.36271325902684531</v>
      </c>
      <c r="JO152" s="25">
        <v>0.36271325902684531</v>
      </c>
      <c r="JP152" s="25">
        <v>0.36271325902684531</v>
      </c>
      <c r="JQ152" s="25">
        <v>0.36271325902684531</v>
      </c>
      <c r="JR152" s="25">
        <v>0.36271325902684531</v>
      </c>
      <c r="JS152" s="25">
        <v>0.36271325902684531</v>
      </c>
      <c r="JT152" s="25">
        <v>0.36271325902684531</v>
      </c>
      <c r="JU152" s="25">
        <v>0.36271325902684531</v>
      </c>
      <c r="JV152" s="25">
        <v>0.36271325902684531</v>
      </c>
      <c r="JW152" s="25">
        <v>0.36271325902684531</v>
      </c>
      <c r="JX152" s="25">
        <v>0.36271325902684531</v>
      </c>
      <c r="JY152" s="25">
        <v>0.36271325902684531</v>
      </c>
      <c r="JZ152" s="25">
        <v>0.36271325902684531</v>
      </c>
      <c r="KA152" s="25">
        <v>0.36271325902684531</v>
      </c>
      <c r="KB152" s="25">
        <v>0.36271325902684531</v>
      </c>
      <c r="KC152" s="25">
        <v>0.36271325902684531</v>
      </c>
      <c r="KD152" s="25">
        <v>0.36271325902684531</v>
      </c>
      <c r="KE152" s="25">
        <v>0.36271325902684531</v>
      </c>
      <c r="KF152" s="25">
        <v>0.36271325902684531</v>
      </c>
      <c r="KG152" s="25">
        <v>0.36271325902684531</v>
      </c>
      <c r="KH152" s="25">
        <v>0.36271325902684531</v>
      </c>
      <c r="KI152" s="25">
        <v>0.36271325902684531</v>
      </c>
      <c r="KJ152" s="25">
        <v>0.36271325902684531</v>
      </c>
      <c r="KK152" s="25">
        <v>0.36271325902684531</v>
      </c>
      <c r="KL152" s="25">
        <v>0.36271325902684531</v>
      </c>
      <c r="KM152" s="25">
        <v>0.36271325902684531</v>
      </c>
      <c r="KN152" s="25">
        <v>0.36271325902684531</v>
      </c>
      <c r="KO152" s="25">
        <v>0.36271325902684531</v>
      </c>
      <c r="KP152" s="25">
        <v>0.36271325902684531</v>
      </c>
      <c r="KQ152" s="25">
        <v>0.36271325902684531</v>
      </c>
      <c r="KR152" s="25">
        <v>0.36271325902684531</v>
      </c>
      <c r="KS152" s="25">
        <v>0.36271325902684531</v>
      </c>
      <c r="KT152" s="25">
        <v>0.36271325902684531</v>
      </c>
      <c r="KU152" s="25">
        <v>0.36271325902684531</v>
      </c>
      <c r="KV152" s="25">
        <v>0.36271325902684531</v>
      </c>
      <c r="KW152" s="25">
        <v>0.36271325902684531</v>
      </c>
      <c r="KX152" s="25">
        <v>0.36271325902684531</v>
      </c>
      <c r="KY152" s="25">
        <v>0.36271325902684531</v>
      </c>
      <c r="KZ152" s="25">
        <v>0.36271325902684531</v>
      </c>
      <c r="LA152" s="25">
        <v>0.36271325902684531</v>
      </c>
      <c r="LB152" s="25">
        <v>0.36271325902684531</v>
      </c>
      <c r="LC152" s="25">
        <v>0.36271325902684531</v>
      </c>
      <c r="LD152" s="25">
        <v>0.36271325902684531</v>
      </c>
      <c r="LE152" s="25">
        <v>0.36271325902684531</v>
      </c>
      <c r="LF152" s="25">
        <v>0.36271325902684531</v>
      </c>
      <c r="LG152" s="25">
        <v>0.36271325902684531</v>
      </c>
      <c r="LH152" s="25">
        <v>0.36271325902684531</v>
      </c>
      <c r="LI152" s="25">
        <v>0.36271325902684531</v>
      </c>
      <c r="LJ152" s="25">
        <v>0.36271325902684531</v>
      </c>
      <c r="LK152" s="25">
        <v>0.36271325902684531</v>
      </c>
      <c r="LL152" s="25">
        <v>0.36271325902684531</v>
      </c>
      <c r="LM152" s="25">
        <v>0.36271325902684531</v>
      </c>
      <c r="LN152" s="25">
        <v>0.36271325902684531</v>
      </c>
      <c r="LO152" s="25">
        <v>0.36271325902684531</v>
      </c>
      <c r="LP152" s="25">
        <v>0.36271325902684531</v>
      </c>
      <c r="LQ152" s="25">
        <v>0.36271325902684531</v>
      </c>
      <c r="LR152" s="25">
        <v>0.36271325902684531</v>
      </c>
      <c r="LS152" s="25">
        <v>0.36271325902684531</v>
      </c>
      <c r="LT152" s="25">
        <v>0.36271325902684531</v>
      </c>
      <c r="LU152" s="25">
        <v>0.36271325902684531</v>
      </c>
      <c r="LV152" s="25">
        <v>0.36271325902684531</v>
      </c>
      <c r="LW152" s="25">
        <v>0.36271325902684531</v>
      </c>
      <c r="LX152" s="25">
        <v>0.36271325902684531</v>
      </c>
      <c r="LY152" s="25">
        <v>0.36271325902684531</v>
      </c>
      <c r="LZ152" s="25">
        <v>0.36271325902684531</v>
      </c>
      <c r="MA152" s="25">
        <v>0.36271325902684531</v>
      </c>
      <c r="MB152" s="25">
        <v>0.36271325902684531</v>
      </c>
      <c r="MC152" s="25">
        <v>0.36271325902684531</v>
      </c>
      <c r="MD152" s="25">
        <v>0.36271325902684531</v>
      </c>
      <c r="ME152" s="25">
        <v>0.36271325902684531</v>
      </c>
      <c r="MF152" s="25">
        <v>0.36271325902684531</v>
      </c>
      <c r="MG152" s="25">
        <v>0.36271325902684531</v>
      </c>
      <c r="MH152" s="25">
        <v>0.36271325902684531</v>
      </c>
      <c r="MI152" s="25">
        <v>0.36271325902684531</v>
      </c>
      <c r="MJ152" s="25">
        <v>0.36271325902684531</v>
      </c>
      <c r="MK152" s="25">
        <v>0.36271325902684531</v>
      </c>
      <c r="ML152" s="25">
        <v>0.36271325902684531</v>
      </c>
      <c r="MM152" s="25">
        <v>0.36271325902684531</v>
      </c>
      <c r="MN152" s="25">
        <v>0.36271325902684531</v>
      </c>
      <c r="MO152" s="25">
        <v>0.36271325902684531</v>
      </c>
      <c r="MP152" s="25">
        <v>0.36271325902684531</v>
      </c>
      <c r="MQ152" s="25">
        <v>0.36271325902684531</v>
      </c>
      <c r="MR152" s="25">
        <v>0.36271325902684531</v>
      </c>
      <c r="MS152" s="25">
        <v>0.36271325902684531</v>
      </c>
      <c r="MT152" s="25">
        <v>0.36271325902684531</v>
      </c>
      <c r="MU152" s="25">
        <v>0.36271325902684531</v>
      </c>
      <c r="MV152" s="25">
        <v>0.36271325902684531</v>
      </c>
      <c r="MW152" s="25">
        <v>0.36271325902684531</v>
      </c>
      <c r="MX152" s="25">
        <v>0.36271325902684531</v>
      </c>
      <c r="MY152" s="25">
        <v>0.36271325902684531</v>
      </c>
      <c r="MZ152" s="25">
        <v>0.36271325902684531</v>
      </c>
      <c r="NA152" s="25">
        <v>0.36271325902684531</v>
      </c>
      <c r="NB152" s="25">
        <v>0.36271325902684531</v>
      </c>
      <c r="NC152" s="25">
        <v>0.36271325902684531</v>
      </c>
      <c r="ND152" s="25">
        <v>0.36271325902684531</v>
      </c>
      <c r="NE152" s="25">
        <v>0.36271325902684531</v>
      </c>
      <c r="NF152" s="25">
        <v>0.36271325902684531</v>
      </c>
      <c r="NG152" s="25">
        <v>0.36271325902684531</v>
      </c>
      <c r="NH152" s="25">
        <v>0.36271325902684531</v>
      </c>
      <c r="NI152" s="25">
        <v>0.36271325902684531</v>
      </c>
      <c r="NJ152" s="25">
        <v>0.36271325902684531</v>
      </c>
      <c r="NK152" s="25">
        <v>0.36271325902684531</v>
      </c>
      <c r="NL152" s="25">
        <v>0.36271325902684531</v>
      </c>
      <c r="NM152" s="25">
        <v>0.36271325902684531</v>
      </c>
      <c r="NN152" s="25">
        <v>0.36271325902684531</v>
      </c>
      <c r="NO152" s="25">
        <v>0.36271325902684531</v>
      </c>
      <c r="NP152" s="25">
        <v>0.36271325902684531</v>
      </c>
      <c r="NQ152" s="25">
        <v>0.36271325902684531</v>
      </c>
      <c r="NR152" s="25">
        <v>0.36271325902684531</v>
      </c>
      <c r="NS152" s="25">
        <v>0.36271325902684531</v>
      </c>
      <c r="NT152" s="25">
        <v>0.36271325902684531</v>
      </c>
      <c r="NU152" s="25">
        <v>0.36271325902684531</v>
      </c>
      <c r="NV152" s="25">
        <v>0.36271325902684531</v>
      </c>
      <c r="NW152" s="25">
        <v>0.36271325902684531</v>
      </c>
      <c r="NX152" s="25">
        <v>0.36271325902684531</v>
      </c>
      <c r="NY152" s="25">
        <v>0.36271325902684531</v>
      </c>
      <c r="NZ152" s="25">
        <v>0.36271325902684531</v>
      </c>
      <c r="OA152" s="25">
        <v>0.36271325902684531</v>
      </c>
      <c r="OB152" s="25">
        <v>0.36271325902684531</v>
      </c>
      <c r="OC152" s="25">
        <v>0.36271325902684531</v>
      </c>
      <c r="OD152" s="25">
        <v>0.36271325902684531</v>
      </c>
      <c r="OE152" s="25">
        <v>0.36271325902684531</v>
      </c>
    </row>
    <row r="153" spans="1:395" outlineLevel="1" x14ac:dyDescent="0.3">
      <c r="E153" s="6"/>
      <c r="K153" s="65"/>
      <c r="L153" s="55"/>
      <c r="M153" s="66"/>
      <c r="N153" s="25"/>
      <c r="O153" s="25"/>
      <c r="P153" s="27"/>
      <c r="Q153" s="25" t="s">
        <v>364</v>
      </c>
      <c r="R153" s="25"/>
      <c r="S153" s="25"/>
      <c r="T153" s="25"/>
      <c r="U153" s="25"/>
      <c r="V153" s="25"/>
      <c r="W153" s="25"/>
      <c r="X153" s="25"/>
      <c r="Y153" s="25"/>
      <c r="Z153" s="25"/>
      <c r="AA153" s="25"/>
      <c r="AB153" s="25"/>
      <c r="AC153" s="25"/>
      <c r="AD153" s="25"/>
      <c r="AE153" s="25"/>
      <c r="AF153" s="25"/>
      <c r="AG153" s="25"/>
      <c r="AH153" s="25"/>
      <c r="AI153" s="25"/>
      <c r="AJ153" s="25"/>
      <c r="AK153" s="25"/>
      <c r="AL153" s="25"/>
      <c r="AM153" s="25"/>
      <c r="AN153" s="25"/>
      <c r="AO153" s="25"/>
      <c r="AP153" s="25"/>
      <c r="AQ153" s="25"/>
      <c r="AR153" s="25"/>
      <c r="AS153" s="25"/>
      <c r="AT153" s="25"/>
      <c r="AU153" s="25"/>
      <c r="AV153" s="25"/>
      <c r="AW153" s="25"/>
      <c r="AX153" s="25"/>
      <c r="AY153" s="25"/>
      <c r="AZ153" s="25"/>
      <c r="BA153" s="25"/>
      <c r="BB153" s="25"/>
      <c r="BC153" s="25"/>
      <c r="BD153" s="25"/>
      <c r="BE153" s="25"/>
      <c r="BF153" s="25"/>
      <c r="BG153" s="25"/>
      <c r="BH153" s="25"/>
      <c r="BI153" s="25"/>
      <c r="BJ153" s="25"/>
      <c r="BK153" s="25"/>
      <c r="BL153" s="25"/>
      <c r="BM153" s="25"/>
      <c r="BN153" s="25"/>
      <c r="BO153" s="25"/>
      <c r="BP153" s="25"/>
      <c r="BQ153" s="25"/>
      <c r="BR153" s="25"/>
      <c r="BS153" s="25"/>
      <c r="BT153" s="25"/>
      <c r="BU153" s="25"/>
      <c r="BV153" s="25"/>
      <c r="BW153" s="25"/>
      <c r="BX153" s="25"/>
      <c r="BY153" s="25"/>
      <c r="BZ153" s="25"/>
      <c r="CA153" s="25"/>
      <c r="CB153" s="25"/>
      <c r="CC153" s="25"/>
      <c r="CD153" s="25"/>
      <c r="CE153" s="25"/>
      <c r="CF153" s="25"/>
      <c r="CG153" s="25"/>
      <c r="CH153" s="25"/>
      <c r="CI153" s="25"/>
      <c r="CJ153" s="25"/>
      <c r="CK153" s="25"/>
      <c r="CL153" s="25"/>
      <c r="CM153" s="25"/>
      <c r="CN153" s="25"/>
      <c r="CO153" s="25"/>
      <c r="CP153" s="25"/>
      <c r="CQ153" s="25"/>
      <c r="CR153" s="25"/>
      <c r="CS153" s="25"/>
      <c r="CT153" s="25"/>
      <c r="CU153" s="25"/>
      <c r="CV153" s="25"/>
      <c r="CW153" s="25"/>
      <c r="CX153" s="25"/>
      <c r="CY153" s="25"/>
      <c r="CZ153" s="25"/>
      <c r="DA153" s="25"/>
      <c r="DB153" s="25"/>
      <c r="DC153" s="25"/>
      <c r="DD153" s="25"/>
      <c r="DE153" s="25"/>
      <c r="DF153" s="25"/>
      <c r="DG153" s="25"/>
      <c r="DH153" s="25"/>
      <c r="DI153" s="25"/>
      <c r="DJ153" s="25"/>
      <c r="DK153" s="25"/>
      <c r="DL153" s="25"/>
      <c r="DM153" s="25"/>
      <c r="DN153" s="25"/>
      <c r="DO153" s="25"/>
      <c r="DP153" s="25"/>
      <c r="DQ153" s="25"/>
      <c r="DR153" s="25"/>
      <c r="DS153" s="25"/>
      <c r="DT153" s="25"/>
      <c r="DU153" s="25"/>
      <c r="DV153" s="25"/>
      <c r="DW153" s="25"/>
      <c r="DX153" s="25"/>
      <c r="DY153" s="25"/>
      <c r="DZ153" s="25"/>
      <c r="EA153" s="25"/>
      <c r="EB153" s="25"/>
      <c r="EC153" s="25"/>
      <c r="ED153" s="25"/>
      <c r="EE153" s="25"/>
      <c r="EF153" s="25"/>
      <c r="EG153" s="25"/>
      <c r="EH153" s="25"/>
      <c r="EI153" s="25"/>
      <c r="EJ153" s="25"/>
      <c r="EK153" s="25"/>
      <c r="EL153" s="25"/>
      <c r="EM153" s="25"/>
      <c r="EN153" s="25"/>
      <c r="EO153" s="25"/>
      <c r="EP153" s="25"/>
      <c r="EQ153" s="25"/>
      <c r="ER153" s="25"/>
      <c r="ES153" s="25"/>
      <c r="ET153" s="25"/>
      <c r="EU153" s="25"/>
      <c r="EV153" s="25"/>
      <c r="EW153" s="25"/>
      <c r="EX153" s="25"/>
      <c r="EY153" s="25"/>
      <c r="EZ153" s="25"/>
      <c r="FA153" s="25"/>
      <c r="FB153" s="25"/>
      <c r="FC153" s="25"/>
      <c r="FD153" s="25"/>
      <c r="FE153" s="25"/>
      <c r="FF153" s="25"/>
      <c r="FG153" s="25"/>
      <c r="FH153" s="25"/>
      <c r="FI153" s="25"/>
      <c r="FJ153" s="25"/>
      <c r="FK153" s="25"/>
      <c r="FL153" s="25"/>
      <c r="FM153" s="25"/>
      <c r="FN153" s="25"/>
      <c r="FO153" s="25"/>
      <c r="FP153" s="25"/>
      <c r="FQ153" s="25"/>
      <c r="FR153" s="25"/>
      <c r="FS153" s="25"/>
      <c r="FT153" s="25"/>
      <c r="FU153" s="25"/>
      <c r="FV153" s="25"/>
      <c r="FW153" s="25"/>
      <c r="FX153" s="25"/>
      <c r="FY153" s="25"/>
      <c r="FZ153" s="25"/>
      <c r="GA153" s="25"/>
      <c r="GB153" s="25"/>
      <c r="GC153" s="25"/>
      <c r="GD153" s="25"/>
      <c r="GE153" s="25"/>
      <c r="GF153" s="25"/>
      <c r="GG153" s="25"/>
      <c r="GH153" s="25"/>
      <c r="GI153" s="25"/>
      <c r="GJ153" s="25"/>
      <c r="GK153" s="25"/>
      <c r="GL153" s="25"/>
      <c r="GM153" s="25"/>
      <c r="GN153" s="25"/>
      <c r="GO153" s="25"/>
      <c r="GP153" s="25"/>
      <c r="GQ153" s="25"/>
      <c r="GR153" s="25"/>
      <c r="GS153" s="25"/>
      <c r="GT153" s="25"/>
      <c r="GU153" s="25"/>
      <c r="GV153" s="25"/>
      <c r="GW153" s="25"/>
      <c r="GX153" s="25"/>
      <c r="GY153" s="25"/>
      <c r="GZ153" s="25"/>
      <c r="HA153" s="25"/>
      <c r="HB153" s="25"/>
      <c r="HC153" s="25"/>
      <c r="HD153" s="25"/>
      <c r="HE153" s="25"/>
      <c r="HF153" s="25"/>
      <c r="HG153" s="25"/>
      <c r="HH153" s="25"/>
      <c r="HI153" s="25"/>
      <c r="HJ153" s="25"/>
      <c r="HK153" s="25"/>
      <c r="HL153" s="25"/>
      <c r="HM153" s="25"/>
      <c r="HN153" s="25"/>
      <c r="HO153" s="25"/>
      <c r="HP153" s="25"/>
      <c r="HQ153" s="25"/>
      <c r="HR153" s="25"/>
      <c r="HS153" s="25"/>
      <c r="HT153" s="25"/>
      <c r="HU153" s="25"/>
      <c r="HV153" s="25"/>
      <c r="HW153" s="25"/>
      <c r="HX153" s="25"/>
      <c r="HY153" s="25"/>
      <c r="HZ153" s="25"/>
      <c r="IA153" s="25"/>
      <c r="IB153" s="25"/>
      <c r="IC153" s="25"/>
      <c r="ID153" s="25"/>
      <c r="IE153" s="25"/>
      <c r="IF153" s="25"/>
      <c r="IG153" s="25"/>
      <c r="IH153" s="25"/>
      <c r="II153" s="25"/>
      <c r="IJ153" s="25"/>
      <c r="IK153" s="25"/>
      <c r="IL153" s="25"/>
      <c r="IM153" s="25"/>
      <c r="IN153" s="25"/>
      <c r="IO153" s="25"/>
      <c r="IP153" s="25"/>
      <c r="IQ153" s="25"/>
      <c r="IR153" s="25"/>
      <c r="IS153" s="25"/>
      <c r="IT153" s="25"/>
      <c r="IU153" s="25"/>
      <c r="IV153" s="25"/>
      <c r="IW153" s="25"/>
      <c r="IX153" s="25"/>
      <c r="IY153" s="25"/>
      <c r="IZ153" s="25"/>
      <c r="JA153" s="25"/>
      <c r="JB153" s="25"/>
      <c r="JC153" s="25"/>
      <c r="JD153" s="25"/>
      <c r="JE153" s="25"/>
      <c r="JF153" s="25"/>
      <c r="JG153" s="25"/>
      <c r="JH153" s="25"/>
      <c r="JI153" s="25"/>
      <c r="JJ153" s="25"/>
      <c r="JK153" s="25"/>
      <c r="JL153" s="25"/>
      <c r="JM153" s="25"/>
      <c r="JN153" s="25"/>
      <c r="JO153" s="25"/>
      <c r="JP153" s="25"/>
      <c r="JQ153" s="25"/>
      <c r="JR153" s="25"/>
      <c r="JS153" s="25"/>
      <c r="JT153" s="25"/>
      <c r="JU153" s="25"/>
      <c r="JV153" s="25"/>
      <c r="JW153" s="25"/>
      <c r="JX153" s="25"/>
      <c r="JY153" s="25"/>
      <c r="JZ153" s="25"/>
      <c r="KA153" s="25"/>
      <c r="KB153" s="25"/>
      <c r="KC153" s="25"/>
      <c r="KD153" s="25"/>
      <c r="KE153" s="25"/>
      <c r="KF153" s="25"/>
      <c r="KG153" s="25"/>
      <c r="KH153" s="25"/>
      <c r="KI153" s="25"/>
      <c r="KJ153" s="25"/>
      <c r="KK153" s="25"/>
      <c r="KL153" s="25"/>
      <c r="KM153" s="25"/>
      <c r="KN153" s="25"/>
      <c r="KO153" s="25"/>
      <c r="KP153" s="25"/>
      <c r="KQ153" s="25"/>
      <c r="KR153" s="25"/>
      <c r="KS153" s="25"/>
      <c r="KT153" s="25"/>
      <c r="KU153" s="25"/>
      <c r="KV153" s="25"/>
      <c r="KW153" s="25"/>
      <c r="KX153" s="25"/>
      <c r="KY153" s="25"/>
      <c r="KZ153" s="25"/>
      <c r="LA153" s="25"/>
      <c r="LB153" s="25"/>
      <c r="LC153" s="25"/>
      <c r="LD153" s="25"/>
      <c r="LE153" s="25"/>
      <c r="LF153" s="25"/>
      <c r="LG153" s="25"/>
      <c r="LH153" s="25"/>
      <c r="LI153" s="25"/>
      <c r="LJ153" s="25"/>
      <c r="LK153" s="25"/>
      <c r="LL153" s="25"/>
      <c r="LM153" s="25"/>
      <c r="LN153" s="25"/>
      <c r="LO153" s="25"/>
      <c r="LP153" s="25"/>
      <c r="LQ153" s="25"/>
      <c r="LR153" s="25"/>
      <c r="LS153" s="25"/>
      <c r="LT153" s="25"/>
      <c r="LU153" s="25"/>
      <c r="LV153" s="25"/>
      <c r="LW153" s="25"/>
      <c r="LX153" s="25"/>
      <c r="LY153" s="25"/>
      <c r="LZ153" s="25"/>
      <c r="MA153" s="25"/>
      <c r="MB153" s="25"/>
      <c r="MC153" s="25"/>
      <c r="MD153" s="25"/>
      <c r="ME153" s="25"/>
      <c r="MF153" s="25"/>
      <c r="MG153" s="25"/>
      <c r="MH153" s="25"/>
      <c r="MI153" s="25"/>
      <c r="MJ153" s="25"/>
      <c r="MK153" s="25"/>
      <c r="ML153" s="25"/>
      <c r="MM153" s="25"/>
      <c r="MN153" s="25"/>
      <c r="MO153" s="25"/>
      <c r="MP153" s="25"/>
      <c r="MQ153" s="25"/>
      <c r="MR153" s="25"/>
      <c r="MS153" s="25"/>
      <c r="MT153" s="25"/>
      <c r="MU153" s="25"/>
      <c r="MV153" s="25"/>
      <c r="MW153" s="25"/>
      <c r="MX153" s="25"/>
      <c r="MY153" s="25"/>
      <c r="MZ153" s="25"/>
      <c r="NA153" s="25"/>
      <c r="NB153" s="25"/>
      <c r="NC153" s="25"/>
      <c r="ND153" s="25"/>
      <c r="NE153" s="25"/>
      <c r="NF153" s="25"/>
      <c r="NG153" s="25"/>
      <c r="NH153" s="25"/>
      <c r="NI153" s="25"/>
      <c r="NJ153" s="25"/>
      <c r="NK153" s="25"/>
      <c r="NL153" s="25"/>
      <c r="NM153" s="25"/>
      <c r="NN153" s="25"/>
      <c r="NO153" s="25"/>
      <c r="NP153" s="25"/>
      <c r="NQ153" s="25"/>
      <c r="NR153" s="25"/>
      <c r="NS153" s="25"/>
      <c r="NT153" s="25"/>
      <c r="NU153" s="25"/>
      <c r="NV153" s="25"/>
      <c r="NW153" s="25"/>
      <c r="NX153" s="25"/>
      <c r="NY153" s="25"/>
      <c r="NZ153" s="25"/>
      <c r="OA153" s="25"/>
      <c r="OB153" s="25"/>
      <c r="OC153" s="25"/>
      <c r="OD153" s="25"/>
      <c r="OE153" s="25"/>
    </row>
    <row r="154" spans="1:395" outlineLevel="1" x14ac:dyDescent="0.3">
      <c r="E154" s="6"/>
      <c r="K154" s="65"/>
      <c r="L154" s="55"/>
      <c r="M154" s="66"/>
      <c r="N154" s="25" t="s">
        <v>144</v>
      </c>
      <c r="O154" s="25"/>
      <c r="P154" s="27" t="s">
        <v>31</v>
      </c>
      <c r="Q154" s="25" cm="1">
        <f t="array" ref="Q154:OE154">INDEX(E77:E88,MONTH(_xlfn.ANCHORARRAY(Q2)))</f>
        <v>8.5518764512428111E-2</v>
      </c>
      <c r="R154" s="25">
        <v>9.3960635898245312E-2</v>
      </c>
      <c r="S154" s="25">
        <v>7.6935613906988026E-2</v>
      </c>
      <c r="T154" s="25">
        <v>4.4893940837694241E-2</v>
      </c>
      <c r="U154" s="25">
        <v>6.632477998090984E-2</v>
      </c>
      <c r="V154" s="25">
        <v>9.3288763217102874E-2</v>
      </c>
      <c r="W154" s="25">
        <v>0.10433195615295086</v>
      </c>
      <c r="X154" s="25">
        <v>0.14943303749247056</v>
      </c>
      <c r="Y154" s="25">
        <v>9.0790852640398323E-2</v>
      </c>
      <c r="Z154" s="25">
        <v>4.7475631425133447E-2</v>
      </c>
      <c r="AA154" s="25">
        <v>7.7293669922446517E-2</v>
      </c>
      <c r="AB154" s="25">
        <v>6.9752354013231821E-2</v>
      </c>
      <c r="AC154" s="25">
        <v>8.5518764512428111E-2</v>
      </c>
      <c r="AD154" s="25">
        <v>9.3960635898245312E-2</v>
      </c>
      <c r="AE154" s="25">
        <v>7.6935613906988026E-2</v>
      </c>
      <c r="AF154" s="25">
        <v>4.4893940837694241E-2</v>
      </c>
      <c r="AG154" s="25">
        <v>6.632477998090984E-2</v>
      </c>
      <c r="AH154" s="25">
        <v>9.3288763217102874E-2</v>
      </c>
      <c r="AI154" s="25">
        <v>0.10433195615295086</v>
      </c>
      <c r="AJ154" s="25">
        <v>0.14943303749247056</v>
      </c>
      <c r="AK154" s="25">
        <v>9.0790852640398323E-2</v>
      </c>
      <c r="AL154" s="25">
        <v>4.7475631425133447E-2</v>
      </c>
      <c r="AM154" s="25">
        <v>7.7293669922446517E-2</v>
      </c>
      <c r="AN154" s="25">
        <v>6.9752354013231821E-2</v>
      </c>
      <c r="AO154" s="25">
        <v>8.5518764512428111E-2</v>
      </c>
      <c r="AP154" s="25">
        <v>9.3960635898245312E-2</v>
      </c>
      <c r="AQ154" s="25">
        <v>7.6935613906988026E-2</v>
      </c>
      <c r="AR154" s="25">
        <v>4.4893940837694241E-2</v>
      </c>
      <c r="AS154" s="25">
        <v>6.632477998090984E-2</v>
      </c>
      <c r="AT154" s="25">
        <v>9.3288763217102874E-2</v>
      </c>
      <c r="AU154" s="25">
        <v>0.10433195615295086</v>
      </c>
      <c r="AV154" s="25">
        <v>0.14943303749247056</v>
      </c>
      <c r="AW154" s="25">
        <v>9.0790852640398323E-2</v>
      </c>
      <c r="AX154" s="25">
        <v>4.7475631425133447E-2</v>
      </c>
      <c r="AY154" s="25">
        <v>7.7293669922446517E-2</v>
      </c>
      <c r="AZ154" s="25">
        <v>6.9752354013231821E-2</v>
      </c>
      <c r="BA154" s="25">
        <v>8.5518764512428111E-2</v>
      </c>
      <c r="BB154" s="25">
        <v>9.3960635898245312E-2</v>
      </c>
      <c r="BC154" s="25">
        <v>7.6935613906988026E-2</v>
      </c>
      <c r="BD154" s="25">
        <v>4.4893940837694241E-2</v>
      </c>
      <c r="BE154" s="25">
        <v>6.632477998090984E-2</v>
      </c>
      <c r="BF154" s="25">
        <v>9.3288763217102874E-2</v>
      </c>
      <c r="BG154" s="25">
        <v>0.10433195615295086</v>
      </c>
      <c r="BH154" s="25">
        <v>0.14943303749247056</v>
      </c>
      <c r="BI154" s="25">
        <v>9.0790852640398323E-2</v>
      </c>
      <c r="BJ154" s="25">
        <v>4.7475631425133447E-2</v>
      </c>
      <c r="BK154" s="25">
        <v>7.7293669922446517E-2</v>
      </c>
      <c r="BL154" s="25">
        <v>6.9752354013231821E-2</v>
      </c>
      <c r="BM154" s="25">
        <v>8.5518764512428111E-2</v>
      </c>
      <c r="BN154" s="25">
        <v>9.3960635898245312E-2</v>
      </c>
      <c r="BO154" s="25">
        <v>7.6935613906988026E-2</v>
      </c>
      <c r="BP154" s="25">
        <v>4.4893940837694241E-2</v>
      </c>
      <c r="BQ154" s="25">
        <v>6.632477998090984E-2</v>
      </c>
      <c r="BR154" s="25">
        <v>9.3288763217102874E-2</v>
      </c>
      <c r="BS154" s="25">
        <v>0.10433195615295086</v>
      </c>
      <c r="BT154" s="25">
        <v>0.14943303749247056</v>
      </c>
      <c r="BU154" s="25">
        <v>9.0790852640398323E-2</v>
      </c>
      <c r="BV154" s="25">
        <v>4.7475631425133447E-2</v>
      </c>
      <c r="BW154" s="25">
        <v>7.7293669922446517E-2</v>
      </c>
      <c r="BX154" s="25">
        <v>6.9752354013231821E-2</v>
      </c>
      <c r="BY154" s="25">
        <v>8.5518764512428111E-2</v>
      </c>
      <c r="BZ154" s="25">
        <v>9.3960635898245312E-2</v>
      </c>
      <c r="CA154" s="25">
        <v>7.6935613906988026E-2</v>
      </c>
      <c r="CB154" s="25">
        <v>4.4893940837694241E-2</v>
      </c>
      <c r="CC154" s="25">
        <v>6.632477998090984E-2</v>
      </c>
      <c r="CD154" s="25">
        <v>9.3288763217102874E-2</v>
      </c>
      <c r="CE154" s="25">
        <v>0.10433195615295086</v>
      </c>
      <c r="CF154" s="25">
        <v>0.14943303749247056</v>
      </c>
      <c r="CG154" s="25">
        <v>9.0790852640398323E-2</v>
      </c>
      <c r="CH154" s="25">
        <v>4.7475631425133447E-2</v>
      </c>
      <c r="CI154" s="25">
        <v>7.7293669922446517E-2</v>
      </c>
      <c r="CJ154" s="25">
        <v>6.9752354013231821E-2</v>
      </c>
      <c r="CK154" s="25">
        <v>8.5518764512428111E-2</v>
      </c>
      <c r="CL154" s="25">
        <v>9.3960635898245312E-2</v>
      </c>
      <c r="CM154" s="25">
        <v>7.6935613906988026E-2</v>
      </c>
      <c r="CN154" s="25">
        <v>4.4893940837694241E-2</v>
      </c>
      <c r="CO154" s="25">
        <v>6.632477998090984E-2</v>
      </c>
      <c r="CP154" s="25">
        <v>9.3288763217102874E-2</v>
      </c>
      <c r="CQ154" s="25">
        <v>0.10433195615295086</v>
      </c>
      <c r="CR154" s="25">
        <v>0.14943303749247056</v>
      </c>
      <c r="CS154" s="25">
        <v>9.0790852640398323E-2</v>
      </c>
      <c r="CT154" s="25">
        <v>4.7475631425133447E-2</v>
      </c>
      <c r="CU154" s="25">
        <v>7.7293669922446517E-2</v>
      </c>
      <c r="CV154" s="25">
        <v>6.9752354013231821E-2</v>
      </c>
      <c r="CW154" s="25">
        <v>8.5518764512428111E-2</v>
      </c>
      <c r="CX154" s="25">
        <v>9.3960635898245312E-2</v>
      </c>
      <c r="CY154" s="25">
        <v>7.6935613906988026E-2</v>
      </c>
      <c r="CZ154" s="25">
        <v>4.4893940837694241E-2</v>
      </c>
      <c r="DA154" s="25">
        <v>6.632477998090984E-2</v>
      </c>
      <c r="DB154" s="25">
        <v>9.3288763217102874E-2</v>
      </c>
      <c r="DC154" s="25">
        <v>0.10433195615295086</v>
      </c>
      <c r="DD154" s="25">
        <v>0.14943303749247056</v>
      </c>
      <c r="DE154" s="25">
        <v>9.0790852640398323E-2</v>
      </c>
      <c r="DF154" s="25">
        <v>4.7475631425133447E-2</v>
      </c>
      <c r="DG154" s="25">
        <v>7.7293669922446517E-2</v>
      </c>
      <c r="DH154" s="25">
        <v>6.9752354013231821E-2</v>
      </c>
      <c r="DI154" s="25">
        <v>8.5518764512428111E-2</v>
      </c>
      <c r="DJ154" s="25">
        <v>9.3960635898245312E-2</v>
      </c>
      <c r="DK154" s="25">
        <v>7.6935613906988026E-2</v>
      </c>
      <c r="DL154" s="25">
        <v>4.4893940837694241E-2</v>
      </c>
      <c r="DM154" s="25">
        <v>6.632477998090984E-2</v>
      </c>
      <c r="DN154" s="25">
        <v>9.3288763217102874E-2</v>
      </c>
      <c r="DO154" s="25">
        <v>0.10433195615295086</v>
      </c>
      <c r="DP154" s="25">
        <v>0.14943303749247056</v>
      </c>
      <c r="DQ154" s="25">
        <v>9.0790852640398323E-2</v>
      </c>
      <c r="DR154" s="25">
        <v>4.7475631425133447E-2</v>
      </c>
      <c r="DS154" s="25">
        <v>7.7293669922446517E-2</v>
      </c>
      <c r="DT154" s="25">
        <v>6.9752354013231821E-2</v>
      </c>
      <c r="DU154" s="25">
        <v>8.5518764512428111E-2</v>
      </c>
      <c r="DV154" s="25">
        <v>9.3960635898245312E-2</v>
      </c>
      <c r="DW154" s="25">
        <v>7.6935613906988026E-2</v>
      </c>
      <c r="DX154" s="25">
        <v>4.4893940837694241E-2</v>
      </c>
      <c r="DY154" s="25">
        <v>6.632477998090984E-2</v>
      </c>
      <c r="DZ154" s="25">
        <v>9.3288763217102874E-2</v>
      </c>
      <c r="EA154" s="25">
        <v>0.10433195615295086</v>
      </c>
      <c r="EB154" s="25">
        <v>0.14943303749247056</v>
      </c>
      <c r="EC154" s="25">
        <v>9.0790852640398323E-2</v>
      </c>
      <c r="ED154" s="25">
        <v>4.7475631425133447E-2</v>
      </c>
      <c r="EE154" s="25">
        <v>7.7293669922446517E-2</v>
      </c>
      <c r="EF154" s="25">
        <v>6.9752354013231821E-2</v>
      </c>
      <c r="EG154" s="25">
        <v>8.5518764512428111E-2</v>
      </c>
      <c r="EH154" s="25">
        <v>9.3960635898245312E-2</v>
      </c>
      <c r="EI154" s="25">
        <v>7.6935613906988026E-2</v>
      </c>
      <c r="EJ154" s="25">
        <v>4.4893940837694241E-2</v>
      </c>
      <c r="EK154" s="25">
        <v>6.632477998090984E-2</v>
      </c>
      <c r="EL154" s="25">
        <v>9.3288763217102874E-2</v>
      </c>
      <c r="EM154" s="25">
        <v>0.10433195615295086</v>
      </c>
      <c r="EN154" s="25">
        <v>0.14943303749247056</v>
      </c>
      <c r="EO154" s="25">
        <v>9.0790852640398323E-2</v>
      </c>
      <c r="EP154" s="25">
        <v>4.7475631425133447E-2</v>
      </c>
      <c r="EQ154" s="25">
        <v>7.7293669922446517E-2</v>
      </c>
      <c r="ER154" s="25">
        <v>6.9752354013231821E-2</v>
      </c>
      <c r="ES154" s="25">
        <v>8.5518764512428111E-2</v>
      </c>
      <c r="ET154" s="25">
        <v>9.3960635898245312E-2</v>
      </c>
      <c r="EU154" s="25">
        <v>7.6935613906988026E-2</v>
      </c>
      <c r="EV154" s="25">
        <v>4.4893940837694241E-2</v>
      </c>
      <c r="EW154" s="25">
        <v>6.632477998090984E-2</v>
      </c>
      <c r="EX154" s="25">
        <v>9.3288763217102874E-2</v>
      </c>
      <c r="EY154" s="25">
        <v>0.10433195615295086</v>
      </c>
      <c r="EZ154" s="25">
        <v>0.14943303749247056</v>
      </c>
      <c r="FA154" s="25">
        <v>9.0790852640398323E-2</v>
      </c>
      <c r="FB154" s="25">
        <v>4.7475631425133447E-2</v>
      </c>
      <c r="FC154" s="25">
        <v>7.7293669922446517E-2</v>
      </c>
      <c r="FD154" s="25">
        <v>6.9752354013231821E-2</v>
      </c>
      <c r="FE154" s="25">
        <v>8.5518764512428111E-2</v>
      </c>
      <c r="FF154" s="25">
        <v>9.3960635898245312E-2</v>
      </c>
      <c r="FG154" s="25">
        <v>7.6935613906988026E-2</v>
      </c>
      <c r="FH154" s="25">
        <v>4.4893940837694241E-2</v>
      </c>
      <c r="FI154" s="25">
        <v>6.632477998090984E-2</v>
      </c>
      <c r="FJ154" s="25">
        <v>9.3288763217102874E-2</v>
      </c>
      <c r="FK154" s="25">
        <v>0.10433195615295086</v>
      </c>
      <c r="FL154" s="25">
        <v>0.14943303749247056</v>
      </c>
      <c r="FM154" s="25">
        <v>9.0790852640398323E-2</v>
      </c>
      <c r="FN154" s="25">
        <v>4.7475631425133447E-2</v>
      </c>
      <c r="FO154" s="25">
        <v>7.7293669922446517E-2</v>
      </c>
      <c r="FP154" s="25">
        <v>6.9752354013231821E-2</v>
      </c>
      <c r="FQ154" s="25">
        <v>8.5518764512428111E-2</v>
      </c>
      <c r="FR154" s="25">
        <v>9.3960635898245312E-2</v>
      </c>
      <c r="FS154" s="25">
        <v>7.6935613906988026E-2</v>
      </c>
      <c r="FT154" s="25">
        <v>4.4893940837694241E-2</v>
      </c>
      <c r="FU154" s="25">
        <v>6.632477998090984E-2</v>
      </c>
      <c r="FV154" s="25">
        <v>9.3288763217102874E-2</v>
      </c>
      <c r="FW154" s="25">
        <v>0.10433195615295086</v>
      </c>
      <c r="FX154" s="25">
        <v>0.14943303749247056</v>
      </c>
      <c r="FY154" s="25">
        <v>9.0790852640398323E-2</v>
      </c>
      <c r="FZ154" s="25">
        <v>4.7475631425133447E-2</v>
      </c>
      <c r="GA154" s="25">
        <v>7.7293669922446517E-2</v>
      </c>
      <c r="GB154" s="25">
        <v>6.9752354013231821E-2</v>
      </c>
      <c r="GC154" s="25">
        <v>8.5518764512428111E-2</v>
      </c>
      <c r="GD154" s="25">
        <v>9.3960635898245312E-2</v>
      </c>
      <c r="GE154" s="25">
        <v>7.6935613906988026E-2</v>
      </c>
      <c r="GF154" s="25">
        <v>4.4893940837694241E-2</v>
      </c>
      <c r="GG154" s="25">
        <v>6.632477998090984E-2</v>
      </c>
      <c r="GH154" s="25">
        <v>9.3288763217102874E-2</v>
      </c>
      <c r="GI154" s="25">
        <v>0.10433195615295086</v>
      </c>
      <c r="GJ154" s="25">
        <v>0.14943303749247056</v>
      </c>
      <c r="GK154" s="25">
        <v>9.0790852640398323E-2</v>
      </c>
      <c r="GL154" s="25">
        <v>4.7475631425133447E-2</v>
      </c>
      <c r="GM154" s="25">
        <v>7.7293669922446517E-2</v>
      </c>
      <c r="GN154" s="25">
        <v>6.9752354013231821E-2</v>
      </c>
      <c r="GO154" s="25">
        <v>8.5518764512428111E-2</v>
      </c>
      <c r="GP154" s="25">
        <v>9.3960635898245312E-2</v>
      </c>
      <c r="GQ154" s="25">
        <v>7.6935613906988026E-2</v>
      </c>
      <c r="GR154" s="25">
        <v>4.4893940837694241E-2</v>
      </c>
      <c r="GS154" s="25">
        <v>6.632477998090984E-2</v>
      </c>
      <c r="GT154" s="25">
        <v>9.3288763217102874E-2</v>
      </c>
      <c r="GU154" s="25">
        <v>0.10433195615295086</v>
      </c>
      <c r="GV154" s="25">
        <v>0.14943303749247056</v>
      </c>
      <c r="GW154" s="25">
        <v>9.0790852640398323E-2</v>
      </c>
      <c r="GX154" s="25">
        <v>4.7475631425133447E-2</v>
      </c>
      <c r="GY154" s="25">
        <v>7.7293669922446517E-2</v>
      </c>
      <c r="GZ154" s="25">
        <v>6.9752354013231821E-2</v>
      </c>
      <c r="HA154" s="25">
        <v>8.5518764512428111E-2</v>
      </c>
      <c r="HB154" s="25">
        <v>9.3960635898245312E-2</v>
      </c>
      <c r="HC154" s="25">
        <v>7.6935613906988026E-2</v>
      </c>
      <c r="HD154" s="25">
        <v>4.4893940837694241E-2</v>
      </c>
      <c r="HE154" s="25">
        <v>6.632477998090984E-2</v>
      </c>
      <c r="HF154" s="25">
        <v>9.3288763217102874E-2</v>
      </c>
      <c r="HG154" s="25">
        <v>0.10433195615295086</v>
      </c>
      <c r="HH154" s="25">
        <v>0.14943303749247056</v>
      </c>
      <c r="HI154" s="25">
        <v>9.0790852640398323E-2</v>
      </c>
      <c r="HJ154" s="25">
        <v>4.7475631425133447E-2</v>
      </c>
      <c r="HK154" s="25">
        <v>7.7293669922446517E-2</v>
      </c>
      <c r="HL154" s="25">
        <v>6.9752354013231821E-2</v>
      </c>
      <c r="HM154" s="25">
        <v>8.5518764512428111E-2</v>
      </c>
      <c r="HN154" s="25">
        <v>9.3960635898245312E-2</v>
      </c>
      <c r="HO154" s="25">
        <v>7.6935613906988026E-2</v>
      </c>
      <c r="HP154" s="25">
        <v>4.4893940837694241E-2</v>
      </c>
      <c r="HQ154" s="25">
        <v>6.632477998090984E-2</v>
      </c>
      <c r="HR154" s="25">
        <v>9.3288763217102874E-2</v>
      </c>
      <c r="HS154" s="25">
        <v>0.10433195615295086</v>
      </c>
      <c r="HT154" s="25">
        <v>0.14943303749247056</v>
      </c>
      <c r="HU154" s="25">
        <v>9.0790852640398323E-2</v>
      </c>
      <c r="HV154" s="25">
        <v>4.7475631425133447E-2</v>
      </c>
      <c r="HW154" s="25">
        <v>7.7293669922446517E-2</v>
      </c>
      <c r="HX154" s="25">
        <v>6.9752354013231821E-2</v>
      </c>
      <c r="HY154" s="25">
        <v>8.5518764512428111E-2</v>
      </c>
      <c r="HZ154" s="25">
        <v>9.3960635898245312E-2</v>
      </c>
      <c r="IA154" s="25">
        <v>7.6935613906988026E-2</v>
      </c>
      <c r="IB154" s="25">
        <v>4.4893940837694241E-2</v>
      </c>
      <c r="IC154" s="25">
        <v>6.632477998090984E-2</v>
      </c>
      <c r="ID154" s="25">
        <v>9.3288763217102874E-2</v>
      </c>
      <c r="IE154" s="25">
        <v>0.10433195615295086</v>
      </c>
      <c r="IF154" s="25">
        <v>0.14943303749247056</v>
      </c>
      <c r="IG154" s="25">
        <v>9.0790852640398323E-2</v>
      </c>
      <c r="IH154" s="25">
        <v>4.7475631425133447E-2</v>
      </c>
      <c r="II154" s="25">
        <v>7.7293669922446517E-2</v>
      </c>
      <c r="IJ154" s="25">
        <v>6.9752354013231821E-2</v>
      </c>
      <c r="IK154" s="25">
        <v>8.5518764512428111E-2</v>
      </c>
      <c r="IL154" s="25">
        <v>9.3960635898245312E-2</v>
      </c>
      <c r="IM154" s="25">
        <v>7.6935613906988026E-2</v>
      </c>
      <c r="IN154" s="25">
        <v>4.4893940837694241E-2</v>
      </c>
      <c r="IO154" s="25">
        <v>6.632477998090984E-2</v>
      </c>
      <c r="IP154" s="25">
        <v>9.3288763217102874E-2</v>
      </c>
      <c r="IQ154" s="25">
        <v>0.10433195615295086</v>
      </c>
      <c r="IR154" s="25">
        <v>0.14943303749247056</v>
      </c>
      <c r="IS154" s="25">
        <v>9.0790852640398323E-2</v>
      </c>
      <c r="IT154" s="25">
        <v>4.7475631425133447E-2</v>
      </c>
      <c r="IU154" s="25">
        <v>7.7293669922446517E-2</v>
      </c>
      <c r="IV154" s="25">
        <v>6.9752354013231821E-2</v>
      </c>
      <c r="IW154" s="25">
        <v>8.5518764512428111E-2</v>
      </c>
      <c r="IX154" s="25">
        <v>9.3960635898245312E-2</v>
      </c>
      <c r="IY154" s="25">
        <v>7.6935613906988026E-2</v>
      </c>
      <c r="IZ154" s="25">
        <v>4.4893940837694241E-2</v>
      </c>
      <c r="JA154" s="25">
        <v>6.632477998090984E-2</v>
      </c>
      <c r="JB154" s="25">
        <v>9.3288763217102874E-2</v>
      </c>
      <c r="JC154" s="25">
        <v>0.10433195615295086</v>
      </c>
      <c r="JD154" s="25">
        <v>0.14943303749247056</v>
      </c>
      <c r="JE154" s="25">
        <v>9.0790852640398323E-2</v>
      </c>
      <c r="JF154" s="25">
        <v>4.7475631425133447E-2</v>
      </c>
      <c r="JG154" s="25">
        <v>7.7293669922446517E-2</v>
      </c>
      <c r="JH154" s="25">
        <v>6.9752354013231821E-2</v>
      </c>
      <c r="JI154" s="25">
        <v>8.5518764512428111E-2</v>
      </c>
      <c r="JJ154" s="25">
        <v>9.3960635898245312E-2</v>
      </c>
      <c r="JK154" s="25">
        <v>7.6935613906988026E-2</v>
      </c>
      <c r="JL154" s="25">
        <v>4.4893940837694241E-2</v>
      </c>
      <c r="JM154" s="25">
        <v>6.632477998090984E-2</v>
      </c>
      <c r="JN154" s="25">
        <v>9.3288763217102874E-2</v>
      </c>
      <c r="JO154" s="25">
        <v>0.10433195615295086</v>
      </c>
      <c r="JP154" s="25">
        <v>0.14943303749247056</v>
      </c>
      <c r="JQ154" s="25">
        <v>9.0790852640398323E-2</v>
      </c>
      <c r="JR154" s="25">
        <v>4.7475631425133447E-2</v>
      </c>
      <c r="JS154" s="25">
        <v>7.7293669922446517E-2</v>
      </c>
      <c r="JT154" s="25">
        <v>6.9752354013231821E-2</v>
      </c>
      <c r="JU154" s="25">
        <v>8.5518764512428111E-2</v>
      </c>
      <c r="JV154" s="25">
        <v>9.3960635898245312E-2</v>
      </c>
      <c r="JW154" s="25">
        <v>7.6935613906988026E-2</v>
      </c>
      <c r="JX154" s="25">
        <v>4.4893940837694241E-2</v>
      </c>
      <c r="JY154" s="25">
        <v>6.632477998090984E-2</v>
      </c>
      <c r="JZ154" s="25">
        <v>9.3288763217102874E-2</v>
      </c>
      <c r="KA154" s="25">
        <v>0.10433195615295086</v>
      </c>
      <c r="KB154" s="25">
        <v>0.14943303749247056</v>
      </c>
      <c r="KC154" s="25">
        <v>9.0790852640398323E-2</v>
      </c>
      <c r="KD154" s="25">
        <v>4.7475631425133447E-2</v>
      </c>
      <c r="KE154" s="25">
        <v>7.7293669922446517E-2</v>
      </c>
      <c r="KF154" s="25">
        <v>6.9752354013231821E-2</v>
      </c>
      <c r="KG154" s="25">
        <v>8.5518764512428111E-2</v>
      </c>
      <c r="KH154" s="25">
        <v>9.3960635898245312E-2</v>
      </c>
      <c r="KI154" s="25">
        <v>7.6935613906988026E-2</v>
      </c>
      <c r="KJ154" s="25">
        <v>4.4893940837694241E-2</v>
      </c>
      <c r="KK154" s="25">
        <v>6.632477998090984E-2</v>
      </c>
      <c r="KL154" s="25">
        <v>9.3288763217102874E-2</v>
      </c>
      <c r="KM154" s="25">
        <v>0.10433195615295086</v>
      </c>
      <c r="KN154" s="25">
        <v>0.14943303749247056</v>
      </c>
      <c r="KO154" s="25">
        <v>9.0790852640398323E-2</v>
      </c>
      <c r="KP154" s="25">
        <v>4.7475631425133447E-2</v>
      </c>
      <c r="KQ154" s="25">
        <v>7.7293669922446517E-2</v>
      </c>
      <c r="KR154" s="25">
        <v>6.9752354013231821E-2</v>
      </c>
      <c r="KS154" s="25">
        <v>8.5518764512428111E-2</v>
      </c>
      <c r="KT154" s="25">
        <v>9.3960635898245312E-2</v>
      </c>
      <c r="KU154" s="25">
        <v>7.6935613906988026E-2</v>
      </c>
      <c r="KV154" s="25">
        <v>4.4893940837694241E-2</v>
      </c>
      <c r="KW154" s="25">
        <v>6.632477998090984E-2</v>
      </c>
      <c r="KX154" s="25">
        <v>9.3288763217102874E-2</v>
      </c>
      <c r="KY154" s="25">
        <v>0.10433195615295086</v>
      </c>
      <c r="KZ154" s="25">
        <v>0.14943303749247056</v>
      </c>
      <c r="LA154" s="25">
        <v>9.0790852640398323E-2</v>
      </c>
      <c r="LB154" s="25">
        <v>4.7475631425133447E-2</v>
      </c>
      <c r="LC154" s="25">
        <v>7.7293669922446517E-2</v>
      </c>
      <c r="LD154" s="25">
        <v>6.9752354013231821E-2</v>
      </c>
      <c r="LE154" s="25">
        <v>8.5518764512428111E-2</v>
      </c>
      <c r="LF154" s="25">
        <v>9.3960635898245312E-2</v>
      </c>
      <c r="LG154" s="25">
        <v>7.6935613906988026E-2</v>
      </c>
      <c r="LH154" s="25">
        <v>4.4893940837694241E-2</v>
      </c>
      <c r="LI154" s="25">
        <v>6.632477998090984E-2</v>
      </c>
      <c r="LJ154" s="25">
        <v>9.3288763217102874E-2</v>
      </c>
      <c r="LK154" s="25">
        <v>0.10433195615295086</v>
      </c>
      <c r="LL154" s="25">
        <v>0.14943303749247056</v>
      </c>
      <c r="LM154" s="25">
        <v>9.0790852640398323E-2</v>
      </c>
      <c r="LN154" s="25">
        <v>4.7475631425133447E-2</v>
      </c>
      <c r="LO154" s="25">
        <v>7.7293669922446517E-2</v>
      </c>
      <c r="LP154" s="25">
        <v>6.9752354013231821E-2</v>
      </c>
      <c r="LQ154" s="25">
        <v>8.5518764512428111E-2</v>
      </c>
      <c r="LR154" s="25">
        <v>9.3960635898245312E-2</v>
      </c>
      <c r="LS154" s="25">
        <v>7.6935613906988026E-2</v>
      </c>
      <c r="LT154" s="25">
        <v>4.4893940837694241E-2</v>
      </c>
      <c r="LU154" s="25">
        <v>6.632477998090984E-2</v>
      </c>
      <c r="LV154" s="25">
        <v>9.3288763217102874E-2</v>
      </c>
      <c r="LW154" s="25">
        <v>0.10433195615295086</v>
      </c>
      <c r="LX154" s="25">
        <v>0.14943303749247056</v>
      </c>
      <c r="LY154" s="25">
        <v>9.0790852640398323E-2</v>
      </c>
      <c r="LZ154" s="25">
        <v>4.7475631425133447E-2</v>
      </c>
      <c r="MA154" s="25">
        <v>7.7293669922446517E-2</v>
      </c>
      <c r="MB154" s="25">
        <v>6.9752354013231821E-2</v>
      </c>
      <c r="MC154" s="25">
        <v>8.5518764512428111E-2</v>
      </c>
      <c r="MD154" s="25">
        <v>9.3960635898245312E-2</v>
      </c>
      <c r="ME154" s="25">
        <v>7.6935613906988026E-2</v>
      </c>
      <c r="MF154" s="25">
        <v>4.4893940837694241E-2</v>
      </c>
      <c r="MG154" s="25">
        <v>6.632477998090984E-2</v>
      </c>
      <c r="MH154" s="25">
        <v>9.3288763217102874E-2</v>
      </c>
      <c r="MI154" s="25">
        <v>0.10433195615295086</v>
      </c>
      <c r="MJ154" s="25">
        <v>0.14943303749247056</v>
      </c>
      <c r="MK154" s="25">
        <v>9.0790852640398323E-2</v>
      </c>
      <c r="ML154" s="25">
        <v>4.7475631425133447E-2</v>
      </c>
      <c r="MM154" s="25">
        <v>7.7293669922446517E-2</v>
      </c>
      <c r="MN154" s="25">
        <v>6.9752354013231821E-2</v>
      </c>
      <c r="MO154" s="25">
        <v>8.5518764512428111E-2</v>
      </c>
      <c r="MP154" s="25">
        <v>9.3960635898245312E-2</v>
      </c>
      <c r="MQ154" s="25">
        <v>7.6935613906988026E-2</v>
      </c>
      <c r="MR154" s="25">
        <v>4.4893940837694241E-2</v>
      </c>
      <c r="MS154" s="25">
        <v>6.632477998090984E-2</v>
      </c>
      <c r="MT154" s="25">
        <v>9.3288763217102874E-2</v>
      </c>
      <c r="MU154" s="25">
        <v>0.10433195615295086</v>
      </c>
      <c r="MV154" s="25">
        <v>0.14943303749247056</v>
      </c>
      <c r="MW154" s="25">
        <v>9.0790852640398323E-2</v>
      </c>
      <c r="MX154" s="25">
        <v>4.7475631425133447E-2</v>
      </c>
      <c r="MY154" s="25">
        <v>7.7293669922446517E-2</v>
      </c>
      <c r="MZ154" s="25">
        <v>6.9752354013231821E-2</v>
      </c>
      <c r="NA154" s="25">
        <v>8.5518764512428111E-2</v>
      </c>
      <c r="NB154" s="25">
        <v>9.3960635898245312E-2</v>
      </c>
      <c r="NC154" s="25">
        <v>7.6935613906988026E-2</v>
      </c>
      <c r="ND154" s="25">
        <v>4.4893940837694241E-2</v>
      </c>
      <c r="NE154" s="25">
        <v>6.632477998090984E-2</v>
      </c>
      <c r="NF154" s="25">
        <v>9.3288763217102874E-2</v>
      </c>
      <c r="NG154" s="25">
        <v>0.10433195615295086</v>
      </c>
      <c r="NH154" s="25">
        <v>0.14943303749247056</v>
      </c>
      <c r="NI154" s="25">
        <v>9.0790852640398323E-2</v>
      </c>
      <c r="NJ154" s="25">
        <v>4.7475631425133447E-2</v>
      </c>
      <c r="NK154" s="25">
        <v>7.7293669922446517E-2</v>
      </c>
      <c r="NL154" s="25">
        <v>6.9752354013231821E-2</v>
      </c>
      <c r="NM154" s="25">
        <v>8.5518764512428111E-2</v>
      </c>
      <c r="NN154" s="25">
        <v>9.3960635898245312E-2</v>
      </c>
      <c r="NO154" s="25">
        <v>7.6935613906988026E-2</v>
      </c>
      <c r="NP154" s="25">
        <v>4.4893940837694241E-2</v>
      </c>
      <c r="NQ154" s="25">
        <v>6.632477998090984E-2</v>
      </c>
      <c r="NR154" s="25">
        <v>9.3288763217102874E-2</v>
      </c>
      <c r="NS154" s="25">
        <v>0.10433195615295086</v>
      </c>
      <c r="NT154" s="25">
        <v>0.14943303749247056</v>
      </c>
      <c r="NU154" s="25">
        <v>9.0790852640398323E-2</v>
      </c>
      <c r="NV154" s="25">
        <v>4.7475631425133447E-2</v>
      </c>
      <c r="NW154" s="25">
        <v>7.7293669922446517E-2</v>
      </c>
      <c r="NX154" s="25">
        <v>6.9752354013231821E-2</v>
      </c>
      <c r="NY154" s="25">
        <v>8.5518764512428111E-2</v>
      </c>
      <c r="NZ154" s="25">
        <v>9.3960635898245312E-2</v>
      </c>
      <c r="OA154" s="25">
        <v>7.6935613906988026E-2</v>
      </c>
      <c r="OB154" s="25">
        <v>4.4893940837694241E-2</v>
      </c>
      <c r="OC154" s="25">
        <v>6.632477998090984E-2</v>
      </c>
      <c r="OD154" s="25">
        <v>9.3288763217102874E-2</v>
      </c>
      <c r="OE154" s="25">
        <v>0.10433195615295086</v>
      </c>
    </row>
    <row r="155" spans="1:395" x14ac:dyDescent="0.3">
      <c r="E155" s="6"/>
      <c r="K155" s="274"/>
      <c r="L155" s="275"/>
      <c r="M155" s="276"/>
      <c r="N155" s="75" t="s">
        <v>76</v>
      </c>
      <c r="O155" s="5"/>
      <c r="P155" s="81" t="s">
        <v>14</v>
      </c>
      <c r="Q155" s="82" cm="1">
        <f t="array" ref="Q155:OE155">_xlfn.ANCHORARRAY(Q151)*8760*_xlfn.ANCHORARRAY(Q152)*_xlfn.ANCHORARRAY(Q154)</f>
        <v>0</v>
      </c>
      <c r="R155" s="82">
        <v>0</v>
      </c>
      <c r="S155" s="82">
        <v>0</v>
      </c>
      <c r="T155" s="82">
        <v>0</v>
      </c>
      <c r="U155" s="82">
        <v>0</v>
      </c>
      <c r="V155" s="82">
        <v>0</v>
      </c>
      <c r="W155" s="82">
        <v>0</v>
      </c>
      <c r="X155" s="82">
        <v>0</v>
      </c>
      <c r="Y155" s="82">
        <v>0</v>
      </c>
      <c r="Z155" s="82">
        <v>0</v>
      </c>
      <c r="AA155" s="82">
        <v>0</v>
      </c>
      <c r="AB155" s="82">
        <v>0</v>
      </c>
      <c r="AC155" s="82">
        <v>0</v>
      </c>
      <c r="AD155" s="82">
        <v>0</v>
      </c>
      <c r="AE155" s="82">
        <v>0</v>
      </c>
      <c r="AF155" s="82">
        <v>0</v>
      </c>
      <c r="AG155" s="82">
        <v>0</v>
      </c>
      <c r="AH155" s="82">
        <v>0</v>
      </c>
      <c r="AI155" s="82">
        <v>0</v>
      </c>
      <c r="AJ155" s="82">
        <v>0</v>
      </c>
      <c r="AK155" s="82">
        <v>0</v>
      </c>
      <c r="AL155" s="82">
        <v>0</v>
      </c>
      <c r="AM155" s="82">
        <v>0</v>
      </c>
      <c r="AN155" s="82">
        <v>0</v>
      </c>
      <c r="AO155" s="82">
        <v>0</v>
      </c>
      <c r="AP155" s="82">
        <v>0</v>
      </c>
      <c r="AQ155" s="82">
        <v>0</v>
      </c>
      <c r="AR155" s="82">
        <v>0</v>
      </c>
      <c r="AS155" s="82">
        <v>0</v>
      </c>
      <c r="AT155" s="82">
        <v>0</v>
      </c>
      <c r="AU155" s="82">
        <v>0</v>
      </c>
      <c r="AV155" s="82">
        <v>8831.3501917152353</v>
      </c>
      <c r="AW155" s="82">
        <v>12519.856811862865</v>
      </c>
      <c r="AX155" s="82">
        <v>11223.058400570353</v>
      </c>
      <c r="AY155" s="82">
        <v>22839.911379114092</v>
      </c>
      <c r="AZ155" s="82">
        <v>20611.488440713201</v>
      </c>
      <c r="BA155" s="82">
        <v>25270.387661434521</v>
      </c>
      <c r="BB155" s="82">
        <v>27764.920454603791</v>
      </c>
      <c r="BC155" s="82">
        <v>22734.107531657552</v>
      </c>
      <c r="BD155" s="82">
        <v>13265.94572648637</v>
      </c>
      <c r="BE155" s="82">
        <v>19598.656636735781</v>
      </c>
      <c r="BF155" s="82">
        <v>27566.385276875288</v>
      </c>
      <c r="BG155" s="82">
        <v>30829.59620023163</v>
      </c>
      <c r="BH155" s="82">
        <v>44156.75095857618</v>
      </c>
      <c r="BI155" s="82">
        <v>26828.264596849</v>
      </c>
      <c r="BJ155" s="82">
        <v>14028.823000712944</v>
      </c>
      <c r="BK155" s="82">
        <v>22839.911379114092</v>
      </c>
      <c r="BL155" s="82">
        <v>20611.488440713201</v>
      </c>
      <c r="BM155" s="82">
        <v>25270.387661434521</v>
      </c>
      <c r="BN155" s="82">
        <v>27764.920454603791</v>
      </c>
      <c r="BO155" s="82">
        <v>22734.107531657552</v>
      </c>
      <c r="BP155" s="82">
        <v>13265.94572648637</v>
      </c>
      <c r="BQ155" s="82">
        <v>19598.656636735781</v>
      </c>
      <c r="BR155" s="82">
        <v>27566.385276875288</v>
      </c>
      <c r="BS155" s="82">
        <v>30829.59620023163</v>
      </c>
      <c r="BT155" s="82">
        <v>44156.75095857618</v>
      </c>
      <c r="BU155" s="82">
        <v>26828.264596849</v>
      </c>
      <c r="BV155" s="82">
        <v>14028.823000712944</v>
      </c>
      <c r="BW155" s="82">
        <v>22839.911379114092</v>
      </c>
      <c r="BX155" s="82">
        <v>20611.488440713201</v>
      </c>
      <c r="BY155" s="82">
        <v>25270.387661434521</v>
      </c>
      <c r="BZ155" s="82">
        <v>27764.920454603791</v>
      </c>
      <c r="CA155" s="82">
        <v>22734.107531657552</v>
      </c>
      <c r="CB155" s="82">
        <v>13265.94572648637</v>
      </c>
      <c r="CC155" s="82">
        <v>19598.656636735781</v>
      </c>
      <c r="CD155" s="82">
        <v>27566.385276875288</v>
      </c>
      <c r="CE155" s="82">
        <v>30829.59620023163</v>
      </c>
      <c r="CF155" s="82">
        <v>44156.75095857618</v>
      </c>
      <c r="CG155" s="82">
        <v>26828.264596849</v>
      </c>
      <c r="CH155" s="82">
        <v>14028.823000712944</v>
      </c>
      <c r="CI155" s="82">
        <v>22839.911379114092</v>
      </c>
      <c r="CJ155" s="82">
        <v>20611.488440713201</v>
      </c>
      <c r="CK155" s="82">
        <v>25270.387661434521</v>
      </c>
      <c r="CL155" s="82">
        <v>27764.920454603791</v>
      </c>
      <c r="CM155" s="82">
        <v>22734.107531657552</v>
      </c>
      <c r="CN155" s="82">
        <v>13265.94572648637</v>
      </c>
      <c r="CO155" s="82">
        <v>19598.656636735781</v>
      </c>
      <c r="CP155" s="82">
        <v>27566.385276875288</v>
      </c>
      <c r="CQ155" s="82">
        <v>30829.59620023163</v>
      </c>
      <c r="CR155" s="82">
        <v>44156.75095857618</v>
      </c>
      <c r="CS155" s="82">
        <v>26828.264596849</v>
      </c>
      <c r="CT155" s="82">
        <v>14028.823000712944</v>
      </c>
      <c r="CU155" s="82">
        <v>22839.911379114092</v>
      </c>
      <c r="CV155" s="82">
        <v>20611.488440713201</v>
      </c>
      <c r="CW155" s="82">
        <v>25270.387661434521</v>
      </c>
      <c r="CX155" s="82">
        <v>27764.920454603791</v>
      </c>
      <c r="CY155" s="82">
        <v>22734.107531657552</v>
      </c>
      <c r="CZ155" s="82">
        <v>13265.94572648637</v>
      </c>
      <c r="DA155" s="82">
        <v>19598.656636735781</v>
      </c>
      <c r="DB155" s="82">
        <v>27566.385276875288</v>
      </c>
      <c r="DC155" s="82">
        <v>30829.59620023163</v>
      </c>
      <c r="DD155" s="82">
        <v>44156.75095857618</v>
      </c>
      <c r="DE155" s="82">
        <v>26828.264596849</v>
      </c>
      <c r="DF155" s="82">
        <v>14028.823000712944</v>
      </c>
      <c r="DG155" s="82">
        <v>22839.911379114092</v>
      </c>
      <c r="DH155" s="82">
        <v>20611.488440713201</v>
      </c>
      <c r="DI155" s="82">
        <v>25270.387661434521</v>
      </c>
      <c r="DJ155" s="82">
        <v>27764.920454603791</v>
      </c>
      <c r="DK155" s="82">
        <v>22734.107531657552</v>
      </c>
      <c r="DL155" s="82">
        <v>13265.94572648637</v>
      </c>
      <c r="DM155" s="82">
        <v>19598.656636735781</v>
      </c>
      <c r="DN155" s="82">
        <v>27566.385276875288</v>
      </c>
      <c r="DO155" s="82">
        <v>30829.59620023163</v>
      </c>
      <c r="DP155" s="82">
        <v>44156.75095857618</v>
      </c>
      <c r="DQ155" s="82">
        <v>26828.264596849</v>
      </c>
      <c r="DR155" s="82">
        <v>14028.823000712944</v>
      </c>
      <c r="DS155" s="82">
        <v>22839.911379114092</v>
      </c>
      <c r="DT155" s="82">
        <v>20611.488440713201</v>
      </c>
      <c r="DU155" s="82">
        <v>25270.387661434521</v>
      </c>
      <c r="DV155" s="82">
        <v>27764.920454603791</v>
      </c>
      <c r="DW155" s="82">
        <v>22734.107531657552</v>
      </c>
      <c r="DX155" s="82">
        <v>13265.94572648637</v>
      </c>
      <c r="DY155" s="82">
        <v>19598.656636735781</v>
      </c>
      <c r="DZ155" s="82">
        <v>27566.385276875288</v>
      </c>
      <c r="EA155" s="82">
        <v>30829.59620023163</v>
      </c>
      <c r="EB155" s="82">
        <v>44156.75095857618</v>
      </c>
      <c r="EC155" s="82">
        <v>26828.264596849</v>
      </c>
      <c r="ED155" s="82">
        <v>14028.823000712944</v>
      </c>
      <c r="EE155" s="82">
        <v>22839.911379114092</v>
      </c>
      <c r="EF155" s="82">
        <v>20611.488440713201</v>
      </c>
      <c r="EG155" s="82">
        <v>25270.387661434521</v>
      </c>
      <c r="EH155" s="82">
        <v>27764.920454603791</v>
      </c>
      <c r="EI155" s="82">
        <v>22734.107531657552</v>
      </c>
      <c r="EJ155" s="82">
        <v>13265.94572648637</v>
      </c>
      <c r="EK155" s="82">
        <v>19598.656636735781</v>
      </c>
      <c r="EL155" s="82">
        <v>27566.385276875288</v>
      </c>
      <c r="EM155" s="82">
        <v>30829.59620023163</v>
      </c>
      <c r="EN155" s="82">
        <v>44156.75095857618</v>
      </c>
      <c r="EO155" s="82">
        <v>26828.264596849</v>
      </c>
      <c r="EP155" s="82">
        <v>14028.823000712944</v>
      </c>
      <c r="EQ155" s="82">
        <v>22839.911379114092</v>
      </c>
      <c r="ER155" s="82">
        <v>20611.488440713201</v>
      </c>
      <c r="ES155" s="82">
        <v>25270.387661434521</v>
      </c>
      <c r="ET155" s="82">
        <v>27764.920454603791</v>
      </c>
      <c r="EU155" s="82">
        <v>22734.107531657552</v>
      </c>
      <c r="EV155" s="82">
        <v>13265.94572648637</v>
      </c>
      <c r="EW155" s="82">
        <v>19598.656636735781</v>
      </c>
      <c r="EX155" s="82">
        <v>27566.385276875288</v>
      </c>
      <c r="EY155" s="82">
        <v>30829.59620023163</v>
      </c>
      <c r="EZ155" s="82">
        <v>44156.75095857618</v>
      </c>
      <c r="FA155" s="82">
        <v>26828.264596849</v>
      </c>
      <c r="FB155" s="82">
        <v>14028.823000712944</v>
      </c>
      <c r="FC155" s="82">
        <v>22839.911379114092</v>
      </c>
      <c r="FD155" s="82">
        <v>20611.488440713201</v>
      </c>
      <c r="FE155" s="82">
        <v>25270.387661434521</v>
      </c>
      <c r="FF155" s="82">
        <v>27764.920454603791</v>
      </c>
      <c r="FG155" s="82">
        <v>22734.107531657552</v>
      </c>
      <c r="FH155" s="82">
        <v>13265.94572648637</v>
      </c>
      <c r="FI155" s="82">
        <v>19598.656636735781</v>
      </c>
      <c r="FJ155" s="82">
        <v>27566.385276875288</v>
      </c>
      <c r="FK155" s="82">
        <v>30829.59620023163</v>
      </c>
      <c r="FL155" s="82">
        <v>44156.75095857618</v>
      </c>
      <c r="FM155" s="82">
        <v>26828.264596849</v>
      </c>
      <c r="FN155" s="82">
        <v>14028.823000712944</v>
      </c>
      <c r="FO155" s="82">
        <v>22839.911379114092</v>
      </c>
      <c r="FP155" s="82">
        <v>20611.488440713201</v>
      </c>
      <c r="FQ155" s="82">
        <v>25270.387661434521</v>
      </c>
      <c r="FR155" s="82">
        <v>27764.920454603791</v>
      </c>
      <c r="FS155" s="82">
        <v>22734.107531657552</v>
      </c>
      <c r="FT155" s="82">
        <v>13265.94572648637</v>
      </c>
      <c r="FU155" s="82">
        <v>19598.656636735781</v>
      </c>
      <c r="FV155" s="82">
        <v>27566.385276875288</v>
      </c>
      <c r="FW155" s="82">
        <v>30829.59620023163</v>
      </c>
      <c r="FX155" s="82">
        <v>44156.75095857618</v>
      </c>
      <c r="FY155" s="82">
        <v>26828.264596849</v>
      </c>
      <c r="FZ155" s="82">
        <v>14028.823000712944</v>
      </c>
      <c r="GA155" s="82">
        <v>22839.911379114092</v>
      </c>
      <c r="GB155" s="82">
        <v>20611.488440713201</v>
      </c>
      <c r="GC155" s="82">
        <v>25270.387661434521</v>
      </c>
      <c r="GD155" s="82">
        <v>27764.920454603791</v>
      </c>
      <c r="GE155" s="82">
        <v>22734.107531657552</v>
      </c>
      <c r="GF155" s="82">
        <v>13265.94572648637</v>
      </c>
      <c r="GG155" s="82">
        <v>19598.656636735781</v>
      </c>
      <c r="GH155" s="82">
        <v>27566.385276875288</v>
      </c>
      <c r="GI155" s="82">
        <v>30829.59620023163</v>
      </c>
      <c r="GJ155" s="82">
        <v>44156.75095857618</v>
      </c>
      <c r="GK155" s="82">
        <v>26828.264596849</v>
      </c>
      <c r="GL155" s="82">
        <v>14028.823000712944</v>
      </c>
      <c r="GM155" s="82">
        <v>22839.911379114092</v>
      </c>
      <c r="GN155" s="82">
        <v>20611.488440713201</v>
      </c>
      <c r="GO155" s="82">
        <v>25270.387661434521</v>
      </c>
      <c r="GP155" s="82">
        <v>27764.920454603791</v>
      </c>
      <c r="GQ155" s="82">
        <v>22734.107531657552</v>
      </c>
      <c r="GR155" s="82">
        <v>13265.94572648637</v>
      </c>
      <c r="GS155" s="82">
        <v>19598.656636735781</v>
      </c>
      <c r="GT155" s="82">
        <v>27566.385276875288</v>
      </c>
      <c r="GU155" s="82">
        <v>30829.59620023163</v>
      </c>
      <c r="GV155" s="82">
        <v>44156.75095857618</v>
      </c>
      <c r="GW155" s="82">
        <v>26828.264596849</v>
      </c>
      <c r="GX155" s="82">
        <v>14028.823000712944</v>
      </c>
      <c r="GY155" s="82">
        <v>22839.911379114092</v>
      </c>
      <c r="GZ155" s="82">
        <v>20611.488440713201</v>
      </c>
      <c r="HA155" s="82">
        <v>25270.387661434521</v>
      </c>
      <c r="HB155" s="82">
        <v>27764.920454603791</v>
      </c>
      <c r="HC155" s="82">
        <v>22734.107531657552</v>
      </c>
      <c r="HD155" s="82">
        <v>13265.94572648637</v>
      </c>
      <c r="HE155" s="82">
        <v>19598.656636735781</v>
      </c>
      <c r="HF155" s="82">
        <v>27566.385276875288</v>
      </c>
      <c r="HG155" s="82">
        <v>30829.59620023163</v>
      </c>
      <c r="HH155" s="82">
        <v>44156.75095857618</v>
      </c>
      <c r="HI155" s="82">
        <v>26828.264596849</v>
      </c>
      <c r="HJ155" s="82">
        <v>14028.823000712944</v>
      </c>
      <c r="HK155" s="82">
        <v>22839.911379114092</v>
      </c>
      <c r="HL155" s="82">
        <v>20611.488440713201</v>
      </c>
      <c r="HM155" s="82">
        <v>25270.387661434521</v>
      </c>
      <c r="HN155" s="82">
        <v>27764.920454603791</v>
      </c>
      <c r="HO155" s="82">
        <v>22734.107531657552</v>
      </c>
      <c r="HP155" s="82">
        <v>13265.94572648637</v>
      </c>
      <c r="HQ155" s="82">
        <v>19598.656636735781</v>
      </c>
      <c r="HR155" s="82">
        <v>27566.385276875288</v>
      </c>
      <c r="HS155" s="82">
        <v>30829.59620023163</v>
      </c>
      <c r="HT155" s="82">
        <v>44156.75095857618</v>
      </c>
      <c r="HU155" s="82">
        <v>26828.264596849</v>
      </c>
      <c r="HV155" s="82">
        <v>14028.823000712944</v>
      </c>
      <c r="HW155" s="82">
        <v>22839.911379114092</v>
      </c>
      <c r="HX155" s="82">
        <v>20611.488440713201</v>
      </c>
      <c r="HY155" s="82">
        <v>25270.387661434521</v>
      </c>
      <c r="HZ155" s="82">
        <v>27764.920454603791</v>
      </c>
      <c r="IA155" s="82">
        <v>22734.107531657552</v>
      </c>
      <c r="IB155" s="82">
        <v>13265.94572648637</v>
      </c>
      <c r="IC155" s="82">
        <v>19598.656636735781</v>
      </c>
      <c r="ID155" s="82">
        <v>27566.385276875288</v>
      </c>
      <c r="IE155" s="82">
        <v>30829.59620023163</v>
      </c>
      <c r="IF155" s="82">
        <v>44156.75095857618</v>
      </c>
      <c r="IG155" s="82">
        <v>26828.264596849</v>
      </c>
      <c r="IH155" s="82">
        <v>14028.823000712944</v>
      </c>
      <c r="II155" s="82">
        <v>22839.911379114092</v>
      </c>
      <c r="IJ155" s="82">
        <v>20611.488440713201</v>
      </c>
      <c r="IK155" s="82">
        <v>25270.387661434521</v>
      </c>
      <c r="IL155" s="82">
        <v>27764.920454603791</v>
      </c>
      <c r="IM155" s="82">
        <v>22734.107531657552</v>
      </c>
      <c r="IN155" s="82">
        <v>13265.94572648637</v>
      </c>
      <c r="IO155" s="82">
        <v>19598.656636735781</v>
      </c>
      <c r="IP155" s="82">
        <v>27566.385276875288</v>
      </c>
      <c r="IQ155" s="82">
        <v>30829.59620023163</v>
      </c>
      <c r="IR155" s="82">
        <v>44156.75095857618</v>
      </c>
      <c r="IS155" s="82">
        <v>26828.264596849</v>
      </c>
      <c r="IT155" s="82">
        <v>14028.823000712944</v>
      </c>
      <c r="IU155" s="82">
        <v>22839.911379114092</v>
      </c>
      <c r="IV155" s="82">
        <v>20611.488440713201</v>
      </c>
      <c r="IW155" s="82">
        <v>25270.387661434521</v>
      </c>
      <c r="IX155" s="82">
        <v>27764.920454603791</v>
      </c>
      <c r="IY155" s="82">
        <v>22734.107531657552</v>
      </c>
      <c r="IZ155" s="82">
        <v>13265.94572648637</v>
      </c>
      <c r="JA155" s="82">
        <v>19598.656636735781</v>
      </c>
      <c r="JB155" s="82">
        <v>27566.385276875288</v>
      </c>
      <c r="JC155" s="82">
        <v>30829.59620023163</v>
      </c>
      <c r="JD155" s="82">
        <v>44156.75095857618</v>
      </c>
      <c r="JE155" s="82">
        <v>26828.264596849</v>
      </c>
      <c r="JF155" s="82">
        <v>14028.823000712944</v>
      </c>
      <c r="JG155" s="82">
        <v>22839.911379114092</v>
      </c>
      <c r="JH155" s="82">
        <v>20611.488440713201</v>
      </c>
      <c r="JI155" s="82">
        <v>25270.387661434521</v>
      </c>
      <c r="JJ155" s="82">
        <v>27764.920454603791</v>
      </c>
      <c r="JK155" s="82">
        <v>22734.107531657552</v>
      </c>
      <c r="JL155" s="82">
        <v>13265.94572648637</v>
      </c>
      <c r="JM155" s="82">
        <v>19598.656636735781</v>
      </c>
      <c r="JN155" s="82">
        <v>27566.385276875288</v>
      </c>
      <c r="JO155" s="82">
        <v>30829.59620023163</v>
      </c>
      <c r="JP155" s="82">
        <v>44156.75095857618</v>
      </c>
      <c r="JQ155" s="82">
        <v>26828.264596849</v>
      </c>
      <c r="JR155" s="82">
        <v>14028.823000712944</v>
      </c>
      <c r="JS155" s="82">
        <v>22839.911379114092</v>
      </c>
      <c r="JT155" s="82">
        <v>20611.488440713201</v>
      </c>
      <c r="JU155" s="82">
        <v>25270.387661434521</v>
      </c>
      <c r="JV155" s="82">
        <v>27764.920454603791</v>
      </c>
      <c r="JW155" s="82">
        <v>22734.107531657552</v>
      </c>
      <c r="JX155" s="82">
        <v>13265.94572648637</v>
      </c>
      <c r="JY155" s="82">
        <v>19598.656636735781</v>
      </c>
      <c r="JZ155" s="82">
        <v>27566.385276875288</v>
      </c>
      <c r="KA155" s="82">
        <v>30829.59620023163</v>
      </c>
      <c r="KB155" s="82">
        <v>44156.75095857618</v>
      </c>
      <c r="KC155" s="82">
        <v>26828.264596849</v>
      </c>
      <c r="KD155" s="82">
        <v>14028.823000712944</v>
      </c>
      <c r="KE155" s="82">
        <v>22839.911379114092</v>
      </c>
      <c r="KF155" s="82">
        <v>20611.488440713201</v>
      </c>
      <c r="KG155" s="82">
        <v>25270.387661434521</v>
      </c>
      <c r="KH155" s="82">
        <v>27764.920454603791</v>
      </c>
      <c r="KI155" s="82">
        <v>22734.107531657552</v>
      </c>
      <c r="KJ155" s="82">
        <v>13265.94572648637</v>
      </c>
      <c r="KK155" s="82">
        <v>19598.656636735781</v>
      </c>
      <c r="KL155" s="82">
        <v>27566.385276875288</v>
      </c>
      <c r="KM155" s="82">
        <v>30829.59620023163</v>
      </c>
      <c r="KN155" s="82">
        <v>44156.75095857618</v>
      </c>
      <c r="KO155" s="82">
        <v>26828.264596849</v>
      </c>
      <c r="KP155" s="82">
        <v>14028.823000712944</v>
      </c>
      <c r="KQ155" s="82">
        <v>22839.911379114092</v>
      </c>
      <c r="KR155" s="82">
        <v>20611.488440713201</v>
      </c>
      <c r="KS155" s="82">
        <v>25270.387661434521</v>
      </c>
      <c r="KT155" s="82">
        <v>27764.920454603791</v>
      </c>
      <c r="KU155" s="82">
        <v>22734.107531657552</v>
      </c>
      <c r="KV155" s="82">
        <v>13265.94572648637</v>
      </c>
      <c r="KW155" s="82">
        <v>19598.656636735781</v>
      </c>
      <c r="KX155" s="82">
        <v>27566.385276875288</v>
      </c>
      <c r="KY155" s="82">
        <v>30829.59620023163</v>
      </c>
      <c r="KZ155" s="82">
        <v>44156.75095857618</v>
      </c>
      <c r="LA155" s="82">
        <v>26828.264596849</v>
      </c>
      <c r="LB155" s="82">
        <v>14028.823000712944</v>
      </c>
      <c r="LC155" s="82">
        <v>22839.911379114092</v>
      </c>
      <c r="LD155" s="82">
        <v>20611.488440713201</v>
      </c>
      <c r="LE155" s="82">
        <v>25270.387661434521</v>
      </c>
      <c r="LF155" s="82">
        <v>27764.920454603791</v>
      </c>
      <c r="LG155" s="82">
        <v>22734.107531657552</v>
      </c>
      <c r="LH155" s="82">
        <v>13265.94572648637</v>
      </c>
      <c r="LI155" s="82">
        <v>19598.656636735781</v>
      </c>
      <c r="LJ155" s="82">
        <v>27566.385276875288</v>
      </c>
      <c r="LK155" s="82">
        <v>30829.59620023163</v>
      </c>
      <c r="LL155" s="82">
        <v>44156.75095857618</v>
      </c>
      <c r="LM155" s="82">
        <v>26828.264596849</v>
      </c>
      <c r="LN155" s="82">
        <v>14028.823000712944</v>
      </c>
      <c r="LO155" s="82">
        <v>22839.911379114092</v>
      </c>
      <c r="LP155" s="82">
        <v>20611.488440713201</v>
      </c>
      <c r="LQ155" s="82">
        <v>25270.387661434521</v>
      </c>
      <c r="LR155" s="82">
        <v>27764.920454603791</v>
      </c>
      <c r="LS155" s="82">
        <v>22734.107531657552</v>
      </c>
      <c r="LT155" s="82">
        <v>13265.94572648637</v>
      </c>
      <c r="LU155" s="82">
        <v>19598.656636735781</v>
      </c>
      <c r="LV155" s="82">
        <v>27566.385276875288</v>
      </c>
      <c r="LW155" s="82">
        <v>30829.59620023163</v>
      </c>
      <c r="LX155" s="82">
        <v>44156.75095857618</v>
      </c>
      <c r="LY155" s="82">
        <v>26828.264596849</v>
      </c>
      <c r="LZ155" s="82">
        <v>14028.823000712944</v>
      </c>
      <c r="MA155" s="82">
        <v>22839.911379114092</v>
      </c>
      <c r="MB155" s="82">
        <v>20611.488440713201</v>
      </c>
      <c r="MC155" s="82">
        <v>25270.387661434521</v>
      </c>
      <c r="MD155" s="82">
        <v>27764.920454603791</v>
      </c>
      <c r="ME155" s="82">
        <v>22734.107531657552</v>
      </c>
      <c r="MF155" s="82">
        <v>13265.94572648637</v>
      </c>
      <c r="MG155" s="82">
        <v>19598.656636735781</v>
      </c>
      <c r="MH155" s="82">
        <v>27566.385276875288</v>
      </c>
      <c r="MI155" s="82">
        <v>30829.59620023163</v>
      </c>
      <c r="MJ155" s="82">
        <v>44156.75095857618</v>
      </c>
      <c r="MK155" s="82">
        <v>26828.264596849</v>
      </c>
      <c r="ML155" s="82">
        <v>14028.823000712944</v>
      </c>
      <c r="MM155" s="82">
        <v>22839.911379114092</v>
      </c>
      <c r="MN155" s="82">
        <v>20611.488440713201</v>
      </c>
      <c r="MO155" s="82">
        <v>25270.387661434521</v>
      </c>
      <c r="MP155" s="82">
        <v>27764.920454603791</v>
      </c>
      <c r="MQ155" s="82">
        <v>22734.107531657552</v>
      </c>
      <c r="MR155" s="82">
        <v>13265.94572648637</v>
      </c>
      <c r="MS155" s="82">
        <v>19598.656636735781</v>
      </c>
      <c r="MT155" s="82">
        <v>27566.385276875288</v>
      </c>
      <c r="MU155" s="82">
        <v>30829.59620023163</v>
      </c>
      <c r="MV155" s="82">
        <v>44156.75095857618</v>
      </c>
      <c r="MW155" s="82">
        <v>26828.264596849</v>
      </c>
      <c r="MX155" s="82">
        <v>14028.823000712944</v>
      </c>
      <c r="MY155" s="82">
        <v>22839.911379114092</v>
      </c>
      <c r="MZ155" s="82">
        <v>20611.488440713201</v>
      </c>
      <c r="NA155" s="82">
        <v>25270.387661434521</v>
      </c>
      <c r="NB155" s="82">
        <v>27764.920454603791</v>
      </c>
      <c r="NC155" s="82">
        <v>22734.107531657552</v>
      </c>
      <c r="ND155" s="82">
        <v>13265.94572648637</v>
      </c>
      <c r="NE155" s="82">
        <v>19598.656636735781</v>
      </c>
      <c r="NF155" s="82">
        <v>27566.385276875288</v>
      </c>
      <c r="NG155" s="82">
        <v>30829.59620023163</v>
      </c>
      <c r="NH155" s="82">
        <v>44156.75095857618</v>
      </c>
      <c r="NI155" s="82">
        <v>26828.264596849</v>
      </c>
      <c r="NJ155" s="82">
        <v>14028.823000712944</v>
      </c>
      <c r="NK155" s="82">
        <v>22839.911379114092</v>
      </c>
      <c r="NL155" s="82">
        <v>20611.488440713201</v>
      </c>
      <c r="NM155" s="82">
        <v>25270.387661434521</v>
      </c>
      <c r="NN155" s="82">
        <v>27764.920454603791</v>
      </c>
      <c r="NO155" s="82">
        <v>22734.107531657552</v>
      </c>
      <c r="NP155" s="82">
        <v>13265.94572648637</v>
      </c>
      <c r="NQ155" s="82">
        <v>19598.656636735781</v>
      </c>
      <c r="NR155" s="82">
        <v>27566.385276875288</v>
      </c>
      <c r="NS155" s="82">
        <v>30829.59620023163</v>
      </c>
      <c r="NT155" s="82">
        <v>44156.75095857618</v>
      </c>
      <c r="NU155" s="82">
        <v>26828.264596849</v>
      </c>
      <c r="NV155" s="82">
        <v>14028.823000712944</v>
      </c>
      <c r="NW155" s="82">
        <v>22839.911379114092</v>
      </c>
      <c r="NX155" s="82">
        <v>20611.488440713201</v>
      </c>
      <c r="NY155" s="82">
        <v>25270.387661434521</v>
      </c>
      <c r="NZ155" s="82">
        <v>27764.920454603791</v>
      </c>
      <c r="OA155" s="82">
        <v>22734.107531657552</v>
      </c>
      <c r="OB155" s="82">
        <v>13265.94572648637</v>
      </c>
      <c r="OC155" s="82">
        <v>19598.656636735781</v>
      </c>
      <c r="OD155" s="82">
        <v>27566.385276875288</v>
      </c>
      <c r="OE155" s="82">
        <v>30829.59620023163</v>
      </c>
    </row>
    <row r="156" spans="1:395" outlineLevel="1" x14ac:dyDescent="0.3">
      <c r="E156" s="6"/>
      <c r="K156" s="65"/>
      <c r="L156" s="55"/>
      <c r="M156" s="66"/>
      <c r="N156" s="25" t="s">
        <v>52</v>
      </c>
      <c r="O156" s="25"/>
      <c r="P156" s="27"/>
      <c r="Q156" s="25" cm="1">
        <f t="array" ref="Q156:OE156">_xlfn.ANCHORARRAY(Q1)*E92</f>
        <v>63.05</v>
      </c>
      <c r="R156" s="25">
        <v>63.05</v>
      </c>
      <c r="S156" s="25">
        <v>63.05</v>
      </c>
      <c r="T156" s="25">
        <v>63.05</v>
      </c>
      <c r="U156" s="25">
        <v>63.05</v>
      </c>
      <c r="V156" s="25">
        <v>63.05</v>
      </c>
      <c r="W156" s="25">
        <v>63.05</v>
      </c>
      <c r="X156" s="25">
        <v>63.05</v>
      </c>
      <c r="Y156" s="25">
        <v>63.05</v>
      </c>
      <c r="Z156" s="25">
        <v>63.05</v>
      </c>
      <c r="AA156" s="25">
        <v>63.05</v>
      </c>
      <c r="AB156" s="25">
        <v>63.05</v>
      </c>
      <c r="AC156" s="25">
        <v>63.05</v>
      </c>
      <c r="AD156" s="25">
        <v>63.05</v>
      </c>
      <c r="AE156" s="25">
        <v>63.05</v>
      </c>
      <c r="AF156" s="25">
        <v>63.05</v>
      </c>
      <c r="AG156" s="25">
        <v>63.05</v>
      </c>
      <c r="AH156" s="25">
        <v>63.05</v>
      </c>
      <c r="AI156" s="25">
        <v>63.05</v>
      </c>
      <c r="AJ156" s="25">
        <v>63.05</v>
      </c>
      <c r="AK156" s="25">
        <v>63.05</v>
      </c>
      <c r="AL156" s="25">
        <v>63.05</v>
      </c>
      <c r="AM156" s="25">
        <v>63.05</v>
      </c>
      <c r="AN156" s="25">
        <v>63.05</v>
      </c>
      <c r="AO156" s="25">
        <v>63.05</v>
      </c>
      <c r="AP156" s="25">
        <v>63.05</v>
      </c>
      <c r="AQ156" s="25">
        <v>63.05</v>
      </c>
      <c r="AR156" s="25">
        <v>63.05</v>
      </c>
      <c r="AS156" s="25">
        <v>63.05</v>
      </c>
      <c r="AT156" s="25">
        <v>63.05</v>
      </c>
      <c r="AU156" s="25">
        <v>63.05</v>
      </c>
      <c r="AV156" s="25">
        <v>63.05</v>
      </c>
      <c r="AW156" s="25">
        <v>63.05</v>
      </c>
      <c r="AX156" s="25">
        <v>63.05</v>
      </c>
      <c r="AY156" s="25">
        <v>63.05</v>
      </c>
      <c r="AZ156" s="25">
        <v>63.05</v>
      </c>
      <c r="BA156" s="25">
        <v>63.05</v>
      </c>
      <c r="BB156" s="25">
        <v>63.05</v>
      </c>
      <c r="BC156" s="25">
        <v>63.05</v>
      </c>
      <c r="BD156" s="25">
        <v>63.05</v>
      </c>
      <c r="BE156" s="25">
        <v>63.05</v>
      </c>
      <c r="BF156" s="25">
        <v>63.05</v>
      </c>
      <c r="BG156" s="25">
        <v>63.05</v>
      </c>
      <c r="BH156" s="25">
        <v>63.05</v>
      </c>
      <c r="BI156" s="25">
        <v>63.05</v>
      </c>
      <c r="BJ156" s="25">
        <v>63.05</v>
      </c>
      <c r="BK156" s="25">
        <v>63.05</v>
      </c>
      <c r="BL156" s="25">
        <v>63.05</v>
      </c>
      <c r="BM156" s="25">
        <v>63.05</v>
      </c>
      <c r="BN156" s="25">
        <v>63.05</v>
      </c>
      <c r="BO156" s="25">
        <v>63.05</v>
      </c>
      <c r="BP156" s="25">
        <v>63.05</v>
      </c>
      <c r="BQ156" s="25">
        <v>63.05</v>
      </c>
      <c r="BR156" s="25">
        <v>63.05</v>
      </c>
      <c r="BS156" s="25">
        <v>63.05</v>
      </c>
      <c r="BT156" s="25">
        <v>63.05</v>
      </c>
      <c r="BU156" s="25">
        <v>63.05</v>
      </c>
      <c r="BV156" s="25">
        <v>63.05</v>
      </c>
      <c r="BW156" s="25">
        <v>63.05</v>
      </c>
      <c r="BX156" s="25">
        <v>63.05</v>
      </c>
      <c r="BY156" s="25">
        <v>63.05</v>
      </c>
      <c r="BZ156" s="25">
        <v>63.05</v>
      </c>
      <c r="CA156" s="25">
        <v>63.05</v>
      </c>
      <c r="CB156" s="25">
        <v>63.05</v>
      </c>
      <c r="CC156" s="25">
        <v>63.05</v>
      </c>
      <c r="CD156" s="25">
        <v>63.05</v>
      </c>
      <c r="CE156" s="25">
        <v>63.05</v>
      </c>
      <c r="CF156" s="25">
        <v>63.05</v>
      </c>
      <c r="CG156" s="25">
        <v>63.05</v>
      </c>
      <c r="CH156" s="25">
        <v>63.05</v>
      </c>
      <c r="CI156" s="25">
        <v>63.05</v>
      </c>
      <c r="CJ156" s="25">
        <v>63.05</v>
      </c>
      <c r="CK156" s="25">
        <v>63.05</v>
      </c>
      <c r="CL156" s="25">
        <v>63.05</v>
      </c>
      <c r="CM156" s="25">
        <v>63.05</v>
      </c>
      <c r="CN156" s="25">
        <v>63.05</v>
      </c>
      <c r="CO156" s="25">
        <v>63.05</v>
      </c>
      <c r="CP156" s="25">
        <v>63.05</v>
      </c>
      <c r="CQ156" s="25">
        <v>63.05</v>
      </c>
      <c r="CR156" s="25">
        <v>63.05</v>
      </c>
      <c r="CS156" s="25">
        <v>63.05</v>
      </c>
      <c r="CT156" s="25">
        <v>63.05</v>
      </c>
      <c r="CU156" s="25">
        <v>63.05</v>
      </c>
      <c r="CV156" s="25">
        <v>63.05</v>
      </c>
      <c r="CW156" s="25">
        <v>63.05</v>
      </c>
      <c r="CX156" s="25">
        <v>63.05</v>
      </c>
      <c r="CY156" s="25">
        <v>63.05</v>
      </c>
      <c r="CZ156" s="25">
        <v>63.05</v>
      </c>
      <c r="DA156" s="25">
        <v>63.05</v>
      </c>
      <c r="DB156" s="25">
        <v>63.05</v>
      </c>
      <c r="DC156" s="25">
        <v>63.05</v>
      </c>
      <c r="DD156" s="25">
        <v>63.05</v>
      </c>
      <c r="DE156" s="25">
        <v>63.05</v>
      </c>
      <c r="DF156" s="25">
        <v>63.05</v>
      </c>
      <c r="DG156" s="25">
        <v>63.05</v>
      </c>
      <c r="DH156" s="25">
        <v>63.05</v>
      </c>
      <c r="DI156" s="25">
        <v>63.05</v>
      </c>
      <c r="DJ156" s="25">
        <v>63.05</v>
      </c>
      <c r="DK156" s="25">
        <v>63.05</v>
      </c>
      <c r="DL156" s="25">
        <v>63.05</v>
      </c>
      <c r="DM156" s="25">
        <v>63.05</v>
      </c>
      <c r="DN156" s="25">
        <v>63.05</v>
      </c>
      <c r="DO156" s="25">
        <v>63.05</v>
      </c>
      <c r="DP156" s="25">
        <v>63.05</v>
      </c>
      <c r="DQ156" s="25">
        <v>63.05</v>
      </c>
      <c r="DR156" s="25">
        <v>63.05</v>
      </c>
      <c r="DS156" s="25">
        <v>63.05</v>
      </c>
      <c r="DT156" s="25">
        <v>63.05</v>
      </c>
      <c r="DU156" s="25">
        <v>63.05</v>
      </c>
      <c r="DV156" s="25">
        <v>63.05</v>
      </c>
      <c r="DW156" s="25">
        <v>63.05</v>
      </c>
      <c r="DX156" s="25">
        <v>63.05</v>
      </c>
      <c r="DY156" s="25">
        <v>63.05</v>
      </c>
      <c r="DZ156" s="25">
        <v>63.05</v>
      </c>
      <c r="EA156" s="25">
        <v>63.05</v>
      </c>
      <c r="EB156" s="25">
        <v>63.05</v>
      </c>
      <c r="EC156" s="25">
        <v>63.05</v>
      </c>
      <c r="ED156" s="25">
        <v>63.05</v>
      </c>
      <c r="EE156" s="25">
        <v>63.05</v>
      </c>
      <c r="EF156" s="25">
        <v>63.05</v>
      </c>
      <c r="EG156" s="25">
        <v>63.05</v>
      </c>
      <c r="EH156" s="25">
        <v>63.05</v>
      </c>
      <c r="EI156" s="25">
        <v>63.05</v>
      </c>
      <c r="EJ156" s="25">
        <v>63.05</v>
      </c>
      <c r="EK156" s="25">
        <v>63.05</v>
      </c>
      <c r="EL156" s="25">
        <v>63.05</v>
      </c>
      <c r="EM156" s="25">
        <v>63.05</v>
      </c>
      <c r="EN156" s="25">
        <v>63.05</v>
      </c>
      <c r="EO156" s="25">
        <v>63.05</v>
      </c>
      <c r="EP156" s="25">
        <v>63.05</v>
      </c>
      <c r="EQ156" s="25">
        <v>63.05</v>
      </c>
      <c r="ER156" s="25">
        <v>63.05</v>
      </c>
      <c r="ES156" s="25">
        <v>63.05</v>
      </c>
      <c r="ET156" s="25">
        <v>63.05</v>
      </c>
      <c r="EU156" s="25">
        <v>63.05</v>
      </c>
      <c r="EV156" s="25">
        <v>63.05</v>
      </c>
      <c r="EW156" s="25">
        <v>63.05</v>
      </c>
      <c r="EX156" s="25">
        <v>63.05</v>
      </c>
      <c r="EY156" s="25">
        <v>63.05</v>
      </c>
      <c r="EZ156" s="25">
        <v>63.05</v>
      </c>
      <c r="FA156" s="25">
        <v>63.05</v>
      </c>
      <c r="FB156" s="25">
        <v>63.05</v>
      </c>
      <c r="FC156" s="25">
        <v>63.05</v>
      </c>
      <c r="FD156" s="25">
        <v>63.05</v>
      </c>
      <c r="FE156" s="25">
        <v>63.05</v>
      </c>
      <c r="FF156" s="25">
        <v>63.05</v>
      </c>
      <c r="FG156" s="25">
        <v>63.05</v>
      </c>
      <c r="FH156" s="25">
        <v>63.05</v>
      </c>
      <c r="FI156" s="25">
        <v>63.05</v>
      </c>
      <c r="FJ156" s="25">
        <v>63.05</v>
      </c>
      <c r="FK156" s="25">
        <v>63.05</v>
      </c>
      <c r="FL156" s="25">
        <v>63.05</v>
      </c>
      <c r="FM156" s="25">
        <v>63.05</v>
      </c>
      <c r="FN156" s="25">
        <v>63.05</v>
      </c>
      <c r="FO156" s="25">
        <v>63.05</v>
      </c>
      <c r="FP156" s="25">
        <v>63.05</v>
      </c>
      <c r="FQ156" s="25">
        <v>63.05</v>
      </c>
      <c r="FR156" s="25">
        <v>63.05</v>
      </c>
      <c r="FS156" s="25">
        <v>63.05</v>
      </c>
      <c r="FT156" s="25">
        <v>63.05</v>
      </c>
      <c r="FU156" s="25">
        <v>63.05</v>
      </c>
      <c r="FV156" s="25">
        <v>63.05</v>
      </c>
      <c r="FW156" s="25">
        <v>63.05</v>
      </c>
      <c r="FX156" s="25">
        <v>63.05</v>
      </c>
      <c r="FY156" s="25">
        <v>63.05</v>
      </c>
      <c r="FZ156" s="25">
        <v>63.05</v>
      </c>
      <c r="GA156" s="25">
        <v>63.05</v>
      </c>
      <c r="GB156" s="25">
        <v>63.05</v>
      </c>
      <c r="GC156" s="25">
        <v>63.05</v>
      </c>
      <c r="GD156" s="25">
        <v>63.05</v>
      </c>
      <c r="GE156" s="25">
        <v>63.05</v>
      </c>
      <c r="GF156" s="25">
        <v>63.05</v>
      </c>
      <c r="GG156" s="25">
        <v>63.05</v>
      </c>
      <c r="GH156" s="25">
        <v>63.05</v>
      </c>
      <c r="GI156" s="25">
        <v>63.05</v>
      </c>
      <c r="GJ156" s="25">
        <v>63.05</v>
      </c>
      <c r="GK156" s="25">
        <v>63.05</v>
      </c>
      <c r="GL156" s="25">
        <v>63.05</v>
      </c>
      <c r="GM156" s="25">
        <v>63.05</v>
      </c>
      <c r="GN156" s="25">
        <v>63.05</v>
      </c>
      <c r="GO156" s="25">
        <v>63.05</v>
      </c>
      <c r="GP156" s="25">
        <v>63.05</v>
      </c>
      <c r="GQ156" s="25">
        <v>63.05</v>
      </c>
      <c r="GR156" s="25">
        <v>63.05</v>
      </c>
      <c r="GS156" s="25">
        <v>63.05</v>
      </c>
      <c r="GT156" s="25">
        <v>63.05</v>
      </c>
      <c r="GU156" s="25">
        <v>63.05</v>
      </c>
      <c r="GV156" s="25">
        <v>63.05</v>
      </c>
      <c r="GW156" s="25">
        <v>63.05</v>
      </c>
      <c r="GX156" s="25">
        <v>63.05</v>
      </c>
      <c r="GY156" s="25">
        <v>63.05</v>
      </c>
      <c r="GZ156" s="25">
        <v>63.05</v>
      </c>
      <c r="HA156" s="25">
        <v>63.05</v>
      </c>
      <c r="HB156" s="25">
        <v>63.05</v>
      </c>
      <c r="HC156" s="25">
        <v>63.05</v>
      </c>
      <c r="HD156" s="25">
        <v>63.05</v>
      </c>
      <c r="HE156" s="25">
        <v>63.05</v>
      </c>
      <c r="HF156" s="25">
        <v>63.05</v>
      </c>
      <c r="HG156" s="25">
        <v>63.05</v>
      </c>
      <c r="HH156" s="25">
        <v>63.05</v>
      </c>
      <c r="HI156" s="25">
        <v>63.05</v>
      </c>
      <c r="HJ156" s="25">
        <v>63.05</v>
      </c>
      <c r="HK156" s="25">
        <v>63.05</v>
      </c>
      <c r="HL156" s="25">
        <v>63.05</v>
      </c>
      <c r="HM156" s="25">
        <v>63.05</v>
      </c>
      <c r="HN156" s="25">
        <v>63.05</v>
      </c>
      <c r="HO156" s="25">
        <v>63.05</v>
      </c>
      <c r="HP156" s="25">
        <v>63.05</v>
      </c>
      <c r="HQ156" s="25">
        <v>63.05</v>
      </c>
      <c r="HR156" s="25">
        <v>63.05</v>
      </c>
      <c r="HS156" s="25">
        <v>63.05</v>
      </c>
      <c r="HT156" s="25">
        <v>63.05</v>
      </c>
      <c r="HU156" s="25">
        <v>63.05</v>
      </c>
      <c r="HV156" s="25">
        <v>63.05</v>
      </c>
      <c r="HW156" s="25">
        <v>63.05</v>
      </c>
      <c r="HX156" s="25">
        <v>63.05</v>
      </c>
      <c r="HY156" s="25">
        <v>63.05</v>
      </c>
      <c r="HZ156" s="25">
        <v>63.05</v>
      </c>
      <c r="IA156" s="25">
        <v>63.05</v>
      </c>
      <c r="IB156" s="25">
        <v>63.05</v>
      </c>
      <c r="IC156" s="25">
        <v>63.05</v>
      </c>
      <c r="ID156" s="25">
        <v>63.05</v>
      </c>
      <c r="IE156" s="25">
        <v>63.05</v>
      </c>
      <c r="IF156" s="25">
        <v>63.05</v>
      </c>
      <c r="IG156" s="25">
        <v>63.05</v>
      </c>
      <c r="IH156" s="25">
        <v>63.05</v>
      </c>
      <c r="II156" s="25">
        <v>63.05</v>
      </c>
      <c r="IJ156" s="25">
        <v>63.05</v>
      </c>
      <c r="IK156" s="25">
        <v>63.05</v>
      </c>
      <c r="IL156" s="25">
        <v>63.05</v>
      </c>
      <c r="IM156" s="25">
        <v>63.05</v>
      </c>
      <c r="IN156" s="25">
        <v>63.05</v>
      </c>
      <c r="IO156" s="25">
        <v>63.05</v>
      </c>
      <c r="IP156" s="25">
        <v>63.05</v>
      </c>
      <c r="IQ156" s="25">
        <v>63.05</v>
      </c>
      <c r="IR156" s="25">
        <v>63.05</v>
      </c>
      <c r="IS156" s="25">
        <v>63.05</v>
      </c>
      <c r="IT156" s="25">
        <v>63.05</v>
      </c>
      <c r="IU156" s="25">
        <v>63.05</v>
      </c>
      <c r="IV156" s="25">
        <v>63.05</v>
      </c>
      <c r="IW156" s="25">
        <v>63.05</v>
      </c>
      <c r="IX156" s="25">
        <v>63.05</v>
      </c>
      <c r="IY156" s="25">
        <v>63.05</v>
      </c>
      <c r="IZ156" s="25">
        <v>63.05</v>
      </c>
      <c r="JA156" s="25">
        <v>63.05</v>
      </c>
      <c r="JB156" s="25">
        <v>63.05</v>
      </c>
      <c r="JC156" s="25">
        <v>63.05</v>
      </c>
      <c r="JD156" s="25">
        <v>63.05</v>
      </c>
      <c r="JE156" s="25">
        <v>63.05</v>
      </c>
      <c r="JF156" s="25">
        <v>63.05</v>
      </c>
      <c r="JG156" s="25">
        <v>63.05</v>
      </c>
      <c r="JH156" s="25">
        <v>63.05</v>
      </c>
      <c r="JI156" s="25">
        <v>63.05</v>
      </c>
      <c r="JJ156" s="25">
        <v>63.05</v>
      </c>
      <c r="JK156" s="25">
        <v>63.05</v>
      </c>
      <c r="JL156" s="25">
        <v>63.05</v>
      </c>
      <c r="JM156" s="25">
        <v>63.05</v>
      </c>
      <c r="JN156" s="25">
        <v>63.05</v>
      </c>
      <c r="JO156" s="25">
        <v>63.05</v>
      </c>
      <c r="JP156" s="25">
        <v>63.05</v>
      </c>
      <c r="JQ156" s="25">
        <v>63.05</v>
      </c>
      <c r="JR156" s="25">
        <v>63.05</v>
      </c>
      <c r="JS156" s="25">
        <v>63.05</v>
      </c>
      <c r="JT156" s="25">
        <v>63.05</v>
      </c>
      <c r="JU156" s="25">
        <v>63.05</v>
      </c>
      <c r="JV156" s="25">
        <v>63.05</v>
      </c>
      <c r="JW156" s="25">
        <v>63.05</v>
      </c>
      <c r="JX156" s="25">
        <v>63.05</v>
      </c>
      <c r="JY156" s="25">
        <v>63.05</v>
      </c>
      <c r="JZ156" s="25">
        <v>63.05</v>
      </c>
      <c r="KA156" s="25">
        <v>63.05</v>
      </c>
      <c r="KB156" s="25">
        <v>63.05</v>
      </c>
      <c r="KC156" s="25">
        <v>63.05</v>
      </c>
      <c r="KD156" s="25">
        <v>63.05</v>
      </c>
      <c r="KE156" s="25">
        <v>63.05</v>
      </c>
      <c r="KF156" s="25">
        <v>63.05</v>
      </c>
      <c r="KG156" s="25">
        <v>63.05</v>
      </c>
      <c r="KH156" s="25">
        <v>63.05</v>
      </c>
      <c r="KI156" s="25">
        <v>63.05</v>
      </c>
      <c r="KJ156" s="25">
        <v>63.05</v>
      </c>
      <c r="KK156" s="25">
        <v>63.05</v>
      </c>
      <c r="KL156" s="25">
        <v>63.05</v>
      </c>
      <c r="KM156" s="25">
        <v>63.05</v>
      </c>
      <c r="KN156" s="25">
        <v>63.05</v>
      </c>
      <c r="KO156" s="25">
        <v>63.05</v>
      </c>
      <c r="KP156" s="25">
        <v>63.05</v>
      </c>
      <c r="KQ156" s="25">
        <v>63.05</v>
      </c>
      <c r="KR156" s="25">
        <v>63.05</v>
      </c>
      <c r="KS156" s="25">
        <v>63.05</v>
      </c>
      <c r="KT156" s="25">
        <v>63.05</v>
      </c>
      <c r="KU156" s="25">
        <v>63.05</v>
      </c>
      <c r="KV156" s="25">
        <v>63.05</v>
      </c>
      <c r="KW156" s="25">
        <v>63.05</v>
      </c>
      <c r="KX156" s="25">
        <v>63.05</v>
      </c>
      <c r="KY156" s="25">
        <v>63.05</v>
      </c>
      <c r="KZ156" s="25">
        <v>63.05</v>
      </c>
      <c r="LA156" s="25">
        <v>63.05</v>
      </c>
      <c r="LB156" s="25">
        <v>63.05</v>
      </c>
      <c r="LC156" s="25">
        <v>63.05</v>
      </c>
      <c r="LD156" s="25">
        <v>63.05</v>
      </c>
      <c r="LE156" s="25">
        <v>63.05</v>
      </c>
      <c r="LF156" s="25">
        <v>63.05</v>
      </c>
      <c r="LG156" s="25">
        <v>63.05</v>
      </c>
      <c r="LH156" s="25">
        <v>63.05</v>
      </c>
      <c r="LI156" s="25">
        <v>63.05</v>
      </c>
      <c r="LJ156" s="25">
        <v>63.05</v>
      </c>
      <c r="LK156" s="25">
        <v>63.05</v>
      </c>
      <c r="LL156" s="25">
        <v>63.05</v>
      </c>
      <c r="LM156" s="25">
        <v>63.05</v>
      </c>
      <c r="LN156" s="25">
        <v>63.05</v>
      </c>
      <c r="LO156" s="25">
        <v>63.05</v>
      </c>
      <c r="LP156" s="25">
        <v>63.05</v>
      </c>
      <c r="LQ156" s="25">
        <v>63.05</v>
      </c>
      <c r="LR156" s="25">
        <v>63.05</v>
      </c>
      <c r="LS156" s="25">
        <v>63.05</v>
      </c>
      <c r="LT156" s="25">
        <v>63.05</v>
      </c>
      <c r="LU156" s="25">
        <v>63.05</v>
      </c>
      <c r="LV156" s="25">
        <v>63.05</v>
      </c>
      <c r="LW156" s="25">
        <v>63.05</v>
      </c>
      <c r="LX156" s="25">
        <v>63.05</v>
      </c>
      <c r="LY156" s="25">
        <v>63.05</v>
      </c>
      <c r="LZ156" s="25">
        <v>63.05</v>
      </c>
      <c r="MA156" s="25">
        <v>63.05</v>
      </c>
      <c r="MB156" s="25">
        <v>63.05</v>
      </c>
      <c r="MC156" s="25">
        <v>63.05</v>
      </c>
      <c r="MD156" s="25">
        <v>63.05</v>
      </c>
      <c r="ME156" s="25">
        <v>63.05</v>
      </c>
      <c r="MF156" s="25">
        <v>63.05</v>
      </c>
      <c r="MG156" s="25">
        <v>63.05</v>
      </c>
      <c r="MH156" s="25">
        <v>63.05</v>
      </c>
      <c r="MI156" s="25">
        <v>63.05</v>
      </c>
      <c r="MJ156" s="25">
        <v>63.05</v>
      </c>
      <c r="MK156" s="25">
        <v>63.05</v>
      </c>
      <c r="ML156" s="25">
        <v>63.05</v>
      </c>
      <c r="MM156" s="25">
        <v>63.05</v>
      </c>
      <c r="MN156" s="25">
        <v>63.05</v>
      </c>
      <c r="MO156" s="25">
        <v>63.05</v>
      </c>
      <c r="MP156" s="25">
        <v>63.05</v>
      </c>
      <c r="MQ156" s="25">
        <v>63.05</v>
      </c>
      <c r="MR156" s="25">
        <v>63.05</v>
      </c>
      <c r="MS156" s="25">
        <v>63.05</v>
      </c>
      <c r="MT156" s="25">
        <v>63.05</v>
      </c>
      <c r="MU156" s="25">
        <v>63.05</v>
      </c>
      <c r="MV156" s="25">
        <v>63.05</v>
      </c>
      <c r="MW156" s="25">
        <v>63.05</v>
      </c>
      <c r="MX156" s="25">
        <v>63.05</v>
      </c>
      <c r="MY156" s="25">
        <v>63.05</v>
      </c>
      <c r="MZ156" s="25">
        <v>63.05</v>
      </c>
      <c r="NA156" s="25">
        <v>63.05</v>
      </c>
      <c r="NB156" s="25">
        <v>63.05</v>
      </c>
      <c r="NC156" s="25">
        <v>63.05</v>
      </c>
      <c r="ND156" s="25">
        <v>63.05</v>
      </c>
      <c r="NE156" s="25">
        <v>63.05</v>
      </c>
      <c r="NF156" s="25">
        <v>63.05</v>
      </c>
      <c r="NG156" s="25">
        <v>63.05</v>
      </c>
      <c r="NH156" s="25">
        <v>63.05</v>
      </c>
      <c r="NI156" s="25">
        <v>63.05</v>
      </c>
      <c r="NJ156" s="25">
        <v>63.05</v>
      </c>
      <c r="NK156" s="25">
        <v>63.05</v>
      </c>
      <c r="NL156" s="25">
        <v>63.05</v>
      </c>
      <c r="NM156" s="25">
        <v>63.05</v>
      </c>
      <c r="NN156" s="25">
        <v>63.05</v>
      </c>
      <c r="NO156" s="25">
        <v>63.05</v>
      </c>
      <c r="NP156" s="25">
        <v>63.05</v>
      </c>
      <c r="NQ156" s="25">
        <v>63.05</v>
      </c>
      <c r="NR156" s="25">
        <v>63.05</v>
      </c>
      <c r="NS156" s="25">
        <v>63.05</v>
      </c>
      <c r="NT156" s="25">
        <v>63.05</v>
      </c>
      <c r="NU156" s="25">
        <v>63.05</v>
      </c>
      <c r="NV156" s="25">
        <v>63.05</v>
      </c>
      <c r="NW156" s="25">
        <v>63.05</v>
      </c>
      <c r="NX156" s="25">
        <v>63.05</v>
      </c>
      <c r="NY156" s="25">
        <v>63.05</v>
      </c>
      <c r="NZ156" s="25">
        <v>63.05</v>
      </c>
      <c r="OA156" s="25">
        <v>63.05</v>
      </c>
      <c r="OB156" s="25">
        <v>63.05</v>
      </c>
      <c r="OC156" s="25">
        <v>63.05</v>
      </c>
      <c r="OD156" s="25">
        <v>63.05</v>
      </c>
      <c r="OE156" s="25">
        <v>63.05</v>
      </c>
    </row>
    <row r="157" spans="1:395" outlineLevel="1" x14ac:dyDescent="0.3">
      <c r="E157" s="6"/>
      <c r="K157" s="65"/>
      <c r="L157" s="55"/>
      <c r="M157" s="66"/>
      <c r="N157" s="25" t="s">
        <v>136</v>
      </c>
      <c r="O157" s="25"/>
      <c r="P157" s="27"/>
      <c r="Q157" s="25" cm="1">
        <f t="array" ref="Q157:OE157">_xlfn.ANCHORARRAY(Q1)*E94</f>
        <v>0</v>
      </c>
      <c r="R157" s="25">
        <v>0</v>
      </c>
      <c r="S157" s="25">
        <v>0</v>
      </c>
      <c r="T157" s="25">
        <v>0</v>
      </c>
      <c r="U157" s="25">
        <v>0</v>
      </c>
      <c r="V157" s="25">
        <v>0</v>
      </c>
      <c r="W157" s="25">
        <v>0</v>
      </c>
      <c r="X157" s="25">
        <v>0</v>
      </c>
      <c r="Y157" s="25">
        <v>0</v>
      </c>
      <c r="Z157" s="25">
        <v>0</v>
      </c>
      <c r="AA157" s="25">
        <v>0</v>
      </c>
      <c r="AB157" s="25">
        <v>0</v>
      </c>
      <c r="AC157" s="25">
        <v>0</v>
      </c>
      <c r="AD157" s="25">
        <v>0</v>
      </c>
      <c r="AE157" s="25">
        <v>0</v>
      </c>
      <c r="AF157" s="25">
        <v>0</v>
      </c>
      <c r="AG157" s="25">
        <v>0</v>
      </c>
      <c r="AH157" s="25">
        <v>0</v>
      </c>
      <c r="AI157" s="25">
        <v>0</v>
      </c>
      <c r="AJ157" s="25">
        <v>0</v>
      </c>
      <c r="AK157" s="25">
        <v>0</v>
      </c>
      <c r="AL157" s="25">
        <v>0</v>
      </c>
      <c r="AM157" s="25">
        <v>0</v>
      </c>
      <c r="AN157" s="25">
        <v>0</v>
      </c>
      <c r="AO157" s="25">
        <v>0</v>
      </c>
      <c r="AP157" s="25">
        <v>0</v>
      </c>
      <c r="AQ157" s="25">
        <v>0</v>
      </c>
      <c r="AR157" s="25">
        <v>0</v>
      </c>
      <c r="AS157" s="25">
        <v>0</v>
      </c>
      <c r="AT157" s="25">
        <v>0</v>
      </c>
      <c r="AU157" s="25">
        <v>0</v>
      </c>
      <c r="AV157" s="25">
        <v>0</v>
      </c>
      <c r="AW157" s="25">
        <v>0</v>
      </c>
      <c r="AX157" s="25">
        <v>0</v>
      </c>
      <c r="AY157" s="25">
        <v>0</v>
      </c>
      <c r="AZ157" s="25">
        <v>0</v>
      </c>
      <c r="BA157" s="25">
        <v>0</v>
      </c>
      <c r="BB157" s="25">
        <v>0</v>
      </c>
      <c r="BC157" s="25">
        <v>0</v>
      </c>
      <c r="BD157" s="25">
        <v>0</v>
      </c>
      <c r="BE157" s="25">
        <v>0</v>
      </c>
      <c r="BF157" s="25">
        <v>0</v>
      </c>
      <c r="BG157" s="25">
        <v>0</v>
      </c>
      <c r="BH157" s="25">
        <v>0</v>
      </c>
      <c r="BI157" s="25">
        <v>0</v>
      </c>
      <c r="BJ157" s="25">
        <v>0</v>
      </c>
      <c r="BK157" s="25">
        <v>0</v>
      </c>
      <c r="BL157" s="25">
        <v>0</v>
      </c>
      <c r="BM157" s="25">
        <v>0</v>
      </c>
      <c r="BN157" s="25">
        <v>0</v>
      </c>
      <c r="BO157" s="25">
        <v>0</v>
      </c>
      <c r="BP157" s="25">
        <v>0</v>
      </c>
      <c r="BQ157" s="25">
        <v>0</v>
      </c>
      <c r="BR157" s="25">
        <v>0</v>
      </c>
      <c r="BS157" s="25">
        <v>0</v>
      </c>
      <c r="BT157" s="25">
        <v>0</v>
      </c>
      <c r="BU157" s="25">
        <v>0</v>
      </c>
      <c r="BV157" s="25">
        <v>0</v>
      </c>
      <c r="BW157" s="25">
        <v>0</v>
      </c>
      <c r="BX157" s="25">
        <v>0</v>
      </c>
      <c r="BY157" s="25">
        <v>0</v>
      </c>
      <c r="BZ157" s="25">
        <v>0</v>
      </c>
      <c r="CA157" s="25">
        <v>0</v>
      </c>
      <c r="CB157" s="25">
        <v>0</v>
      </c>
      <c r="CC157" s="25">
        <v>0</v>
      </c>
      <c r="CD157" s="25">
        <v>0</v>
      </c>
      <c r="CE157" s="25">
        <v>0</v>
      </c>
      <c r="CF157" s="25">
        <v>0</v>
      </c>
      <c r="CG157" s="25">
        <v>0</v>
      </c>
      <c r="CH157" s="25">
        <v>0</v>
      </c>
      <c r="CI157" s="25">
        <v>0</v>
      </c>
      <c r="CJ157" s="25">
        <v>0</v>
      </c>
      <c r="CK157" s="25">
        <v>0</v>
      </c>
      <c r="CL157" s="25">
        <v>0</v>
      </c>
      <c r="CM157" s="25">
        <v>0</v>
      </c>
      <c r="CN157" s="25">
        <v>0</v>
      </c>
      <c r="CO157" s="25">
        <v>0</v>
      </c>
      <c r="CP157" s="25">
        <v>0</v>
      </c>
      <c r="CQ157" s="25">
        <v>0</v>
      </c>
      <c r="CR157" s="25">
        <v>0</v>
      </c>
      <c r="CS157" s="25">
        <v>0</v>
      </c>
      <c r="CT157" s="25">
        <v>0</v>
      </c>
      <c r="CU157" s="25">
        <v>0</v>
      </c>
      <c r="CV157" s="25">
        <v>0</v>
      </c>
      <c r="CW157" s="25">
        <v>0</v>
      </c>
      <c r="CX157" s="25">
        <v>0</v>
      </c>
      <c r="CY157" s="25">
        <v>0</v>
      </c>
      <c r="CZ157" s="25">
        <v>0</v>
      </c>
      <c r="DA157" s="25">
        <v>0</v>
      </c>
      <c r="DB157" s="25">
        <v>0</v>
      </c>
      <c r="DC157" s="25">
        <v>0</v>
      </c>
      <c r="DD157" s="25">
        <v>0</v>
      </c>
      <c r="DE157" s="25">
        <v>0</v>
      </c>
      <c r="DF157" s="25">
        <v>0</v>
      </c>
      <c r="DG157" s="25">
        <v>0</v>
      </c>
      <c r="DH157" s="25">
        <v>0</v>
      </c>
      <c r="DI157" s="25">
        <v>0</v>
      </c>
      <c r="DJ157" s="25">
        <v>0</v>
      </c>
      <c r="DK157" s="25">
        <v>0</v>
      </c>
      <c r="DL157" s="25">
        <v>0</v>
      </c>
      <c r="DM157" s="25">
        <v>0</v>
      </c>
      <c r="DN157" s="25">
        <v>0</v>
      </c>
      <c r="DO157" s="25">
        <v>0</v>
      </c>
      <c r="DP157" s="25">
        <v>0</v>
      </c>
      <c r="DQ157" s="25">
        <v>0</v>
      </c>
      <c r="DR157" s="25">
        <v>0</v>
      </c>
      <c r="DS157" s="25">
        <v>0</v>
      </c>
      <c r="DT157" s="25">
        <v>0</v>
      </c>
      <c r="DU157" s="25">
        <v>0</v>
      </c>
      <c r="DV157" s="25">
        <v>0</v>
      </c>
      <c r="DW157" s="25">
        <v>0</v>
      </c>
      <c r="DX157" s="25">
        <v>0</v>
      </c>
      <c r="DY157" s="25">
        <v>0</v>
      </c>
      <c r="DZ157" s="25">
        <v>0</v>
      </c>
      <c r="EA157" s="25">
        <v>0</v>
      </c>
      <c r="EB157" s="25">
        <v>0</v>
      </c>
      <c r="EC157" s="25">
        <v>0</v>
      </c>
      <c r="ED157" s="25">
        <v>0</v>
      </c>
      <c r="EE157" s="25">
        <v>0</v>
      </c>
      <c r="EF157" s="25">
        <v>0</v>
      </c>
      <c r="EG157" s="25">
        <v>0</v>
      </c>
      <c r="EH157" s="25">
        <v>0</v>
      </c>
      <c r="EI157" s="25">
        <v>0</v>
      </c>
      <c r="EJ157" s="25">
        <v>0</v>
      </c>
      <c r="EK157" s="25">
        <v>0</v>
      </c>
      <c r="EL157" s="25">
        <v>0</v>
      </c>
      <c r="EM157" s="25">
        <v>0</v>
      </c>
      <c r="EN157" s="25">
        <v>0</v>
      </c>
      <c r="EO157" s="25">
        <v>0</v>
      </c>
      <c r="EP157" s="25">
        <v>0</v>
      </c>
      <c r="EQ157" s="25">
        <v>0</v>
      </c>
      <c r="ER157" s="25">
        <v>0</v>
      </c>
      <c r="ES157" s="25">
        <v>0</v>
      </c>
      <c r="ET157" s="25">
        <v>0</v>
      </c>
      <c r="EU157" s="25">
        <v>0</v>
      </c>
      <c r="EV157" s="25">
        <v>0</v>
      </c>
      <c r="EW157" s="25">
        <v>0</v>
      </c>
      <c r="EX157" s="25">
        <v>0</v>
      </c>
      <c r="EY157" s="25">
        <v>0</v>
      </c>
      <c r="EZ157" s="25">
        <v>0</v>
      </c>
      <c r="FA157" s="25">
        <v>0</v>
      </c>
      <c r="FB157" s="25">
        <v>0</v>
      </c>
      <c r="FC157" s="25">
        <v>0</v>
      </c>
      <c r="FD157" s="25">
        <v>0</v>
      </c>
      <c r="FE157" s="25">
        <v>0</v>
      </c>
      <c r="FF157" s="25">
        <v>0</v>
      </c>
      <c r="FG157" s="25">
        <v>0</v>
      </c>
      <c r="FH157" s="25">
        <v>0</v>
      </c>
      <c r="FI157" s="25">
        <v>0</v>
      </c>
      <c r="FJ157" s="25">
        <v>0</v>
      </c>
      <c r="FK157" s="25">
        <v>0</v>
      </c>
      <c r="FL157" s="25">
        <v>0</v>
      </c>
      <c r="FM157" s="25">
        <v>0</v>
      </c>
      <c r="FN157" s="25">
        <v>0</v>
      </c>
      <c r="FO157" s="25">
        <v>0</v>
      </c>
      <c r="FP157" s="25">
        <v>0</v>
      </c>
      <c r="FQ157" s="25">
        <v>0</v>
      </c>
      <c r="FR157" s="25">
        <v>0</v>
      </c>
      <c r="FS157" s="25">
        <v>0</v>
      </c>
      <c r="FT157" s="25">
        <v>0</v>
      </c>
      <c r="FU157" s="25">
        <v>0</v>
      </c>
      <c r="FV157" s="25">
        <v>0</v>
      </c>
      <c r="FW157" s="25">
        <v>0</v>
      </c>
      <c r="FX157" s="25">
        <v>0</v>
      </c>
      <c r="FY157" s="25">
        <v>0</v>
      </c>
      <c r="FZ157" s="25">
        <v>0</v>
      </c>
      <c r="GA157" s="25">
        <v>0</v>
      </c>
      <c r="GB157" s="25">
        <v>0</v>
      </c>
      <c r="GC157" s="25">
        <v>0</v>
      </c>
      <c r="GD157" s="25">
        <v>0</v>
      </c>
      <c r="GE157" s="25">
        <v>0</v>
      </c>
      <c r="GF157" s="25">
        <v>0</v>
      </c>
      <c r="GG157" s="25">
        <v>0</v>
      </c>
      <c r="GH157" s="25">
        <v>0</v>
      </c>
      <c r="GI157" s="25">
        <v>0</v>
      </c>
      <c r="GJ157" s="25">
        <v>0</v>
      </c>
      <c r="GK157" s="25">
        <v>0</v>
      </c>
      <c r="GL157" s="25">
        <v>0</v>
      </c>
      <c r="GM157" s="25">
        <v>0</v>
      </c>
      <c r="GN157" s="25">
        <v>0</v>
      </c>
      <c r="GO157" s="25">
        <v>0</v>
      </c>
      <c r="GP157" s="25">
        <v>0</v>
      </c>
      <c r="GQ157" s="25">
        <v>0</v>
      </c>
      <c r="GR157" s="25">
        <v>0</v>
      </c>
      <c r="GS157" s="25">
        <v>0</v>
      </c>
      <c r="GT157" s="25">
        <v>0</v>
      </c>
      <c r="GU157" s="25">
        <v>0</v>
      </c>
      <c r="GV157" s="25">
        <v>0</v>
      </c>
      <c r="GW157" s="25">
        <v>0</v>
      </c>
      <c r="GX157" s="25">
        <v>0</v>
      </c>
      <c r="GY157" s="25">
        <v>0</v>
      </c>
      <c r="GZ157" s="25">
        <v>0</v>
      </c>
      <c r="HA157" s="25">
        <v>0</v>
      </c>
      <c r="HB157" s="25">
        <v>0</v>
      </c>
      <c r="HC157" s="25">
        <v>0</v>
      </c>
      <c r="HD157" s="25">
        <v>0</v>
      </c>
      <c r="HE157" s="25">
        <v>0</v>
      </c>
      <c r="HF157" s="25">
        <v>0</v>
      </c>
      <c r="HG157" s="25">
        <v>0</v>
      </c>
      <c r="HH157" s="25">
        <v>0</v>
      </c>
      <c r="HI157" s="25">
        <v>0</v>
      </c>
      <c r="HJ157" s="25">
        <v>0</v>
      </c>
      <c r="HK157" s="25">
        <v>0</v>
      </c>
      <c r="HL157" s="25">
        <v>0</v>
      </c>
      <c r="HM157" s="25">
        <v>0</v>
      </c>
      <c r="HN157" s="25">
        <v>0</v>
      </c>
      <c r="HO157" s="25">
        <v>0</v>
      </c>
      <c r="HP157" s="25">
        <v>0</v>
      </c>
      <c r="HQ157" s="25">
        <v>0</v>
      </c>
      <c r="HR157" s="25">
        <v>0</v>
      </c>
      <c r="HS157" s="25">
        <v>0</v>
      </c>
      <c r="HT157" s="25">
        <v>0</v>
      </c>
      <c r="HU157" s="25">
        <v>0</v>
      </c>
      <c r="HV157" s="25">
        <v>0</v>
      </c>
      <c r="HW157" s="25">
        <v>0</v>
      </c>
      <c r="HX157" s="25">
        <v>0</v>
      </c>
      <c r="HY157" s="25">
        <v>0</v>
      </c>
      <c r="HZ157" s="25">
        <v>0</v>
      </c>
      <c r="IA157" s="25">
        <v>0</v>
      </c>
      <c r="IB157" s="25">
        <v>0</v>
      </c>
      <c r="IC157" s="25">
        <v>0</v>
      </c>
      <c r="ID157" s="25">
        <v>0</v>
      </c>
      <c r="IE157" s="25">
        <v>0</v>
      </c>
      <c r="IF157" s="25">
        <v>0</v>
      </c>
      <c r="IG157" s="25">
        <v>0</v>
      </c>
      <c r="IH157" s="25">
        <v>0</v>
      </c>
      <c r="II157" s="25">
        <v>0</v>
      </c>
      <c r="IJ157" s="25">
        <v>0</v>
      </c>
      <c r="IK157" s="25">
        <v>0</v>
      </c>
      <c r="IL157" s="25">
        <v>0</v>
      </c>
      <c r="IM157" s="25">
        <v>0</v>
      </c>
      <c r="IN157" s="25">
        <v>0</v>
      </c>
      <c r="IO157" s="25">
        <v>0</v>
      </c>
      <c r="IP157" s="25">
        <v>0</v>
      </c>
      <c r="IQ157" s="25">
        <v>0</v>
      </c>
      <c r="IR157" s="25">
        <v>0</v>
      </c>
      <c r="IS157" s="25">
        <v>0</v>
      </c>
      <c r="IT157" s="25">
        <v>0</v>
      </c>
      <c r="IU157" s="25">
        <v>0</v>
      </c>
      <c r="IV157" s="25">
        <v>0</v>
      </c>
      <c r="IW157" s="25">
        <v>0</v>
      </c>
      <c r="IX157" s="25">
        <v>0</v>
      </c>
      <c r="IY157" s="25">
        <v>0</v>
      </c>
      <c r="IZ157" s="25">
        <v>0</v>
      </c>
      <c r="JA157" s="25">
        <v>0</v>
      </c>
      <c r="JB157" s="25">
        <v>0</v>
      </c>
      <c r="JC157" s="25">
        <v>0</v>
      </c>
      <c r="JD157" s="25">
        <v>0</v>
      </c>
      <c r="JE157" s="25">
        <v>0</v>
      </c>
      <c r="JF157" s="25">
        <v>0</v>
      </c>
      <c r="JG157" s="25">
        <v>0</v>
      </c>
      <c r="JH157" s="25">
        <v>0</v>
      </c>
      <c r="JI157" s="25">
        <v>0</v>
      </c>
      <c r="JJ157" s="25">
        <v>0</v>
      </c>
      <c r="JK157" s="25">
        <v>0</v>
      </c>
      <c r="JL157" s="25">
        <v>0</v>
      </c>
      <c r="JM157" s="25">
        <v>0</v>
      </c>
      <c r="JN157" s="25">
        <v>0</v>
      </c>
      <c r="JO157" s="25">
        <v>0</v>
      </c>
      <c r="JP157" s="25">
        <v>0</v>
      </c>
      <c r="JQ157" s="25">
        <v>0</v>
      </c>
      <c r="JR157" s="25">
        <v>0</v>
      </c>
      <c r="JS157" s="25">
        <v>0</v>
      </c>
      <c r="JT157" s="25">
        <v>0</v>
      </c>
      <c r="JU157" s="25">
        <v>0</v>
      </c>
      <c r="JV157" s="25">
        <v>0</v>
      </c>
      <c r="JW157" s="25">
        <v>0</v>
      </c>
      <c r="JX157" s="25">
        <v>0</v>
      </c>
      <c r="JY157" s="25">
        <v>0</v>
      </c>
      <c r="JZ157" s="25">
        <v>0</v>
      </c>
      <c r="KA157" s="25">
        <v>0</v>
      </c>
      <c r="KB157" s="25">
        <v>0</v>
      </c>
      <c r="KC157" s="25">
        <v>0</v>
      </c>
      <c r="KD157" s="25">
        <v>0</v>
      </c>
      <c r="KE157" s="25">
        <v>0</v>
      </c>
      <c r="KF157" s="25">
        <v>0</v>
      </c>
      <c r="KG157" s="25">
        <v>0</v>
      </c>
      <c r="KH157" s="25">
        <v>0</v>
      </c>
      <c r="KI157" s="25">
        <v>0</v>
      </c>
      <c r="KJ157" s="25">
        <v>0</v>
      </c>
      <c r="KK157" s="25">
        <v>0</v>
      </c>
      <c r="KL157" s="25">
        <v>0</v>
      </c>
      <c r="KM157" s="25">
        <v>0</v>
      </c>
      <c r="KN157" s="25">
        <v>0</v>
      </c>
      <c r="KO157" s="25">
        <v>0</v>
      </c>
      <c r="KP157" s="25">
        <v>0</v>
      </c>
      <c r="KQ157" s="25">
        <v>0</v>
      </c>
      <c r="KR157" s="25">
        <v>0</v>
      </c>
      <c r="KS157" s="25">
        <v>0</v>
      </c>
      <c r="KT157" s="25">
        <v>0</v>
      </c>
      <c r="KU157" s="25">
        <v>0</v>
      </c>
      <c r="KV157" s="25">
        <v>0</v>
      </c>
      <c r="KW157" s="25">
        <v>0</v>
      </c>
      <c r="KX157" s="25">
        <v>0</v>
      </c>
      <c r="KY157" s="25">
        <v>0</v>
      </c>
      <c r="KZ157" s="25">
        <v>0</v>
      </c>
      <c r="LA157" s="25">
        <v>0</v>
      </c>
      <c r="LB157" s="25">
        <v>0</v>
      </c>
      <c r="LC157" s="25">
        <v>0</v>
      </c>
      <c r="LD157" s="25">
        <v>0</v>
      </c>
      <c r="LE157" s="25">
        <v>0</v>
      </c>
      <c r="LF157" s="25">
        <v>0</v>
      </c>
      <c r="LG157" s="25">
        <v>0</v>
      </c>
      <c r="LH157" s="25">
        <v>0</v>
      </c>
      <c r="LI157" s="25">
        <v>0</v>
      </c>
      <c r="LJ157" s="25">
        <v>0</v>
      </c>
      <c r="LK157" s="25">
        <v>0</v>
      </c>
      <c r="LL157" s="25">
        <v>0</v>
      </c>
      <c r="LM157" s="25">
        <v>0</v>
      </c>
      <c r="LN157" s="25">
        <v>0</v>
      </c>
      <c r="LO157" s="25">
        <v>0</v>
      </c>
      <c r="LP157" s="25">
        <v>0</v>
      </c>
      <c r="LQ157" s="25">
        <v>0</v>
      </c>
      <c r="LR157" s="25">
        <v>0</v>
      </c>
      <c r="LS157" s="25">
        <v>0</v>
      </c>
      <c r="LT157" s="25">
        <v>0</v>
      </c>
      <c r="LU157" s="25">
        <v>0</v>
      </c>
      <c r="LV157" s="25">
        <v>0</v>
      </c>
      <c r="LW157" s="25">
        <v>0</v>
      </c>
      <c r="LX157" s="25">
        <v>0</v>
      </c>
      <c r="LY157" s="25">
        <v>0</v>
      </c>
      <c r="LZ157" s="25">
        <v>0</v>
      </c>
      <c r="MA157" s="25">
        <v>0</v>
      </c>
      <c r="MB157" s="25">
        <v>0</v>
      </c>
      <c r="MC157" s="25">
        <v>0</v>
      </c>
      <c r="MD157" s="25">
        <v>0</v>
      </c>
      <c r="ME157" s="25">
        <v>0</v>
      </c>
      <c r="MF157" s="25">
        <v>0</v>
      </c>
      <c r="MG157" s="25">
        <v>0</v>
      </c>
      <c r="MH157" s="25">
        <v>0</v>
      </c>
      <c r="MI157" s="25">
        <v>0</v>
      </c>
      <c r="MJ157" s="25">
        <v>0</v>
      </c>
      <c r="MK157" s="25">
        <v>0</v>
      </c>
      <c r="ML157" s="25">
        <v>0</v>
      </c>
      <c r="MM157" s="25">
        <v>0</v>
      </c>
      <c r="MN157" s="25">
        <v>0</v>
      </c>
      <c r="MO157" s="25">
        <v>0</v>
      </c>
      <c r="MP157" s="25">
        <v>0</v>
      </c>
      <c r="MQ157" s="25">
        <v>0</v>
      </c>
      <c r="MR157" s="25">
        <v>0</v>
      </c>
      <c r="MS157" s="25">
        <v>0</v>
      </c>
      <c r="MT157" s="25">
        <v>0</v>
      </c>
      <c r="MU157" s="25">
        <v>0</v>
      </c>
      <c r="MV157" s="25">
        <v>0</v>
      </c>
      <c r="MW157" s="25">
        <v>0</v>
      </c>
      <c r="MX157" s="25">
        <v>0</v>
      </c>
      <c r="MY157" s="25">
        <v>0</v>
      </c>
      <c r="MZ157" s="25">
        <v>0</v>
      </c>
      <c r="NA157" s="25">
        <v>0</v>
      </c>
      <c r="NB157" s="25">
        <v>0</v>
      </c>
      <c r="NC157" s="25">
        <v>0</v>
      </c>
      <c r="ND157" s="25">
        <v>0</v>
      </c>
      <c r="NE157" s="25">
        <v>0</v>
      </c>
      <c r="NF157" s="25">
        <v>0</v>
      </c>
      <c r="NG157" s="25">
        <v>0</v>
      </c>
      <c r="NH157" s="25">
        <v>0</v>
      </c>
      <c r="NI157" s="25">
        <v>0</v>
      </c>
      <c r="NJ157" s="25">
        <v>0</v>
      </c>
      <c r="NK157" s="25">
        <v>0</v>
      </c>
      <c r="NL157" s="25">
        <v>0</v>
      </c>
      <c r="NM157" s="25">
        <v>0</v>
      </c>
      <c r="NN157" s="25">
        <v>0</v>
      </c>
      <c r="NO157" s="25">
        <v>0</v>
      </c>
      <c r="NP157" s="25">
        <v>0</v>
      </c>
      <c r="NQ157" s="25">
        <v>0</v>
      </c>
      <c r="NR157" s="25">
        <v>0</v>
      </c>
      <c r="NS157" s="25">
        <v>0</v>
      </c>
      <c r="NT157" s="25">
        <v>0</v>
      </c>
      <c r="NU157" s="25">
        <v>0</v>
      </c>
      <c r="NV157" s="25">
        <v>0</v>
      </c>
      <c r="NW157" s="25">
        <v>0</v>
      </c>
      <c r="NX157" s="25">
        <v>0</v>
      </c>
      <c r="NY157" s="25">
        <v>0</v>
      </c>
      <c r="NZ157" s="25">
        <v>0</v>
      </c>
      <c r="OA157" s="25">
        <v>0</v>
      </c>
      <c r="OB157" s="25">
        <v>0</v>
      </c>
      <c r="OC157" s="25">
        <v>0</v>
      </c>
      <c r="OD157" s="25">
        <v>0</v>
      </c>
      <c r="OE157" s="25">
        <v>0</v>
      </c>
    </row>
    <row r="158" spans="1:395" outlineLevel="1" x14ac:dyDescent="0.3">
      <c r="E158" s="6"/>
      <c r="K158" s="65"/>
      <c r="L158" s="55"/>
      <c r="M158" s="66"/>
      <c r="N158" s="25" t="s">
        <v>3</v>
      </c>
      <c r="O158" s="25"/>
      <c r="P158" s="27" t="s">
        <v>15</v>
      </c>
      <c r="Q158" s="25" cm="1">
        <f t="array" ref="Q158:OE158">_xlfn.ANCHORARRAY(Q1)*E96</f>
        <v>65</v>
      </c>
      <c r="R158" s="25">
        <v>65</v>
      </c>
      <c r="S158" s="25">
        <v>65</v>
      </c>
      <c r="T158" s="25">
        <v>65</v>
      </c>
      <c r="U158" s="25">
        <v>65</v>
      </c>
      <c r="V158" s="25">
        <v>65</v>
      </c>
      <c r="W158" s="25">
        <v>65</v>
      </c>
      <c r="X158" s="25">
        <v>65</v>
      </c>
      <c r="Y158" s="25">
        <v>65</v>
      </c>
      <c r="Z158" s="25">
        <v>65</v>
      </c>
      <c r="AA158" s="25">
        <v>65</v>
      </c>
      <c r="AB158" s="25">
        <v>65</v>
      </c>
      <c r="AC158" s="25">
        <v>65</v>
      </c>
      <c r="AD158" s="25">
        <v>65</v>
      </c>
      <c r="AE158" s="25">
        <v>65</v>
      </c>
      <c r="AF158" s="25">
        <v>65</v>
      </c>
      <c r="AG158" s="25">
        <v>65</v>
      </c>
      <c r="AH158" s="25">
        <v>65</v>
      </c>
      <c r="AI158" s="25">
        <v>65</v>
      </c>
      <c r="AJ158" s="25">
        <v>65</v>
      </c>
      <c r="AK158" s="25">
        <v>65</v>
      </c>
      <c r="AL158" s="25">
        <v>65</v>
      </c>
      <c r="AM158" s="25">
        <v>65</v>
      </c>
      <c r="AN158" s="25">
        <v>65</v>
      </c>
      <c r="AO158" s="25">
        <v>65</v>
      </c>
      <c r="AP158" s="25">
        <v>65</v>
      </c>
      <c r="AQ158" s="25">
        <v>65</v>
      </c>
      <c r="AR158" s="25">
        <v>65</v>
      </c>
      <c r="AS158" s="25">
        <v>65</v>
      </c>
      <c r="AT158" s="25">
        <v>65</v>
      </c>
      <c r="AU158" s="25">
        <v>65</v>
      </c>
      <c r="AV158" s="25">
        <v>65</v>
      </c>
      <c r="AW158" s="25">
        <v>65</v>
      </c>
      <c r="AX158" s="25">
        <v>65</v>
      </c>
      <c r="AY158" s="25">
        <v>65</v>
      </c>
      <c r="AZ158" s="25">
        <v>65</v>
      </c>
      <c r="BA158" s="25">
        <v>65</v>
      </c>
      <c r="BB158" s="25">
        <v>65</v>
      </c>
      <c r="BC158" s="25">
        <v>65</v>
      </c>
      <c r="BD158" s="25">
        <v>65</v>
      </c>
      <c r="BE158" s="25">
        <v>65</v>
      </c>
      <c r="BF158" s="25">
        <v>65</v>
      </c>
      <c r="BG158" s="25">
        <v>65</v>
      </c>
      <c r="BH158" s="25">
        <v>65</v>
      </c>
      <c r="BI158" s="25">
        <v>65</v>
      </c>
      <c r="BJ158" s="25">
        <v>65</v>
      </c>
      <c r="BK158" s="25">
        <v>65</v>
      </c>
      <c r="BL158" s="25">
        <v>65</v>
      </c>
      <c r="BM158" s="25">
        <v>65</v>
      </c>
      <c r="BN158" s="25">
        <v>65</v>
      </c>
      <c r="BO158" s="25">
        <v>65</v>
      </c>
      <c r="BP158" s="25">
        <v>65</v>
      </c>
      <c r="BQ158" s="25">
        <v>65</v>
      </c>
      <c r="BR158" s="25">
        <v>65</v>
      </c>
      <c r="BS158" s="25">
        <v>65</v>
      </c>
      <c r="BT158" s="25">
        <v>65</v>
      </c>
      <c r="BU158" s="25">
        <v>65</v>
      </c>
      <c r="BV158" s="25">
        <v>65</v>
      </c>
      <c r="BW158" s="25">
        <v>65</v>
      </c>
      <c r="BX158" s="25">
        <v>65</v>
      </c>
      <c r="BY158" s="25">
        <v>65</v>
      </c>
      <c r="BZ158" s="25">
        <v>65</v>
      </c>
      <c r="CA158" s="25">
        <v>65</v>
      </c>
      <c r="CB158" s="25">
        <v>65</v>
      </c>
      <c r="CC158" s="25">
        <v>65</v>
      </c>
      <c r="CD158" s="25">
        <v>65</v>
      </c>
      <c r="CE158" s="25">
        <v>65</v>
      </c>
      <c r="CF158" s="25">
        <v>65</v>
      </c>
      <c r="CG158" s="25">
        <v>65</v>
      </c>
      <c r="CH158" s="25">
        <v>65</v>
      </c>
      <c r="CI158" s="25">
        <v>65</v>
      </c>
      <c r="CJ158" s="25">
        <v>65</v>
      </c>
      <c r="CK158" s="25">
        <v>65</v>
      </c>
      <c r="CL158" s="25">
        <v>65</v>
      </c>
      <c r="CM158" s="25">
        <v>65</v>
      </c>
      <c r="CN158" s="25">
        <v>65</v>
      </c>
      <c r="CO158" s="25">
        <v>65</v>
      </c>
      <c r="CP158" s="25">
        <v>65</v>
      </c>
      <c r="CQ158" s="25">
        <v>65</v>
      </c>
      <c r="CR158" s="25">
        <v>65</v>
      </c>
      <c r="CS158" s="25">
        <v>65</v>
      </c>
      <c r="CT158" s="25">
        <v>65</v>
      </c>
      <c r="CU158" s="25">
        <v>65</v>
      </c>
      <c r="CV158" s="25">
        <v>65</v>
      </c>
      <c r="CW158" s="25">
        <v>65</v>
      </c>
      <c r="CX158" s="25">
        <v>65</v>
      </c>
      <c r="CY158" s="25">
        <v>65</v>
      </c>
      <c r="CZ158" s="25">
        <v>65</v>
      </c>
      <c r="DA158" s="25">
        <v>65</v>
      </c>
      <c r="DB158" s="25">
        <v>65</v>
      </c>
      <c r="DC158" s="25">
        <v>65</v>
      </c>
      <c r="DD158" s="25">
        <v>65</v>
      </c>
      <c r="DE158" s="25">
        <v>65</v>
      </c>
      <c r="DF158" s="25">
        <v>65</v>
      </c>
      <c r="DG158" s="25">
        <v>65</v>
      </c>
      <c r="DH158" s="25">
        <v>65</v>
      </c>
      <c r="DI158" s="25">
        <v>65</v>
      </c>
      <c r="DJ158" s="25">
        <v>65</v>
      </c>
      <c r="DK158" s="25">
        <v>65</v>
      </c>
      <c r="DL158" s="25">
        <v>65</v>
      </c>
      <c r="DM158" s="25">
        <v>65</v>
      </c>
      <c r="DN158" s="25">
        <v>65</v>
      </c>
      <c r="DO158" s="25">
        <v>65</v>
      </c>
      <c r="DP158" s="25">
        <v>65</v>
      </c>
      <c r="DQ158" s="25">
        <v>65</v>
      </c>
      <c r="DR158" s="25">
        <v>65</v>
      </c>
      <c r="DS158" s="25">
        <v>65</v>
      </c>
      <c r="DT158" s="25">
        <v>65</v>
      </c>
      <c r="DU158" s="25">
        <v>65</v>
      </c>
      <c r="DV158" s="25">
        <v>65</v>
      </c>
      <c r="DW158" s="25">
        <v>65</v>
      </c>
      <c r="DX158" s="25">
        <v>65</v>
      </c>
      <c r="DY158" s="25">
        <v>65</v>
      </c>
      <c r="DZ158" s="25">
        <v>65</v>
      </c>
      <c r="EA158" s="25">
        <v>65</v>
      </c>
      <c r="EB158" s="25">
        <v>65</v>
      </c>
      <c r="EC158" s="25">
        <v>65</v>
      </c>
      <c r="ED158" s="25">
        <v>65</v>
      </c>
      <c r="EE158" s="25">
        <v>65</v>
      </c>
      <c r="EF158" s="25">
        <v>65</v>
      </c>
      <c r="EG158" s="25">
        <v>65</v>
      </c>
      <c r="EH158" s="25">
        <v>65</v>
      </c>
      <c r="EI158" s="25">
        <v>65</v>
      </c>
      <c r="EJ158" s="25">
        <v>65</v>
      </c>
      <c r="EK158" s="25">
        <v>65</v>
      </c>
      <c r="EL158" s="25">
        <v>65</v>
      </c>
      <c r="EM158" s="25">
        <v>65</v>
      </c>
      <c r="EN158" s="25">
        <v>65</v>
      </c>
      <c r="EO158" s="25">
        <v>65</v>
      </c>
      <c r="EP158" s="25">
        <v>65</v>
      </c>
      <c r="EQ158" s="25">
        <v>65</v>
      </c>
      <c r="ER158" s="25">
        <v>65</v>
      </c>
      <c r="ES158" s="25">
        <v>65</v>
      </c>
      <c r="ET158" s="25">
        <v>65</v>
      </c>
      <c r="EU158" s="25">
        <v>65</v>
      </c>
      <c r="EV158" s="25">
        <v>65</v>
      </c>
      <c r="EW158" s="25">
        <v>65</v>
      </c>
      <c r="EX158" s="25">
        <v>65</v>
      </c>
      <c r="EY158" s="25">
        <v>65</v>
      </c>
      <c r="EZ158" s="25">
        <v>65</v>
      </c>
      <c r="FA158" s="25">
        <v>65</v>
      </c>
      <c r="FB158" s="25">
        <v>65</v>
      </c>
      <c r="FC158" s="25">
        <v>65</v>
      </c>
      <c r="FD158" s="25">
        <v>65</v>
      </c>
      <c r="FE158" s="25">
        <v>65</v>
      </c>
      <c r="FF158" s="25">
        <v>65</v>
      </c>
      <c r="FG158" s="25">
        <v>65</v>
      </c>
      <c r="FH158" s="25">
        <v>65</v>
      </c>
      <c r="FI158" s="25">
        <v>65</v>
      </c>
      <c r="FJ158" s="25">
        <v>65</v>
      </c>
      <c r="FK158" s="25">
        <v>65</v>
      </c>
      <c r="FL158" s="25">
        <v>65</v>
      </c>
      <c r="FM158" s="25">
        <v>65</v>
      </c>
      <c r="FN158" s="25">
        <v>65</v>
      </c>
      <c r="FO158" s="25">
        <v>65</v>
      </c>
      <c r="FP158" s="25">
        <v>65</v>
      </c>
      <c r="FQ158" s="25">
        <v>65</v>
      </c>
      <c r="FR158" s="25">
        <v>65</v>
      </c>
      <c r="FS158" s="25">
        <v>65</v>
      </c>
      <c r="FT158" s="25">
        <v>65</v>
      </c>
      <c r="FU158" s="25">
        <v>65</v>
      </c>
      <c r="FV158" s="25">
        <v>65</v>
      </c>
      <c r="FW158" s="25">
        <v>65</v>
      </c>
      <c r="FX158" s="25">
        <v>65</v>
      </c>
      <c r="FY158" s="25">
        <v>65</v>
      </c>
      <c r="FZ158" s="25">
        <v>65</v>
      </c>
      <c r="GA158" s="25">
        <v>65</v>
      </c>
      <c r="GB158" s="25">
        <v>65</v>
      </c>
      <c r="GC158" s="25">
        <v>65</v>
      </c>
      <c r="GD158" s="25">
        <v>65</v>
      </c>
      <c r="GE158" s="25">
        <v>65</v>
      </c>
      <c r="GF158" s="25">
        <v>65</v>
      </c>
      <c r="GG158" s="25">
        <v>65</v>
      </c>
      <c r="GH158" s="25">
        <v>65</v>
      </c>
      <c r="GI158" s="25">
        <v>65</v>
      </c>
      <c r="GJ158" s="25">
        <v>65</v>
      </c>
      <c r="GK158" s="25">
        <v>65</v>
      </c>
      <c r="GL158" s="25">
        <v>65</v>
      </c>
      <c r="GM158" s="25">
        <v>65</v>
      </c>
      <c r="GN158" s="25">
        <v>65</v>
      </c>
      <c r="GO158" s="25">
        <v>65</v>
      </c>
      <c r="GP158" s="25">
        <v>65</v>
      </c>
      <c r="GQ158" s="25">
        <v>65</v>
      </c>
      <c r="GR158" s="25">
        <v>65</v>
      </c>
      <c r="GS158" s="25">
        <v>65</v>
      </c>
      <c r="GT158" s="25">
        <v>65</v>
      </c>
      <c r="GU158" s="25">
        <v>65</v>
      </c>
      <c r="GV158" s="25">
        <v>65</v>
      </c>
      <c r="GW158" s="25">
        <v>65</v>
      </c>
      <c r="GX158" s="25">
        <v>65</v>
      </c>
      <c r="GY158" s="25">
        <v>65</v>
      </c>
      <c r="GZ158" s="25">
        <v>65</v>
      </c>
      <c r="HA158" s="25">
        <v>65</v>
      </c>
      <c r="HB158" s="25">
        <v>65</v>
      </c>
      <c r="HC158" s="25">
        <v>65</v>
      </c>
      <c r="HD158" s="25">
        <v>65</v>
      </c>
      <c r="HE158" s="25">
        <v>65</v>
      </c>
      <c r="HF158" s="25">
        <v>65</v>
      </c>
      <c r="HG158" s="25">
        <v>65</v>
      </c>
      <c r="HH158" s="25">
        <v>65</v>
      </c>
      <c r="HI158" s="25">
        <v>65</v>
      </c>
      <c r="HJ158" s="25">
        <v>65</v>
      </c>
      <c r="HK158" s="25">
        <v>65</v>
      </c>
      <c r="HL158" s="25">
        <v>65</v>
      </c>
      <c r="HM158" s="25">
        <v>65</v>
      </c>
      <c r="HN158" s="25">
        <v>65</v>
      </c>
      <c r="HO158" s="25">
        <v>65</v>
      </c>
      <c r="HP158" s="25">
        <v>65</v>
      </c>
      <c r="HQ158" s="25">
        <v>65</v>
      </c>
      <c r="HR158" s="25">
        <v>65</v>
      </c>
      <c r="HS158" s="25">
        <v>65</v>
      </c>
      <c r="HT158" s="25">
        <v>65</v>
      </c>
      <c r="HU158" s="25">
        <v>65</v>
      </c>
      <c r="HV158" s="25">
        <v>65</v>
      </c>
      <c r="HW158" s="25">
        <v>65</v>
      </c>
      <c r="HX158" s="25">
        <v>65</v>
      </c>
      <c r="HY158" s="25">
        <v>65</v>
      </c>
      <c r="HZ158" s="25">
        <v>65</v>
      </c>
      <c r="IA158" s="25">
        <v>65</v>
      </c>
      <c r="IB158" s="25">
        <v>65</v>
      </c>
      <c r="IC158" s="25">
        <v>65</v>
      </c>
      <c r="ID158" s="25">
        <v>65</v>
      </c>
      <c r="IE158" s="25">
        <v>65</v>
      </c>
      <c r="IF158" s="25">
        <v>65</v>
      </c>
      <c r="IG158" s="25">
        <v>65</v>
      </c>
      <c r="IH158" s="25">
        <v>65</v>
      </c>
      <c r="II158" s="25">
        <v>65</v>
      </c>
      <c r="IJ158" s="25">
        <v>65</v>
      </c>
      <c r="IK158" s="25">
        <v>65</v>
      </c>
      <c r="IL158" s="25">
        <v>65</v>
      </c>
      <c r="IM158" s="25">
        <v>65</v>
      </c>
      <c r="IN158" s="25">
        <v>65</v>
      </c>
      <c r="IO158" s="25">
        <v>65</v>
      </c>
      <c r="IP158" s="25">
        <v>65</v>
      </c>
      <c r="IQ158" s="25">
        <v>65</v>
      </c>
      <c r="IR158" s="25">
        <v>65</v>
      </c>
      <c r="IS158" s="25">
        <v>65</v>
      </c>
      <c r="IT158" s="25">
        <v>65</v>
      </c>
      <c r="IU158" s="25">
        <v>65</v>
      </c>
      <c r="IV158" s="25">
        <v>65</v>
      </c>
      <c r="IW158" s="25">
        <v>65</v>
      </c>
      <c r="IX158" s="25">
        <v>65</v>
      </c>
      <c r="IY158" s="25">
        <v>65</v>
      </c>
      <c r="IZ158" s="25">
        <v>65</v>
      </c>
      <c r="JA158" s="25">
        <v>65</v>
      </c>
      <c r="JB158" s="25">
        <v>65</v>
      </c>
      <c r="JC158" s="25">
        <v>65</v>
      </c>
      <c r="JD158" s="25">
        <v>65</v>
      </c>
      <c r="JE158" s="25">
        <v>65</v>
      </c>
      <c r="JF158" s="25">
        <v>65</v>
      </c>
      <c r="JG158" s="25">
        <v>65</v>
      </c>
      <c r="JH158" s="25">
        <v>65</v>
      </c>
      <c r="JI158" s="25">
        <v>65</v>
      </c>
      <c r="JJ158" s="25">
        <v>65</v>
      </c>
      <c r="JK158" s="25">
        <v>65</v>
      </c>
      <c r="JL158" s="25">
        <v>65</v>
      </c>
      <c r="JM158" s="25">
        <v>65</v>
      </c>
      <c r="JN158" s="25">
        <v>65</v>
      </c>
      <c r="JO158" s="25">
        <v>65</v>
      </c>
      <c r="JP158" s="25">
        <v>65</v>
      </c>
      <c r="JQ158" s="25">
        <v>65</v>
      </c>
      <c r="JR158" s="25">
        <v>65</v>
      </c>
      <c r="JS158" s="25">
        <v>65</v>
      </c>
      <c r="JT158" s="25">
        <v>65</v>
      </c>
      <c r="JU158" s="25">
        <v>65</v>
      </c>
      <c r="JV158" s="25">
        <v>65</v>
      </c>
      <c r="JW158" s="25">
        <v>65</v>
      </c>
      <c r="JX158" s="25">
        <v>65</v>
      </c>
      <c r="JY158" s="25">
        <v>65</v>
      </c>
      <c r="JZ158" s="25">
        <v>65</v>
      </c>
      <c r="KA158" s="25">
        <v>65</v>
      </c>
      <c r="KB158" s="25">
        <v>65</v>
      </c>
      <c r="KC158" s="25">
        <v>65</v>
      </c>
      <c r="KD158" s="25">
        <v>65</v>
      </c>
      <c r="KE158" s="25">
        <v>65</v>
      </c>
      <c r="KF158" s="25">
        <v>65</v>
      </c>
      <c r="KG158" s="25">
        <v>65</v>
      </c>
      <c r="KH158" s="25">
        <v>65</v>
      </c>
      <c r="KI158" s="25">
        <v>65</v>
      </c>
      <c r="KJ158" s="25">
        <v>65</v>
      </c>
      <c r="KK158" s="25">
        <v>65</v>
      </c>
      <c r="KL158" s="25">
        <v>65</v>
      </c>
      <c r="KM158" s="25">
        <v>65</v>
      </c>
      <c r="KN158" s="25">
        <v>65</v>
      </c>
      <c r="KO158" s="25">
        <v>65</v>
      </c>
      <c r="KP158" s="25">
        <v>65</v>
      </c>
      <c r="KQ158" s="25">
        <v>65</v>
      </c>
      <c r="KR158" s="25">
        <v>65</v>
      </c>
      <c r="KS158" s="25">
        <v>65</v>
      </c>
      <c r="KT158" s="25">
        <v>65</v>
      </c>
      <c r="KU158" s="25">
        <v>65</v>
      </c>
      <c r="KV158" s="25">
        <v>65</v>
      </c>
      <c r="KW158" s="25">
        <v>65</v>
      </c>
      <c r="KX158" s="25">
        <v>65</v>
      </c>
      <c r="KY158" s="25">
        <v>65</v>
      </c>
      <c r="KZ158" s="25">
        <v>65</v>
      </c>
      <c r="LA158" s="25">
        <v>65</v>
      </c>
      <c r="LB158" s="25">
        <v>65</v>
      </c>
      <c r="LC158" s="25">
        <v>65</v>
      </c>
      <c r="LD158" s="25">
        <v>65</v>
      </c>
      <c r="LE158" s="25">
        <v>65</v>
      </c>
      <c r="LF158" s="25">
        <v>65</v>
      </c>
      <c r="LG158" s="25">
        <v>65</v>
      </c>
      <c r="LH158" s="25">
        <v>65</v>
      </c>
      <c r="LI158" s="25">
        <v>65</v>
      </c>
      <c r="LJ158" s="25">
        <v>65</v>
      </c>
      <c r="LK158" s="25">
        <v>65</v>
      </c>
      <c r="LL158" s="25">
        <v>65</v>
      </c>
      <c r="LM158" s="25">
        <v>65</v>
      </c>
      <c r="LN158" s="25">
        <v>65</v>
      </c>
      <c r="LO158" s="25">
        <v>65</v>
      </c>
      <c r="LP158" s="25">
        <v>65</v>
      </c>
      <c r="LQ158" s="25">
        <v>65</v>
      </c>
      <c r="LR158" s="25">
        <v>65</v>
      </c>
      <c r="LS158" s="25">
        <v>65</v>
      </c>
      <c r="LT158" s="25">
        <v>65</v>
      </c>
      <c r="LU158" s="25">
        <v>65</v>
      </c>
      <c r="LV158" s="25">
        <v>65</v>
      </c>
      <c r="LW158" s="25">
        <v>65</v>
      </c>
      <c r="LX158" s="25">
        <v>65</v>
      </c>
      <c r="LY158" s="25">
        <v>65</v>
      </c>
      <c r="LZ158" s="25">
        <v>65</v>
      </c>
      <c r="MA158" s="25">
        <v>65</v>
      </c>
      <c r="MB158" s="25">
        <v>65</v>
      </c>
      <c r="MC158" s="25">
        <v>65</v>
      </c>
      <c r="MD158" s="25">
        <v>65</v>
      </c>
      <c r="ME158" s="25">
        <v>65</v>
      </c>
      <c r="MF158" s="25">
        <v>65</v>
      </c>
      <c r="MG158" s="25">
        <v>65</v>
      </c>
      <c r="MH158" s="25">
        <v>65</v>
      </c>
      <c r="MI158" s="25">
        <v>65</v>
      </c>
      <c r="MJ158" s="25">
        <v>65</v>
      </c>
      <c r="MK158" s="25">
        <v>65</v>
      </c>
      <c r="ML158" s="25">
        <v>65</v>
      </c>
      <c r="MM158" s="25">
        <v>65</v>
      </c>
      <c r="MN158" s="25">
        <v>65</v>
      </c>
      <c r="MO158" s="25">
        <v>65</v>
      </c>
      <c r="MP158" s="25">
        <v>65</v>
      </c>
      <c r="MQ158" s="25">
        <v>65</v>
      </c>
      <c r="MR158" s="25">
        <v>65</v>
      </c>
      <c r="MS158" s="25">
        <v>65</v>
      </c>
      <c r="MT158" s="25">
        <v>65</v>
      </c>
      <c r="MU158" s="25">
        <v>65</v>
      </c>
      <c r="MV158" s="25">
        <v>65</v>
      </c>
      <c r="MW158" s="25">
        <v>65</v>
      </c>
      <c r="MX158" s="25">
        <v>65</v>
      </c>
      <c r="MY158" s="25">
        <v>65</v>
      </c>
      <c r="MZ158" s="25">
        <v>65</v>
      </c>
      <c r="NA158" s="25">
        <v>65</v>
      </c>
      <c r="NB158" s="25">
        <v>65</v>
      </c>
      <c r="NC158" s="25">
        <v>65</v>
      </c>
      <c r="ND158" s="25">
        <v>65</v>
      </c>
      <c r="NE158" s="25">
        <v>65</v>
      </c>
      <c r="NF158" s="25">
        <v>65</v>
      </c>
      <c r="NG158" s="25">
        <v>65</v>
      </c>
      <c r="NH158" s="25">
        <v>65</v>
      </c>
      <c r="NI158" s="25">
        <v>65</v>
      </c>
      <c r="NJ158" s="25">
        <v>65</v>
      </c>
      <c r="NK158" s="25">
        <v>65</v>
      </c>
      <c r="NL158" s="25">
        <v>65</v>
      </c>
      <c r="NM158" s="25">
        <v>65</v>
      </c>
      <c r="NN158" s="25">
        <v>65</v>
      </c>
      <c r="NO158" s="25">
        <v>65</v>
      </c>
      <c r="NP158" s="25">
        <v>65</v>
      </c>
      <c r="NQ158" s="25">
        <v>65</v>
      </c>
      <c r="NR158" s="25">
        <v>65</v>
      </c>
      <c r="NS158" s="25">
        <v>65</v>
      </c>
      <c r="NT158" s="25">
        <v>65</v>
      </c>
      <c r="NU158" s="25">
        <v>65</v>
      </c>
      <c r="NV158" s="25">
        <v>65</v>
      </c>
      <c r="NW158" s="25">
        <v>65</v>
      </c>
      <c r="NX158" s="25">
        <v>65</v>
      </c>
      <c r="NY158" s="25">
        <v>65</v>
      </c>
      <c r="NZ158" s="25">
        <v>65</v>
      </c>
      <c r="OA158" s="25">
        <v>65</v>
      </c>
      <c r="OB158" s="25">
        <v>65</v>
      </c>
      <c r="OC158" s="25">
        <v>65</v>
      </c>
      <c r="OD158" s="25">
        <v>65</v>
      </c>
      <c r="OE158" s="25">
        <v>65</v>
      </c>
    </row>
    <row r="159" spans="1:395" outlineLevel="1" x14ac:dyDescent="0.3">
      <c r="E159" s="6"/>
      <c r="K159" s="65"/>
      <c r="L159" s="55"/>
      <c r="M159" s="66"/>
      <c r="N159" s="25" t="s">
        <v>79</v>
      </c>
      <c r="O159" s="25"/>
      <c r="P159" s="27" t="s">
        <v>15</v>
      </c>
      <c r="Q159" s="25" cm="1">
        <f t="array" ref="Q159:OE159">_xlfn.ANCHORARRAY(Q158)*E97</f>
        <v>63.05</v>
      </c>
      <c r="R159" s="25">
        <v>63.05</v>
      </c>
      <c r="S159" s="25">
        <v>63.05</v>
      </c>
      <c r="T159" s="25">
        <v>63.05</v>
      </c>
      <c r="U159" s="25">
        <v>63.05</v>
      </c>
      <c r="V159" s="25">
        <v>63.05</v>
      </c>
      <c r="W159" s="25">
        <v>63.05</v>
      </c>
      <c r="X159" s="25">
        <v>63.05</v>
      </c>
      <c r="Y159" s="25">
        <v>63.05</v>
      </c>
      <c r="Z159" s="25">
        <v>63.05</v>
      </c>
      <c r="AA159" s="25">
        <v>63.05</v>
      </c>
      <c r="AB159" s="25">
        <v>63.05</v>
      </c>
      <c r="AC159" s="25">
        <v>63.05</v>
      </c>
      <c r="AD159" s="25">
        <v>63.05</v>
      </c>
      <c r="AE159" s="25">
        <v>63.05</v>
      </c>
      <c r="AF159" s="25">
        <v>63.05</v>
      </c>
      <c r="AG159" s="25">
        <v>63.05</v>
      </c>
      <c r="AH159" s="25">
        <v>63.05</v>
      </c>
      <c r="AI159" s="25">
        <v>63.05</v>
      </c>
      <c r="AJ159" s="25">
        <v>63.05</v>
      </c>
      <c r="AK159" s="25">
        <v>63.05</v>
      </c>
      <c r="AL159" s="25">
        <v>63.05</v>
      </c>
      <c r="AM159" s="25">
        <v>63.05</v>
      </c>
      <c r="AN159" s="25">
        <v>63.05</v>
      </c>
      <c r="AO159" s="25">
        <v>63.05</v>
      </c>
      <c r="AP159" s="25">
        <v>63.05</v>
      </c>
      <c r="AQ159" s="25">
        <v>63.05</v>
      </c>
      <c r="AR159" s="25">
        <v>63.05</v>
      </c>
      <c r="AS159" s="25">
        <v>63.05</v>
      </c>
      <c r="AT159" s="25">
        <v>63.05</v>
      </c>
      <c r="AU159" s="25">
        <v>63.05</v>
      </c>
      <c r="AV159" s="25">
        <v>63.05</v>
      </c>
      <c r="AW159" s="25">
        <v>63.05</v>
      </c>
      <c r="AX159" s="25">
        <v>63.05</v>
      </c>
      <c r="AY159" s="25">
        <v>63.05</v>
      </c>
      <c r="AZ159" s="25">
        <v>63.05</v>
      </c>
      <c r="BA159" s="25">
        <v>63.05</v>
      </c>
      <c r="BB159" s="25">
        <v>63.05</v>
      </c>
      <c r="BC159" s="25">
        <v>63.05</v>
      </c>
      <c r="BD159" s="25">
        <v>63.05</v>
      </c>
      <c r="BE159" s="25">
        <v>63.05</v>
      </c>
      <c r="BF159" s="25">
        <v>63.05</v>
      </c>
      <c r="BG159" s="25">
        <v>63.05</v>
      </c>
      <c r="BH159" s="25">
        <v>63.05</v>
      </c>
      <c r="BI159" s="25">
        <v>63.05</v>
      </c>
      <c r="BJ159" s="25">
        <v>63.05</v>
      </c>
      <c r="BK159" s="25">
        <v>63.05</v>
      </c>
      <c r="BL159" s="25">
        <v>63.05</v>
      </c>
      <c r="BM159" s="25">
        <v>63.05</v>
      </c>
      <c r="BN159" s="25">
        <v>63.05</v>
      </c>
      <c r="BO159" s="25">
        <v>63.05</v>
      </c>
      <c r="BP159" s="25">
        <v>63.05</v>
      </c>
      <c r="BQ159" s="25">
        <v>63.05</v>
      </c>
      <c r="BR159" s="25">
        <v>63.05</v>
      </c>
      <c r="BS159" s="25">
        <v>63.05</v>
      </c>
      <c r="BT159" s="25">
        <v>63.05</v>
      </c>
      <c r="BU159" s="25">
        <v>63.05</v>
      </c>
      <c r="BV159" s="25">
        <v>63.05</v>
      </c>
      <c r="BW159" s="25">
        <v>63.05</v>
      </c>
      <c r="BX159" s="25">
        <v>63.05</v>
      </c>
      <c r="BY159" s="25">
        <v>63.05</v>
      </c>
      <c r="BZ159" s="25">
        <v>63.05</v>
      </c>
      <c r="CA159" s="25">
        <v>63.05</v>
      </c>
      <c r="CB159" s="25">
        <v>63.05</v>
      </c>
      <c r="CC159" s="25">
        <v>63.05</v>
      </c>
      <c r="CD159" s="25">
        <v>63.05</v>
      </c>
      <c r="CE159" s="25">
        <v>63.05</v>
      </c>
      <c r="CF159" s="25">
        <v>63.05</v>
      </c>
      <c r="CG159" s="25">
        <v>63.05</v>
      </c>
      <c r="CH159" s="25">
        <v>63.05</v>
      </c>
      <c r="CI159" s="25">
        <v>63.05</v>
      </c>
      <c r="CJ159" s="25">
        <v>63.05</v>
      </c>
      <c r="CK159" s="25">
        <v>63.05</v>
      </c>
      <c r="CL159" s="25">
        <v>63.05</v>
      </c>
      <c r="CM159" s="25">
        <v>63.05</v>
      </c>
      <c r="CN159" s="25">
        <v>63.05</v>
      </c>
      <c r="CO159" s="25">
        <v>63.05</v>
      </c>
      <c r="CP159" s="25">
        <v>63.05</v>
      </c>
      <c r="CQ159" s="25">
        <v>63.05</v>
      </c>
      <c r="CR159" s="25">
        <v>63.05</v>
      </c>
      <c r="CS159" s="25">
        <v>63.05</v>
      </c>
      <c r="CT159" s="25">
        <v>63.05</v>
      </c>
      <c r="CU159" s="25">
        <v>63.05</v>
      </c>
      <c r="CV159" s="25">
        <v>63.05</v>
      </c>
      <c r="CW159" s="25">
        <v>63.05</v>
      </c>
      <c r="CX159" s="25">
        <v>63.05</v>
      </c>
      <c r="CY159" s="25">
        <v>63.05</v>
      </c>
      <c r="CZ159" s="25">
        <v>63.05</v>
      </c>
      <c r="DA159" s="25">
        <v>63.05</v>
      </c>
      <c r="DB159" s="25">
        <v>63.05</v>
      </c>
      <c r="DC159" s="25">
        <v>63.05</v>
      </c>
      <c r="DD159" s="25">
        <v>63.05</v>
      </c>
      <c r="DE159" s="25">
        <v>63.05</v>
      </c>
      <c r="DF159" s="25">
        <v>63.05</v>
      </c>
      <c r="DG159" s="25">
        <v>63.05</v>
      </c>
      <c r="DH159" s="25">
        <v>63.05</v>
      </c>
      <c r="DI159" s="25">
        <v>63.05</v>
      </c>
      <c r="DJ159" s="25">
        <v>63.05</v>
      </c>
      <c r="DK159" s="25">
        <v>63.05</v>
      </c>
      <c r="DL159" s="25">
        <v>63.05</v>
      </c>
      <c r="DM159" s="25">
        <v>63.05</v>
      </c>
      <c r="DN159" s="25">
        <v>63.05</v>
      </c>
      <c r="DO159" s="25">
        <v>63.05</v>
      </c>
      <c r="DP159" s="25">
        <v>63.05</v>
      </c>
      <c r="DQ159" s="25">
        <v>63.05</v>
      </c>
      <c r="DR159" s="25">
        <v>63.05</v>
      </c>
      <c r="DS159" s="25">
        <v>63.05</v>
      </c>
      <c r="DT159" s="25">
        <v>63.05</v>
      </c>
      <c r="DU159" s="25">
        <v>63.05</v>
      </c>
      <c r="DV159" s="25">
        <v>63.05</v>
      </c>
      <c r="DW159" s="25">
        <v>63.05</v>
      </c>
      <c r="DX159" s="25">
        <v>63.05</v>
      </c>
      <c r="DY159" s="25">
        <v>63.05</v>
      </c>
      <c r="DZ159" s="25">
        <v>63.05</v>
      </c>
      <c r="EA159" s="25">
        <v>63.05</v>
      </c>
      <c r="EB159" s="25">
        <v>63.05</v>
      </c>
      <c r="EC159" s="25">
        <v>63.05</v>
      </c>
      <c r="ED159" s="25">
        <v>63.05</v>
      </c>
      <c r="EE159" s="25">
        <v>63.05</v>
      </c>
      <c r="EF159" s="25">
        <v>63.05</v>
      </c>
      <c r="EG159" s="25">
        <v>63.05</v>
      </c>
      <c r="EH159" s="25">
        <v>63.05</v>
      </c>
      <c r="EI159" s="25">
        <v>63.05</v>
      </c>
      <c r="EJ159" s="25">
        <v>63.05</v>
      </c>
      <c r="EK159" s="25">
        <v>63.05</v>
      </c>
      <c r="EL159" s="25">
        <v>63.05</v>
      </c>
      <c r="EM159" s="25">
        <v>63.05</v>
      </c>
      <c r="EN159" s="25">
        <v>63.05</v>
      </c>
      <c r="EO159" s="25">
        <v>63.05</v>
      </c>
      <c r="EP159" s="25">
        <v>63.05</v>
      </c>
      <c r="EQ159" s="25">
        <v>63.05</v>
      </c>
      <c r="ER159" s="25">
        <v>63.05</v>
      </c>
      <c r="ES159" s="25">
        <v>63.05</v>
      </c>
      <c r="ET159" s="25">
        <v>63.05</v>
      </c>
      <c r="EU159" s="25">
        <v>63.05</v>
      </c>
      <c r="EV159" s="25">
        <v>63.05</v>
      </c>
      <c r="EW159" s="25">
        <v>63.05</v>
      </c>
      <c r="EX159" s="25">
        <v>63.05</v>
      </c>
      <c r="EY159" s="25">
        <v>63.05</v>
      </c>
      <c r="EZ159" s="25">
        <v>63.05</v>
      </c>
      <c r="FA159" s="25">
        <v>63.05</v>
      </c>
      <c r="FB159" s="25">
        <v>63.05</v>
      </c>
      <c r="FC159" s="25">
        <v>63.05</v>
      </c>
      <c r="FD159" s="25">
        <v>63.05</v>
      </c>
      <c r="FE159" s="25">
        <v>63.05</v>
      </c>
      <c r="FF159" s="25">
        <v>63.05</v>
      </c>
      <c r="FG159" s="25">
        <v>63.05</v>
      </c>
      <c r="FH159" s="25">
        <v>63.05</v>
      </c>
      <c r="FI159" s="25">
        <v>63.05</v>
      </c>
      <c r="FJ159" s="25">
        <v>63.05</v>
      </c>
      <c r="FK159" s="25">
        <v>63.05</v>
      </c>
      <c r="FL159" s="25">
        <v>63.05</v>
      </c>
      <c r="FM159" s="25">
        <v>63.05</v>
      </c>
      <c r="FN159" s="25">
        <v>63.05</v>
      </c>
      <c r="FO159" s="25">
        <v>63.05</v>
      </c>
      <c r="FP159" s="25">
        <v>63.05</v>
      </c>
      <c r="FQ159" s="25">
        <v>63.05</v>
      </c>
      <c r="FR159" s="25">
        <v>63.05</v>
      </c>
      <c r="FS159" s="25">
        <v>63.05</v>
      </c>
      <c r="FT159" s="25">
        <v>63.05</v>
      </c>
      <c r="FU159" s="25">
        <v>63.05</v>
      </c>
      <c r="FV159" s="25">
        <v>63.05</v>
      </c>
      <c r="FW159" s="25">
        <v>63.05</v>
      </c>
      <c r="FX159" s="25">
        <v>63.05</v>
      </c>
      <c r="FY159" s="25">
        <v>63.05</v>
      </c>
      <c r="FZ159" s="25">
        <v>63.05</v>
      </c>
      <c r="GA159" s="25">
        <v>63.05</v>
      </c>
      <c r="GB159" s="25">
        <v>63.05</v>
      </c>
      <c r="GC159" s="25">
        <v>63.05</v>
      </c>
      <c r="GD159" s="25">
        <v>63.05</v>
      </c>
      <c r="GE159" s="25">
        <v>63.05</v>
      </c>
      <c r="GF159" s="25">
        <v>63.05</v>
      </c>
      <c r="GG159" s="25">
        <v>63.05</v>
      </c>
      <c r="GH159" s="25">
        <v>63.05</v>
      </c>
      <c r="GI159" s="25">
        <v>63.05</v>
      </c>
      <c r="GJ159" s="25">
        <v>63.05</v>
      </c>
      <c r="GK159" s="25">
        <v>63.05</v>
      </c>
      <c r="GL159" s="25">
        <v>63.05</v>
      </c>
      <c r="GM159" s="25">
        <v>63.05</v>
      </c>
      <c r="GN159" s="25">
        <v>63.05</v>
      </c>
      <c r="GO159" s="25">
        <v>63.05</v>
      </c>
      <c r="GP159" s="25">
        <v>63.05</v>
      </c>
      <c r="GQ159" s="25">
        <v>63.05</v>
      </c>
      <c r="GR159" s="25">
        <v>63.05</v>
      </c>
      <c r="GS159" s="25">
        <v>63.05</v>
      </c>
      <c r="GT159" s="25">
        <v>63.05</v>
      </c>
      <c r="GU159" s="25">
        <v>63.05</v>
      </c>
      <c r="GV159" s="25">
        <v>63.05</v>
      </c>
      <c r="GW159" s="25">
        <v>63.05</v>
      </c>
      <c r="GX159" s="25">
        <v>63.05</v>
      </c>
      <c r="GY159" s="25">
        <v>63.05</v>
      </c>
      <c r="GZ159" s="25">
        <v>63.05</v>
      </c>
      <c r="HA159" s="25">
        <v>63.05</v>
      </c>
      <c r="HB159" s="25">
        <v>63.05</v>
      </c>
      <c r="HC159" s="25">
        <v>63.05</v>
      </c>
      <c r="HD159" s="25">
        <v>63.05</v>
      </c>
      <c r="HE159" s="25">
        <v>63.05</v>
      </c>
      <c r="HF159" s="25">
        <v>63.05</v>
      </c>
      <c r="HG159" s="25">
        <v>63.05</v>
      </c>
      <c r="HH159" s="25">
        <v>63.05</v>
      </c>
      <c r="HI159" s="25">
        <v>63.05</v>
      </c>
      <c r="HJ159" s="25">
        <v>63.05</v>
      </c>
      <c r="HK159" s="25">
        <v>63.05</v>
      </c>
      <c r="HL159" s="25">
        <v>63.05</v>
      </c>
      <c r="HM159" s="25">
        <v>63.05</v>
      </c>
      <c r="HN159" s="25">
        <v>63.05</v>
      </c>
      <c r="HO159" s="25">
        <v>63.05</v>
      </c>
      <c r="HP159" s="25">
        <v>63.05</v>
      </c>
      <c r="HQ159" s="25">
        <v>63.05</v>
      </c>
      <c r="HR159" s="25">
        <v>63.05</v>
      </c>
      <c r="HS159" s="25">
        <v>63.05</v>
      </c>
      <c r="HT159" s="25">
        <v>63.05</v>
      </c>
      <c r="HU159" s="25">
        <v>63.05</v>
      </c>
      <c r="HV159" s="25">
        <v>63.05</v>
      </c>
      <c r="HW159" s="25">
        <v>63.05</v>
      </c>
      <c r="HX159" s="25">
        <v>63.05</v>
      </c>
      <c r="HY159" s="25">
        <v>63.05</v>
      </c>
      <c r="HZ159" s="25">
        <v>63.05</v>
      </c>
      <c r="IA159" s="25">
        <v>63.05</v>
      </c>
      <c r="IB159" s="25">
        <v>63.05</v>
      </c>
      <c r="IC159" s="25">
        <v>63.05</v>
      </c>
      <c r="ID159" s="25">
        <v>63.05</v>
      </c>
      <c r="IE159" s="25">
        <v>63.05</v>
      </c>
      <c r="IF159" s="25">
        <v>63.05</v>
      </c>
      <c r="IG159" s="25">
        <v>63.05</v>
      </c>
      <c r="IH159" s="25">
        <v>63.05</v>
      </c>
      <c r="II159" s="25">
        <v>63.05</v>
      </c>
      <c r="IJ159" s="25">
        <v>63.05</v>
      </c>
      <c r="IK159" s="25">
        <v>63.05</v>
      </c>
      <c r="IL159" s="25">
        <v>63.05</v>
      </c>
      <c r="IM159" s="25">
        <v>63.05</v>
      </c>
      <c r="IN159" s="25">
        <v>63.05</v>
      </c>
      <c r="IO159" s="25">
        <v>63.05</v>
      </c>
      <c r="IP159" s="25">
        <v>63.05</v>
      </c>
      <c r="IQ159" s="25">
        <v>63.05</v>
      </c>
      <c r="IR159" s="25">
        <v>63.05</v>
      </c>
      <c r="IS159" s="25">
        <v>63.05</v>
      </c>
      <c r="IT159" s="25">
        <v>63.05</v>
      </c>
      <c r="IU159" s="25">
        <v>63.05</v>
      </c>
      <c r="IV159" s="25">
        <v>63.05</v>
      </c>
      <c r="IW159" s="25">
        <v>63.05</v>
      </c>
      <c r="IX159" s="25">
        <v>63.05</v>
      </c>
      <c r="IY159" s="25">
        <v>63.05</v>
      </c>
      <c r="IZ159" s="25">
        <v>63.05</v>
      </c>
      <c r="JA159" s="25">
        <v>63.05</v>
      </c>
      <c r="JB159" s="25">
        <v>63.05</v>
      </c>
      <c r="JC159" s="25">
        <v>63.05</v>
      </c>
      <c r="JD159" s="25">
        <v>63.05</v>
      </c>
      <c r="JE159" s="25">
        <v>63.05</v>
      </c>
      <c r="JF159" s="25">
        <v>63.05</v>
      </c>
      <c r="JG159" s="25">
        <v>63.05</v>
      </c>
      <c r="JH159" s="25">
        <v>63.05</v>
      </c>
      <c r="JI159" s="25">
        <v>63.05</v>
      </c>
      <c r="JJ159" s="25">
        <v>63.05</v>
      </c>
      <c r="JK159" s="25">
        <v>63.05</v>
      </c>
      <c r="JL159" s="25">
        <v>63.05</v>
      </c>
      <c r="JM159" s="25">
        <v>63.05</v>
      </c>
      <c r="JN159" s="25">
        <v>63.05</v>
      </c>
      <c r="JO159" s="25">
        <v>63.05</v>
      </c>
      <c r="JP159" s="25">
        <v>63.05</v>
      </c>
      <c r="JQ159" s="25">
        <v>63.05</v>
      </c>
      <c r="JR159" s="25">
        <v>63.05</v>
      </c>
      <c r="JS159" s="25">
        <v>63.05</v>
      </c>
      <c r="JT159" s="25">
        <v>63.05</v>
      </c>
      <c r="JU159" s="25">
        <v>63.05</v>
      </c>
      <c r="JV159" s="25">
        <v>63.05</v>
      </c>
      <c r="JW159" s="25">
        <v>63.05</v>
      </c>
      <c r="JX159" s="25">
        <v>63.05</v>
      </c>
      <c r="JY159" s="25">
        <v>63.05</v>
      </c>
      <c r="JZ159" s="25">
        <v>63.05</v>
      </c>
      <c r="KA159" s="25">
        <v>63.05</v>
      </c>
      <c r="KB159" s="25">
        <v>63.05</v>
      </c>
      <c r="KC159" s="25">
        <v>63.05</v>
      </c>
      <c r="KD159" s="25">
        <v>63.05</v>
      </c>
      <c r="KE159" s="25">
        <v>63.05</v>
      </c>
      <c r="KF159" s="25">
        <v>63.05</v>
      </c>
      <c r="KG159" s="25">
        <v>63.05</v>
      </c>
      <c r="KH159" s="25">
        <v>63.05</v>
      </c>
      <c r="KI159" s="25">
        <v>63.05</v>
      </c>
      <c r="KJ159" s="25">
        <v>63.05</v>
      </c>
      <c r="KK159" s="25">
        <v>63.05</v>
      </c>
      <c r="KL159" s="25">
        <v>63.05</v>
      </c>
      <c r="KM159" s="25">
        <v>63.05</v>
      </c>
      <c r="KN159" s="25">
        <v>63.05</v>
      </c>
      <c r="KO159" s="25">
        <v>63.05</v>
      </c>
      <c r="KP159" s="25">
        <v>63.05</v>
      </c>
      <c r="KQ159" s="25">
        <v>63.05</v>
      </c>
      <c r="KR159" s="25">
        <v>63.05</v>
      </c>
      <c r="KS159" s="25">
        <v>63.05</v>
      </c>
      <c r="KT159" s="25">
        <v>63.05</v>
      </c>
      <c r="KU159" s="25">
        <v>63.05</v>
      </c>
      <c r="KV159" s="25">
        <v>63.05</v>
      </c>
      <c r="KW159" s="25">
        <v>63.05</v>
      </c>
      <c r="KX159" s="25">
        <v>63.05</v>
      </c>
      <c r="KY159" s="25">
        <v>63.05</v>
      </c>
      <c r="KZ159" s="25">
        <v>63.05</v>
      </c>
      <c r="LA159" s="25">
        <v>63.05</v>
      </c>
      <c r="LB159" s="25">
        <v>63.05</v>
      </c>
      <c r="LC159" s="25">
        <v>63.05</v>
      </c>
      <c r="LD159" s="25">
        <v>63.05</v>
      </c>
      <c r="LE159" s="25">
        <v>63.05</v>
      </c>
      <c r="LF159" s="25">
        <v>63.05</v>
      </c>
      <c r="LG159" s="25">
        <v>63.05</v>
      </c>
      <c r="LH159" s="25">
        <v>63.05</v>
      </c>
      <c r="LI159" s="25">
        <v>63.05</v>
      </c>
      <c r="LJ159" s="25">
        <v>63.05</v>
      </c>
      <c r="LK159" s="25">
        <v>63.05</v>
      </c>
      <c r="LL159" s="25">
        <v>63.05</v>
      </c>
      <c r="LM159" s="25">
        <v>63.05</v>
      </c>
      <c r="LN159" s="25">
        <v>63.05</v>
      </c>
      <c r="LO159" s="25">
        <v>63.05</v>
      </c>
      <c r="LP159" s="25">
        <v>63.05</v>
      </c>
      <c r="LQ159" s="25">
        <v>63.05</v>
      </c>
      <c r="LR159" s="25">
        <v>63.05</v>
      </c>
      <c r="LS159" s="25">
        <v>63.05</v>
      </c>
      <c r="LT159" s="25">
        <v>63.05</v>
      </c>
      <c r="LU159" s="25">
        <v>63.05</v>
      </c>
      <c r="LV159" s="25">
        <v>63.05</v>
      </c>
      <c r="LW159" s="25">
        <v>63.05</v>
      </c>
      <c r="LX159" s="25">
        <v>63.05</v>
      </c>
      <c r="LY159" s="25">
        <v>63.05</v>
      </c>
      <c r="LZ159" s="25">
        <v>63.05</v>
      </c>
      <c r="MA159" s="25">
        <v>63.05</v>
      </c>
      <c r="MB159" s="25">
        <v>63.05</v>
      </c>
      <c r="MC159" s="25">
        <v>63.05</v>
      </c>
      <c r="MD159" s="25">
        <v>63.05</v>
      </c>
      <c r="ME159" s="25">
        <v>63.05</v>
      </c>
      <c r="MF159" s="25">
        <v>63.05</v>
      </c>
      <c r="MG159" s="25">
        <v>63.05</v>
      </c>
      <c r="MH159" s="25">
        <v>63.05</v>
      </c>
      <c r="MI159" s="25">
        <v>63.05</v>
      </c>
      <c r="MJ159" s="25">
        <v>63.05</v>
      </c>
      <c r="MK159" s="25">
        <v>63.05</v>
      </c>
      <c r="ML159" s="25">
        <v>63.05</v>
      </c>
      <c r="MM159" s="25">
        <v>63.05</v>
      </c>
      <c r="MN159" s="25">
        <v>63.05</v>
      </c>
      <c r="MO159" s="25">
        <v>63.05</v>
      </c>
      <c r="MP159" s="25">
        <v>63.05</v>
      </c>
      <c r="MQ159" s="25">
        <v>63.05</v>
      </c>
      <c r="MR159" s="25">
        <v>63.05</v>
      </c>
      <c r="MS159" s="25">
        <v>63.05</v>
      </c>
      <c r="MT159" s="25">
        <v>63.05</v>
      </c>
      <c r="MU159" s="25">
        <v>63.05</v>
      </c>
      <c r="MV159" s="25">
        <v>63.05</v>
      </c>
      <c r="MW159" s="25">
        <v>63.05</v>
      </c>
      <c r="MX159" s="25">
        <v>63.05</v>
      </c>
      <c r="MY159" s="25">
        <v>63.05</v>
      </c>
      <c r="MZ159" s="25">
        <v>63.05</v>
      </c>
      <c r="NA159" s="25">
        <v>63.05</v>
      </c>
      <c r="NB159" s="25">
        <v>63.05</v>
      </c>
      <c r="NC159" s="25">
        <v>63.05</v>
      </c>
      <c r="ND159" s="25">
        <v>63.05</v>
      </c>
      <c r="NE159" s="25">
        <v>63.05</v>
      </c>
      <c r="NF159" s="25">
        <v>63.05</v>
      </c>
      <c r="NG159" s="25">
        <v>63.05</v>
      </c>
      <c r="NH159" s="25">
        <v>63.05</v>
      </c>
      <c r="NI159" s="25">
        <v>63.05</v>
      </c>
      <c r="NJ159" s="25">
        <v>63.05</v>
      </c>
      <c r="NK159" s="25">
        <v>63.05</v>
      </c>
      <c r="NL159" s="25">
        <v>63.05</v>
      </c>
      <c r="NM159" s="25">
        <v>63.05</v>
      </c>
      <c r="NN159" s="25">
        <v>63.05</v>
      </c>
      <c r="NO159" s="25">
        <v>63.05</v>
      </c>
      <c r="NP159" s="25">
        <v>63.05</v>
      </c>
      <c r="NQ159" s="25">
        <v>63.05</v>
      </c>
      <c r="NR159" s="25">
        <v>63.05</v>
      </c>
      <c r="NS159" s="25">
        <v>63.05</v>
      </c>
      <c r="NT159" s="25">
        <v>63.05</v>
      </c>
      <c r="NU159" s="25">
        <v>63.05</v>
      </c>
      <c r="NV159" s="25">
        <v>63.05</v>
      </c>
      <c r="NW159" s="25">
        <v>63.05</v>
      </c>
      <c r="NX159" s="25">
        <v>63.05</v>
      </c>
      <c r="NY159" s="25">
        <v>63.05</v>
      </c>
      <c r="NZ159" s="25">
        <v>63.05</v>
      </c>
      <c r="OA159" s="25">
        <v>63.05</v>
      </c>
      <c r="OB159" s="25">
        <v>63.05</v>
      </c>
      <c r="OC159" s="25">
        <v>63.05</v>
      </c>
      <c r="OD159" s="25">
        <v>63.05</v>
      </c>
      <c r="OE159" s="25">
        <v>63.05</v>
      </c>
    </row>
    <row r="160" spans="1:395" x14ac:dyDescent="0.3">
      <c r="E160" s="6"/>
      <c r="K160" s="65"/>
      <c r="L160" s="55"/>
      <c r="M160" s="66"/>
      <c r="N160" t="s">
        <v>133</v>
      </c>
      <c r="P160" s="7" t="s">
        <v>15</v>
      </c>
      <c r="Q160" cm="1">
        <f t="array" ref="Q160:OE160">IF(_xlfn.ANCHORARRAY(Q4)&lt;=E95,Q156+Q157, IF(_xlfn.ANCHORARRAY(Q4)&lt;=E93,Q156,Q159))</f>
        <v>63.05</v>
      </c>
      <c r="R160">
        <v>63.05</v>
      </c>
      <c r="S160">
        <v>63.05</v>
      </c>
      <c r="T160">
        <v>63.05</v>
      </c>
      <c r="U160">
        <v>63.05</v>
      </c>
      <c r="V160">
        <v>63.05</v>
      </c>
      <c r="W160">
        <v>63.05</v>
      </c>
      <c r="X160">
        <v>63.05</v>
      </c>
      <c r="Y160">
        <v>63.05</v>
      </c>
      <c r="Z160">
        <v>63.05</v>
      </c>
      <c r="AA160">
        <v>63.05</v>
      </c>
      <c r="AB160">
        <v>63.05</v>
      </c>
      <c r="AC160">
        <v>63.05</v>
      </c>
      <c r="AD160">
        <v>63.05</v>
      </c>
      <c r="AE160">
        <v>63.05</v>
      </c>
      <c r="AF160">
        <v>63.05</v>
      </c>
      <c r="AG160">
        <v>63.05</v>
      </c>
      <c r="AH160">
        <v>63.05</v>
      </c>
      <c r="AI160">
        <v>63.05</v>
      </c>
      <c r="AJ160">
        <v>63.05</v>
      </c>
      <c r="AK160">
        <v>63.05</v>
      </c>
      <c r="AL160">
        <v>63.05</v>
      </c>
      <c r="AM160">
        <v>63.05</v>
      </c>
      <c r="AN160">
        <v>63.05</v>
      </c>
      <c r="AO160">
        <v>63.05</v>
      </c>
      <c r="AP160">
        <v>63.05</v>
      </c>
      <c r="AQ160">
        <v>63.05</v>
      </c>
      <c r="AR160">
        <v>63.05</v>
      </c>
      <c r="AS160">
        <v>63.05</v>
      </c>
      <c r="AT160">
        <v>63.05</v>
      </c>
      <c r="AU160">
        <v>63.05</v>
      </c>
      <c r="AV160">
        <v>63.05</v>
      </c>
      <c r="AW160">
        <v>63.05</v>
      </c>
      <c r="AX160">
        <v>63.05</v>
      </c>
      <c r="AY160">
        <v>63.05</v>
      </c>
      <c r="AZ160">
        <v>63.05</v>
      </c>
      <c r="BA160">
        <v>63.05</v>
      </c>
      <c r="BB160">
        <v>63.05</v>
      </c>
      <c r="BC160">
        <v>63.05</v>
      </c>
      <c r="BD160">
        <v>63.05</v>
      </c>
      <c r="BE160">
        <v>63.05</v>
      </c>
      <c r="BF160">
        <v>63.05</v>
      </c>
      <c r="BG160">
        <v>63.05</v>
      </c>
      <c r="BH160">
        <v>63.05</v>
      </c>
      <c r="BI160">
        <v>63.05</v>
      </c>
      <c r="BJ160">
        <v>63.05</v>
      </c>
      <c r="BK160">
        <v>63.05</v>
      </c>
      <c r="BL160">
        <v>63.05</v>
      </c>
      <c r="BM160">
        <v>63.05</v>
      </c>
      <c r="BN160">
        <v>63.05</v>
      </c>
      <c r="BO160">
        <v>63.05</v>
      </c>
      <c r="BP160">
        <v>63.05</v>
      </c>
      <c r="BQ160">
        <v>63.05</v>
      </c>
      <c r="BR160">
        <v>63.05</v>
      </c>
      <c r="BS160">
        <v>63.05</v>
      </c>
      <c r="BT160">
        <v>63.05</v>
      </c>
      <c r="BU160">
        <v>63.05</v>
      </c>
      <c r="BV160">
        <v>63.05</v>
      </c>
      <c r="BW160">
        <v>63.05</v>
      </c>
      <c r="BX160">
        <v>63.05</v>
      </c>
      <c r="BY160">
        <v>63.05</v>
      </c>
      <c r="BZ160">
        <v>63.05</v>
      </c>
      <c r="CA160">
        <v>63.05</v>
      </c>
      <c r="CB160">
        <v>63.05</v>
      </c>
      <c r="CC160">
        <v>63.05</v>
      </c>
      <c r="CD160">
        <v>63.05</v>
      </c>
      <c r="CE160">
        <v>63.05</v>
      </c>
      <c r="CF160">
        <v>63.05</v>
      </c>
      <c r="CG160">
        <v>63.05</v>
      </c>
      <c r="CH160">
        <v>63.05</v>
      </c>
      <c r="CI160">
        <v>63.05</v>
      </c>
      <c r="CJ160">
        <v>63.05</v>
      </c>
      <c r="CK160">
        <v>63.05</v>
      </c>
      <c r="CL160">
        <v>63.05</v>
      </c>
      <c r="CM160">
        <v>63.05</v>
      </c>
      <c r="CN160">
        <v>63.05</v>
      </c>
      <c r="CO160">
        <v>63.05</v>
      </c>
      <c r="CP160">
        <v>63.05</v>
      </c>
      <c r="CQ160">
        <v>63.05</v>
      </c>
      <c r="CR160">
        <v>63.05</v>
      </c>
      <c r="CS160">
        <v>63.05</v>
      </c>
      <c r="CT160">
        <v>63.05</v>
      </c>
      <c r="CU160">
        <v>63.05</v>
      </c>
      <c r="CV160">
        <v>63.05</v>
      </c>
      <c r="CW160">
        <v>63.05</v>
      </c>
      <c r="CX160">
        <v>63.05</v>
      </c>
      <c r="CY160">
        <v>63.05</v>
      </c>
      <c r="CZ160">
        <v>63.05</v>
      </c>
      <c r="DA160">
        <v>63.05</v>
      </c>
      <c r="DB160">
        <v>63.05</v>
      </c>
      <c r="DC160">
        <v>63.05</v>
      </c>
      <c r="DD160">
        <v>63.05</v>
      </c>
      <c r="DE160">
        <v>63.05</v>
      </c>
      <c r="DF160">
        <v>63.05</v>
      </c>
      <c r="DG160">
        <v>63.05</v>
      </c>
      <c r="DH160">
        <v>63.05</v>
      </c>
      <c r="DI160">
        <v>63.05</v>
      </c>
      <c r="DJ160">
        <v>63.05</v>
      </c>
      <c r="DK160">
        <v>63.05</v>
      </c>
      <c r="DL160">
        <v>63.05</v>
      </c>
      <c r="DM160">
        <v>63.05</v>
      </c>
      <c r="DN160">
        <v>63.05</v>
      </c>
      <c r="DO160">
        <v>63.05</v>
      </c>
      <c r="DP160">
        <v>63.05</v>
      </c>
      <c r="DQ160">
        <v>63.05</v>
      </c>
      <c r="DR160">
        <v>63.05</v>
      </c>
      <c r="DS160">
        <v>63.05</v>
      </c>
      <c r="DT160">
        <v>63.05</v>
      </c>
      <c r="DU160">
        <v>63.05</v>
      </c>
      <c r="DV160">
        <v>63.05</v>
      </c>
      <c r="DW160">
        <v>63.05</v>
      </c>
      <c r="DX160">
        <v>63.05</v>
      </c>
      <c r="DY160">
        <v>63.05</v>
      </c>
      <c r="DZ160">
        <v>63.05</v>
      </c>
      <c r="EA160">
        <v>63.05</v>
      </c>
      <c r="EB160">
        <v>63.05</v>
      </c>
      <c r="EC160">
        <v>63.05</v>
      </c>
      <c r="ED160">
        <v>63.05</v>
      </c>
      <c r="EE160">
        <v>63.05</v>
      </c>
      <c r="EF160">
        <v>63.05</v>
      </c>
      <c r="EG160">
        <v>63.05</v>
      </c>
      <c r="EH160">
        <v>63.05</v>
      </c>
      <c r="EI160">
        <v>63.05</v>
      </c>
      <c r="EJ160">
        <v>63.05</v>
      </c>
      <c r="EK160">
        <v>63.05</v>
      </c>
      <c r="EL160">
        <v>63.05</v>
      </c>
      <c r="EM160">
        <v>63.05</v>
      </c>
      <c r="EN160">
        <v>63.05</v>
      </c>
      <c r="EO160">
        <v>63.05</v>
      </c>
      <c r="EP160">
        <v>63.05</v>
      </c>
      <c r="EQ160">
        <v>63.05</v>
      </c>
      <c r="ER160">
        <v>63.05</v>
      </c>
      <c r="ES160">
        <v>63.05</v>
      </c>
      <c r="ET160">
        <v>63.05</v>
      </c>
      <c r="EU160">
        <v>63.05</v>
      </c>
      <c r="EV160">
        <v>63.05</v>
      </c>
      <c r="EW160">
        <v>63.05</v>
      </c>
      <c r="EX160">
        <v>63.05</v>
      </c>
      <c r="EY160">
        <v>63.05</v>
      </c>
      <c r="EZ160">
        <v>63.05</v>
      </c>
      <c r="FA160">
        <v>63.05</v>
      </c>
      <c r="FB160">
        <v>63.05</v>
      </c>
      <c r="FC160">
        <v>63.05</v>
      </c>
      <c r="FD160">
        <v>63.05</v>
      </c>
      <c r="FE160">
        <v>63.05</v>
      </c>
      <c r="FF160">
        <v>63.05</v>
      </c>
      <c r="FG160">
        <v>63.05</v>
      </c>
      <c r="FH160">
        <v>63.05</v>
      </c>
      <c r="FI160">
        <v>63.05</v>
      </c>
      <c r="FJ160">
        <v>63.05</v>
      </c>
      <c r="FK160">
        <v>63.05</v>
      </c>
      <c r="FL160">
        <v>63.05</v>
      </c>
      <c r="FM160">
        <v>63.05</v>
      </c>
      <c r="FN160">
        <v>63.05</v>
      </c>
      <c r="FO160">
        <v>63.05</v>
      </c>
      <c r="FP160">
        <v>63.05</v>
      </c>
      <c r="FQ160">
        <v>63.05</v>
      </c>
      <c r="FR160">
        <v>63.05</v>
      </c>
      <c r="FS160">
        <v>63.05</v>
      </c>
      <c r="FT160">
        <v>63.05</v>
      </c>
      <c r="FU160">
        <v>63.05</v>
      </c>
      <c r="FV160">
        <v>63.05</v>
      </c>
      <c r="FW160">
        <v>63.05</v>
      </c>
      <c r="FX160">
        <v>63.05</v>
      </c>
      <c r="FY160">
        <v>63.05</v>
      </c>
      <c r="FZ160">
        <v>63.05</v>
      </c>
      <c r="GA160">
        <v>63.05</v>
      </c>
      <c r="GB160">
        <v>63.05</v>
      </c>
      <c r="GC160">
        <v>63.05</v>
      </c>
      <c r="GD160">
        <v>63.05</v>
      </c>
      <c r="GE160">
        <v>63.05</v>
      </c>
      <c r="GF160">
        <v>63.05</v>
      </c>
      <c r="GG160">
        <v>63.05</v>
      </c>
      <c r="GH160">
        <v>63.05</v>
      </c>
      <c r="GI160">
        <v>63.05</v>
      </c>
      <c r="GJ160">
        <v>63.05</v>
      </c>
      <c r="GK160">
        <v>63.05</v>
      </c>
      <c r="GL160">
        <v>63.05</v>
      </c>
      <c r="GM160">
        <v>63.05</v>
      </c>
      <c r="GN160">
        <v>63.05</v>
      </c>
      <c r="GO160">
        <v>63.05</v>
      </c>
      <c r="GP160">
        <v>63.05</v>
      </c>
      <c r="GQ160">
        <v>63.05</v>
      </c>
      <c r="GR160">
        <v>63.05</v>
      </c>
      <c r="GS160">
        <v>63.05</v>
      </c>
      <c r="GT160">
        <v>63.05</v>
      </c>
      <c r="GU160">
        <v>63.05</v>
      </c>
      <c r="GV160">
        <v>63.05</v>
      </c>
      <c r="GW160">
        <v>63.05</v>
      </c>
      <c r="GX160">
        <v>63.05</v>
      </c>
      <c r="GY160">
        <v>63.05</v>
      </c>
      <c r="GZ160">
        <v>63.05</v>
      </c>
      <c r="HA160">
        <v>63.05</v>
      </c>
      <c r="HB160">
        <v>63.05</v>
      </c>
      <c r="HC160">
        <v>63.05</v>
      </c>
      <c r="HD160">
        <v>63.05</v>
      </c>
      <c r="HE160">
        <v>63.05</v>
      </c>
      <c r="HF160">
        <v>63.05</v>
      </c>
      <c r="HG160">
        <v>63.05</v>
      </c>
      <c r="HH160">
        <v>63.05</v>
      </c>
      <c r="HI160">
        <v>63.05</v>
      </c>
      <c r="HJ160">
        <v>63.05</v>
      </c>
      <c r="HK160">
        <v>63.05</v>
      </c>
      <c r="HL160">
        <v>63.05</v>
      </c>
      <c r="HM160">
        <v>63.05</v>
      </c>
      <c r="HN160">
        <v>63.05</v>
      </c>
      <c r="HO160">
        <v>63.05</v>
      </c>
      <c r="HP160">
        <v>63.05</v>
      </c>
      <c r="HQ160">
        <v>63.05</v>
      </c>
      <c r="HR160">
        <v>63.05</v>
      </c>
      <c r="HS160">
        <v>63.05</v>
      </c>
      <c r="HT160">
        <v>63.05</v>
      </c>
      <c r="HU160">
        <v>63.05</v>
      </c>
      <c r="HV160">
        <v>63.05</v>
      </c>
      <c r="HW160">
        <v>63.05</v>
      </c>
      <c r="HX160">
        <v>63.05</v>
      </c>
      <c r="HY160">
        <v>63.05</v>
      </c>
      <c r="HZ160">
        <v>63.05</v>
      </c>
      <c r="IA160">
        <v>63.05</v>
      </c>
      <c r="IB160">
        <v>63.05</v>
      </c>
      <c r="IC160">
        <v>63.05</v>
      </c>
      <c r="ID160">
        <v>63.05</v>
      </c>
      <c r="IE160">
        <v>63.05</v>
      </c>
      <c r="IF160">
        <v>63.05</v>
      </c>
      <c r="IG160">
        <v>63.05</v>
      </c>
      <c r="IH160">
        <v>63.05</v>
      </c>
      <c r="II160">
        <v>63.05</v>
      </c>
      <c r="IJ160">
        <v>63.05</v>
      </c>
      <c r="IK160">
        <v>63.05</v>
      </c>
      <c r="IL160">
        <v>63.05</v>
      </c>
      <c r="IM160">
        <v>63.05</v>
      </c>
      <c r="IN160">
        <v>63.05</v>
      </c>
      <c r="IO160">
        <v>63.05</v>
      </c>
      <c r="IP160">
        <v>63.05</v>
      </c>
      <c r="IQ160">
        <v>63.05</v>
      </c>
      <c r="IR160">
        <v>63.05</v>
      </c>
      <c r="IS160">
        <v>63.05</v>
      </c>
      <c r="IT160">
        <v>63.05</v>
      </c>
      <c r="IU160">
        <v>63.05</v>
      </c>
      <c r="IV160">
        <v>63.05</v>
      </c>
      <c r="IW160">
        <v>63.05</v>
      </c>
      <c r="IX160">
        <v>63.05</v>
      </c>
      <c r="IY160">
        <v>63.05</v>
      </c>
      <c r="IZ160">
        <v>63.05</v>
      </c>
      <c r="JA160">
        <v>63.05</v>
      </c>
      <c r="JB160">
        <v>63.05</v>
      </c>
      <c r="JC160">
        <v>63.05</v>
      </c>
      <c r="JD160">
        <v>63.05</v>
      </c>
      <c r="JE160">
        <v>63.05</v>
      </c>
      <c r="JF160">
        <v>63.05</v>
      </c>
      <c r="JG160">
        <v>63.05</v>
      </c>
      <c r="JH160">
        <v>63.05</v>
      </c>
      <c r="JI160">
        <v>63.05</v>
      </c>
      <c r="JJ160">
        <v>63.05</v>
      </c>
      <c r="JK160">
        <v>63.05</v>
      </c>
      <c r="JL160">
        <v>63.05</v>
      </c>
      <c r="JM160">
        <v>63.05</v>
      </c>
      <c r="JN160">
        <v>63.05</v>
      </c>
      <c r="JO160">
        <v>63.05</v>
      </c>
      <c r="JP160">
        <v>63.05</v>
      </c>
      <c r="JQ160">
        <v>63.05</v>
      </c>
      <c r="JR160">
        <v>63.05</v>
      </c>
      <c r="JS160">
        <v>63.05</v>
      </c>
      <c r="JT160">
        <v>63.05</v>
      </c>
      <c r="JU160">
        <v>63.05</v>
      </c>
      <c r="JV160">
        <v>63.05</v>
      </c>
      <c r="JW160">
        <v>63.05</v>
      </c>
      <c r="JX160">
        <v>63.05</v>
      </c>
      <c r="JY160">
        <v>63.05</v>
      </c>
      <c r="JZ160">
        <v>63.05</v>
      </c>
      <c r="KA160">
        <v>63.05</v>
      </c>
      <c r="KB160">
        <v>63.05</v>
      </c>
      <c r="KC160">
        <v>63.05</v>
      </c>
      <c r="KD160">
        <v>63.05</v>
      </c>
      <c r="KE160">
        <v>63.05</v>
      </c>
      <c r="KF160">
        <v>63.05</v>
      </c>
      <c r="KG160">
        <v>63.05</v>
      </c>
      <c r="KH160">
        <v>63.05</v>
      </c>
      <c r="KI160">
        <v>63.05</v>
      </c>
      <c r="KJ160">
        <v>63.05</v>
      </c>
      <c r="KK160">
        <v>63.05</v>
      </c>
      <c r="KL160">
        <v>63.05</v>
      </c>
      <c r="KM160">
        <v>63.05</v>
      </c>
      <c r="KN160">
        <v>63.05</v>
      </c>
      <c r="KO160">
        <v>63.05</v>
      </c>
      <c r="KP160">
        <v>63.05</v>
      </c>
      <c r="KQ160">
        <v>63.05</v>
      </c>
      <c r="KR160">
        <v>63.05</v>
      </c>
      <c r="KS160">
        <v>63.05</v>
      </c>
      <c r="KT160">
        <v>63.05</v>
      </c>
      <c r="KU160">
        <v>63.05</v>
      </c>
      <c r="KV160">
        <v>63.05</v>
      </c>
      <c r="KW160">
        <v>63.05</v>
      </c>
      <c r="KX160">
        <v>63.05</v>
      </c>
      <c r="KY160">
        <v>63.05</v>
      </c>
      <c r="KZ160">
        <v>63.05</v>
      </c>
      <c r="LA160">
        <v>63.05</v>
      </c>
      <c r="LB160">
        <v>63.05</v>
      </c>
      <c r="LC160">
        <v>63.05</v>
      </c>
      <c r="LD160">
        <v>63.05</v>
      </c>
      <c r="LE160">
        <v>63.05</v>
      </c>
      <c r="LF160">
        <v>63.05</v>
      </c>
      <c r="LG160">
        <v>63.05</v>
      </c>
      <c r="LH160">
        <v>63.05</v>
      </c>
      <c r="LI160">
        <v>63.05</v>
      </c>
      <c r="LJ160">
        <v>63.05</v>
      </c>
      <c r="LK160">
        <v>63.05</v>
      </c>
      <c r="LL160">
        <v>63.05</v>
      </c>
      <c r="LM160">
        <v>63.05</v>
      </c>
      <c r="LN160">
        <v>63.05</v>
      </c>
      <c r="LO160">
        <v>63.05</v>
      </c>
      <c r="LP160">
        <v>63.05</v>
      </c>
      <c r="LQ160">
        <v>63.05</v>
      </c>
      <c r="LR160">
        <v>63.05</v>
      </c>
      <c r="LS160">
        <v>63.05</v>
      </c>
      <c r="LT160">
        <v>63.05</v>
      </c>
      <c r="LU160">
        <v>63.05</v>
      </c>
      <c r="LV160">
        <v>63.05</v>
      </c>
      <c r="LW160">
        <v>63.05</v>
      </c>
      <c r="LX160">
        <v>63.05</v>
      </c>
      <c r="LY160">
        <v>63.05</v>
      </c>
      <c r="LZ160">
        <v>63.05</v>
      </c>
      <c r="MA160">
        <v>63.05</v>
      </c>
      <c r="MB160">
        <v>63.05</v>
      </c>
      <c r="MC160">
        <v>63.05</v>
      </c>
      <c r="MD160">
        <v>63.05</v>
      </c>
      <c r="ME160">
        <v>63.05</v>
      </c>
      <c r="MF160">
        <v>63.05</v>
      </c>
      <c r="MG160">
        <v>63.05</v>
      </c>
      <c r="MH160">
        <v>63.05</v>
      </c>
      <c r="MI160">
        <v>63.05</v>
      </c>
      <c r="MJ160">
        <v>63.05</v>
      </c>
      <c r="MK160">
        <v>63.05</v>
      </c>
      <c r="ML160">
        <v>63.05</v>
      </c>
      <c r="MM160">
        <v>63.05</v>
      </c>
      <c r="MN160">
        <v>63.05</v>
      </c>
      <c r="MO160">
        <v>63.05</v>
      </c>
      <c r="MP160">
        <v>63.05</v>
      </c>
      <c r="MQ160">
        <v>63.05</v>
      </c>
      <c r="MR160">
        <v>63.05</v>
      </c>
      <c r="MS160">
        <v>63.05</v>
      </c>
      <c r="MT160">
        <v>63.05</v>
      </c>
      <c r="MU160">
        <v>63.05</v>
      </c>
      <c r="MV160">
        <v>63.05</v>
      </c>
      <c r="MW160">
        <v>63.05</v>
      </c>
      <c r="MX160">
        <v>63.05</v>
      </c>
      <c r="MY160">
        <v>63.05</v>
      </c>
      <c r="MZ160">
        <v>63.05</v>
      </c>
      <c r="NA160">
        <v>63.05</v>
      </c>
      <c r="NB160">
        <v>63.05</v>
      </c>
      <c r="NC160">
        <v>63.05</v>
      </c>
      <c r="ND160">
        <v>63.05</v>
      </c>
      <c r="NE160">
        <v>63.05</v>
      </c>
      <c r="NF160">
        <v>63.05</v>
      </c>
      <c r="NG160">
        <v>63.05</v>
      </c>
      <c r="NH160">
        <v>63.05</v>
      </c>
      <c r="NI160">
        <v>63.05</v>
      </c>
      <c r="NJ160">
        <v>63.05</v>
      </c>
      <c r="NK160">
        <v>63.05</v>
      </c>
      <c r="NL160">
        <v>63.05</v>
      </c>
      <c r="NM160">
        <v>63.05</v>
      </c>
      <c r="NN160">
        <v>63.05</v>
      </c>
      <c r="NO160">
        <v>63.05</v>
      </c>
      <c r="NP160">
        <v>63.05</v>
      </c>
      <c r="NQ160">
        <v>63.05</v>
      </c>
      <c r="NR160">
        <v>63.05</v>
      </c>
      <c r="NS160">
        <v>63.05</v>
      </c>
      <c r="NT160">
        <v>63.05</v>
      </c>
      <c r="NU160">
        <v>63.05</v>
      </c>
      <c r="NV160">
        <v>63.05</v>
      </c>
      <c r="NW160">
        <v>63.05</v>
      </c>
      <c r="NX160">
        <v>63.05</v>
      </c>
      <c r="NY160">
        <v>63.05</v>
      </c>
      <c r="NZ160">
        <v>63.05</v>
      </c>
      <c r="OA160">
        <v>63.05</v>
      </c>
      <c r="OB160">
        <v>63.05</v>
      </c>
      <c r="OC160">
        <v>63.05</v>
      </c>
      <c r="OD160">
        <v>63.05</v>
      </c>
      <c r="OE160">
        <v>63.05</v>
      </c>
    </row>
    <row r="161" spans="4:395" x14ac:dyDescent="0.3">
      <c r="E161" s="6"/>
      <c r="K161" s="65"/>
      <c r="L161" s="55"/>
      <c r="M161" s="66"/>
      <c r="N161" s="84" t="s">
        <v>172</v>
      </c>
      <c r="O161" s="277">
        <f>SUM(_xlfn.ANCHORARRAY(Q161))</f>
        <v>0</v>
      </c>
      <c r="P161" s="86" t="s">
        <v>81</v>
      </c>
      <c r="Q161" s="277" cm="1">
        <f t="array" ref="Q161">_xlfn.LET( _xlpm.MonthlyValues,_xlfn.ANCHORARRAY(Q155)*_xlfn.ANCHORARRAY(Q160),
      _xlpm.TimeRulerChoice,    $O$1,
      _xlpm.TimeRulerMonthly,_xlfn.ANCHORARRAY(   $Q$2),
      _xlpm.TimeRulerYearly,    _xlfn.ANCHORARRAY(#REF!),
      _xlpm.TimeRulerQuarterly, _xlfn.ANCHORARRAY(#REF!),
      _xlpm.YearsOfMonths, YEAR(_xlpm.TimeRulerMonthly),
      _xlpm.QuartersOfMonths, YEAR(_xlpm.TimeRulerMonthly) &amp; "-Q" &amp; ROUNDUP(MONTH(_xlpm.TimeRulerMonthly)/3,0),
      IF( _xlpm.TimeRulerChoice="Monthly",       _xlpm.MonthlyValues,
      IF( _xlpm.TimeRulerChoice="Yearly",        _xlfn.BYCOL(_xlpm.TimeRulerYearly,    _xlfn.LAMBDA(_xlpm.y,SUM(IF(_xlpm.YearsOfMonths=_xlpm.y,   _xlpm.MonthlyValues,0)))),
      IF( _xlpm.TimeRulerChoice="Quarterly",     _xlfn.BYCOL(_xlpm.TimeRulerQuarterly, _xlfn.LAMBDA(_xlpm.q,SUM(IF(_xlpm.QuartersOfMonths=_xlpm.q,_xlpm.MonthlyValues,0)))), 0)))
)</f>
        <v>0</v>
      </c>
      <c r="R161" s="277"/>
      <c r="S161" s="277"/>
      <c r="T161" s="277"/>
      <c r="U161" s="277"/>
      <c r="V161" s="277"/>
      <c r="W161" s="277"/>
      <c r="X161" s="277"/>
      <c r="Y161" s="277"/>
      <c r="Z161" s="277"/>
      <c r="AA161" s="277"/>
      <c r="AB161" s="277"/>
      <c r="AC161" s="277"/>
      <c r="AD161" s="277"/>
      <c r="AE161" s="277"/>
      <c r="AF161" s="277"/>
      <c r="AG161" s="277"/>
      <c r="AH161" s="277"/>
      <c r="AI161" s="277"/>
      <c r="AJ161" s="277"/>
      <c r="AK161" s="277"/>
      <c r="AL161" s="277"/>
      <c r="AM161" s="277"/>
      <c r="AN161" s="277"/>
      <c r="AO161" s="277"/>
      <c r="AP161" s="277"/>
      <c r="AQ161" s="277"/>
      <c r="AR161" s="277"/>
      <c r="AS161" s="277"/>
      <c r="AT161" s="277"/>
      <c r="AU161" s="277"/>
      <c r="AV161" s="277"/>
      <c r="AW161" s="277"/>
      <c r="AX161" s="277"/>
      <c r="AY161" s="277"/>
      <c r="AZ161" s="277"/>
      <c r="BA161" s="277"/>
      <c r="BB161" s="277"/>
      <c r="BC161" s="277"/>
      <c r="BD161" s="277"/>
      <c r="BE161" s="277"/>
      <c r="BF161" s="277"/>
      <c r="BG161" s="277"/>
      <c r="BH161" s="277"/>
      <c r="BI161" s="277"/>
      <c r="BJ161" s="277"/>
      <c r="BK161" s="277"/>
      <c r="BL161" s="277"/>
      <c r="BM161" s="277"/>
      <c r="BN161" s="277"/>
      <c r="BO161" s="277"/>
      <c r="BP161" s="277"/>
      <c r="BQ161" s="277"/>
      <c r="BR161" s="277"/>
      <c r="BS161" s="277"/>
      <c r="BT161" s="277"/>
      <c r="BU161" s="277"/>
      <c r="BV161" s="277"/>
      <c r="BW161" s="277"/>
      <c r="BX161" s="277"/>
      <c r="BY161" s="277"/>
      <c r="BZ161" s="277"/>
      <c r="CA161" s="277"/>
      <c r="CB161" s="277"/>
      <c r="CC161" s="277"/>
      <c r="CD161" s="277"/>
      <c r="CE161" s="277"/>
      <c r="CF161" s="277"/>
      <c r="CG161" s="277"/>
      <c r="CH161" s="277"/>
      <c r="CI161" s="277"/>
      <c r="CJ161" s="277"/>
      <c r="CK161" s="277"/>
      <c r="CL161" s="277"/>
      <c r="CM161" s="277"/>
      <c r="CN161" s="277"/>
      <c r="CO161" s="277"/>
      <c r="CP161" s="277"/>
      <c r="CQ161" s="277"/>
      <c r="CR161" s="277"/>
      <c r="CS161" s="277"/>
      <c r="CT161" s="277"/>
      <c r="CU161" s="277"/>
      <c r="CV161" s="277"/>
      <c r="CW161" s="277"/>
      <c r="CX161" s="277"/>
      <c r="CY161" s="277"/>
      <c r="CZ161" s="277"/>
      <c r="DA161" s="277"/>
      <c r="DB161" s="277"/>
      <c r="DC161" s="277"/>
      <c r="DD161" s="277"/>
      <c r="DE161" s="277"/>
      <c r="DF161" s="277"/>
      <c r="DG161" s="277"/>
      <c r="DH161" s="277"/>
      <c r="DI161" s="277"/>
      <c r="DJ161" s="277"/>
      <c r="DK161" s="277"/>
      <c r="DL161" s="277"/>
      <c r="DM161" s="277"/>
      <c r="DN161" s="277"/>
      <c r="DO161" s="277"/>
      <c r="DP161" s="277"/>
      <c r="DQ161" s="277"/>
      <c r="DR161" s="277"/>
      <c r="DS161" s="277"/>
      <c r="DT161" s="277"/>
      <c r="DU161" s="277"/>
      <c r="DV161" s="277"/>
      <c r="DW161" s="277"/>
      <c r="DX161" s="277"/>
      <c r="DY161" s="277"/>
      <c r="DZ161" s="277"/>
      <c r="EA161" s="277"/>
      <c r="EB161" s="277"/>
      <c r="EC161" s="277"/>
      <c r="ED161" s="277"/>
      <c r="EE161" s="277"/>
      <c r="EF161" s="277"/>
      <c r="EG161" s="277"/>
      <c r="EH161" s="277"/>
      <c r="EI161" s="277"/>
      <c r="EJ161" s="277"/>
      <c r="EK161" s="277"/>
      <c r="EL161" s="277"/>
      <c r="EM161" s="277"/>
      <c r="EN161" s="277"/>
      <c r="EO161" s="277"/>
      <c r="EP161" s="277"/>
      <c r="EQ161" s="277"/>
      <c r="ER161" s="277"/>
      <c r="ES161" s="277"/>
      <c r="ET161" s="277"/>
      <c r="EU161" s="277"/>
      <c r="EV161" s="277"/>
      <c r="EW161" s="277"/>
      <c r="EX161" s="277"/>
      <c r="EY161" s="277"/>
      <c r="EZ161" s="277"/>
      <c r="FA161" s="277"/>
      <c r="FB161" s="277"/>
      <c r="FC161" s="277"/>
      <c r="FD161" s="277"/>
      <c r="FE161" s="277"/>
      <c r="FF161" s="277"/>
      <c r="FG161" s="277"/>
      <c r="FH161" s="277"/>
      <c r="FI161" s="277"/>
      <c r="FJ161" s="277"/>
      <c r="FK161" s="277"/>
      <c r="FL161" s="277"/>
      <c r="FM161" s="277"/>
      <c r="FN161" s="277"/>
      <c r="FO161" s="277"/>
      <c r="FP161" s="277"/>
      <c r="FQ161" s="277"/>
      <c r="FR161" s="277"/>
      <c r="FS161" s="277"/>
      <c r="FT161" s="277"/>
      <c r="FU161" s="277"/>
      <c r="FV161" s="277"/>
      <c r="FW161" s="277"/>
      <c r="FX161" s="277"/>
      <c r="FY161" s="277"/>
      <c r="FZ161" s="277"/>
      <c r="GA161" s="277"/>
      <c r="GB161" s="277"/>
      <c r="GC161" s="277"/>
      <c r="GD161" s="277"/>
      <c r="GE161" s="277"/>
      <c r="GF161" s="277"/>
      <c r="GG161" s="277"/>
      <c r="GH161" s="277"/>
      <c r="GI161" s="277"/>
      <c r="GJ161" s="277"/>
      <c r="GK161" s="277"/>
      <c r="GL161" s="277"/>
      <c r="GM161" s="277"/>
      <c r="GN161" s="277"/>
      <c r="GO161" s="277"/>
      <c r="GP161" s="277"/>
      <c r="GQ161" s="277"/>
      <c r="GR161" s="277"/>
      <c r="GS161" s="277"/>
      <c r="GT161" s="277"/>
      <c r="GU161" s="277"/>
      <c r="GV161" s="277"/>
      <c r="GW161" s="277"/>
      <c r="GX161" s="277"/>
      <c r="GY161" s="277"/>
      <c r="GZ161" s="277"/>
      <c r="HA161" s="277"/>
      <c r="HB161" s="277"/>
      <c r="HC161" s="277"/>
      <c r="HD161" s="277"/>
      <c r="HE161" s="277"/>
      <c r="HF161" s="277"/>
      <c r="HG161" s="277"/>
      <c r="HH161" s="277"/>
      <c r="HI161" s="277"/>
      <c r="HJ161" s="277"/>
      <c r="HK161" s="277"/>
      <c r="HL161" s="277"/>
      <c r="HM161" s="277"/>
      <c r="HN161" s="277"/>
      <c r="HO161" s="277"/>
      <c r="HP161" s="277"/>
      <c r="HQ161" s="277"/>
      <c r="HR161" s="277"/>
      <c r="HS161" s="277"/>
      <c r="HT161" s="277"/>
      <c r="HU161" s="277"/>
      <c r="HV161" s="277"/>
      <c r="HW161" s="277"/>
      <c r="HX161" s="277"/>
      <c r="HY161" s="277"/>
      <c r="HZ161" s="277"/>
      <c r="IA161" s="277"/>
      <c r="IB161" s="277"/>
      <c r="IC161" s="277"/>
      <c r="ID161" s="277"/>
      <c r="IE161" s="277"/>
      <c r="IF161" s="277"/>
      <c r="IG161" s="277"/>
      <c r="IH161" s="277"/>
      <c r="II161" s="277"/>
      <c r="IJ161" s="277"/>
      <c r="IK161" s="277"/>
      <c r="IL161" s="277"/>
      <c r="IM161" s="277"/>
      <c r="IN161" s="277"/>
      <c r="IO161" s="277"/>
      <c r="IP161" s="277"/>
      <c r="IQ161" s="277"/>
      <c r="IR161" s="277"/>
      <c r="IS161" s="277"/>
      <c r="IT161" s="277"/>
      <c r="IU161" s="277"/>
      <c r="IV161" s="277"/>
      <c r="IW161" s="277"/>
      <c r="IX161" s="277"/>
      <c r="IY161" s="277"/>
      <c r="IZ161" s="277"/>
      <c r="JA161" s="277"/>
      <c r="JB161" s="277"/>
      <c r="JC161" s="277"/>
      <c r="JD161" s="277"/>
      <c r="JE161" s="277"/>
      <c r="JF161" s="277"/>
      <c r="JG161" s="277"/>
      <c r="JH161" s="277"/>
      <c r="JI161" s="277"/>
      <c r="JJ161" s="277"/>
      <c r="JK161" s="277"/>
      <c r="JL161" s="277"/>
      <c r="JM161" s="277"/>
      <c r="JN161" s="277"/>
      <c r="JO161" s="277"/>
      <c r="JP161" s="277"/>
      <c r="JQ161" s="277"/>
      <c r="JR161" s="277"/>
      <c r="JS161" s="277"/>
      <c r="JT161" s="277"/>
      <c r="JU161" s="277"/>
      <c r="JV161" s="277"/>
      <c r="JW161" s="277"/>
      <c r="JX161" s="277"/>
      <c r="JY161" s="277"/>
      <c r="JZ161" s="277"/>
      <c r="KA161" s="277"/>
      <c r="KB161" s="277"/>
      <c r="KC161" s="277"/>
      <c r="KD161" s="277"/>
      <c r="KE161" s="277"/>
      <c r="KF161" s="277"/>
      <c r="KG161" s="277"/>
      <c r="KH161" s="277"/>
      <c r="KI161" s="277"/>
      <c r="KJ161" s="277"/>
      <c r="KK161" s="277"/>
      <c r="KL161" s="277"/>
      <c r="KM161" s="277"/>
      <c r="KN161" s="277"/>
      <c r="KO161" s="277"/>
      <c r="KP161" s="277"/>
      <c r="KQ161" s="277"/>
      <c r="KR161" s="277"/>
      <c r="KS161" s="277"/>
      <c r="KT161" s="277"/>
      <c r="KU161" s="277"/>
      <c r="KV161" s="277"/>
      <c r="KW161" s="277"/>
      <c r="KX161" s="277"/>
      <c r="KY161" s="277"/>
      <c r="KZ161" s="277"/>
      <c r="LA161" s="277"/>
      <c r="LB161" s="277"/>
      <c r="LC161" s="277"/>
      <c r="LD161" s="277"/>
      <c r="LE161" s="277"/>
      <c r="LF161" s="277"/>
      <c r="LG161" s="277"/>
      <c r="LH161" s="277"/>
      <c r="LI161" s="277"/>
      <c r="LJ161" s="277"/>
      <c r="LK161" s="277"/>
      <c r="LL161" s="277"/>
      <c r="LM161" s="277"/>
      <c r="LN161" s="277"/>
      <c r="LO161" s="277"/>
      <c r="LP161" s="277"/>
      <c r="LQ161" s="277"/>
      <c r="LR161" s="277"/>
      <c r="LS161" s="277"/>
      <c r="LT161" s="277"/>
      <c r="LU161" s="277"/>
      <c r="LV161" s="277"/>
      <c r="LW161" s="277"/>
      <c r="LX161" s="277"/>
      <c r="LY161" s="277"/>
      <c r="LZ161" s="277"/>
      <c r="MA161" s="277"/>
      <c r="MB161" s="277"/>
      <c r="MC161" s="277"/>
      <c r="MD161" s="277"/>
      <c r="ME161" s="277"/>
      <c r="MF161" s="277"/>
      <c r="MG161" s="277"/>
      <c r="MH161" s="277"/>
      <c r="MI161" s="277"/>
      <c r="MJ161" s="277"/>
      <c r="MK161" s="277"/>
      <c r="ML161" s="277"/>
      <c r="MM161" s="277"/>
      <c r="MN161" s="277"/>
      <c r="MO161" s="277"/>
      <c r="MP161" s="277"/>
      <c r="MQ161" s="277"/>
      <c r="MR161" s="277"/>
      <c r="MS161" s="277"/>
      <c r="MT161" s="277"/>
      <c r="MU161" s="277"/>
      <c r="MV161" s="277"/>
      <c r="MW161" s="277"/>
      <c r="MX161" s="277"/>
      <c r="MY161" s="277"/>
      <c r="MZ161" s="277"/>
      <c r="NA161" s="277"/>
      <c r="NB161" s="277"/>
      <c r="NC161" s="277"/>
      <c r="ND161" s="277"/>
      <c r="NE161" s="277"/>
      <c r="NF161" s="277"/>
      <c r="NG161" s="277"/>
      <c r="NH161" s="277"/>
      <c r="NI161" s="277"/>
      <c r="NJ161" s="277"/>
      <c r="NK161" s="277"/>
      <c r="NL161" s="277"/>
      <c r="NM161" s="277"/>
      <c r="NN161" s="277"/>
      <c r="NO161" s="277"/>
      <c r="NP161" s="277"/>
      <c r="NQ161" s="277"/>
      <c r="NR161" s="277"/>
      <c r="NS161" s="277"/>
      <c r="NT161" s="277"/>
      <c r="NU161" s="277"/>
      <c r="NV161" s="277"/>
      <c r="NW161" s="277"/>
      <c r="NX161" s="277"/>
      <c r="NY161" s="277"/>
      <c r="NZ161" s="277"/>
      <c r="OA161" s="277"/>
      <c r="OB161" s="277"/>
      <c r="OC161" s="277"/>
      <c r="OD161" s="277"/>
      <c r="OE161" s="277"/>
    </row>
    <row r="162" spans="4:395" x14ac:dyDescent="0.3">
      <c r="E162" s="6"/>
      <c r="K162" s="65"/>
      <c r="L162" s="55"/>
      <c r="M162" s="66"/>
      <c r="N162" s="29" t="s">
        <v>173</v>
      </c>
      <c r="O162" s="278">
        <f>SUM(_xlfn.ANCHORARRAY(Q162))</f>
        <v>0</v>
      </c>
      <c r="P162" s="30" t="s">
        <v>81</v>
      </c>
      <c r="Q162" s="278" cm="1">
        <f t="array" ref="Q162">_xlfn.ANCHORARRAY(Q161)</f>
        <v>0</v>
      </c>
      <c r="R162" s="278"/>
      <c r="S162" s="278"/>
      <c r="T162" s="278"/>
      <c r="U162" s="278"/>
      <c r="V162" s="278"/>
      <c r="W162" s="278"/>
      <c r="X162" s="278"/>
      <c r="Y162" s="278"/>
      <c r="Z162" s="278"/>
      <c r="AA162" s="278"/>
      <c r="AB162" s="278"/>
      <c r="AC162" s="278"/>
      <c r="AD162" s="278"/>
      <c r="AE162" s="278"/>
      <c r="AF162" s="278"/>
      <c r="AG162" s="278"/>
      <c r="AH162" s="278"/>
      <c r="AI162" s="278"/>
      <c r="AJ162" s="278"/>
      <c r="AK162" s="278"/>
      <c r="AL162" s="278"/>
      <c r="AM162" s="278"/>
      <c r="AN162" s="278"/>
      <c r="AO162" s="278"/>
      <c r="AP162" s="278"/>
      <c r="AQ162" s="278"/>
      <c r="AR162" s="278"/>
      <c r="AS162" s="278"/>
      <c r="AT162" s="278"/>
      <c r="AU162" s="278"/>
      <c r="AV162" s="278"/>
      <c r="AW162" s="278"/>
      <c r="AX162" s="278"/>
      <c r="AY162" s="278"/>
      <c r="AZ162" s="278"/>
      <c r="BA162" s="278"/>
      <c r="BB162" s="278"/>
      <c r="BC162" s="278"/>
      <c r="BD162" s="278"/>
      <c r="BE162" s="278"/>
      <c r="BF162" s="278"/>
      <c r="BG162" s="278"/>
      <c r="BH162" s="278"/>
      <c r="BI162" s="278"/>
      <c r="BJ162" s="278"/>
      <c r="BK162" s="278"/>
      <c r="BL162" s="278"/>
      <c r="BM162" s="278"/>
      <c r="BN162" s="278"/>
      <c r="BO162" s="278"/>
      <c r="BP162" s="278"/>
      <c r="BQ162" s="278"/>
      <c r="BR162" s="278"/>
      <c r="BS162" s="278"/>
      <c r="BT162" s="278"/>
      <c r="BU162" s="278"/>
      <c r="BV162" s="278"/>
      <c r="BW162" s="278"/>
      <c r="BX162" s="278"/>
      <c r="BY162" s="278"/>
      <c r="BZ162" s="278"/>
      <c r="CA162" s="278"/>
      <c r="CB162" s="278"/>
      <c r="CC162" s="278"/>
      <c r="CD162" s="278"/>
      <c r="CE162" s="278"/>
      <c r="CF162" s="278"/>
      <c r="CG162" s="278"/>
      <c r="CH162" s="278"/>
      <c r="CI162" s="278"/>
      <c r="CJ162" s="278"/>
      <c r="CK162" s="278"/>
      <c r="CL162" s="278"/>
      <c r="CM162" s="278"/>
      <c r="CN162" s="278"/>
      <c r="CO162" s="278"/>
      <c r="CP162" s="278"/>
      <c r="CQ162" s="278"/>
      <c r="CR162" s="278"/>
      <c r="CS162" s="278"/>
      <c r="CT162" s="278"/>
      <c r="CU162" s="278"/>
      <c r="CV162" s="278"/>
      <c r="CW162" s="278"/>
      <c r="CX162" s="278"/>
      <c r="CY162" s="278"/>
      <c r="CZ162" s="278"/>
      <c r="DA162" s="278"/>
      <c r="DB162" s="278"/>
      <c r="DC162" s="278"/>
      <c r="DD162" s="278"/>
      <c r="DE162" s="278"/>
      <c r="DF162" s="278"/>
      <c r="DG162" s="278"/>
      <c r="DH162" s="278"/>
      <c r="DI162" s="278"/>
      <c r="DJ162" s="278"/>
      <c r="DK162" s="278"/>
      <c r="DL162" s="278"/>
      <c r="DM162" s="278"/>
      <c r="DN162" s="278"/>
      <c r="DO162" s="278"/>
      <c r="DP162" s="278"/>
      <c r="DQ162" s="278"/>
      <c r="DR162" s="278"/>
      <c r="DS162" s="278"/>
      <c r="DT162" s="278"/>
      <c r="DU162" s="278"/>
      <c r="DV162" s="278"/>
      <c r="DW162" s="278"/>
      <c r="DX162" s="278"/>
      <c r="DY162" s="278"/>
      <c r="DZ162" s="278"/>
      <c r="EA162" s="278"/>
      <c r="EB162" s="278"/>
      <c r="EC162" s="278"/>
      <c r="ED162" s="278"/>
      <c r="EE162" s="278"/>
      <c r="EF162" s="278"/>
      <c r="EG162" s="278"/>
      <c r="EH162" s="278"/>
      <c r="EI162" s="278"/>
      <c r="EJ162" s="278"/>
      <c r="EK162" s="278"/>
      <c r="EL162" s="278"/>
      <c r="EM162" s="278"/>
      <c r="EN162" s="278"/>
      <c r="EO162" s="278"/>
      <c r="EP162" s="278"/>
      <c r="EQ162" s="278"/>
      <c r="ER162" s="278"/>
      <c r="ES162" s="278"/>
      <c r="ET162" s="278"/>
      <c r="EU162" s="278"/>
      <c r="EV162" s="278"/>
      <c r="EW162" s="278"/>
      <c r="EX162" s="278"/>
      <c r="EY162" s="278"/>
      <c r="EZ162" s="278"/>
      <c r="FA162" s="278"/>
      <c r="FB162" s="278"/>
      <c r="FC162" s="278"/>
      <c r="FD162" s="278"/>
      <c r="FE162" s="278"/>
      <c r="FF162" s="278"/>
      <c r="FG162" s="278"/>
      <c r="FH162" s="278"/>
      <c r="FI162" s="278"/>
      <c r="FJ162" s="278"/>
      <c r="FK162" s="278"/>
      <c r="FL162" s="278"/>
      <c r="FM162" s="278"/>
      <c r="FN162" s="278"/>
      <c r="FO162" s="278"/>
      <c r="FP162" s="278"/>
      <c r="FQ162" s="278"/>
      <c r="FR162" s="278"/>
      <c r="FS162" s="278"/>
      <c r="FT162" s="278"/>
      <c r="FU162" s="278"/>
      <c r="FV162" s="278"/>
      <c r="FW162" s="278"/>
      <c r="FX162" s="278"/>
      <c r="FY162" s="278"/>
      <c r="FZ162" s="278"/>
      <c r="GA162" s="278"/>
      <c r="GB162" s="278"/>
      <c r="GC162" s="278"/>
      <c r="GD162" s="278"/>
      <c r="GE162" s="278"/>
      <c r="GF162" s="278"/>
      <c r="GG162" s="278"/>
      <c r="GH162" s="278"/>
      <c r="GI162" s="278"/>
      <c r="GJ162" s="278"/>
      <c r="GK162" s="278"/>
      <c r="GL162" s="278"/>
      <c r="GM162" s="278"/>
      <c r="GN162" s="278"/>
      <c r="GO162" s="278"/>
      <c r="GP162" s="278"/>
      <c r="GQ162" s="278"/>
      <c r="GR162" s="278"/>
      <c r="GS162" s="278"/>
      <c r="GT162" s="278"/>
      <c r="GU162" s="278"/>
      <c r="GV162" s="278"/>
      <c r="GW162" s="278"/>
      <c r="GX162" s="278"/>
      <c r="GY162" s="278"/>
      <c r="GZ162" s="278"/>
      <c r="HA162" s="278"/>
      <c r="HB162" s="278"/>
      <c r="HC162" s="278"/>
      <c r="HD162" s="278"/>
      <c r="HE162" s="278"/>
      <c r="HF162" s="278"/>
      <c r="HG162" s="278"/>
      <c r="HH162" s="278"/>
      <c r="HI162" s="278"/>
      <c r="HJ162" s="278"/>
      <c r="HK162" s="278"/>
      <c r="HL162" s="278"/>
      <c r="HM162" s="278"/>
      <c r="HN162" s="278"/>
      <c r="HO162" s="278"/>
      <c r="HP162" s="278"/>
      <c r="HQ162" s="278"/>
      <c r="HR162" s="278"/>
      <c r="HS162" s="278"/>
      <c r="HT162" s="278"/>
      <c r="HU162" s="278"/>
      <c r="HV162" s="278"/>
      <c r="HW162" s="278"/>
      <c r="HX162" s="278"/>
      <c r="HY162" s="278"/>
      <c r="HZ162" s="278"/>
      <c r="IA162" s="278"/>
      <c r="IB162" s="278"/>
      <c r="IC162" s="278"/>
      <c r="ID162" s="278"/>
      <c r="IE162" s="278"/>
      <c r="IF162" s="278"/>
      <c r="IG162" s="278"/>
      <c r="IH162" s="278"/>
      <c r="II162" s="278"/>
      <c r="IJ162" s="278"/>
      <c r="IK162" s="278"/>
      <c r="IL162" s="278"/>
      <c r="IM162" s="278"/>
      <c r="IN162" s="278"/>
      <c r="IO162" s="278"/>
      <c r="IP162" s="278"/>
      <c r="IQ162" s="278"/>
      <c r="IR162" s="278"/>
      <c r="IS162" s="278"/>
      <c r="IT162" s="278"/>
      <c r="IU162" s="278"/>
      <c r="IV162" s="278"/>
      <c r="IW162" s="278"/>
      <c r="IX162" s="278"/>
      <c r="IY162" s="278"/>
      <c r="IZ162" s="278"/>
      <c r="JA162" s="278"/>
      <c r="JB162" s="278"/>
      <c r="JC162" s="278"/>
      <c r="JD162" s="278"/>
      <c r="JE162" s="278"/>
      <c r="JF162" s="278"/>
      <c r="JG162" s="278"/>
      <c r="JH162" s="278"/>
      <c r="JI162" s="278"/>
      <c r="JJ162" s="278"/>
      <c r="JK162" s="278"/>
      <c r="JL162" s="278"/>
      <c r="JM162" s="278"/>
      <c r="JN162" s="278"/>
      <c r="JO162" s="278"/>
      <c r="JP162" s="278"/>
      <c r="JQ162" s="278"/>
      <c r="JR162" s="278"/>
      <c r="JS162" s="278"/>
      <c r="JT162" s="278"/>
      <c r="JU162" s="278"/>
      <c r="JV162" s="278"/>
      <c r="JW162" s="278"/>
      <c r="JX162" s="278"/>
      <c r="JY162" s="278"/>
      <c r="JZ162" s="278"/>
      <c r="KA162" s="278"/>
      <c r="KB162" s="278"/>
      <c r="KC162" s="278"/>
      <c r="KD162" s="278"/>
      <c r="KE162" s="278"/>
      <c r="KF162" s="278"/>
      <c r="KG162" s="278"/>
      <c r="KH162" s="278"/>
      <c r="KI162" s="278"/>
      <c r="KJ162" s="278"/>
      <c r="KK162" s="278"/>
      <c r="KL162" s="278"/>
      <c r="KM162" s="278"/>
      <c r="KN162" s="278"/>
      <c r="KO162" s="278"/>
      <c r="KP162" s="278"/>
      <c r="KQ162" s="278"/>
      <c r="KR162" s="278"/>
      <c r="KS162" s="278"/>
      <c r="KT162" s="278"/>
      <c r="KU162" s="278"/>
      <c r="KV162" s="278"/>
      <c r="KW162" s="278"/>
      <c r="KX162" s="278"/>
      <c r="KY162" s="278"/>
      <c r="KZ162" s="278"/>
      <c r="LA162" s="278"/>
      <c r="LB162" s="278"/>
      <c r="LC162" s="278"/>
      <c r="LD162" s="278"/>
      <c r="LE162" s="278"/>
      <c r="LF162" s="278"/>
      <c r="LG162" s="278"/>
      <c r="LH162" s="278"/>
      <c r="LI162" s="278"/>
      <c r="LJ162" s="278"/>
      <c r="LK162" s="278"/>
      <c r="LL162" s="278"/>
      <c r="LM162" s="278"/>
      <c r="LN162" s="278"/>
      <c r="LO162" s="278"/>
      <c r="LP162" s="278"/>
      <c r="LQ162" s="278"/>
      <c r="LR162" s="278"/>
      <c r="LS162" s="278"/>
      <c r="LT162" s="278"/>
      <c r="LU162" s="278"/>
      <c r="LV162" s="278"/>
      <c r="LW162" s="278"/>
      <c r="LX162" s="278"/>
      <c r="LY162" s="278"/>
      <c r="LZ162" s="278"/>
      <c r="MA162" s="278"/>
      <c r="MB162" s="278"/>
      <c r="MC162" s="278"/>
      <c r="MD162" s="278"/>
      <c r="ME162" s="278"/>
      <c r="MF162" s="278"/>
      <c r="MG162" s="278"/>
      <c r="MH162" s="278"/>
      <c r="MI162" s="278"/>
      <c r="MJ162" s="278"/>
      <c r="MK162" s="278"/>
      <c r="ML162" s="278"/>
      <c r="MM162" s="278"/>
      <c r="MN162" s="278"/>
      <c r="MO162" s="278"/>
      <c r="MP162" s="278"/>
      <c r="MQ162" s="278"/>
      <c r="MR162" s="278"/>
      <c r="MS162" s="278"/>
      <c r="MT162" s="278"/>
      <c r="MU162" s="278"/>
      <c r="MV162" s="278"/>
      <c r="MW162" s="278"/>
      <c r="MX162" s="278"/>
      <c r="MY162" s="278"/>
      <c r="MZ162" s="278"/>
      <c r="NA162" s="278"/>
      <c r="NB162" s="278"/>
      <c r="NC162" s="278"/>
      <c r="ND162" s="278"/>
      <c r="NE162" s="278"/>
      <c r="NF162" s="278"/>
      <c r="NG162" s="278"/>
      <c r="NH162" s="278"/>
      <c r="NI162" s="278"/>
      <c r="NJ162" s="278"/>
      <c r="NK162" s="278"/>
      <c r="NL162" s="278"/>
      <c r="NM162" s="278"/>
      <c r="NN162" s="278"/>
      <c r="NO162" s="278"/>
      <c r="NP162" s="278"/>
      <c r="NQ162" s="278"/>
      <c r="NR162" s="278"/>
      <c r="NS162" s="278"/>
      <c r="NT162" s="278"/>
      <c r="NU162" s="278"/>
      <c r="NV162" s="278"/>
      <c r="NW162" s="278"/>
      <c r="NX162" s="278"/>
      <c r="NY162" s="278"/>
      <c r="NZ162" s="278"/>
      <c r="OA162" s="278"/>
      <c r="OB162" s="278"/>
      <c r="OC162" s="278"/>
      <c r="OD162" s="278"/>
      <c r="OE162" s="278"/>
    </row>
    <row r="163" spans="4:395" x14ac:dyDescent="0.3">
      <c r="D163" s="119"/>
      <c r="E163" s="6"/>
      <c r="K163" s="65"/>
      <c r="L163" s="55"/>
      <c r="M163" s="55"/>
      <c r="N163" s="105"/>
      <c r="O163" s="55"/>
      <c r="P163" s="55"/>
      <c r="Q163" s="55"/>
      <c r="R163" s="55"/>
      <c r="S163" s="55"/>
      <c r="T163" s="55"/>
      <c r="U163" s="55"/>
      <c r="V163" s="55"/>
      <c r="W163" s="55"/>
      <c r="X163" s="55"/>
      <c r="Y163" s="55"/>
      <c r="Z163" s="55"/>
      <c r="AA163" s="55"/>
      <c r="AB163" s="55"/>
      <c r="AC163" s="55"/>
      <c r="AD163" s="55"/>
      <c r="AE163" s="55"/>
      <c r="AF163" s="55"/>
      <c r="AG163" s="55"/>
      <c r="AH163" s="55"/>
      <c r="AI163" s="55"/>
      <c r="AJ163" s="55"/>
      <c r="AK163" s="55"/>
      <c r="AL163" s="55"/>
      <c r="AM163" s="55"/>
      <c r="AN163" s="55"/>
      <c r="AO163" s="55"/>
      <c r="AP163" s="55"/>
      <c r="AQ163" s="55"/>
      <c r="AR163" s="55"/>
      <c r="AS163" s="55"/>
      <c r="AT163" s="55"/>
      <c r="AU163" s="55"/>
      <c r="AV163" s="55"/>
      <c r="AW163" s="55"/>
      <c r="AX163" s="55"/>
      <c r="AY163" s="55"/>
      <c r="AZ163" s="55"/>
      <c r="BA163" s="55"/>
      <c r="BB163" s="55"/>
      <c r="BC163" s="55"/>
      <c r="BD163" s="55"/>
      <c r="BE163" s="55"/>
      <c r="BF163" s="55"/>
      <c r="BG163" s="55"/>
      <c r="BH163" s="55"/>
      <c r="BI163" s="55"/>
      <c r="BJ163" s="55"/>
      <c r="BK163" s="55"/>
      <c r="BL163" s="55"/>
      <c r="BM163" s="55"/>
      <c r="BN163" s="55"/>
      <c r="BO163" s="55"/>
      <c r="BP163" s="55"/>
      <c r="BQ163" s="55"/>
      <c r="BR163" s="55"/>
      <c r="BS163" s="55"/>
      <c r="BT163" s="55"/>
      <c r="BU163" s="55"/>
      <c r="BV163" s="55"/>
      <c r="BW163" s="55"/>
      <c r="BX163" s="55"/>
      <c r="BY163" s="55"/>
      <c r="BZ163" s="55"/>
      <c r="CA163" s="55"/>
      <c r="CB163" s="55"/>
      <c r="CC163" s="55"/>
      <c r="CD163" s="55"/>
      <c r="CE163" s="55"/>
      <c r="CF163" s="55"/>
      <c r="CG163" s="55"/>
      <c r="CH163" s="55"/>
      <c r="CI163" s="55"/>
      <c r="CJ163" s="55"/>
      <c r="CK163" s="55"/>
      <c r="CL163" s="55"/>
      <c r="CM163" s="55"/>
      <c r="CN163" s="55"/>
      <c r="CO163" s="55"/>
      <c r="CP163" s="55"/>
      <c r="CQ163" s="55"/>
      <c r="CR163" s="55"/>
      <c r="CS163" s="55"/>
      <c r="CT163" s="55"/>
      <c r="CU163" s="55"/>
      <c r="CV163" s="55"/>
      <c r="CW163" s="55"/>
      <c r="CX163" s="55"/>
      <c r="CY163" s="55"/>
      <c r="CZ163" s="55"/>
      <c r="DA163" s="55"/>
      <c r="DB163" s="55"/>
      <c r="DC163" s="55"/>
      <c r="DD163" s="55"/>
      <c r="DE163" s="55"/>
      <c r="DF163" s="55"/>
      <c r="DG163" s="55"/>
      <c r="DH163" s="55"/>
      <c r="DI163" s="55"/>
      <c r="DJ163" s="55"/>
      <c r="DK163" s="55"/>
      <c r="DL163" s="55"/>
      <c r="DM163" s="55"/>
      <c r="DN163" s="55"/>
      <c r="DO163" s="55"/>
      <c r="DP163" s="55"/>
      <c r="DQ163" s="55"/>
      <c r="DR163" s="55"/>
      <c r="DS163" s="55"/>
      <c r="DT163" s="55"/>
      <c r="DU163" s="55"/>
      <c r="DV163" s="55"/>
      <c r="DW163" s="55"/>
      <c r="DX163" s="55"/>
      <c r="DY163" s="55"/>
      <c r="DZ163" s="55"/>
      <c r="EA163" s="55"/>
      <c r="EB163" s="55"/>
      <c r="EC163" s="55"/>
      <c r="ED163" s="55"/>
      <c r="EE163" s="55"/>
      <c r="EF163" s="55"/>
      <c r="EG163" s="55"/>
      <c r="EH163" s="55"/>
      <c r="EI163" s="55"/>
      <c r="EJ163" s="55"/>
      <c r="EK163" s="55"/>
      <c r="EL163" s="55"/>
      <c r="EM163" s="55"/>
      <c r="EN163" s="55"/>
      <c r="EO163" s="55"/>
      <c r="EP163" s="55"/>
      <c r="EQ163" s="55"/>
      <c r="ER163" s="55"/>
      <c r="ES163" s="55"/>
      <c r="ET163" s="55"/>
      <c r="EU163" s="55"/>
      <c r="EV163" s="55"/>
      <c r="EW163" s="55"/>
      <c r="EX163" s="55"/>
      <c r="EY163" s="55"/>
      <c r="EZ163" s="55"/>
      <c r="FA163" s="55"/>
      <c r="FB163" s="55"/>
      <c r="FC163" s="55"/>
      <c r="FD163" s="55"/>
      <c r="FE163" s="55"/>
      <c r="FF163" s="55"/>
      <c r="FG163" s="55"/>
      <c r="FH163" s="55"/>
      <c r="FI163" s="55"/>
      <c r="FJ163" s="55"/>
      <c r="FK163" s="55"/>
      <c r="FL163" s="55"/>
      <c r="FM163" s="55"/>
      <c r="FN163" s="55"/>
      <c r="FO163" s="55"/>
      <c r="FP163" s="55"/>
      <c r="FQ163" s="55"/>
      <c r="FR163" s="55"/>
      <c r="FS163" s="55"/>
      <c r="FT163" s="55"/>
      <c r="FU163" s="55"/>
      <c r="FV163" s="55"/>
      <c r="FW163" s="55"/>
      <c r="FX163" s="55"/>
      <c r="FY163" s="55"/>
      <c r="FZ163" s="55"/>
      <c r="GA163" s="55"/>
      <c r="GB163" s="55"/>
      <c r="GC163" s="55"/>
      <c r="GD163" s="55"/>
      <c r="GE163" s="55"/>
      <c r="GF163" s="55"/>
      <c r="GG163" s="55"/>
      <c r="GH163" s="55"/>
      <c r="GI163" s="55"/>
      <c r="GJ163" s="55"/>
      <c r="GK163" s="55"/>
      <c r="GL163" s="55"/>
      <c r="GM163" s="55"/>
      <c r="GN163" s="55"/>
      <c r="GO163" s="55"/>
      <c r="GP163" s="55"/>
      <c r="GQ163" s="55"/>
      <c r="GR163" s="55"/>
      <c r="GS163" s="55"/>
      <c r="GT163" s="55"/>
      <c r="GU163" s="55"/>
      <c r="GV163" s="55"/>
      <c r="GW163" s="55"/>
      <c r="GX163" s="55"/>
      <c r="GY163" s="55"/>
      <c r="GZ163" s="55"/>
      <c r="HA163" s="55"/>
      <c r="HB163" s="55"/>
      <c r="HC163" s="55"/>
      <c r="HD163" s="55"/>
      <c r="HE163" s="55"/>
      <c r="HF163" s="55"/>
      <c r="HG163" s="55"/>
      <c r="HH163" s="55"/>
      <c r="HI163" s="55"/>
      <c r="HJ163" s="55"/>
      <c r="HK163" s="55"/>
      <c r="HL163" s="55"/>
      <c r="HM163" s="55"/>
      <c r="HN163" s="55"/>
      <c r="HO163" s="55"/>
      <c r="HP163" s="55"/>
      <c r="HQ163" s="55"/>
      <c r="HR163" s="55"/>
      <c r="HS163" s="55"/>
      <c r="HT163" s="55"/>
      <c r="HU163" s="55"/>
      <c r="HV163" s="55"/>
      <c r="HW163" s="55"/>
      <c r="HX163" s="55"/>
      <c r="HY163" s="55"/>
      <c r="HZ163" s="55"/>
      <c r="IA163" s="55"/>
      <c r="IB163" s="55"/>
      <c r="IC163" s="55"/>
      <c r="ID163" s="55"/>
      <c r="IE163" s="55"/>
      <c r="IF163" s="55"/>
      <c r="IG163" s="55"/>
      <c r="IH163" s="55"/>
      <c r="II163" s="55"/>
      <c r="IJ163" s="55"/>
      <c r="IK163" s="55"/>
      <c r="IL163" s="55"/>
      <c r="IM163" s="55"/>
      <c r="IN163" s="55"/>
      <c r="IO163" s="55"/>
      <c r="IP163" s="55"/>
      <c r="IQ163" s="55"/>
      <c r="IR163" s="55"/>
      <c r="IS163" s="55"/>
      <c r="IT163" s="55"/>
      <c r="IU163" s="55"/>
      <c r="IV163" s="55"/>
      <c r="IW163" s="55"/>
      <c r="IX163" s="55"/>
      <c r="IY163" s="55"/>
      <c r="IZ163" s="55"/>
      <c r="JA163" s="55"/>
      <c r="JB163" s="55"/>
      <c r="JC163" s="55"/>
      <c r="JD163" s="55"/>
      <c r="JE163" s="55"/>
      <c r="JF163" s="55"/>
      <c r="JG163" s="55"/>
      <c r="JH163" s="55"/>
      <c r="JI163" s="55"/>
      <c r="JJ163" s="55"/>
      <c r="JK163" s="55"/>
      <c r="JL163" s="55"/>
      <c r="JM163" s="55"/>
      <c r="JN163" s="55"/>
      <c r="JO163" s="55"/>
      <c r="JP163" s="55"/>
      <c r="JQ163" s="55"/>
      <c r="JR163" s="55"/>
      <c r="JS163" s="55"/>
      <c r="JT163" s="55"/>
      <c r="JU163" s="55"/>
      <c r="JV163" s="55"/>
      <c r="JW163" s="55"/>
      <c r="JX163" s="55"/>
      <c r="JY163" s="55"/>
      <c r="JZ163" s="55"/>
      <c r="KA163" s="55"/>
      <c r="KB163" s="55"/>
      <c r="KC163" s="55"/>
      <c r="KD163" s="55"/>
      <c r="KE163" s="55"/>
      <c r="KF163" s="55"/>
      <c r="KG163" s="55"/>
      <c r="KH163" s="55"/>
      <c r="KI163" s="55"/>
      <c r="KJ163" s="55"/>
      <c r="KK163" s="55"/>
      <c r="KL163" s="55"/>
      <c r="KM163" s="55"/>
      <c r="KN163" s="55"/>
      <c r="KO163" s="55"/>
      <c r="KP163" s="55"/>
      <c r="KQ163" s="55"/>
      <c r="KR163" s="55"/>
      <c r="KS163" s="55"/>
      <c r="KT163" s="55"/>
      <c r="KU163" s="55"/>
      <c r="KV163" s="55"/>
      <c r="KW163" s="55"/>
      <c r="KX163" s="55"/>
      <c r="KY163" s="55"/>
      <c r="KZ163" s="55"/>
      <c r="LA163" s="55"/>
      <c r="LB163" s="55"/>
      <c r="LC163" s="55"/>
      <c r="LD163" s="55"/>
      <c r="LE163" s="55"/>
      <c r="LF163" s="55"/>
      <c r="LG163" s="55"/>
      <c r="LH163" s="55"/>
      <c r="LI163" s="55"/>
      <c r="LJ163" s="55"/>
      <c r="LK163" s="55"/>
      <c r="LL163" s="55"/>
      <c r="LM163" s="55"/>
      <c r="LN163" s="55"/>
      <c r="LO163" s="55"/>
      <c r="LP163" s="55"/>
      <c r="LQ163" s="55"/>
      <c r="LR163" s="55"/>
      <c r="LS163" s="55"/>
      <c r="LT163" s="55"/>
      <c r="LU163" s="55"/>
      <c r="LV163" s="55"/>
      <c r="LW163" s="55"/>
      <c r="LX163" s="55"/>
      <c r="LY163" s="55"/>
      <c r="LZ163" s="55"/>
      <c r="MA163" s="55"/>
      <c r="MB163" s="55"/>
      <c r="MC163" s="55"/>
      <c r="MD163" s="55"/>
      <c r="ME163" s="55"/>
      <c r="MF163" s="55"/>
      <c r="MG163" s="55"/>
      <c r="MH163" s="55"/>
      <c r="MI163" s="55"/>
      <c r="MJ163" s="55"/>
      <c r="MK163" s="55"/>
      <c r="ML163" s="55"/>
      <c r="MM163" s="55"/>
      <c r="MN163" s="55"/>
      <c r="MO163" s="55"/>
      <c r="MP163" s="55"/>
      <c r="MQ163" s="55"/>
      <c r="MR163" s="55"/>
      <c r="MS163" s="55"/>
      <c r="MT163" s="55"/>
      <c r="MU163" s="55"/>
      <c r="MV163" s="55"/>
      <c r="MW163" s="55"/>
      <c r="MX163" s="55"/>
      <c r="MY163" s="55"/>
      <c r="MZ163" s="55"/>
      <c r="NA163" s="55"/>
      <c r="NB163" s="55"/>
      <c r="NC163" s="55"/>
      <c r="ND163" s="55"/>
      <c r="NE163" s="55"/>
      <c r="NF163" s="55"/>
      <c r="NG163" s="55"/>
      <c r="NH163" s="55"/>
      <c r="NI163" s="55"/>
      <c r="NJ163" s="55"/>
      <c r="NK163" s="55"/>
      <c r="NL163" s="55"/>
      <c r="NM163" s="55"/>
      <c r="NN163" s="55"/>
      <c r="NO163" s="55"/>
      <c r="NP163" s="55"/>
      <c r="NQ163" s="55"/>
      <c r="NR163" s="55"/>
      <c r="NS163" s="55"/>
      <c r="NT163" s="55"/>
      <c r="NU163" s="55"/>
      <c r="NV163" s="55"/>
      <c r="NW163" s="55"/>
      <c r="NX163" s="55"/>
      <c r="NY163" s="55"/>
      <c r="NZ163" s="55"/>
      <c r="OA163" s="55"/>
      <c r="OB163" s="55"/>
      <c r="OC163" s="55"/>
      <c r="OD163" s="55"/>
      <c r="OE163" s="55"/>
    </row>
    <row r="164" spans="4:395" x14ac:dyDescent="0.3">
      <c r="K164" s="65"/>
      <c r="L164" s="55"/>
      <c r="M164" s="55"/>
      <c r="N164" s="58"/>
      <c r="O164" s="55"/>
      <c r="P164" s="55"/>
      <c r="Q164" s="55"/>
      <c r="R164" s="55"/>
      <c r="S164" s="55"/>
      <c r="T164" s="55"/>
      <c r="U164" s="55"/>
      <c r="V164" s="55"/>
      <c r="W164" s="55"/>
      <c r="X164" s="55"/>
      <c r="Y164" s="55"/>
      <c r="Z164" s="55"/>
      <c r="AA164" s="55"/>
      <c r="AB164" s="55"/>
      <c r="AC164" s="55"/>
      <c r="AD164" s="55"/>
      <c r="AE164" s="55"/>
      <c r="AF164" s="55"/>
      <c r="AG164" s="55"/>
      <c r="AH164" s="55"/>
      <c r="AI164" s="55"/>
      <c r="AJ164" s="55"/>
      <c r="AK164" s="55"/>
      <c r="AL164" s="55"/>
      <c r="AM164" s="55"/>
      <c r="AN164" s="55"/>
      <c r="AO164" s="55"/>
      <c r="AP164" s="55"/>
      <c r="AQ164" s="55"/>
      <c r="AR164" s="55"/>
      <c r="AS164" s="55"/>
      <c r="AT164" s="55"/>
      <c r="AU164" s="55"/>
      <c r="AV164" s="55"/>
      <c r="AW164" s="55"/>
      <c r="AX164" s="55"/>
      <c r="AY164" s="55"/>
      <c r="AZ164" s="55"/>
      <c r="BA164" s="55"/>
      <c r="BB164" s="55"/>
      <c r="BC164" s="55"/>
      <c r="BD164" s="55"/>
      <c r="BE164" s="55"/>
      <c r="BF164" s="55"/>
      <c r="BG164" s="55"/>
      <c r="BH164" s="55"/>
      <c r="BI164" s="55"/>
      <c r="BJ164" s="55"/>
      <c r="BK164" s="55"/>
      <c r="BL164" s="55"/>
      <c r="BM164" s="55"/>
      <c r="BN164" s="55"/>
      <c r="BO164" s="55"/>
      <c r="BP164" s="55"/>
      <c r="BQ164" s="55"/>
      <c r="BR164" s="55"/>
      <c r="BS164" s="55"/>
      <c r="BT164" s="55"/>
      <c r="BU164" s="55"/>
      <c r="BV164" s="55"/>
      <c r="BW164" s="55"/>
      <c r="BX164" s="55"/>
      <c r="BY164" s="55"/>
      <c r="BZ164" s="55"/>
      <c r="CA164" s="55"/>
      <c r="CB164" s="55"/>
      <c r="CC164" s="55"/>
      <c r="CD164" s="55"/>
      <c r="CE164" s="55"/>
      <c r="CF164" s="55"/>
      <c r="CG164" s="55"/>
      <c r="CH164" s="55"/>
      <c r="CI164" s="55"/>
      <c r="CJ164" s="55"/>
      <c r="CK164" s="55"/>
      <c r="CL164" s="55"/>
      <c r="CM164" s="55"/>
      <c r="CN164" s="55"/>
      <c r="CO164" s="55"/>
      <c r="CP164" s="55"/>
      <c r="CQ164" s="55"/>
      <c r="CR164" s="55"/>
      <c r="CS164" s="55"/>
      <c r="CT164" s="55"/>
      <c r="CU164" s="55"/>
      <c r="CV164" s="55"/>
      <c r="CW164" s="55"/>
      <c r="CX164" s="55"/>
      <c r="CY164" s="55"/>
      <c r="CZ164" s="55"/>
      <c r="DA164" s="55"/>
      <c r="DB164" s="55"/>
      <c r="DC164" s="55"/>
      <c r="DD164" s="55"/>
      <c r="DE164" s="55"/>
      <c r="DF164" s="55"/>
      <c r="DG164" s="55"/>
      <c r="DH164" s="55"/>
      <c r="DI164" s="55"/>
      <c r="DJ164" s="55"/>
      <c r="DK164" s="55"/>
      <c r="DL164" s="55"/>
      <c r="DM164" s="55"/>
      <c r="DN164" s="55"/>
      <c r="DO164" s="55"/>
      <c r="DP164" s="55"/>
      <c r="DQ164" s="55"/>
      <c r="DR164" s="55"/>
      <c r="DS164" s="55"/>
      <c r="DT164" s="55"/>
      <c r="DU164" s="55"/>
      <c r="DV164" s="55"/>
      <c r="DW164" s="55"/>
      <c r="DX164" s="55"/>
      <c r="DY164" s="55"/>
      <c r="DZ164" s="55"/>
      <c r="EA164" s="55"/>
      <c r="EB164" s="55"/>
      <c r="EC164" s="55"/>
      <c r="ED164" s="55"/>
      <c r="EE164" s="55"/>
      <c r="EF164" s="55"/>
      <c r="EG164" s="55"/>
      <c r="EH164" s="55"/>
      <c r="EI164" s="55"/>
      <c r="EJ164" s="55"/>
      <c r="EK164" s="55"/>
      <c r="EL164" s="55"/>
      <c r="EM164" s="55"/>
      <c r="EN164" s="55"/>
      <c r="EO164" s="55"/>
      <c r="EP164" s="55"/>
      <c r="EQ164" s="55"/>
      <c r="ER164" s="55"/>
      <c r="ES164" s="55"/>
      <c r="ET164" s="55"/>
      <c r="EU164" s="55"/>
      <c r="EV164" s="55"/>
      <c r="EW164" s="55"/>
      <c r="EX164" s="55"/>
      <c r="EY164" s="55"/>
      <c r="EZ164" s="55"/>
      <c r="FA164" s="55"/>
      <c r="FB164" s="55"/>
      <c r="FC164" s="55"/>
      <c r="FD164" s="55"/>
      <c r="FE164" s="55"/>
      <c r="FF164" s="55"/>
      <c r="FG164" s="55"/>
      <c r="FH164" s="55"/>
      <c r="FI164" s="55"/>
      <c r="FJ164" s="55"/>
      <c r="FK164" s="55"/>
      <c r="FL164" s="55"/>
      <c r="FM164" s="55"/>
      <c r="FN164" s="55"/>
      <c r="FO164" s="55"/>
      <c r="FP164" s="55"/>
      <c r="FQ164" s="55"/>
      <c r="FR164" s="55"/>
      <c r="FS164" s="55"/>
      <c r="FT164" s="55"/>
      <c r="FU164" s="55"/>
      <c r="FV164" s="55"/>
      <c r="FW164" s="55"/>
      <c r="FX164" s="55"/>
      <c r="FY164" s="55"/>
      <c r="FZ164" s="55"/>
      <c r="GA164" s="55"/>
      <c r="GB164" s="55"/>
      <c r="GC164" s="55"/>
      <c r="GD164" s="55"/>
      <c r="GE164" s="55"/>
      <c r="GF164" s="55"/>
      <c r="GG164" s="55"/>
      <c r="GH164" s="55"/>
      <c r="GI164" s="55"/>
      <c r="GJ164" s="55"/>
      <c r="GK164" s="55"/>
      <c r="GL164" s="55"/>
      <c r="GM164" s="55"/>
      <c r="GN164" s="55"/>
      <c r="GO164" s="55"/>
      <c r="GP164" s="55"/>
      <c r="GQ164" s="55"/>
      <c r="GR164" s="55"/>
      <c r="GS164" s="55"/>
      <c r="GT164" s="55"/>
      <c r="GU164" s="55"/>
      <c r="GV164" s="55"/>
      <c r="GW164" s="55"/>
      <c r="GX164" s="55"/>
      <c r="GY164" s="55"/>
      <c r="GZ164" s="55"/>
      <c r="HA164" s="55"/>
      <c r="HB164" s="55"/>
      <c r="HC164" s="55"/>
      <c r="HD164" s="55"/>
      <c r="HE164" s="55"/>
      <c r="HF164" s="55"/>
      <c r="HG164" s="55"/>
      <c r="HH164" s="55"/>
      <c r="HI164" s="55"/>
      <c r="HJ164" s="55"/>
      <c r="HK164" s="55"/>
      <c r="HL164" s="55"/>
      <c r="HM164" s="55"/>
      <c r="HN164" s="55"/>
      <c r="HO164" s="55"/>
      <c r="HP164" s="55"/>
      <c r="HQ164" s="55"/>
      <c r="HR164" s="55"/>
      <c r="HS164" s="55"/>
      <c r="HT164" s="55"/>
      <c r="HU164" s="55"/>
      <c r="HV164" s="55"/>
      <c r="HW164" s="55"/>
      <c r="HX164" s="55"/>
      <c r="HY164" s="55"/>
      <c r="HZ164" s="55"/>
      <c r="IA164" s="55"/>
      <c r="IB164" s="55"/>
      <c r="IC164" s="55"/>
      <c r="ID164" s="55"/>
      <c r="IE164" s="55"/>
      <c r="IF164" s="55"/>
      <c r="IG164" s="55"/>
      <c r="IH164" s="55"/>
      <c r="II164" s="55"/>
      <c r="IJ164" s="55"/>
      <c r="IK164" s="55"/>
      <c r="IL164" s="55"/>
      <c r="IM164" s="55"/>
      <c r="IN164" s="55"/>
      <c r="IO164" s="55"/>
      <c r="IP164" s="55"/>
      <c r="IQ164" s="55"/>
      <c r="IR164" s="55"/>
      <c r="IS164" s="55"/>
      <c r="IT164" s="55"/>
      <c r="IU164" s="55"/>
      <c r="IV164" s="55"/>
      <c r="IW164" s="55"/>
      <c r="IX164" s="55"/>
      <c r="IY164" s="55"/>
      <c r="IZ164" s="55"/>
      <c r="JA164" s="55"/>
      <c r="JB164" s="55"/>
      <c r="JC164" s="55"/>
      <c r="JD164" s="55"/>
      <c r="JE164" s="55"/>
      <c r="JF164" s="55"/>
      <c r="JG164" s="55"/>
      <c r="JH164" s="55"/>
      <c r="JI164" s="55"/>
      <c r="JJ164" s="55"/>
      <c r="JK164" s="55"/>
      <c r="JL164" s="55"/>
      <c r="JM164" s="55"/>
      <c r="JN164" s="55"/>
      <c r="JO164" s="55"/>
      <c r="JP164" s="55"/>
      <c r="JQ164" s="55"/>
      <c r="JR164" s="55"/>
      <c r="JS164" s="55"/>
      <c r="JT164" s="55"/>
      <c r="JU164" s="55"/>
      <c r="JV164" s="55"/>
      <c r="JW164" s="55"/>
      <c r="JX164" s="55"/>
      <c r="JY164" s="55"/>
      <c r="JZ164" s="55"/>
      <c r="KA164" s="55"/>
      <c r="KB164" s="55"/>
      <c r="KC164" s="55"/>
      <c r="KD164" s="55"/>
      <c r="KE164" s="55"/>
      <c r="KF164" s="55"/>
      <c r="KG164" s="55"/>
      <c r="KH164" s="55"/>
      <c r="KI164" s="55"/>
      <c r="KJ164" s="55"/>
      <c r="KK164" s="55"/>
      <c r="KL164" s="55"/>
      <c r="KM164" s="55"/>
      <c r="KN164" s="55"/>
      <c r="KO164" s="55"/>
      <c r="KP164" s="55"/>
      <c r="KQ164" s="55"/>
      <c r="KR164" s="55"/>
      <c r="KS164" s="55"/>
      <c r="KT164" s="55"/>
      <c r="KU164" s="55"/>
      <c r="KV164" s="55"/>
      <c r="KW164" s="55"/>
      <c r="KX164" s="55"/>
      <c r="KY164" s="55"/>
      <c r="KZ164" s="55"/>
      <c r="LA164" s="55"/>
      <c r="LB164" s="55"/>
      <c r="LC164" s="55"/>
      <c r="LD164" s="55"/>
      <c r="LE164" s="55"/>
      <c r="LF164" s="55"/>
      <c r="LG164" s="55"/>
      <c r="LH164" s="55"/>
      <c r="LI164" s="55"/>
      <c r="LJ164" s="55"/>
      <c r="LK164" s="55"/>
      <c r="LL164" s="55"/>
      <c r="LM164" s="55"/>
      <c r="LN164" s="55"/>
      <c r="LO164" s="55"/>
      <c r="LP164" s="55"/>
      <c r="LQ164" s="55"/>
      <c r="LR164" s="55"/>
      <c r="LS164" s="55"/>
      <c r="LT164" s="55"/>
      <c r="LU164" s="55"/>
      <c r="LV164" s="55"/>
      <c r="LW164" s="55"/>
      <c r="LX164" s="55"/>
      <c r="LY164" s="55"/>
      <c r="LZ164" s="55"/>
      <c r="MA164" s="55"/>
      <c r="MB164" s="55"/>
      <c r="MC164" s="55"/>
      <c r="MD164" s="55"/>
      <c r="ME164" s="55"/>
      <c r="MF164" s="55"/>
      <c r="MG164" s="55"/>
      <c r="MH164" s="55"/>
      <c r="MI164" s="55"/>
      <c r="MJ164" s="55"/>
      <c r="MK164" s="55"/>
      <c r="ML164" s="55"/>
      <c r="MM164" s="55"/>
      <c r="MN164" s="55"/>
      <c r="MO164" s="55"/>
      <c r="MP164" s="55"/>
      <c r="MQ164" s="55"/>
      <c r="MR164" s="55"/>
      <c r="MS164" s="55"/>
      <c r="MT164" s="55"/>
      <c r="MU164" s="55"/>
      <c r="MV164" s="55"/>
      <c r="MW164" s="55"/>
      <c r="MX164" s="55"/>
      <c r="MY164" s="55"/>
      <c r="MZ164" s="55"/>
      <c r="NA164" s="55"/>
      <c r="NB164" s="55"/>
      <c r="NC164" s="55"/>
      <c r="ND164" s="55"/>
      <c r="NE164" s="55"/>
      <c r="NF164" s="55"/>
      <c r="NG164" s="55"/>
      <c r="NH164" s="55"/>
      <c r="NI164" s="55"/>
      <c r="NJ164" s="55"/>
      <c r="NK164" s="55"/>
      <c r="NL164" s="55"/>
      <c r="NM164" s="55"/>
      <c r="NN164" s="55"/>
      <c r="NO164" s="55"/>
      <c r="NP164" s="55"/>
      <c r="NQ164" s="55"/>
      <c r="NR164" s="55"/>
      <c r="NS164" s="55"/>
      <c r="NT164" s="55"/>
      <c r="NU164" s="55"/>
      <c r="NV164" s="55"/>
      <c r="NW164" s="55"/>
      <c r="NX164" s="55"/>
      <c r="NY164" s="55"/>
      <c r="NZ164" s="55"/>
      <c r="OA164" s="55"/>
      <c r="OB164" s="55"/>
      <c r="OC164" s="55"/>
      <c r="OD164" s="55"/>
      <c r="OE164" s="55"/>
    </row>
    <row r="165" spans="4:395" x14ac:dyDescent="0.3">
      <c r="K165" s="65"/>
      <c r="L165" s="55"/>
      <c r="M165" s="66"/>
      <c r="N165" s="93" t="s">
        <v>167</v>
      </c>
      <c r="O165" s="94"/>
      <c r="P165" s="95"/>
      <c r="Q165" s="94"/>
      <c r="R165" s="25"/>
    </row>
    <row r="166" spans="4:395" x14ac:dyDescent="0.3">
      <c r="K166" s="65"/>
      <c r="L166" s="55"/>
      <c r="M166" s="66"/>
      <c r="N166" t="s">
        <v>510</v>
      </c>
      <c r="P166" s="7"/>
    </row>
    <row r="167" spans="4:395" x14ac:dyDescent="0.3">
      <c r="K167" s="65"/>
      <c r="L167" s="55"/>
      <c r="M167" s="66"/>
      <c r="P167" s="7"/>
      <c r="R167" s="25"/>
    </row>
    <row r="168" spans="4:395" x14ac:dyDescent="0.3">
      <c r="K168" s="65"/>
      <c r="L168" s="55"/>
      <c r="M168" s="66"/>
      <c r="N168" s="137" t="s">
        <v>175</v>
      </c>
      <c r="O168" s="138"/>
      <c r="P168" s="139"/>
      <c r="Q168" s="138"/>
      <c r="R168" s="25"/>
    </row>
    <row r="169" spans="4:395" x14ac:dyDescent="0.3">
      <c r="K169" s="65"/>
      <c r="L169" s="55"/>
      <c r="M169" s="66"/>
      <c r="N169" t="s">
        <v>232</v>
      </c>
      <c r="P169" s="7"/>
      <c r="R169" s="25"/>
    </row>
    <row r="170" spans="4:395" x14ac:dyDescent="0.3">
      <c r="K170" s="65"/>
      <c r="L170" s="55"/>
      <c r="M170" s="66"/>
      <c r="N170" t="s">
        <v>231</v>
      </c>
      <c r="P170" s="7"/>
      <c r="R170" s="25"/>
    </row>
    <row r="171" spans="4:395" x14ac:dyDescent="0.3">
      <c r="K171" s="65"/>
      <c r="L171" s="55"/>
      <c r="M171" s="66"/>
      <c r="N171" s="137" t="s">
        <v>170</v>
      </c>
      <c r="O171" s="138"/>
      <c r="P171" s="139"/>
      <c r="Q171" s="138"/>
      <c r="R171" s="25"/>
    </row>
    <row r="172" spans="4:395" x14ac:dyDescent="0.3">
      <c r="K172" s="65"/>
      <c r="L172" s="55"/>
      <c r="M172" s="66"/>
      <c r="P172" s="7"/>
      <c r="R172" s="25"/>
    </row>
    <row r="173" spans="4:395" x14ac:dyDescent="0.3">
      <c r="K173" s="65"/>
      <c r="L173" s="55"/>
      <c r="M173" s="66"/>
      <c r="O173" s="25"/>
      <c r="P173" s="27"/>
      <c r="Q173" s="25"/>
    </row>
    <row r="174" spans="4:395" x14ac:dyDescent="0.3">
      <c r="K174" s="65"/>
      <c r="L174" s="55"/>
      <c r="M174" s="66"/>
      <c r="N174" s="25"/>
      <c r="O174" s="25"/>
      <c r="P174" s="27"/>
      <c r="Q174" s="25"/>
    </row>
    <row r="175" spans="4:395" x14ac:dyDescent="0.3">
      <c r="K175" s="65"/>
      <c r="L175" s="55"/>
      <c r="M175" s="66"/>
      <c r="N175" s="133" t="s">
        <v>171</v>
      </c>
      <c r="O175" s="134"/>
      <c r="P175" s="135"/>
      <c r="Q175" s="134"/>
    </row>
    <row r="176" spans="4:395" x14ac:dyDescent="0.3">
      <c r="K176" s="65"/>
      <c r="L176" s="55"/>
      <c r="M176" s="66"/>
      <c r="N176" s="97" t="s">
        <v>6</v>
      </c>
      <c r="O176" s="98"/>
      <c r="P176" s="99"/>
      <c r="Q176" s="98"/>
    </row>
    <row r="177" spans="11:17" x14ac:dyDescent="0.3">
      <c r="K177" s="65"/>
      <c r="L177" s="55"/>
      <c r="M177" s="66"/>
      <c r="O177" s="96"/>
      <c r="P177" s="50"/>
      <c r="Q177" s="96"/>
    </row>
    <row r="178" spans="11:17" x14ac:dyDescent="0.3">
      <c r="K178" s="65"/>
      <c r="L178" s="55"/>
      <c r="M178" s="66"/>
      <c r="O178" s="25"/>
      <c r="P178" s="27"/>
      <c r="Q178" s="80"/>
    </row>
    <row r="179" spans="11:17" x14ac:dyDescent="0.3">
      <c r="K179" s="65"/>
      <c r="L179" s="55"/>
      <c r="M179" s="66"/>
      <c r="N179" s="133" t="s">
        <v>169</v>
      </c>
      <c r="O179" s="134"/>
      <c r="P179" s="135"/>
      <c r="Q179" s="134"/>
    </row>
    <row r="180" spans="11:17" x14ac:dyDescent="0.3">
      <c r="K180" s="65"/>
      <c r="L180" s="55"/>
      <c r="M180" s="66"/>
      <c r="O180" s="25"/>
      <c r="P180" s="27"/>
      <c r="Q180" s="25"/>
    </row>
    <row r="181" spans="11:17" x14ac:dyDescent="0.3">
      <c r="K181" s="65"/>
      <c r="L181" s="55"/>
      <c r="M181" s="66"/>
      <c r="O181" s="25"/>
      <c r="P181" s="27"/>
      <c r="Q181" s="25"/>
    </row>
    <row r="182" spans="11:17" x14ac:dyDescent="0.3">
      <c r="K182" s="65"/>
      <c r="L182" s="55"/>
      <c r="M182" s="66"/>
      <c r="N182" s="25"/>
      <c r="O182" s="25"/>
      <c r="P182" s="27"/>
      <c r="Q182" s="25"/>
    </row>
    <row r="183" spans="11:17" x14ac:dyDescent="0.3">
      <c r="K183" s="65"/>
      <c r="L183" s="55"/>
      <c r="M183" s="66"/>
      <c r="N183" s="133" t="s">
        <v>168</v>
      </c>
      <c r="O183" s="134"/>
      <c r="P183" s="135"/>
      <c r="Q183" s="134"/>
    </row>
    <row r="184" spans="11:17" x14ac:dyDescent="0.3">
      <c r="K184" s="65"/>
      <c r="L184" s="55"/>
      <c r="M184" s="66"/>
      <c r="N184" s="100" t="s">
        <v>176</v>
      </c>
      <c r="O184" s="101"/>
      <c r="P184" s="102" t="s">
        <v>81</v>
      </c>
      <c r="Q184" s="101"/>
    </row>
    <row r="185" spans="11:17" x14ac:dyDescent="0.3">
      <c r="K185" s="65"/>
      <c r="L185" s="55"/>
      <c r="M185" s="66"/>
      <c r="N185" s="87" t="s">
        <v>173</v>
      </c>
      <c r="O185" s="279"/>
      <c r="P185" s="89" t="s">
        <v>81</v>
      </c>
      <c r="Q185" s="279"/>
    </row>
    <row r="186" spans="11:17" x14ac:dyDescent="0.3">
      <c r="K186" s="65"/>
      <c r="L186" s="55"/>
      <c r="M186" s="55"/>
      <c r="N186" s="105"/>
      <c r="O186" s="55"/>
      <c r="P186" s="55"/>
      <c r="Q186" s="55"/>
    </row>
    <row r="187" spans="11:17" x14ac:dyDescent="0.3">
      <c r="K187" s="65"/>
      <c r="L187" s="55"/>
      <c r="M187" s="55"/>
      <c r="N187" s="55" t="s">
        <v>5</v>
      </c>
      <c r="O187" s="55"/>
      <c r="P187" s="55"/>
      <c r="Q187" s="55"/>
    </row>
    <row r="188" spans="11:17" x14ac:dyDescent="0.3">
      <c r="K188" s="65"/>
      <c r="L188" s="55"/>
      <c r="M188" s="55"/>
      <c r="N188" s="55" t="s">
        <v>204</v>
      </c>
      <c r="O188" s="55"/>
      <c r="P188" s="55"/>
      <c r="Q188" s="55"/>
    </row>
    <row r="189" spans="11:17" x14ac:dyDescent="0.3">
      <c r="K189" s="65"/>
      <c r="L189" s="55"/>
      <c r="M189" s="55"/>
      <c r="N189" s="55" t="s">
        <v>205</v>
      </c>
      <c r="O189" s="55"/>
      <c r="P189" s="55"/>
      <c r="Q189" s="55"/>
    </row>
    <row r="190" spans="11:17" x14ac:dyDescent="0.3">
      <c r="K190" s="65"/>
      <c r="L190" s="55"/>
      <c r="M190" s="55"/>
      <c r="N190" s="55" t="s">
        <v>206</v>
      </c>
      <c r="O190" s="55"/>
      <c r="P190" s="55"/>
      <c r="Q190" s="55"/>
    </row>
    <row r="191" spans="11:17" x14ac:dyDescent="0.3">
      <c r="K191" s="65"/>
      <c r="L191" s="55"/>
      <c r="M191" s="55"/>
      <c r="N191" s="55"/>
      <c r="O191" s="55"/>
      <c r="P191" s="55"/>
      <c r="Q191" s="55"/>
    </row>
    <row r="192" spans="11:17" x14ac:dyDescent="0.3">
      <c r="K192" s="65"/>
      <c r="L192" s="55"/>
      <c r="M192" s="66"/>
      <c r="N192" s="125" t="s">
        <v>1</v>
      </c>
      <c r="O192" s="126"/>
      <c r="P192" s="148"/>
      <c r="Q192" s="126"/>
    </row>
    <row r="193" spans="11:17" x14ac:dyDescent="0.3">
      <c r="K193" s="65"/>
      <c r="L193" s="55"/>
      <c r="M193" s="66"/>
      <c r="N193" t="s">
        <v>177</v>
      </c>
      <c r="P193" s="7"/>
    </row>
    <row r="194" spans="11:17" x14ac:dyDescent="0.3">
      <c r="K194" s="65"/>
      <c r="L194" s="55"/>
      <c r="M194" s="66"/>
      <c r="N194" s="166" t="s">
        <v>372</v>
      </c>
      <c r="O194" s="166"/>
      <c r="P194" s="280"/>
      <c r="Q194" s="166"/>
    </row>
    <row r="195" spans="11:17" x14ac:dyDescent="0.3">
      <c r="K195" s="65"/>
      <c r="L195" s="55"/>
      <c r="M195" s="66"/>
      <c r="N195" s="166" t="s">
        <v>373</v>
      </c>
      <c r="O195" s="166"/>
      <c r="P195" s="280"/>
      <c r="Q195" s="166"/>
    </row>
    <row r="196" spans="11:17" x14ac:dyDescent="0.3">
      <c r="K196" s="65"/>
      <c r="L196" s="55"/>
      <c r="M196" s="66"/>
      <c r="N196" s="166" t="s">
        <v>208</v>
      </c>
      <c r="O196" s="166"/>
      <c r="P196" s="280"/>
      <c r="Q196" s="166"/>
    </row>
    <row r="197" spans="11:17" x14ac:dyDescent="0.3">
      <c r="K197" s="65"/>
      <c r="L197" s="55"/>
      <c r="M197" s="66"/>
      <c r="N197" s="166" t="s">
        <v>375</v>
      </c>
      <c r="O197" s="166"/>
      <c r="P197" s="280"/>
      <c r="Q197" s="166"/>
    </row>
    <row r="198" spans="11:17" x14ac:dyDescent="0.3">
      <c r="K198" s="65"/>
      <c r="L198" s="55"/>
      <c r="M198" s="66"/>
      <c r="N198" s="166" t="s">
        <v>374</v>
      </c>
      <c r="O198" s="166"/>
      <c r="P198" s="280"/>
      <c r="Q198" s="166"/>
    </row>
    <row r="199" spans="11:17" x14ac:dyDescent="0.3">
      <c r="K199" s="65"/>
      <c r="L199" s="55"/>
      <c r="M199" s="66"/>
      <c r="N199" s="281" t="s">
        <v>224</v>
      </c>
      <c r="O199" s="82"/>
      <c r="P199" s="81"/>
      <c r="Q199" s="82"/>
    </row>
    <row r="200" spans="11:17" x14ac:dyDescent="0.3">
      <c r="K200" s="65"/>
      <c r="L200" s="55"/>
      <c r="M200" s="66"/>
      <c r="N200" s="145" t="s">
        <v>225</v>
      </c>
      <c r="O200" s="145"/>
      <c r="P200" s="149" t="s">
        <v>81</v>
      </c>
      <c r="Q200" s="145"/>
    </row>
    <row r="201" spans="11:17" x14ac:dyDescent="0.3">
      <c r="K201" s="65"/>
      <c r="L201" s="55"/>
      <c r="M201" s="66"/>
      <c r="N201" s="125" t="s">
        <v>173</v>
      </c>
      <c r="O201" s="126"/>
      <c r="P201" s="148" t="s">
        <v>81</v>
      </c>
      <c r="Q201" s="126"/>
    </row>
    <row r="202" spans="11:17" x14ac:dyDescent="0.3">
      <c r="K202" s="65"/>
      <c r="L202" s="55"/>
      <c r="M202" s="55"/>
      <c r="N202" s="105"/>
      <c r="O202" s="55"/>
      <c r="P202" s="55"/>
      <c r="Q202" s="55"/>
    </row>
    <row r="203" spans="11:17" x14ac:dyDescent="0.3">
      <c r="K203" s="65"/>
      <c r="L203" s="55"/>
      <c r="M203" s="55"/>
      <c r="N203" s="55" t="s">
        <v>250</v>
      </c>
      <c r="O203" s="55"/>
      <c r="P203" s="55"/>
      <c r="Q203" s="55"/>
    </row>
    <row r="204" spans="11:17" x14ac:dyDescent="0.3">
      <c r="K204" s="65"/>
      <c r="L204" s="55"/>
      <c r="M204" s="55"/>
      <c r="N204" s="55" t="s">
        <v>251</v>
      </c>
      <c r="O204" s="55"/>
      <c r="P204" s="55"/>
      <c r="Q204" s="55"/>
    </row>
    <row r="205" spans="11:17" x14ac:dyDescent="0.3">
      <c r="K205" s="65"/>
      <c r="L205" s="55"/>
      <c r="M205" s="55"/>
      <c r="N205" s="55"/>
      <c r="O205" s="55"/>
      <c r="P205" s="55"/>
      <c r="Q205" s="55"/>
    </row>
    <row r="206" spans="11:17" ht="14.4" thickBot="1" x14ac:dyDescent="0.35">
      <c r="K206" s="143"/>
      <c r="L206" s="142"/>
      <c r="M206" s="141" t="s">
        <v>209</v>
      </c>
      <c r="N206" s="142"/>
      <c r="O206" s="142"/>
      <c r="P206" s="142"/>
      <c r="Q206" s="142"/>
    </row>
    <row r="207" spans="11:17" x14ac:dyDescent="0.3">
      <c r="K207" s="65"/>
      <c r="L207" s="55"/>
      <c r="M207" s="112" t="s">
        <v>367</v>
      </c>
      <c r="N207" s="55"/>
      <c r="O207" s="55"/>
      <c r="P207" s="55"/>
      <c r="Q207" s="55"/>
    </row>
    <row r="208" spans="11:17" x14ac:dyDescent="0.3">
      <c r="K208" s="65"/>
      <c r="L208" s="55"/>
      <c r="M208" s="112"/>
      <c r="N208" s="55"/>
      <c r="O208" s="55"/>
      <c r="P208" s="55"/>
      <c r="Q208" s="55"/>
    </row>
    <row r="209" spans="11:17" x14ac:dyDescent="0.3">
      <c r="K209" s="65"/>
      <c r="L209" s="55"/>
      <c r="M209" s="66"/>
      <c r="N209" s="121" t="s">
        <v>230</v>
      </c>
      <c r="O209" s="122"/>
      <c r="P209" s="150"/>
      <c r="Q209" s="122"/>
    </row>
    <row r="210" spans="11:17" x14ac:dyDescent="0.3">
      <c r="K210" s="65"/>
      <c r="L210" s="55"/>
      <c r="M210" s="66"/>
      <c r="N210" s="144" t="s">
        <v>205</v>
      </c>
      <c r="O210" s="73"/>
      <c r="P210" s="74" t="s">
        <v>81</v>
      </c>
      <c r="Q210" s="73"/>
    </row>
    <row r="211" spans="11:17" x14ac:dyDescent="0.3">
      <c r="K211" s="65"/>
      <c r="L211" s="55"/>
      <c r="M211" s="66"/>
      <c r="N211" s="144" t="s">
        <v>1</v>
      </c>
      <c r="O211" s="73"/>
      <c r="P211" s="74" t="s">
        <v>81</v>
      </c>
      <c r="Q211" s="73"/>
    </row>
    <row r="212" spans="11:17" x14ac:dyDescent="0.3">
      <c r="K212" s="65"/>
      <c r="L212" s="55"/>
      <c r="M212" s="66"/>
      <c r="N212" s="25" t="s">
        <v>220</v>
      </c>
      <c r="O212" s="25"/>
      <c r="P212" s="27" t="s">
        <v>223</v>
      </c>
      <c r="Q212" s="25"/>
    </row>
    <row r="213" spans="11:17" x14ac:dyDescent="0.3">
      <c r="K213" s="65"/>
      <c r="L213" s="55"/>
      <c r="M213" s="66"/>
      <c r="N213" s="25" t="s">
        <v>221</v>
      </c>
      <c r="O213" s="25"/>
      <c r="P213" s="27"/>
      <c r="Q213" s="25"/>
    </row>
    <row r="214" spans="11:17" x14ac:dyDescent="0.3">
      <c r="K214" s="65"/>
      <c r="L214" s="55"/>
      <c r="M214" s="66"/>
      <c r="N214" s="25" t="s">
        <v>222</v>
      </c>
      <c r="O214" s="25"/>
      <c r="P214" s="27"/>
      <c r="Q214" s="25"/>
    </row>
    <row r="215" spans="11:17" x14ac:dyDescent="0.3">
      <c r="K215" s="65"/>
      <c r="L215" s="55"/>
      <c r="M215" s="66"/>
      <c r="N215" s="75" t="s">
        <v>218</v>
      </c>
      <c r="O215" s="5"/>
      <c r="P215" s="28" t="s">
        <v>81</v>
      </c>
      <c r="Q215" s="5"/>
    </row>
    <row r="216" spans="11:17" x14ac:dyDescent="0.3">
      <c r="K216" s="65"/>
      <c r="L216" s="55"/>
      <c r="M216" s="66"/>
      <c r="N216" s="2" t="s">
        <v>212</v>
      </c>
      <c r="O216" s="146"/>
      <c r="P216" s="151"/>
      <c r="Q216" s="146"/>
    </row>
    <row r="217" spans="11:17" x14ac:dyDescent="0.3">
      <c r="K217" s="65"/>
      <c r="L217" s="55"/>
      <c r="M217" s="66"/>
      <c r="N217" s="147" t="s">
        <v>219</v>
      </c>
      <c r="O217" s="147"/>
      <c r="P217" s="152" t="s">
        <v>81</v>
      </c>
      <c r="Q217" s="147"/>
    </row>
    <row r="218" spans="11:17" x14ac:dyDescent="0.3">
      <c r="K218" s="65"/>
      <c r="L218" s="55"/>
      <c r="M218" s="66"/>
      <c r="N218" s="121" t="s">
        <v>173</v>
      </c>
      <c r="O218" s="122"/>
      <c r="P218" s="150" t="s">
        <v>81</v>
      </c>
      <c r="Q218" s="122"/>
    </row>
    <row r="219" spans="11:17" x14ac:dyDescent="0.3">
      <c r="K219" s="65"/>
      <c r="L219" s="55"/>
      <c r="M219" s="55"/>
      <c r="N219" s="55"/>
      <c r="O219" s="55"/>
      <c r="P219" s="55"/>
      <c r="Q219" s="55"/>
    </row>
    <row r="220" spans="11:17" x14ac:dyDescent="0.3">
      <c r="K220" s="65"/>
      <c r="L220" s="55"/>
      <c r="M220" s="55"/>
      <c r="N220" s="55"/>
      <c r="O220" s="55"/>
      <c r="P220" s="55"/>
      <c r="Q220" s="55"/>
    </row>
    <row r="221" spans="11:17" x14ac:dyDescent="0.3">
      <c r="K221" s="65"/>
      <c r="L221" s="55"/>
      <c r="M221" s="66"/>
      <c r="N221" s="123" t="s">
        <v>270</v>
      </c>
      <c r="O221" s="124"/>
      <c r="P221" s="153"/>
      <c r="Q221" s="124"/>
    </row>
    <row r="222" spans="11:17" x14ac:dyDescent="0.3">
      <c r="K222" s="65"/>
      <c r="L222" s="55"/>
      <c r="M222" s="66"/>
      <c r="N222" t="s">
        <v>272</v>
      </c>
      <c r="P222" s="7"/>
    </row>
    <row r="223" spans="11:17" x14ac:dyDescent="0.3">
      <c r="K223" s="65"/>
      <c r="L223" s="55"/>
      <c r="M223" s="66"/>
      <c r="N223" t="s">
        <v>273</v>
      </c>
      <c r="P223" s="7"/>
    </row>
    <row r="224" spans="11:17" x14ac:dyDescent="0.3">
      <c r="K224" s="65"/>
      <c r="L224" s="55"/>
      <c r="M224" s="66"/>
      <c r="N224" t="s">
        <v>274</v>
      </c>
      <c r="P224" s="7"/>
    </row>
    <row r="225" spans="11:17" x14ac:dyDescent="0.3">
      <c r="K225" s="65"/>
      <c r="L225" s="55"/>
      <c r="M225" s="66"/>
      <c r="N225" t="s">
        <v>275</v>
      </c>
      <c r="P225" s="7"/>
    </row>
    <row r="226" spans="11:17" x14ac:dyDescent="0.3">
      <c r="K226" s="65"/>
      <c r="L226" s="55"/>
      <c r="M226" s="66"/>
      <c r="N226" s="175" t="s">
        <v>271</v>
      </c>
      <c r="O226" s="176"/>
      <c r="P226" s="177"/>
      <c r="Q226" s="176"/>
    </row>
    <row r="227" spans="11:17" x14ac:dyDescent="0.3">
      <c r="K227" s="65"/>
      <c r="L227" s="55"/>
      <c r="M227" s="66"/>
      <c r="N227" t="s">
        <v>276</v>
      </c>
      <c r="P227" s="7"/>
    </row>
    <row r="228" spans="11:17" x14ac:dyDescent="0.3">
      <c r="K228" s="65"/>
      <c r="L228" s="55"/>
      <c r="M228" s="66"/>
      <c r="N228" t="s">
        <v>277</v>
      </c>
      <c r="P228" s="7"/>
    </row>
    <row r="229" spans="11:17" x14ac:dyDescent="0.3">
      <c r="K229" s="65"/>
      <c r="L229" s="55"/>
      <c r="M229" s="66"/>
      <c r="N229" t="s">
        <v>279</v>
      </c>
      <c r="P229" s="7"/>
    </row>
    <row r="230" spans="11:17" x14ac:dyDescent="0.3">
      <c r="K230" s="65"/>
      <c r="L230" s="55"/>
      <c r="M230" s="66"/>
      <c r="N230" t="s">
        <v>280</v>
      </c>
      <c r="P230" s="7"/>
    </row>
    <row r="231" spans="11:17" x14ac:dyDescent="0.3">
      <c r="K231" s="65"/>
      <c r="L231" s="55"/>
      <c r="M231" s="66"/>
      <c r="N231" t="s">
        <v>278</v>
      </c>
      <c r="P231" s="7"/>
    </row>
    <row r="232" spans="11:17" x14ac:dyDescent="0.3">
      <c r="K232" s="65"/>
      <c r="L232" s="55"/>
      <c r="M232" s="66"/>
      <c r="N232" t="s">
        <v>281</v>
      </c>
      <c r="P232" s="7"/>
    </row>
    <row r="233" spans="11:17" x14ac:dyDescent="0.3">
      <c r="K233" s="65"/>
      <c r="L233" s="55"/>
      <c r="M233" s="66"/>
      <c r="N233" s="175" t="s">
        <v>285</v>
      </c>
      <c r="O233" s="176"/>
      <c r="P233" s="177"/>
      <c r="Q233" s="176"/>
    </row>
    <row r="234" spans="11:17" x14ac:dyDescent="0.3">
      <c r="K234" s="65"/>
      <c r="L234" s="55"/>
      <c r="M234" s="66"/>
      <c r="N234" t="s">
        <v>282</v>
      </c>
      <c r="P234" s="7"/>
    </row>
    <row r="235" spans="11:17" x14ac:dyDescent="0.3">
      <c r="K235" s="65"/>
      <c r="L235" s="55"/>
      <c r="M235" s="66"/>
      <c r="N235" t="s">
        <v>283</v>
      </c>
      <c r="P235" s="7"/>
    </row>
    <row r="236" spans="11:17" x14ac:dyDescent="0.3">
      <c r="K236" s="65"/>
      <c r="L236" s="55"/>
      <c r="M236" s="66"/>
      <c r="N236" t="s">
        <v>284</v>
      </c>
      <c r="P236" s="7"/>
    </row>
    <row r="237" spans="11:17" x14ac:dyDescent="0.3">
      <c r="K237" s="65"/>
      <c r="L237" s="55"/>
      <c r="M237" s="66"/>
      <c r="N237" s="175" t="s">
        <v>214</v>
      </c>
      <c r="O237" s="176"/>
      <c r="P237" s="177"/>
      <c r="Q237" s="176"/>
    </row>
    <row r="238" spans="11:17" x14ac:dyDescent="0.3">
      <c r="K238" s="65"/>
      <c r="L238" s="55"/>
      <c r="M238" s="66"/>
      <c r="N238" s="123" t="s">
        <v>173</v>
      </c>
      <c r="O238" s="124"/>
      <c r="P238" s="153"/>
      <c r="Q238" s="124"/>
    </row>
    <row r="239" spans="11:17" x14ac:dyDescent="0.3">
      <c r="K239" s="65"/>
      <c r="L239" s="55"/>
      <c r="M239" s="55"/>
      <c r="N239" s="55"/>
      <c r="O239" s="55"/>
      <c r="P239" s="55"/>
      <c r="Q239" s="55"/>
    </row>
    <row r="240" spans="11:17" x14ac:dyDescent="0.3">
      <c r="K240" s="65"/>
      <c r="L240" s="55"/>
      <c r="M240" s="55"/>
      <c r="N240" s="55"/>
      <c r="O240" s="55"/>
      <c r="P240" s="55"/>
      <c r="Q240" s="55"/>
    </row>
    <row r="241" spans="11:395" x14ac:dyDescent="0.3">
      <c r="K241" s="65"/>
      <c r="L241" s="55"/>
      <c r="M241" s="66"/>
      <c r="N241" s="181" t="s">
        <v>213</v>
      </c>
      <c r="O241" s="128"/>
      <c r="P241" s="154"/>
      <c r="Q241" s="128"/>
    </row>
    <row r="242" spans="11:395" x14ac:dyDescent="0.3">
      <c r="K242" s="65"/>
      <c r="L242" s="55"/>
      <c r="M242" s="66"/>
      <c r="N242" s="119" t="s">
        <v>360</v>
      </c>
      <c r="P242" s="7"/>
      <c r="Q242" cm="1">
        <f t="array" ref="Q242:OE242">IF( (YEAR(O11)=YEAR(_xlfn.ANCHORARRAY($Q$2)))*(MONTH(O11)=MONTH(_xlfn.ANCHORARRAY($Q$2))),-E38,0)</f>
        <v>-10000</v>
      </c>
      <c r="R242">
        <v>0</v>
      </c>
      <c r="S242">
        <v>0</v>
      </c>
      <c r="T242">
        <v>0</v>
      </c>
      <c r="U242">
        <v>0</v>
      </c>
      <c r="V242">
        <v>0</v>
      </c>
      <c r="W242">
        <v>0</v>
      </c>
      <c r="X242">
        <v>0</v>
      </c>
      <c r="Y242">
        <v>0</v>
      </c>
      <c r="Z242">
        <v>0</v>
      </c>
      <c r="AA242">
        <v>0</v>
      </c>
      <c r="AB242">
        <v>0</v>
      </c>
      <c r="AC242">
        <v>0</v>
      </c>
      <c r="AD242">
        <v>0</v>
      </c>
      <c r="AE242">
        <v>0</v>
      </c>
      <c r="AF242">
        <v>0</v>
      </c>
      <c r="AG242">
        <v>0</v>
      </c>
      <c r="AH242">
        <v>0</v>
      </c>
      <c r="AI242">
        <v>0</v>
      </c>
      <c r="AJ242">
        <v>0</v>
      </c>
      <c r="AK242">
        <v>0</v>
      </c>
      <c r="AL242">
        <v>0</v>
      </c>
      <c r="AM242">
        <v>0</v>
      </c>
      <c r="AN242">
        <v>0</v>
      </c>
      <c r="AO242">
        <v>0</v>
      </c>
      <c r="AP242">
        <v>0</v>
      </c>
      <c r="AQ242">
        <v>0</v>
      </c>
      <c r="AR242">
        <v>0</v>
      </c>
      <c r="AS242">
        <v>0</v>
      </c>
      <c r="AT242">
        <v>0</v>
      </c>
      <c r="AU242">
        <v>0</v>
      </c>
      <c r="AV242">
        <v>0</v>
      </c>
      <c r="AW242">
        <v>0</v>
      </c>
      <c r="AX242">
        <v>0</v>
      </c>
      <c r="AY242">
        <v>0</v>
      </c>
      <c r="AZ242">
        <v>0</v>
      </c>
      <c r="BA242">
        <v>0</v>
      </c>
      <c r="BB242">
        <v>0</v>
      </c>
      <c r="BC242">
        <v>0</v>
      </c>
      <c r="BD242">
        <v>0</v>
      </c>
      <c r="BE242">
        <v>0</v>
      </c>
      <c r="BF242">
        <v>0</v>
      </c>
      <c r="BG242">
        <v>0</v>
      </c>
      <c r="BH242">
        <v>0</v>
      </c>
      <c r="BI242">
        <v>0</v>
      </c>
      <c r="BJ242">
        <v>0</v>
      </c>
      <c r="BK242">
        <v>0</v>
      </c>
      <c r="BL242">
        <v>0</v>
      </c>
      <c r="BM242">
        <v>0</v>
      </c>
      <c r="BN242">
        <v>0</v>
      </c>
      <c r="BO242">
        <v>0</v>
      </c>
      <c r="BP242">
        <v>0</v>
      </c>
      <c r="BQ242">
        <v>0</v>
      </c>
      <c r="BR242">
        <v>0</v>
      </c>
      <c r="BS242">
        <v>0</v>
      </c>
      <c r="BT242">
        <v>0</v>
      </c>
      <c r="BU242">
        <v>0</v>
      </c>
      <c r="BV242">
        <v>0</v>
      </c>
      <c r="BW242">
        <v>0</v>
      </c>
      <c r="BX242">
        <v>0</v>
      </c>
      <c r="BY242">
        <v>0</v>
      </c>
      <c r="BZ242">
        <v>0</v>
      </c>
      <c r="CA242">
        <v>0</v>
      </c>
      <c r="CB242">
        <v>0</v>
      </c>
      <c r="CC242">
        <v>0</v>
      </c>
      <c r="CD242">
        <v>0</v>
      </c>
      <c r="CE242">
        <v>0</v>
      </c>
      <c r="CF242">
        <v>0</v>
      </c>
      <c r="CG242">
        <v>0</v>
      </c>
      <c r="CH242">
        <v>0</v>
      </c>
      <c r="CI242">
        <v>0</v>
      </c>
      <c r="CJ242">
        <v>0</v>
      </c>
      <c r="CK242">
        <v>0</v>
      </c>
      <c r="CL242">
        <v>0</v>
      </c>
      <c r="CM242">
        <v>0</v>
      </c>
      <c r="CN242">
        <v>0</v>
      </c>
      <c r="CO242">
        <v>0</v>
      </c>
      <c r="CP242">
        <v>0</v>
      </c>
      <c r="CQ242">
        <v>0</v>
      </c>
      <c r="CR242">
        <v>0</v>
      </c>
      <c r="CS242">
        <v>0</v>
      </c>
      <c r="CT242">
        <v>0</v>
      </c>
      <c r="CU242">
        <v>0</v>
      </c>
      <c r="CV242">
        <v>0</v>
      </c>
      <c r="CW242">
        <v>0</v>
      </c>
      <c r="CX242">
        <v>0</v>
      </c>
      <c r="CY242">
        <v>0</v>
      </c>
      <c r="CZ242">
        <v>0</v>
      </c>
      <c r="DA242">
        <v>0</v>
      </c>
      <c r="DB242">
        <v>0</v>
      </c>
      <c r="DC242">
        <v>0</v>
      </c>
      <c r="DD242">
        <v>0</v>
      </c>
      <c r="DE242">
        <v>0</v>
      </c>
      <c r="DF242">
        <v>0</v>
      </c>
      <c r="DG242">
        <v>0</v>
      </c>
      <c r="DH242">
        <v>0</v>
      </c>
      <c r="DI242">
        <v>0</v>
      </c>
      <c r="DJ242">
        <v>0</v>
      </c>
      <c r="DK242">
        <v>0</v>
      </c>
      <c r="DL242">
        <v>0</v>
      </c>
      <c r="DM242">
        <v>0</v>
      </c>
      <c r="DN242">
        <v>0</v>
      </c>
      <c r="DO242">
        <v>0</v>
      </c>
      <c r="DP242">
        <v>0</v>
      </c>
      <c r="DQ242">
        <v>0</v>
      </c>
      <c r="DR242">
        <v>0</v>
      </c>
      <c r="DS242">
        <v>0</v>
      </c>
      <c r="DT242">
        <v>0</v>
      </c>
      <c r="DU242">
        <v>0</v>
      </c>
      <c r="DV242">
        <v>0</v>
      </c>
      <c r="DW242">
        <v>0</v>
      </c>
      <c r="DX242">
        <v>0</v>
      </c>
      <c r="DY242">
        <v>0</v>
      </c>
      <c r="DZ242">
        <v>0</v>
      </c>
      <c r="EA242">
        <v>0</v>
      </c>
      <c r="EB242">
        <v>0</v>
      </c>
      <c r="EC242">
        <v>0</v>
      </c>
      <c r="ED242">
        <v>0</v>
      </c>
      <c r="EE242">
        <v>0</v>
      </c>
      <c r="EF242">
        <v>0</v>
      </c>
      <c r="EG242">
        <v>0</v>
      </c>
      <c r="EH242">
        <v>0</v>
      </c>
      <c r="EI242">
        <v>0</v>
      </c>
      <c r="EJ242">
        <v>0</v>
      </c>
      <c r="EK242">
        <v>0</v>
      </c>
      <c r="EL242">
        <v>0</v>
      </c>
      <c r="EM242">
        <v>0</v>
      </c>
      <c r="EN242">
        <v>0</v>
      </c>
      <c r="EO242">
        <v>0</v>
      </c>
      <c r="EP242">
        <v>0</v>
      </c>
      <c r="EQ242">
        <v>0</v>
      </c>
      <c r="ER242">
        <v>0</v>
      </c>
      <c r="ES242">
        <v>0</v>
      </c>
      <c r="ET242">
        <v>0</v>
      </c>
      <c r="EU242">
        <v>0</v>
      </c>
      <c r="EV242">
        <v>0</v>
      </c>
      <c r="EW242">
        <v>0</v>
      </c>
      <c r="EX242">
        <v>0</v>
      </c>
      <c r="EY242">
        <v>0</v>
      </c>
      <c r="EZ242">
        <v>0</v>
      </c>
      <c r="FA242">
        <v>0</v>
      </c>
      <c r="FB242">
        <v>0</v>
      </c>
      <c r="FC242">
        <v>0</v>
      </c>
      <c r="FD242">
        <v>0</v>
      </c>
      <c r="FE242">
        <v>0</v>
      </c>
      <c r="FF242">
        <v>0</v>
      </c>
      <c r="FG242">
        <v>0</v>
      </c>
      <c r="FH242">
        <v>0</v>
      </c>
      <c r="FI242">
        <v>0</v>
      </c>
      <c r="FJ242">
        <v>0</v>
      </c>
      <c r="FK242">
        <v>0</v>
      </c>
      <c r="FL242">
        <v>0</v>
      </c>
      <c r="FM242">
        <v>0</v>
      </c>
      <c r="FN242">
        <v>0</v>
      </c>
      <c r="FO242">
        <v>0</v>
      </c>
      <c r="FP242">
        <v>0</v>
      </c>
      <c r="FQ242">
        <v>0</v>
      </c>
      <c r="FR242">
        <v>0</v>
      </c>
      <c r="FS242">
        <v>0</v>
      </c>
      <c r="FT242">
        <v>0</v>
      </c>
      <c r="FU242">
        <v>0</v>
      </c>
      <c r="FV242">
        <v>0</v>
      </c>
      <c r="FW242">
        <v>0</v>
      </c>
      <c r="FX242">
        <v>0</v>
      </c>
      <c r="FY242">
        <v>0</v>
      </c>
      <c r="FZ242">
        <v>0</v>
      </c>
      <c r="GA242">
        <v>0</v>
      </c>
      <c r="GB242">
        <v>0</v>
      </c>
      <c r="GC242">
        <v>0</v>
      </c>
      <c r="GD242">
        <v>0</v>
      </c>
      <c r="GE242">
        <v>0</v>
      </c>
      <c r="GF242">
        <v>0</v>
      </c>
      <c r="GG242">
        <v>0</v>
      </c>
      <c r="GH242">
        <v>0</v>
      </c>
      <c r="GI242">
        <v>0</v>
      </c>
      <c r="GJ242">
        <v>0</v>
      </c>
      <c r="GK242">
        <v>0</v>
      </c>
      <c r="GL242">
        <v>0</v>
      </c>
      <c r="GM242">
        <v>0</v>
      </c>
      <c r="GN242">
        <v>0</v>
      </c>
      <c r="GO242">
        <v>0</v>
      </c>
      <c r="GP242">
        <v>0</v>
      </c>
      <c r="GQ242">
        <v>0</v>
      </c>
      <c r="GR242">
        <v>0</v>
      </c>
      <c r="GS242">
        <v>0</v>
      </c>
      <c r="GT242">
        <v>0</v>
      </c>
      <c r="GU242">
        <v>0</v>
      </c>
      <c r="GV242">
        <v>0</v>
      </c>
      <c r="GW242">
        <v>0</v>
      </c>
      <c r="GX242">
        <v>0</v>
      </c>
      <c r="GY242">
        <v>0</v>
      </c>
      <c r="GZ242">
        <v>0</v>
      </c>
      <c r="HA242">
        <v>0</v>
      </c>
      <c r="HB242">
        <v>0</v>
      </c>
      <c r="HC242">
        <v>0</v>
      </c>
      <c r="HD242">
        <v>0</v>
      </c>
      <c r="HE242">
        <v>0</v>
      </c>
      <c r="HF242">
        <v>0</v>
      </c>
      <c r="HG242">
        <v>0</v>
      </c>
      <c r="HH242">
        <v>0</v>
      </c>
      <c r="HI242">
        <v>0</v>
      </c>
      <c r="HJ242">
        <v>0</v>
      </c>
      <c r="HK242">
        <v>0</v>
      </c>
      <c r="HL242">
        <v>0</v>
      </c>
      <c r="HM242">
        <v>0</v>
      </c>
      <c r="HN242">
        <v>0</v>
      </c>
      <c r="HO242">
        <v>0</v>
      </c>
      <c r="HP242">
        <v>0</v>
      </c>
      <c r="HQ242">
        <v>0</v>
      </c>
      <c r="HR242">
        <v>0</v>
      </c>
      <c r="HS242">
        <v>0</v>
      </c>
      <c r="HT242">
        <v>0</v>
      </c>
      <c r="HU242">
        <v>0</v>
      </c>
      <c r="HV242">
        <v>0</v>
      </c>
      <c r="HW242">
        <v>0</v>
      </c>
      <c r="HX242">
        <v>0</v>
      </c>
      <c r="HY242">
        <v>0</v>
      </c>
      <c r="HZ242">
        <v>0</v>
      </c>
      <c r="IA242">
        <v>0</v>
      </c>
      <c r="IB242">
        <v>0</v>
      </c>
      <c r="IC242">
        <v>0</v>
      </c>
      <c r="ID242">
        <v>0</v>
      </c>
      <c r="IE242">
        <v>0</v>
      </c>
      <c r="IF242">
        <v>0</v>
      </c>
      <c r="IG242">
        <v>0</v>
      </c>
      <c r="IH242">
        <v>0</v>
      </c>
      <c r="II242">
        <v>0</v>
      </c>
      <c r="IJ242">
        <v>0</v>
      </c>
      <c r="IK242">
        <v>0</v>
      </c>
      <c r="IL242">
        <v>0</v>
      </c>
      <c r="IM242">
        <v>0</v>
      </c>
      <c r="IN242">
        <v>0</v>
      </c>
      <c r="IO242">
        <v>0</v>
      </c>
      <c r="IP242">
        <v>0</v>
      </c>
      <c r="IQ242">
        <v>0</v>
      </c>
      <c r="IR242">
        <v>0</v>
      </c>
      <c r="IS242">
        <v>0</v>
      </c>
      <c r="IT242">
        <v>0</v>
      </c>
      <c r="IU242">
        <v>0</v>
      </c>
      <c r="IV242">
        <v>0</v>
      </c>
      <c r="IW242">
        <v>0</v>
      </c>
      <c r="IX242">
        <v>0</v>
      </c>
      <c r="IY242">
        <v>0</v>
      </c>
      <c r="IZ242">
        <v>0</v>
      </c>
      <c r="JA242">
        <v>0</v>
      </c>
      <c r="JB242">
        <v>0</v>
      </c>
      <c r="JC242">
        <v>0</v>
      </c>
      <c r="JD242">
        <v>0</v>
      </c>
      <c r="JE242">
        <v>0</v>
      </c>
      <c r="JF242">
        <v>0</v>
      </c>
      <c r="JG242">
        <v>0</v>
      </c>
      <c r="JH242">
        <v>0</v>
      </c>
      <c r="JI242">
        <v>0</v>
      </c>
      <c r="JJ242">
        <v>0</v>
      </c>
      <c r="JK242">
        <v>0</v>
      </c>
      <c r="JL242">
        <v>0</v>
      </c>
      <c r="JM242">
        <v>0</v>
      </c>
      <c r="JN242">
        <v>0</v>
      </c>
      <c r="JO242">
        <v>0</v>
      </c>
      <c r="JP242">
        <v>0</v>
      </c>
      <c r="JQ242">
        <v>0</v>
      </c>
      <c r="JR242">
        <v>0</v>
      </c>
      <c r="JS242">
        <v>0</v>
      </c>
      <c r="JT242">
        <v>0</v>
      </c>
      <c r="JU242">
        <v>0</v>
      </c>
      <c r="JV242">
        <v>0</v>
      </c>
      <c r="JW242">
        <v>0</v>
      </c>
      <c r="JX242">
        <v>0</v>
      </c>
      <c r="JY242">
        <v>0</v>
      </c>
      <c r="JZ242">
        <v>0</v>
      </c>
      <c r="KA242">
        <v>0</v>
      </c>
      <c r="KB242">
        <v>0</v>
      </c>
      <c r="KC242">
        <v>0</v>
      </c>
      <c r="KD242">
        <v>0</v>
      </c>
      <c r="KE242">
        <v>0</v>
      </c>
      <c r="KF242">
        <v>0</v>
      </c>
      <c r="KG242">
        <v>0</v>
      </c>
      <c r="KH242">
        <v>0</v>
      </c>
      <c r="KI242">
        <v>0</v>
      </c>
      <c r="KJ242">
        <v>0</v>
      </c>
      <c r="KK242">
        <v>0</v>
      </c>
      <c r="KL242">
        <v>0</v>
      </c>
      <c r="KM242">
        <v>0</v>
      </c>
      <c r="KN242">
        <v>0</v>
      </c>
      <c r="KO242">
        <v>0</v>
      </c>
      <c r="KP242">
        <v>0</v>
      </c>
      <c r="KQ242">
        <v>0</v>
      </c>
      <c r="KR242">
        <v>0</v>
      </c>
      <c r="KS242">
        <v>0</v>
      </c>
      <c r="KT242">
        <v>0</v>
      </c>
      <c r="KU242">
        <v>0</v>
      </c>
      <c r="KV242">
        <v>0</v>
      </c>
      <c r="KW242">
        <v>0</v>
      </c>
      <c r="KX242">
        <v>0</v>
      </c>
      <c r="KY242">
        <v>0</v>
      </c>
      <c r="KZ242">
        <v>0</v>
      </c>
      <c r="LA242">
        <v>0</v>
      </c>
      <c r="LB242">
        <v>0</v>
      </c>
      <c r="LC242">
        <v>0</v>
      </c>
      <c r="LD242">
        <v>0</v>
      </c>
      <c r="LE242">
        <v>0</v>
      </c>
      <c r="LF242">
        <v>0</v>
      </c>
      <c r="LG242">
        <v>0</v>
      </c>
      <c r="LH242">
        <v>0</v>
      </c>
      <c r="LI242">
        <v>0</v>
      </c>
      <c r="LJ242">
        <v>0</v>
      </c>
      <c r="LK242">
        <v>0</v>
      </c>
      <c r="LL242">
        <v>0</v>
      </c>
      <c r="LM242">
        <v>0</v>
      </c>
      <c r="LN242">
        <v>0</v>
      </c>
      <c r="LO242">
        <v>0</v>
      </c>
      <c r="LP242">
        <v>0</v>
      </c>
      <c r="LQ242">
        <v>0</v>
      </c>
      <c r="LR242">
        <v>0</v>
      </c>
      <c r="LS242">
        <v>0</v>
      </c>
      <c r="LT242">
        <v>0</v>
      </c>
      <c r="LU242">
        <v>0</v>
      </c>
      <c r="LV242">
        <v>0</v>
      </c>
      <c r="LW242">
        <v>0</v>
      </c>
      <c r="LX242">
        <v>0</v>
      </c>
      <c r="LY242">
        <v>0</v>
      </c>
      <c r="LZ242">
        <v>0</v>
      </c>
      <c r="MA242">
        <v>0</v>
      </c>
      <c r="MB242">
        <v>0</v>
      </c>
      <c r="MC242">
        <v>0</v>
      </c>
      <c r="MD242">
        <v>0</v>
      </c>
      <c r="ME242">
        <v>0</v>
      </c>
      <c r="MF242">
        <v>0</v>
      </c>
      <c r="MG242">
        <v>0</v>
      </c>
      <c r="MH242">
        <v>0</v>
      </c>
      <c r="MI242">
        <v>0</v>
      </c>
      <c r="MJ242">
        <v>0</v>
      </c>
      <c r="MK242">
        <v>0</v>
      </c>
      <c r="ML242">
        <v>0</v>
      </c>
      <c r="MM242">
        <v>0</v>
      </c>
      <c r="MN242">
        <v>0</v>
      </c>
      <c r="MO242">
        <v>0</v>
      </c>
      <c r="MP242">
        <v>0</v>
      </c>
      <c r="MQ242">
        <v>0</v>
      </c>
      <c r="MR242">
        <v>0</v>
      </c>
      <c r="MS242">
        <v>0</v>
      </c>
      <c r="MT242">
        <v>0</v>
      </c>
      <c r="MU242">
        <v>0</v>
      </c>
      <c r="MV242">
        <v>0</v>
      </c>
      <c r="MW242">
        <v>0</v>
      </c>
      <c r="MX242">
        <v>0</v>
      </c>
      <c r="MY242">
        <v>0</v>
      </c>
      <c r="MZ242">
        <v>0</v>
      </c>
      <c r="NA242">
        <v>0</v>
      </c>
      <c r="NB242">
        <v>0</v>
      </c>
      <c r="NC242">
        <v>0</v>
      </c>
      <c r="ND242">
        <v>0</v>
      </c>
      <c r="NE242">
        <v>0</v>
      </c>
      <c r="NF242">
        <v>0</v>
      </c>
      <c r="NG242">
        <v>0</v>
      </c>
      <c r="NH242">
        <v>0</v>
      </c>
      <c r="NI242">
        <v>0</v>
      </c>
      <c r="NJ242">
        <v>0</v>
      </c>
      <c r="NK242">
        <v>0</v>
      </c>
      <c r="NL242">
        <v>0</v>
      </c>
      <c r="NM242">
        <v>0</v>
      </c>
      <c r="NN242">
        <v>0</v>
      </c>
      <c r="NO242">
        <v>0</v>
      </c>
      <c r="NP242">
        <v>0</v>
      </c>
      <c r="NQ242">
        <v>0</v>
      </c>
      <c r="NR242">
        <v>0</v>
      </c>
      <c r="NS242">
        <v>0</v>
      </c>
      <c r="NT242">
        <v>0</v>
      </c>
      <c r="NU242">
        <v>0</v>
      </c>
      <c r="NV242">
        <v>0</v>
      </c>
      <c r="NW242">
        <v>0</v>
      </c>
      <c r="NX242">
        <v>0</v>
      </c>
      <c r="NY242">
        <v>0</v>
      </c>
      <c r="NZ242">
        <v>0</v>
      </c>
      <c r="OA242">
        <v>0</v>
      </c>
      <c r="OB242">
        <v>0</v>
      </c>
      <c r="OC242">
        <v>0</v>
      </c>
      <c r="OD242">
        <v>0</v>
      </c>
      <c r="OE242">
        <v>0</v>
      </c>
    </row>
    <row r="243" spans="11:395" x14ac:dyDescent="0.3">
      <c r="K243" s="65"/>
      <c r="L243" s="55"/>
      <c r="M243" s="66"/>
      <c r="N243" s="119" t="s">
        <v>353</v>
      </c>
      <c r="P243" s="7"/>
      <c r="Q243" cm="1">
        <f t="array" ref="Q243:OE243">IF( (YEAR(O12)=YEAR(_xlfn.ANCHORARRAY($Q$2)))*(MONTH(O12)=MONTH(_xlfn.ANCHORARRAY($Q$2))),-E39,0)</f>
        <v>0</v>
      </c>
      <c r="R243">
        <v>0</v>
      </c>
      <c r="S243">
        <v>0</v>
      </c>
      <c r="T243">
        <v>-20000</v>
      </c>
      <c r="U243">
        <v>0</v>
      </c>
      <c r="V243">
        <v>0</v>
      </c>
      <c r="W243">
        <v>0</v>
      </c>
      <c r="X243">
        <v>0</v>
      </c>
      <c r="Y243">
        <v>0</v>
      </c>
      <c r="Z243">
        <v>0</v>
      </c>
      <c r="AA243">
        <v>0</v>
      </c>
      <c r="AB243">
        <v>0</v>
      </c>
      <c r="AC243">
        <v>0</v>
      </c>
      <c r="AD243">
        <v>0</v>
      </c>
      <c r="AE243">
        <v>0</v>
      </c>
      <c r="AF243">
        <v>0</v>
      </c>
      <c r="AG243">
        <v>0</v>
      </c>
      <c r="AH243">
        <v>0</v>
      </c>
      <c r="AI243">
        <v>0</v>
      </c>
      <c r="AJ243">
        <v>0</v>
      </c>
      <c r="AK243">
        <v>0</v>
      </c>
      <c r="AL243">
        <v>0</v>
      </c>
      <c r="AM243">
        <v>0</v>
      </c>
      <c r="AN243">
        <v>0</v>
      </c>
      <c r="AO243">
        <v>0</v>
      </c>
      <c r="AP243">
        <v>0</v>
      </c>
      <c r="AQ243">
        <v>0</v>
      </c>
      <c r="AR243">
        <v>0</v>
      </c>
      <c r="AS243">
        <v>0</v>
      </c>
      <c r="AT243">
        <v>0</v>
      </c>
      <c r="AU243">
        <v>0</v>
      </c>
      <c r="AV243">
        <v>0</v>
      </c>
      <c r="AW243">
        <v>0</v>
      </c>
      <c r="AX243">
        <v>0</v>
      </c>
      <c r="AY243">
        <v>0</v>
      </c>
      <c r="AZ243">
        <v>0</v>
      </c>
      <c r="BA243">
        <v>0</v>
      </c>
      <c r="BB243">
        <v>0</v>
      </c>
      <c r="BC243">
        <v>0</v>
      </c>
      <c r="BD243">
        <v>0</v>
      </c>
      <c r="BE243">
        <v>0</v>
      </c>
      <c r="BF243">
        <v>0</v>
      </c>
      <c r="BG243">
        <v>0</v>
      </c>
      <c r="BH243">
        <v>0</v>
      </c>
      <c r="BI243">
        <v>0</v>
      </c>
      <c r="BJ243">
        <v>0</v>
      </c>
      <c r="BK243">
        <v>0</v>
      </c>
      <c r="BL243">
        <v>0</v>
      </c>
      <c r="BM243">
        <v>0</v>
      </c>
      <c r="BN243">
        <v>0</v>
      </c>
      <c r="BO243">
        <v>0</v>
      </c>
      <c r="BP243">
        <v>0</v>
      </c>
      <c r="BQ243">
        <v>0</v>
      </c>
      <c r="BR243">
        <v>0</v>
      </c>
      <c r="BS243">
        <v>0</v>
      </c>
      <c r="BT243">
        <v>0</v>
      </c>
      <c r="BU243">
        <v>0</v>
      </c>
      <c r="BV243">
        <v>0</v>
      </c>
      <c r="BW243">
        <v>0</v>
      </c>
      <c r="BX243">
        <v>0</v>
      </c>
      <c r="BY243">
        <v>0</v>
      </c>
      <c r="BZ243">
        <v>0</v>
      </c>
      <c r="CA243">
        <v>0</v>
      </c>
      <c r="CB243">
        <v>0</v>
      </c>
      <c r="CC243">
        <v>0</v>
      </c>
      <c r="CD243">
        <v>0</v>
      </c>
      <c r="CE243">
        <v>0</v>
      </c>
      <c r="CF243">
        <v>0</v>
      </c>
      <c r="CG243">
        <v>0</v>
      </c>
      <c r="CH243">
        <v>0</v>
      </c>
      <c r="CI243">
        <v>0</v>
      </c>
      <c r="CJ243">
        <v>0</v>
      </c>
      <c r="CK243">
        <v>0</v>
      </c>
      <c r="CL243">
        <v>0</v>
      </c>
      <c r="CM243">
        <v>0</v>
      </c>
      <c r="CN243">
        <v>0</v>
      </c>
      <c r="CO243">
        <v>0</v>
      </c>
      <c r="CP243">
        <v>0</v>
      </c>
      <c r="CQ243">
        <v>0</v>
      </c>
      <c r="CR243">
        <v>0</v>
      </c>
      <c r="CS243">
        <v>0</v>
      </c>
      <c r="CT243">
        <v>0</v>
      </c>
      <c r="CU243">
        <v>0</v>
      </c>
      <c r="CV243">
        <v>0</v>
      </c>
      <c r="CW243">
        <v>0</v>
      </c>
      <c r="CX243">
        <v>0</v>
      </c>
      <c r="CY243">
        <v>0</v>
      </c>
      <c r="CZ243">
        <v>0</v>
      </c>
      <c r="DA243">
        <v>0</v>
      </c>
      <c r="DB243">
        <v>0</v>
      </c>
      <c r="DC243">
        <v>0</v>
      </c>
      <c r="DD243">
        <v>0</v>
      </c>
      <c r="DE243">
        <v>0</v>
      </c>
      <c r="DF243">
        <v>0</v>
      </c>
      <c r="DG243">
        <v>0</v>
      </c>
      <c r="DH243">
        <v>0</v>
      </c>
      <c r="DI243">
        <v>0</v>
      </c>
      <c r="DJ243">
        <v>0</v>
      </c>
      <c r="DK243">
        <v>0</v>
      </c>
      <c r="DL243">
        <v>0</v>
      </c>
      <c r="DM243">
        <v>0</v>
      </c>
      <c r="DN243">
        <v>0</v>
      </c>
      <c r="DO243">
        <v>0</v>
      </c>
      <c r="DP243">
        <v>0</v>
      </c>
      <c r="DQ243">
        <v>0</v>
      </c>
      <c r="DR243">
        <v>0</v>
      </c>
      <c r="DS243">
        <v>0</v>
      </c>
      <c r="DT243">
        <v>0</v>
      </c>
      <c r="DU243">
        <v>0</v>
      </c>
      <c r="DV243">
        <v>0</v>
      </c>
      <c r="DW243">
        <v>0</v>
      </c>
      <c r="DX243">
        <v>0</v>
      </c>
      <c r="DY243">
        <v>0</v>
      </c>
      <c r="DZ243">
        <v>0</v>
      </c>
      <c r="EA243">
        <v>0</v>
      </c>
      <c r="EB243">
        <v>0</v>
      </c>
      <c r="EC243">
        <v>0</v>
      </c>
      <c r="ED243">
        <v>0</v>
      </c>
      <c r="EE243">
        <v>0</v>
      </c>
      <c r="EF243">
        <v>0</v>
      </c>
      <c r="EG243">
        <v>0</v>
      </c>
      <c r="EH243">
        <v>0</v>
      </c>
      <c r="EI243">
        <v>0</v>
      </c>
      <c r="EJ243">
        <v>0</v>
      </c>
      <c r="EK243">
        <v>0</v>
      </c>
      <c r="EL243">
        <v>0</v>
      </c>
      <c r="EM243">
        <v>0</v>
      </c>
      <c r="EN243">
        <v>0</v>
      </c>
      <c r="EO243">
        <v>0</v>
      </c>
      <c r="EP243">
        <v>0</v>
      </c>
      <c r="EQ243">
        <v>0</v>
      </c>
      <c r="ER243">
        <v>0</v>
      </c>
      <c r="ES243">
        <v>0</v>
      </c>
      <c r="ET243">
        <v>0</v>
      </c>
      <c r="EU243">
        <v>0</v>
      </c>
      <c r="EV243">
        <v>0</v>
      </c>
      <c r="EW243">
        <v>0</v>
      </c>
      <c r="EX243">
        <v>0</v>
      </c>
      <c r="EY243">
        <v>0</v>
      </c>
      <c r="EZ243">
        <v>0</v>
      </c>
      <c r="FA243">
        <v>0</v>
      </c>
      <c r="FB243">
        <v>0</v>
      </c>
      <c r="FC243">
        <v>0</v>
      </c>
      <c r="FD243">
        <v>0</v>
      </c>
      <c r="FE243">
        <v>0</v>
      </c>
      <c r="FF243">
        <v>0</v>
      </c>
      <c r="FG243">
        <v>0</v>
      </c>
      <c r="FH243">
        <v>0</v>
      </c>
      <c r="FI243">
        <v>0</v>
      </c>
      <c r="FJ243">
        <v>0</v>
      </c>
      <c r="FK243">
        <v>0</v>
      </c>
      <c r="FL243">
        <v>0</v>
      </c>
      <c r="FM243">
        <v>0</v>
      </c>
      <c r="FN243">
        <v>0</v>
      </c>
      <c r="FO243">
        <v>0</v>
      </c>
      <c r="FP243">
        <v>0</v>
      </c>
      <c r="FQ243">
        <v>0</v>
      </c>
      <c r="FR243">
        <v>0</v>
      </c>
      <c r="FS243">
        <v>0</v>
      </c>
      <c r="FT243">
        <v>0</v>
      </c>
      <c r="FU243">
        <v>0</v>
      </c>
      <c r="FV243">
        <v>0</v>
      </c>
      <c r="FW243">
        <v>0</v>
      </c>
      <c r="FX243">
        <v>0</v>
      </c>
      <c r="FY243">
        <v>0</v>
      </c>
      <c r="FZ243">
        <v>0</v>
      </c>
      <c r="GA243">
        <v>0</v>
      </c>
      <c r="GB243">
        <v>0</v>
      </c>
      <c r="GC243">
        <v>0</v>
      </c>
      <c r="GD243">
        <v>0</v>
      </c>
      <c r="GE243">
        <v>0</v>
      </c>
      <c r="GF243">
        <v>0</v>
      </c>
      <c r="GG243">
        <v>0</v>
      </c>
      <c r="GH243">
        <v>0</v>
      </c>
      <c r="GI243">
        <v>0</v>
      </c>
      <c r="GJ243">
        <v>0</v>
      </c>
      <c r="GK243">
        <v>0</v>
      </c>
      <c r="GL243">
        <v>0</v>
      </c>
      <c r="GM243">
        <v>0</v>
      </c>
      <c r="GN243">
        <v>0</v>
      </c>
      <c r="GO243">
        <v>0</v>
      </c>
      <c r="GP243">
        <v>0</v>
      </c>
      <c r="GQ243">
        <v>0</v>
      </c>
      <c r="GR243">
        <v>0</v>
      </c>
      <c r="GS243">
        <v>0</v>
      </c>
      <c r="GT243">
        <v>0</v>
      </c>
      <c r="GU243">
        <v>0</v>
      </c>
      <c r="GV243">
        <v>0</v>
      </c>
      <c r="GW243">
        <v>0</v>
      </c>
      <c r="GX243">
        <v>0</v>
      </c>
      <c r="GY243">
        <v>0</v>
      </c>
      <c r="GZ243">
        <v>0</v>
      </c>
      <c r="HA243">
        <v>0</v>
      </c>
      <c r="HB243">
        <v>0</v>
      </c>
      <c r="HC243">
        <v>0</v>
      </c>
      <c r="HD243">
        <v>0</v>
      </c>
      <c r="HE243">
        <v>0</v>
      </c>
      <c r="HF243">
        <v>0</v>
      </c>
      <c r="HG243">
        <v>0</v>
      </c>
      <c r="HH243">
        <v>0</v>
      </c>
      <c r="HI243">
        <v>0</v>
      </c>
      <c r="HJ243">
        <v>0</v>
      </c>
      <c r="HK243">
        <v>0</v>
      </c>
      <c r="HL243">
        <v>0</v>
      </c>
      <c r="HM243">
        <v>0</v>
      </c>
      <c r="HN243">
        <v>0</v>
      </c>
      <c r="HO243">
        <v>0</v>
      </c>
      <c r="HP243">
        <v>0</v>
      </c>
      <c r="HQ243">
        <v>0</v>
      </c>
      <c r="HR243">
        <v>0</v>
      </c>
      <c r="HS243">
        <v>0</v>
      </c>
      <c r="HT243">
        <v>0</v>
      </c>
      <c r="HU243">
        <v>0</v>
      </c>
      <c r="HV243">
        <v>0</v>
      </c>
      <c r="HW243">
        <v>0</v>
      </c>
      <c r="HX243">
        <v>0</v>
      </c>
      <c r="HY243">
        <v>0</v>
      </c>
      <c r="HZ243">
        <v>0</v>
      </c>
      <c r="IA243">
        <v>0</v>
      </c>
      <c r="IB243">
        <v>0</v>
      </c>
      <c r="IC243">
        <v>0</v>
      </c>
      <c r="ID243">
        <v>0</v>
      </c>
      <c r="IE243">
        <v>0</v>
      </c>
      <c r="IF243">
        <v>0</v>
      </c>
      <c r="IG243">
        <v>0</v>
      </c>
      <c r="IH243">
        <v>0</v>
      </c>
      <c r="II243">
        <v>0</v>
      </c>
      <c r="IJ243">
        <v>0</v>
      </c>
      <c r="IK243">
        <v>0</v>
      </c>
      <c r="IL243">
        <v>0</v>
      </c>
      <c r="IM243">
        <v>0</v>
      </c>
      <c r="IN243">
        <v>0</v>
      </c>
      <c r="IO243">
        <v>0</v>
      </c>
      <c r="IP243">
        <v>0</v>
      </c>
      <c r="IQ243">
        <v>0</v>
      </c>
      <c r="IR243">
        <v>0</v>
      </c>
      <c r="IS243">
        <v>0</v>
      </c>
      <c r="IT243">
        <v>0</v>
      </c>
      <c r="IU243">
        <v>0</v>
      </c>
      <c r="IV243">
        <v>0</v>
      </c>
      <c r="IW243">
        <v>0</v>
      </c>
      <c r="IX243">
        <v>0</v>
      </c>
      <c r="IY243">
        <v>0</v>
      </c>
      <c r="IZ243">
        <v>0</v>
      </c>
      <c r="JA243">
        <v>0</v>
      </c>
      <c r="JB243">
        <v>0</v>
      </c>
      <c r="JC243">
        <v>0</v>
      </c>
      <c r="JD243">
        <v>0</v>
      </c>
      <c r="JE243">
        <v>0</v>
      </c>
      <c r="JF243">
        <v>0</v>
      </c>
      <c r="JG243">
        <v>0</v>
      </c>
      <c r="JH243">
        <v>0</v>
      </c>
      <c r="JI243">
        <v>0</v>
      </c>
      <c r="JJ243">
        <v>0</v>
      </c>
      <c r="JK243">
        <v>0</v>
      </c>
      <c r="JL243">
        <v>0</v>
      </c>
      <c r="JM243">
        <v>0</v>
      </c>
      <c r="JN243">
        <v>0</v>
      </c>
      <c r="JO243">
        <v>0</v>
      </c>
      <c r="JP243">
        <v>0</v>
      </c>
      <c r="JQ243">
        <v>0</v>
      </c>
      <c r="JR243">
        <v>0</v>
      </c>
      <c r="JS243">
        <v>0</v>
      </c>
      <c r="JT243">
        <v>0</v>
      </c>
      <c r="JU243">
        <v>0</v>
      </c>
      <c r="JV243">
        <v>0</v>
      </c>
      <c r="JW243">
        <v>0</v>
      </c>
      <c r="JX243">
        <v>0</v>
      </c>
      <c r="JY243">
        <v>0</v>
      </c>
      <c r="JZ243">
        <v>0</v>
      </c>
      <c r="KA243">
        <v>0</v>
      </c>
      <c r="KB243">
        <v>0</v>
      </c>
      <c r="KC243">
        <v>0</v>
      </c>
      <c r="KD243">
        <v>0</v>
      </c>
      <c r="KE243">
        <v>0</v>
      </c>
      <c r="KF243">
        <v>0</v>
      </c>
      <c r="KG243">
        <v>0</v>
      </c>
      <c r="KH243">
        <v>0</v>
      </c>
      <c r="KI243">
        <v>0</v>
      </c>
      <c r="KJ243">
        <v>0</v>
      </c>
      <c r="KK243">
        <v>0</v>
      </c>
      <c r="KL243">
        <v>0</v>
      </c>
      <c r="KM243">
        <v>0</v>
      </c>
      <c r="KN243">
        <v>0</v>
      </c>
      <c r="KO243">
        <v>0</v>
      </c>
      <c r="KP243">
        <v>0</v>
      </c>
      <c r="KQ243">
        <v>0</v>
      </c>
      <c r="KR243">
        <v>0</v>
      </c>
      <c r="KS243">
        <v>0</v>
      </c>
      <c r="KT243">
        <v>0</v>
      </c>
      <c r="KU243">
        <v>0</v>
      </c>
      <c r="KV243">
        <v>0</v>
      </c>
      <c r="KW243">
        <v>0</v>
      </c>
      <c r="KX243">
        <v>0</v>
      </c>
      <c r="KY243">
        <v>0</v>
      </c>
      <c r="KZ243">
        <v>0</v>
      </c>
      <c r="LA243">
        <v>0</v>
      </c>
      <c r="LB243">
        <v>0</v>
      </c>
      <c r="LC243">
        <v>0</v>
      </c>
      <c r="LD243">
        <v>0</v>
      </c>
      <c r="LE243">
        <v>0</v>
      </c>
      <c r="LF243">
        <v>0</v>
      </c>
      <c r="LG243">
        <v>0</v>
      </c>
      <c r="LH243">
        <v>0</v>
      </c>
      <c r="LI243">
        <v>0</v>
      </c>
      <c r="LJ243">
        <v>0</v>
      </c>
      <c r="LK243">
        <v>0</v>
      </c>
      <c r="LL243">
        <v>0</v>
      </c>
      <c r="LM243">
        <v>0</v>
      </c>
      <c r="LN243">
        <v>0</v>
      </c>
      <c r="LO243">
        <v>0</v>
      </c>
      <c r="LP243">
        <v>0</v>
      </c>
      <c r="LQ243">
        <v>0</v>
      </c>
      <c r="LR243">
        <v>0</v>
      </c>
      <c r="LS243">
        <v>0</v>
      </c>
      <c r="LT243">
        <v>0</v>
      </c>
      <c r="LU243">
        <v>0</v>
      </c>
      <c r="LV243">
        <v>0</v>
      </c>
      <c r="LW243">
        <v>0</v>
      </c>
      <c r="LX243">
        <v>0</v>
      </c>
      <c r="LY243">
        <v>0</v>
      </c>
      <c r="LZ243">
        <v>0</v>
      </c>
      <c r="MA243">
        <v>0</v>
      </c>
      <c r="MB243">
        <v>0</v>
      </c>
      <c r="MC243">
        <v>0</v>
      </c>
      <c r="MD243">
        <v>0</v>
      </c>
      <c r="ME243">
        <v>0</v>
      </c>
      <c r="MF243">
        <v>0</v>
      </c>
      <c r="MG243">
        <v>0</v>
      </c>
      <c r="MH243">
        <v>0</v>
      </c>
      <c r="MI243">
        <v>0</v>
      </c>
      <c r="MJ243">
        <v>0</v>
      </c>
      <c r="MK243">
        <v>0</v>
      </c>
      <c r="ML243">
        <v>0</v>
      </c>
      <c r="MM243">
        <v>0</v>
      </c>
      <c r="MN243">
        <v>0</v>
      </c>
      <c r="MO243">
        <v>0</v>
      </c>
      <c r="MP243">
        <v>0</v>
      </c>
      <c r="MQ243">
        <v>0</v>
      </c>
      <c r="MR243">
        <v>0</v>
      </c>
      <c r="MS243">
        <v>0</v>
      </c>
      <c r="MT243">
        <v>0</v>
      </c>
      <c r="MU243">
        <v>0</v>
      </c>
      <c r="MV243">
        <v>0</v>
      </c>
      <c r="MW243">
        <v>0</v>
      </c>
      <c r="MX243">
        <v>0</v>
      </c>
      <c r="MY243">
        <v>0</v>
      </c>
      <c r="MZ243">
        <v>0</v>
      </c>
      <c r="NA243">
        <v>0</v>
      </c>
      <c r="NB243">
        <v>0</v>
      </c>
      <c r="NC243">
        <v>0</v>
      </c>
      <c r="ND243">
        <v>0</v>
      </c>
      <c r="NE243">
        <v>0</v>
      </c>
      <c r="NF243">
        <v>0</v>
      </c>
      <c r="NG243">
        <v>0</v>
      </c>
      <c r="NH243">
        <v>0</v>
      </c>
      <c r="NI243">
        <v>0</v>
      </c>
      <c r="NJ243">
        <v>0</v>
      </c>
      <c r="NK243">
        <v>0</v>
      </c>
      <c r="NL243">
        <v>0</v>
      </c>
      <c r="NM243">
        <v>0</v>
      </c>
      <c r="NN243">
        <v>0</v>
      </c>
      <c r="NO243">
        <v>0</v>
      </c>
      <c r="NP243">
        <v>0</v>
      </c>
      <c r="NQ243">
        <v>0</v>
      </c>
      <c r="NR243">
        <v>0</v>
      </c>
      <c r="NS243">
        <v>0</v>
      </c>
      <c r="NT243">
        <v>0</v>
      </c>
      <c r="NU243">
        <v>0</v>
      </c>
      <c r="NV243">
        <v>0</v>
      </c>
      <c r="NW243">
        <v>0</v>
      </c>
      <c r="NX243">
        <v>0</v>
      </c>
      <c r="NY243">
        <v>0</v>
      </c>
      <c r="NZ243">
        <v>0</v>
      </c>
      <c r="OA243">
        <v>0</v>
      </c>
      <c r="OB243">
        <v>0</v>
      </c>
      <c r="OC243">
        <v>0</v>
      </c>
      <c r="OD243">
        <v>0</v>
      </c>
      <c r="OE243">
        <v>0</v>
      </c>
    </row>
    <row r="244" spans="11:395" x14ac:dyDescent="0.3">
      <c r="K244" s="65"/>
      <c r="L244" s="55"/>
      <c r="M244" s="66"/>
      <c r="N244" s="119" t="s">
        <v>354</v>
      </c>
      <c r="P244" s="7"/>
      <c r="Q244" cm="1">
        <f t="array" ref="Q244:OE244">IF( (YEAR(O13)=YEAR(_xlfn.ANCHORARRAY($Q$2)))*(MONTH(O13)=MONTH(_xlfn.ANCHORARRAY($Q$2))),-E40,0)</f>
        <v>0</v>
      </c>
      <c r="R244">
        <v>0</v>
      </c>
      <c r="S244">
        <v>0</v>
      </c>
      <c r="T244">
        <v>-30000</v>
      </c>
      <c r="U244">
        <v>0</v>
      </c>
      <c r="V244">
        <v>0</v>
      </c>
      <c r="W244">
        <v>0</v>
      </c>
      <c r="X244">
        <v>0</v>
      </c>
      <c r="Y244">
        <v>0</v>
      </c>
      <c r="Z244">
        <v>0</v>
      </c>
      <c r="AA244">
        <v>0</v>
      </c>
      <c r="AB244">
        <v>0</v>
      </c>
      <c r="AC244">
        <v>0</v>
      </c>
      <c r="AD244">
        <v>0</v>
      </c>
      <c r="AE244">
        <v>0</v>
      </c>
      <c r="AF244">
        <v>0</v>
      </c>
      <c r="AG244">
        <v>0</v>
      </c>
      <c r="AH244">
        <v>0</v>
      </c>
      <c r="AI244">
        <v>0</v>
      </c>
      <c r="AJ244">
        <v>0</v>
      </c>
      <c r="AK244">
        <v>0</v>
      </c>
      <c r="AL244">
        <v>0</v>
      </c>
      <c r="AM244">
        <v>0</v>
      </c>
      <c r="AN244">
        <v>0</v>
      </c>
      <c r="AO244">
        <v>0</v>
      </c>
      <c r="AP244">
        <v>0</v>
      </c>
      <c r="AQ244">
        <v>0</v>
      </c>
      <c r="AR244">
        <v>0</v>
      </c>
      <c r="AS244">
        <v>0</v>
      </c>
      <c r="AT244">
        <v>0</v>
      </c>
      <c r="AU244">
        <v>0</v>
      </c>
      <c r="AV244">
        <v>0</v>
      </c>
      <c r="AW244">
        <v>0</v>
      </c>
      <c r="AX244">
        <v>0</v>
      </c>
      <c r="AY244">
        <v>0</v>
      </c>
      <c r="AZ244">
        <v>0</v>
      </c>
      <c r="BA244">
        <v>0</v>
      </c>
      <c r="BB244">
        <v>0</v>
      </c>
      <c r="BC244">
        <v>0</v>
      </c>
      <c r="BD244">
        <v>0</v>
      </c>
      <c r="BE244">
        <v>0</v>
      </c>
      <c r="BF244">
        <v>0</v>
      </c>
      <c r="BG244">
        <v>0</v>
      </c>
      <c r="BH244">
        <v>0</v>
      </c>
      <c r="BI244">
        <v>0</v>
      </c>
      <c r="BJ244">
        <v>0</v>
      </c>
      <c r="BK244">
        <v>0</v>
      </c>
      <c r="BL244">
        <v>0</v>
      </c>
      <c r="BM244">
        <v>0</v>
      </c>
      <c r="BN244">
        <v>0</v>
      </c>
      <c r="BO244">
        <v>0</v>
      </c>
      <c r="BP244">
        <v>0</v>
      </c>
      <c r="BQ244">
        <v>0</v>
      </c>
      <c r="BR244">
        <v>0</v>
      </c>
      <c r="BS244">
        <v>0</v>
      </c>
      <c r="BT244">
        <v>0</v>
      </c>
      <c r="BU244">
        <v>0</v>
      </c>
      <c r="BV244">
        <v>0</v>
      </c>
      <c r="BW244">
        <v>0</v>
      </c>
      <c r="BX244">
        <v>0</v>
      </c>
      <c r="BY244">
        <v>0</v>
      </c>
      <c r="BZ244">
        <v>0</v>
      </c>
      <c r="CA244">
        <v>0</v>
      </c>
      <c r="CB244">
        <v>0</v>
      </c>
      <c r="CC244">
        <v>0</v>
      </c>
      <c r="CD244">
        <v>0</v>
      </c>
      <c r="CE244">
        <v>0</v>
      </c>
      <c r="CF244">
        <v>0</v>
      </c>
      <c r="CG244">
        <v>0</v>
      </c>
      <c r="CH244">
        <v>0</v>
      </c>
      <c r="CI244">
        <v>0</v>
      </c>
      <c r="CJ244">
        <v>0</v>
      </c>
      <c r="CK244">
        <v>0</v>
      </c>
      <c r="CL244">
        <v>0</v>
      </c>
      <c r="CM244">
        <v>0</v>
      </c>
      <c r="CN244">
        <v>0</v>
      </c>
      <c r="CO244">
        <v>0</v>
      </c>
      <c r="CP244">
        <v>0</v>
      </c>
      <c r="CQ244">
        <v>0</v>
      </c>
      <c r="CR244">
        <v>0</v>
      </c>
      <c r="CS244">
        <v>0</v>
      </c>
      <c r="CT244">
        <v>0</v>
      </c>
      <c r="CU244">
        <v>0</v>
      </c>
      <c r="CV244">
        <v>0</v>
      </c>
      <c r="CW244">
        <v>0</v>
      </c>
      <c r="CX244">
        <v>0</v>
      </c>
      <c r="CY244">
        <v>0</v>
      </c>
      <c r="CZ244">
        <v>0</v>
      </c>
      <c r="DA244">
        <v>0</v>
      </c>
      <c r="DB244">
        <v>0</v>
      </c>
      <c r="DC244">
        <v>0</v>
      </c>
      <c r="DD244">
        <v>0</v>
      </c>
      <c r="DE244">
        <v>0</v>
      </c>
      <c r="DF244">
        <v>0</v>
      </c>
      <c r="DG244">
        <v>0</v>
      </c>
      <c r="DH244">
        <v>0</v>
      </c>
      <c r="DI244">
        <v>0</v>
      </c>
      <c r="DJ244">
        <v>0</v>
      </c>
      <c r="DK244">
        <v>0</v>
      </c>
      <c r="DL244">
        <v>0</v>
      </c>
      <c r="DM244">
        <v>0</v>
      </c>
      <c r="DN244">
        <v>0</v>
      </c>
      <c r="DO244">
        <v>0</v>
      </c>
      <c r="DP244">
        <v>0</v>
      </c>
      <c r="DQ244">
        <v>0</v>
      </c>
      <c r="DR244">
        <v>0</v>
      </c>
      <c r="DS244">
        <v>0</v>
      </c>
      <c r="DT244">
        <v>0</v>
      </c>
      <c r="DU244">
        <v>0</v>
      </c>
      <c r="DV244">
        <v>0</v>
      </c>
      <c r="DW244">
        <v>0</v>
      </c>
      <c r="DX244">
        <v>0</v>
      </c>
      <c r="DY244">
        <v>0</v>
      </c>
      <c r="DZ244">
        <v>0</v>
      </c>
      <c r="EA244">
        <v>0</v>
      </c>
      <c r="EB244">
        <v>0</v>
      </c>
      <c r="EC244">
        <v>0</v>
      </c>
      <c r="ED244">
        <v>0</v>
      </c>
      <c r="EE244">
        <v>0</v>
      </c>
      <c r="EF244">
        <v>0</v>
      </c>
      <c r="EG244">
        <v>0</v>
      </c>
      <c r="EH244">
        <v>0</v>
      </c>
      <c r="EI244">
        <v>0</v>
      </c>
      <c r="EJ244">
        <v>0</v>
      </c>
      <c r="EK244">
        <v>0</v>
      </c>
      <c r="EL244">
        <v>0</v>
      </c>
      <c r="EM244">
        <v>0</v>
      </c>
      <c r="EN244">
        <v>0</v>
      </c>
      <c r="EO244">
        <v>0</v>
      </c>
      <c r="EP244">
        <v>0</v>
      </c>
      <c r="EQ244">
        <v>0</v>
      </c>
      <c r="ER244">
        <v>0</v>
      </c>
      <c r="ES244">
        <v>0</v>
      </c>
      <c r="ET244">
        <v>0</v>
      </c>
      <c r="EU244">
        <v>0</v>
      </c>
      <c r="EV244">
        <v>0</v>
      </c>
      <c r="EW244">
        <v>0</v>
      </c>
      <c r="EX244">
        <v>0</v>
      </c>
      <c r="EY244">
        <v>0</v>
      </c>
      <c r="EZ244">
        <v>0</v>
      </c>
      <c r="FA244">
        <v>0</v>
      </c>
      <c r="FB244">
        <v>0</v>
      </c>
      <c r="FC244">
        <v>0</v>
      </c>
      <c r="FD244">
        <v>0</v>
      </c>
      <c r="FE244">
        <v>0</v>
      </c>
      <c r="FF244">
        <v>0</v>
      </c>
      <c r="FG244">
        <v>0</v>
      </c>
      <c r="FH244">
        <v>0</v>
      </c>
      <c r="FI244">
        <v>0</v>
      </c>
      <c r="FJ244">
        <v>0</v>
      </c>
      <c r="FK244">
        <v>0</v>
      </c>
      <c r="FL244">
        <v>0</v>
      </c>
      <c r="FM244">
        <v>0</v>
      </c>
      <c r="FN244">
        <v>0</v>
      </c>
      <c r="FO244">
        <v>0</v>
      </c>
      <c r="FP244">
        <v>0</v>
      </c>
      <c r="FQ244">
        <v>0</v>
      </c>
      <c r="FR244">
        <v>0</v>
      </c>
      <c r="FS244">
        <v>0</v>
      </c>
      <c r="FT244">
        <v>0</v>
      </c>
      <c r="FU244">
        <v>0</v>
      </c>
      <c r="FV244">
        <v>0</v>
      </c>
      <c r="FW244">
        <v>0</v>
      </c>
      <c r="FX244">
        <v>0</v>
      </c>
      <c r="FY244">
        <v>0</v>
      </c>
      <c r="FZ244">
        <v>0</v>
      </c>
      <c r="GA244">
        <v>0</v>
      </c>
      <c r="GB244">
        <v>0</v>
      </c>
      <c r="GC244">
        <v>0</v>
      </c>
      <c r="GD244">
        <v>0</v>
      </c>
      <c r="GE244">
        <v>0</v>
      </c>
      <c r="GF244">
        <v>0</v>
      </c>
      <c r="GG244">
        <v>0</v>
      </c>
      <c r="GH244">
        <v>0</v>
      </c>
      <c r="GI244">
        <v>0</v>
      </c>
      <c r="GJ244">
        <v>0</v>
      </c>
      <c r="GK244">
        <v>0</v>
      </c>
      <c r="GL244">
        <v>0</v>
      </c>
      <c r="GM244">
        <v>0</v>
      </c>
      <c r="GN244">
        <v>0</v>
      </c>
      <c r="GO244">
        <v>0</v>
      </c>
      <c r="GP244">
        <v>0</v>
      </c>
      <c r="GQ244">
        <v>0</v>
      </c>
      <c r="GR244">
        <v>0</v>
      </c>
      <c r="GS244">
        <v>0</v>
      </c>
      <c r="GT244">
        <v>0</v>
      </c>
      <c r="GU244">
        <v>0</v>
      </c>
      <c r="GV244">
        <v>0</v>
      </c>
      <c r="GW244">
        <v>0</v>
      </c>
      <c r="GX244">
        <v>0</v>
      </c>
      <c r="GY244">
        <v>0</v>
      </c>
      <c r="GZ244">
        <v>0</v>
      </c>
      <c r="HA244">
        <v>0</v>
      </c>
      <c r="HB244">
        <v>0</v>
      </c>
      <c r="HC244">
        <v>0</v>
      </c>
      <c r="HD244">
        <v>0</v>
      </c>
      <c r="HE244">
        <v>0</v>
      </c>
      <c r="HF244">
        <v>0</v>
      </c>
      <c r="HG244">
        <v>0</v>
      </c>
      <c r="HH244">
        <v>0</v>
      </c>
      <c r="HI244">
        <v>0</v>
      </c>
      <c r="HJ244">
        <v>0</v>
      </c>
      <c r="HK244">
        <v>0</v>
      </c>
      <c r="HL244">
        <v>0</v>
      </c>
      <c r="HM244">
        <v>0</v>
      </c>
      <c r="HN244">
        <v>0</v>
      </c>
      <c r="HO244">
        <v>0</v>
      </c>
      <c r="HP244">
        <v>0</v>
      </c>
      <c r="HQ244">
        <v>0</v>
      </c>
      <c r="HR244">
        <v>0</v>
      </c>
      <c r="HS244">
        <v>0</v>
      </c>
      <c r="HT244">
        <v>0</v>
      </c>
      <c r="HU244">
        <v>0</v>
      </c>
      <c r="HV244">
        <v>0</v>
      </c>
      <c r="HW244">
        <v>0</v>
      </c>
      <c r="HX244">
        <v>0</v>
      </c>
      <c r="HY244">
        <v>0</v>
      </c>
      <c r="HZ244">
        <v>0</v>
      </c>
      <c r="IA244">
        <v>0</v>
      </c>
      <c r="IB244">
        <v>0</v>
      </c>
      <c r="IC244">
        <v>0</v>
      </c>
      <c r="ID244">
        <v>0</v>
      </c>
      <c r="IE244">
        <v>0</v>
      </c>
      <c r="IF244">
        <v>0</v>
      </c>
      <c r="IG244">
        <v>0</v>
      </c>
      <c r="IH244">
        <v>0</v>
      </c>
      <c r="II244">
        <v>0</v>
      </c>
      <c r="IJ244">
        <v>0</v>
      </c>
      <c r="IK244">
        <v>0</v>
      </c>
      <c r="IL244">
        <v>0</v>
      </c>
      <c r="IM244">
        <v>0</v>
      </c>
      <c r="IN244">
        <v>0</v>
      </c>
      <c r="IO244">
        <v>0</v>
      </c>
      <c r="IP244">
        <v>0</v>
      </c>
      <c r="IQ244">
        <v>0</v>
      </c>
      <c r="IR244">
        <v>0</v>
      </c>
      <c r="IS244">
        <v>0</v>
      </c>
      <c r="IT244">
        <v>0</v>
      </c>
      <c r="IU244">
        <v>0</v>
      </c>
      <c r="IV244">
        <v>0</v>
      </c>
      <c r="IW244">
        <v>0</v>
      </c>
      <c r="IX244">
        <v>0</v>
      </c>
      <c r="IY244">
        <v>0</v>
      </c>
      <c r="IZ244">
        <v>0</v>
      </c>
      <c r="JA244">
        <v>0</v>
      </c>
      <c r="JB244">
        <v>0</v>
      </c>
      <c r="JC244">
        <v>0</v>
      </c>
      <c r="JD244">
        <v>0</v>
      </c>
      <c r="JE244">
        <v>0</v>
      </c>
      <c r="JF244">
        <v>0</v>
      </c>
      <c r="JG244">
        <v>0</v>
      </c>
      <c r="JH244">
        <v>0</v>
      </c>
      <c r="JI244">
        <v>0</v>
      </c>
      <c r="JJ244">
        <v>0</v>
      </c>
      <c r="JK244">
        <v>0</v>
      </c>
      <c r="JL244">
        <v>0</v>
      </c>
      <c r="JM244">
        <v>0</v>
      </c>
      <c r="JN244">
        <v>0</v>
      </c>
      <c r="JO244">
        <v>0</v>
      </c>
      <c r="JP244">
        <v>0</v>
      </c>
      <c r="JQ244">
        <v>0</v>
      </c>
      <c r="JR244">
        <v>0</v>
      </c>
      <c r="JS244">
        <v>0</v>
      </c>
      <c r="JT244">
        <v>0</v>
      </c>
      <c r="JU244">
        <v>0</v>
      </c>
      <c r="JV244">
        <v>0</v>
      </c>
      <c r="JW244">
        <v>0</v>
      </c>
      <c r="JX244">
        <v>0</v>
      </c>
      <c r="JY244">
        <v>0</v>
      </c>
      <c r="JZ244">
        <v>0</v>
      </c>
      <c r="KA244">
        <v>0</v>
      </c>
      <c r="KB244">
        <v>0</v>
      </c>
      <c r="KC244">
        <v>0</v>
      </c>
      <c r="KD244">
        <v>0</v>
      </c>
      <c r="KE244">
        <v>0</v>
      </c>
      <c r="KF244">
        <v>0</v>
      </c>
      <c r="KG244">
        <v>0</v>
      </c>
      <c r="KH244">
        <v>0</v>
      </c>
      <c r="KI244">
        <v>0</v>
      </c>
      <c r="KJ244">
        <v>0</v>
      </c>
      <c r="KK244">
        <v>0</v>
      </c>
      <c r="KL244">
        <v>0</v>
      </c>
      <c r="KM244">
        <v>0</v>
      </c>
      <c r="KN244">
        <v>0</v>
      </c>
      <c r="KO244">
        <v>0</v>
      </c>
      <c r="KP244">
        <v>0</v>
      </c>
      <c r="KQ244">
        <v>0</v>
      </c>
      <c r="KR244">
        <v>0</v>
      </c>
      <c r="KS244">
        <v>0</v>
      </c>
      <c r="KT244">
        <v>0</v>
      </c>
      <c r="KU244">
        <v>0</v>
      </c>
      <c r="KV244">
        <v>0</v>
      </c>
      <c r="KW244">
        <v>0</v>
      </c>
      <c r="KX244">
        <v>0</v>
      </c>
      <c r="KY244">
        <v>0</v>
      </c>
      <c r="KZ244">
        <v>0</v>
      </c>
      <c r="LA244">
        <v>0</v>
      </c>
      <c r="LB244">
        <v>0</v>
      </c>
      <c r="LC244">
        <v>0</v>
      </c>
      <c r="LD244">
        <v>0</v>
      </c>
      <c r="LE244">
        <v>0</v>
      </c>
      <c r="LF244">
        <v>0</v>
      </c>
      <c r="LG244">
        <v>0</v>
      </c>
      <c r="LH244">
        <v>0</v>
      </c>
      <c r="LI244">
        <v>0</v>
      </c>
      <c r="LJ244">
        <v>0</v>
      </c>
      <c r="LK244">
        <v>0</v>
      </c>
      <c r="LL244">
        <v>0</v>
      </c>
      <c r="LM244">
        <v>0</v>
      </c>
      <c r="LN244">
        <v>0</v>
      </c>
      <c r="LO244">
        <v>0</v>
      </c>
      <c r="LP244">
        <v>0</v>
      </c>
      <c r="LQ244">
        <v>0</v>
      </c>
      <c r="LR244">
        <v>0</v>
      </c>
      <c r="LS244">
        <v>0</v>
      </c>
      <c r="LT244">
        <v>0</v>
      </c>
      <c r="LU244">
        <v>0</v>
      </c>
      <c r="LV244">
        <v>0</v>
      </c>
      <c r="LW244">
        <v>0</v>
      </c>
      <c r="LX244">
        <v>0</v>
      </c>
      <c r="LY244">
        <v>0</v>
      </c>
      <c r="LZ244">
        <v>0</v>
      </c>
      <c r="MA244">
        <v>0</v>
      </c>
      <c r="MB244">
        <v>0</v>
      </c>
      <c r="MC244">
        <v>0</v>
      </c>
      <c r="MD244">
        <v>0</v>
      </c>
      <c r="ME244">
        <v>0</v>
      </c>
      <c r="MF244">
        <v>0</v>
      </c>
      <c r="MG244">
        <v>0</v>
      </c>
      <c r="MH244">
        <v>0</v>
      </c>
      <c r="MI244">
        <v>0</v>
      </c>
      <c r="MJ244">
        <v>0</v>
      </c>
      <c r="MK244">
        <v>0</v>
      </c>
      <c r="ML244">
        <v>0</v>
      </c>
      <c r="MM244">
        <v>0</v>
      </c>
      <c r="MN244">
        <v>0</v>
      </c>
      <c r="MO244">
        <v>0</v>
      </c>
      <c r="MP244">
        <v>0</v>
      </c>
      <c r="MQ244">
        <v>0</v>
      </c>
      <c r="MR244">
        <v>0</v>
      </c>
      <c r="MS244">
        <v>0</v>
      </c>
      <c r="MT244">
        <v>0</v>
      </c>
      <c r="MU244">
        <v>0</v>
      </c>
      <c r="MV244">
        <v>0</v>
      </c>
      <c r="MW244">
        <v>0</v>
      </c>
      <c r="MX244">
        <v>0</v>
      </c>
      <c r="MY244">
        <v>0</v>
      </c>
      <c r="MZ244">
        <v>0</v>
      </c>
      <c r="NA244">
        <v>0</v>
      </c>
      <c r="NB244">
        <v>0</v>
      </c>
      <c r="NC244">
        <v>0</v>
      </c>
      <c r="ND244">
        <v>0</v>
      </c>
      <c r="NE244">
        <v>0</v>
      </c>
      <c r="NF244">
        <v>0</v>
      </c>
      <c r="NG244">
        <v>0</v>
      </c>
      <c r="NH244">
        <v>0</v>
      </c>
      <c r="NI244">
        <v>0</v>
      </c>
      <c r="NJ244">
        <v>0</v>
      </c>
      <c r="NK244">
        <v>0</v>
      </c>
      <c r="NL244">
        <v>0</v>
      </c>
      <c r="NM244">
        <v>0</v>
      </c>
      <c r="NN244">
        <v>0</v>
      </c>
      <c r="NO244">
        <v>0</v>
      </c>
      <c r="NP244">
        <v>0</v>
      </c>
      <c r="NQ244">
        <v>0</v>
      </c>
      <c r="NR244">
        <v>0</v>
      </c>
      <c r="NS244">
        <v>0</v>
      </c>
      <c r="NT244">
        <v>0</v>
      </c>
      <c r="NU244">
        <v>0</v>
      </c>
      <c r="NV244">
        <v>0</v>
      </c>
      <c r="NW244">
        <v>0</v>
      </c>
      <c r="NX244">
        <v>0</v>
      </c>
      <c r="NY244">
        <v>0</v>
      </c>
      <c r="NZ244">
        <v>0</v>
      </c>
      <c r="OA244">
        <v>0</v>
      </c>
      <c r="OB244">
        <v>0</v>
      </c>
      <c r="OC244">
        <v>0</v>
      </c>
      <c r="OD244">
        <v>0</v>
      </c>
      <c r="OE244">
        <v>0</v>
      </c>
    </row>
    <row r="245" spans="11:395" x14ac:dyDescent="0.3">
      <c r="K245" s="65"/>
      <c r="L245" s="55"/>
      <c r="M245" s="66"/>
      <c r="N245" s="19" t="s">
        <v>355</v>
      </c>
      <c r="P245" s="7"/>
      <c r="Q245" cm="1">
        <f t="array" ref="Q245:OE245">IF( (YEAR(O14)=YEAR(_xlfn.ANCHORARRAY($Q$2)))*(MONTH(O14)=MONTH(_xlfn.ANCHORARRAY($Q$2))),-E41,0)</f>
        <v>0</v>
      </c>
      <c r="R245">
        <v>0</v>
      </c>
      <c r="S245">
        <v>0</v>
      </c>
      <c r="T245">
        <v>-40000</v>
      </c>
      <c r="U245">
        <v>0</v>
      </c>
      <c r="V245">
        <v>0</v>
      </c>
      <c r="W245">
        <v>0</v>
      </c>
      <c r="X245">
        <v>0</v>
      </c>
      <c r="Y245">
        <v>0</v>
      </c>
      <c r="Z245">
        <v>0</v>
      </c>
      <c r="AA245">
        <v>0</v>
      </c>
      <c r="AB245">
        <v>0</v>
      </c>
      <c r="AC245">
        <v>0</v>
      </c>
      <c r="AD245">
        <v>0</v>
      </c>
      <c r="AE245">
        <v>0</v>
      </c>
      <c r="AF245">
        <v>0</v>
      </c>
      <c r="AG245">
        <v>0</v>
      </c>
      <c r="AH245">
        <v>0</v>
      </c>
      <c r="AI245">
        <v>0</v>
      </c>
      <c r="AJ245">
        <v>0</v>
      </c>
      <c r="AK245">
        <v>0</v>
      </c>
      <c r="AL245">
        <v>0</v>
      </c>
      <c r="AM245">
        <v>0</v>
      </c>
      <c r="AN245">
        <v>0</v>
      </c>
      <c r="AO245">
        <v>0</v>
      </c>
      <c r="AP245">
        <v>0</v>
      </c>
      <c r="AQ245">
        <v>0</v>
      </c>
      <c r="AR245">
        <v>0</v>
      </c>
      <c r="AS245">
        <v>0</v>
      </c>
      <c r="AT245">
        <v>0</v>
      </c>
      <c r="AU245">
        <v>0</v>
      </c>
      <c r="AV245">
        <v>0</v>
      </c>
      <c r="AW245">
        <v>0</v>
      </c>
      <c r="AX245">
        <v>0</v>
      </c>
      <c r="AY245">
        <v>0</v>
      </c>
      <c r="AZ245">
        <v>0</v>
      </c>
      <c r="BA245">
        <v>0</v>
      </c>
      <c r="BB245">
        <v>0</v>
      </c>
      <c r="BC245">
        <v>0</v>
      </c>
      <c r="BD245">
        <v>0</v>
      </c>
      <c r="BE245">
        <v>0</v>
      </c>
      <c r="BF245">
        <v>0</v>
      </c>
      <c r="BG245">
        <v>0</v>
      </c>
      <c r="BH245">
        <v>0</v>
      </c>
      <c r="BI245">
        <v>0</v>
      </c>
      <c r="BJ245">
        <v>0</v>
      </c>
      <c r="BK245">
        <v>0</v>
      </c>
      <c r="BL245">
        <v>0</v>
      </c>
      <c r="BM245">
        <v>0</v>
      </c>
      <c r="BN245">
        <v>0</v>
      </c>
      <c r="BO245">
        <v>0</v>
      </c>
      <c r="BP245">
        <v>0</v>
      </c>
      <c r="BQ245">
        <v>0</v>
      </c>
      <c r="BR245">
        <v>0</v>
      </c>
      <c r="BS245">
        <v>0</v>
      </c>
      <c r="BT245">
        <v>0</v>
      </c>
      <c r="BU245">
        <v>0</v>
      </c>
      <c r="BV245">
        <v>0</v>
      </c>
      <c r="BW245">
        <v>0</v>
      </c>
      <c r="BX245">
        <v>0</v>
      </c>
      <c r="BY245">
        <v>0</v>
      </c>
      <c r="BZ245">
        <v>0</v>
      </c>
      <c r="CA245">
        <v>0</v>
      </c>
      <c r="CB245">
        <v>0</v>
      </c>
      <c r="CC245">
        <v>0</v>
      </c>
      <c r="CD245">
        <v>0</v>
      </c>
      <c r="CE245">
        <v>0</v>
      </c>
      <c r="CF245">
        <v>0</v>
      </c>
      <c r="CG245">
        <v>0</v>
      </c>
      <c r="CH245">
        <v>0</v>
      </c>
      <c r="CI245">
        <v>0</v>
      </c>
      <c r="CJ245">
        <v>0</v>
      </c>
      <c r="CK245">
        <v>0</v>
      </c>
      <c r="CL245">
        <v>0</v>
      </c>
      <c r="CM245">
        <v>0</v>
      </c>
      <c r="CN245">
        <v>0</v>
      </c>
      <c r="CO245">
        <v>0</v>
      </c>
      <c r="CP245">
        <v>0</v>
      </c>
      <c r="CQ245">
        <v>0</v>
      </c>
      <c r="CR245">
        <v>0</v>
      </c>
      <c r="CS245">
        <v>0</v>
      </c>
      <c r="CT245">
        <v>0</v>
      </c>
      <c r="CU245">
        <v>0</v>
      </c>
      <c r="CV245">
        <v>0</v>
      </c>
      <c r="CW245">
        <v>0</v>
      </c>
      <c r="CX245">
        <v>0</v>
      </c>
      <c r="CY245">
        <v>0</v>
      </c>
      <c r="CZ245">
        <v>0</v>
      </c>
      <c r="DA245">
        <v>0</v>
      </c>
      <c r="DB245">
        <v>0</v>
      </c>
      <c r="DC245">
        <v>0</v>
      </c>
      <c r="DD245">
        <v>0</v>
      </c>
      <c r="DE245">
        <v>0</v>
      </c>
      <c r="DF245">
        <v>0</v>
      </c>
      <c r="DG245">
        <v>0</v>
      </c>
      <c r="DH245">
        <v>0</v>
      </c>
      <c r="DI245">
        <v>0</v>
      </c>
      <c r="DJ245">
        <v>0</v>
      </c>
      <c r="DK245">
        <v>0</v>
      </c>
      <c r="DL245">
        <v>0</v>
      </c>
      <c r="DM245">
        <v>0</v>
      </c>
      <c r="DN245">
        <v>0</v>
      </c>
      <c r="DO245">
        <v>0</v>
      </c>
      <c r="DP245">
        <v>0</v>
      </c>
      <c r="DQ245">
        <v>0</v>
      </c>
      <c r="DR245">
        <v>0</v>
      </c>
      <c r="DS245">
        <v>0</v>
      </c>
      <c r="DT245">
        <v>0</v>
      </c>
      <c r="DU245">
        <v>0</v>
      </c>
      <c r="DV245">
        <v>0</v>
      </c>
      <c r="DW245">
        <v>0</v>
      </c>
      <c r="DX245">
        <v>0</v>
      </c>
      <c r="DY245">
        <v>0</v>
      </c>
      <c r="DZ245">
        <v>0</v>
      </c>
      <c r="EA245">
        <v>0</v>
      </c>
      <c r="EB245">
        <v>0</v>
      </c>
      <c r="EC245">
        <v>0</v>
      </c>
      <c r="ED245">
        <v>0</v>
      </c>
      <c r="EE245">
        <v>0</v>
      </c>
      <c r="EF245">
        <v>0</v>
      </c>
      <c r="EG245">
        <v>0</v>
      </c>
      <c r="EH245">
        <v>0</v>
      </c>
      <c r="EI245">
        <v>0</v>
      </c>
      <c r="EJ245">
        <v>0</v>
      </c>
      <c r="EK245">
        <v>0</v>
      </c>
      <c r="EL245">
        <v>0</v>
      </c>
      <c r="EM245">
        <v>0</v>
      </c>
      <c r="EN245">
        <v>0</v>
      </c>
      <c r="EO245">
        <v>0</v>
      </c>
      <c r="EP245">
        <v>0</v>
      </c>
      <c r="EQ245">
        <v>0</v>
      </c>
      <c r="ER245">
        <v>0</v>
      </c>
      <c r="ES245">
        <v>0</v>
      </c>
      <c r="ET245">
        <v>0</v>
      </c>
      <c r="EU245">
        <v>0</v>
      </c>
      <c r="EV245">
        <v>0</v>
      </c>
      <c r="EW245">
        <v>0</v>
      </c>
      <c r="EX245">
        <v>0</v>
      </c>
      <c r="EY245">
        <v>0</v>
      </c>
      <c r="EZ245">
        <v>0</v>
      </c>
      <c r="FA245">
        <v>0</v>
      </c>
      <c r="FB245">
        <v>0</v>
      </c>
      <c r="FC245">
        <v>0</v>
      </c>
      <c r="FD245">
        <v>0</v>
      </c>
      <c r="FE245">
        <v>0</v>
      </c>
      <c r="FF245">
        <v>0</v>
      </c>
      <c r="FG245">
        <v>0</v>
      </c>
      <c r="FH245">
        <v>0</v>
      </c>
      <c r="FI245">
        <v>0</v>
      </c>
      <c r="FJ245">
        <v>0</v>
      </c>
      <c r="FK245">
        <v>0</v>
      </c>
      <c r="FL245">
        <v>0</v>
      </c>
      <c r="FM245">
        <v>0</v>
      </c>
      <c r="FN245">
        <v>0</v>
      </c>
      <c r="FO245">
        <v>0</v>
      </c>
      <c r="FP245">
        <v>0</v>
      </c>
      <c r="FQ245">
        <v>0</v>
      </c>
      <c r="FR245">
        <v>0</v>
      </c>
      <c r="FS245">
        <v>0</v>
      </c>
      <c r="FT245">
        <v>0</v>
      </c>
      <c r="FU245">
        <v>0</v>
      </c>
      <c r="FV245">
        <v>0</v>
      </c>
      <c r="FW245">
        <v>0</v>
      </c>
      <c r="FX245">
        <v>0</v>
      </c>
      <c r="FY245">
        <v>0</v>
      </c>
      <c r="FZ245">
        <v>0</v>
      </c>
      <c r="GA245">
        <v>0</v>
      </c>
      <c r="GB245">
        <v>0</v>
      </c>
      <c r="GC245">
        <v>0</v>
      </c>
      <c r="GD245">
        <v>0</v>
      </c>
      <c r="GE245">
        <v>0</v>
      </c>
      <c r="GF245">
        <v>0</v>
      </c>
      <c r="GG245">
        <v>0</v>
      </c>
      <c r="GH245">
        <v>0</v>
      </c>
      <c r="GI245">
        <v>0</v>
      </c>
      <c r="GJ245">
        <v>0</v>
      </c>
      <c r="GK245">
        <v>0</v>
      </c>
      <c r="GL245">
        <v>0</v>
      </c>
      <c r="GM245">
        <v>0</v>
      </c>
      <c r="GN245">
        <v>0</v>
      </c>
      <c r="GO245">
        <v>0</v>
      </c>
      <c r="GP245">
        <v>0</v>
      </c>
      <c r="GQ245">
        <v>0</v>
      </c>
      <c r="GR245">
        <v>0</v>
      </c>
      <c r="GS245">
        <v>0</v>
      </c>
      <c r="GT245">
        <v>0</v>
      </c>
      <c r="GU245">
        <v>0</v>
      </c>
      <c r="GV245">
        <v>0</v>
      </c>
      <c r="GW245">
        <v>0</v>
      </c>
      <c r="GX245">
        <v>0</v>
      </c>
      <c r="GY245">
        <v>0</v>
      </c>
      <c r="GZ245">
        <v>0</v>
      </c>
      <c r="HA245">
        <v>0</v>
      </c>
      <c r="HB245">
        <v>0</v>
      </c>
      <c r="HC245">
        <v>0</v>
      </c>
      <c r="HD245">
        <v>0</v>
      </c>
      <c r="HE245">
        <v>0</v>
      </c>
      <c r="HF245">
        <v>0</v>
      </c>
      <c r="HG245">
        <v>0</v>
      </c>
      <c r="HH245">
        <v>0</v>
      </c>
      <c r="HI245">
        <v>0</v>
      </c>
      <c r="HJ245">
        <v>0</v>
      </c>
      <c r="HK245">
        <v>0</v>
      </c>
      <c r="HL245">
        <v>0</v>
      </c>
      <c r="HM245">
        <v>0</v>
      </c>
      <c r="HN245">
        <v>0</v>
      </c>
      <c r="HO245">
        <v>0</v>
      </c>
      <c r="HP245">
        <v>0</v>
      </c>
      <c r="HQ245">
        <v>0</v>
      </c>
      <c r="HR245">
        <v>0</v>
      </c>
      <c r="HS245">
        <v>0</v>
      </c>
      <c r="HT245">
        <v>0</v>
      </c>
      <c r="HU245">
        <v>0</v>
      </c>
      <c r="HV245">
        <v>0</v>
      </c>
      <c r="HW245">
        <v>0</v>
      </c>
      <c r="HX245">
        <v>0</v>
      </c>
      <c r="HY245">
        <v>0</v>
      </c>
      <c r="HZ245">
        <v>0</v>
      </c>
      <c r="IA245">
        <v>0</v>
      </c>
      <c r="IB245">
        <v>0</v>
      </c>
      <c r="IC245">
        <v>0</v>
      </c>
      <c r="ID245">
        <v>0</v>
      </c>
      <c r="IE245">
        <v>0</v>
      </c>
      <c r="IF245">
        <v>0</v>
      </c>
      <c r="IG245">
        <v>0</v>
      </c>
      <c r="IH245">
        <v>0</v>
      </c>
      <c r="II245">
        <v>0</v>
      </c>
      <c r="IJ245">
        <v>0</v>
      </c>
      <c r="IK245">
        <v>0</v>
      </c>
      <c r="IL245">
        <v>0</v>
      </c>
      <c r="IM245">
        <v>0</v>
      </c>
      <c r="IN245">
        <v>0</v>
      </c>
      <c r="IO245">
        <v>0</v>
      </c>
      <c r="IP245">
        <v>0</v>
      </c>
      <c r="IQ245">
        <v>0</v>
      </c>
      <c r="IR245">
        <v>0</v>
      </c>
      <c r="IS245">
        <v>0</v>
      </c>
      <c r="IT245">
        <v>0</v>
      </c>
      <c r="IU245">
        <v>0</v>
      </c>
      <c r="IV245">
        <v>0</v>
      </c>
      <c r="IW245">
        <v>0</v>
      </c>
      <c r="IX245">
        <v>0</v>
      </c>
      <c r="IY245">
        <v>0</v>
      </c>
      <c r="IZ245">
        <v>0</v>
      </c>
      <c r="JA245">
        <v>0</v>
      </c>
      <c r="JB245">
        <v>0</v>
      </c>
      <c r="JC245">
        <v>0</v>
      </c>
      <c r="JD245">
        <v>0</v>
      </c>
      <c r="JE245">
        <v>0</v>
      </c>
      <c r="JF245">
        <v>0</v>
      </c>
      <c r="JG245">
        <v>0</v>
      </c>
      <c r="JH245">
        <v>0</v>
      </c>
      <c r="JI245">
        <v>0</v>
      </c>
      <c r="JJ245">
        <v>0</v>
      </c>
      <c r="JK245">
        <v>0</v>
      </c>
      <c r="JL245">
        <v>0</v>
      </c>
      <c r="JM245">
        <v>0</v>
      </c>
      <c r="JN245">
        <v>0</v>
      </c>
      <c r="JO245">
        <v>0</v>
      </c>
      <c r="JP245">
        <v>0</v>
      </c>
      <c r="JQ245">
        <v>0</v>
      </c>
      <c r="JR245">
        <v>0</v>
      </c>
      <c r="JS245">
        <v>0</v>
      </c>
      <c r="JT245">
        <v>0</v>
      </c>
      <c r="JU245">
        <v>0</v>
      </c>
      <c r="JV245">
        <v>0</v>
      </c>
      <c r="JW245">
        <v>0</v>
      </c>
      <c r="JX245">
        <v>0</v>
      </c>
      <c r="JY245">
        <v>0</v>
      </c>
      <c r="JZ245">
        <v>0</v>
      </c>
      <c r="KA245">
        <v>0</v>
      </c>
      <c r="KB245">
        <v>0</v>
      </c>
      <c r="KC245">
        <v>0</v>
      </c>
      <c r="KD245">
        <v>0</v>
      </c>
      <c r="KE245">
        <v>0</v>
      </c>
      <c r="KF245">
        <v>0</v>
      </c>
      <c r="KG245">
        <v>0</v>
      </c>
      <c r="KH245">
        <v>0</v>
      </c>
      <c r="KI245">
        <v>0</v>
      </c>
      <c r="KJ245">
        <v>0</v>
      </c>
      <c r="KK245">
        <v>0</v>
      </c>
      <c r="KL245">
        <v>0</v>
      </c>
      <c r="KM245">
        <v>0</v>
      </c>
      <c r="KN245">
        <v>0</v>
      </c>
      <c r="KO245">
        <v>0</v>
      </c>
      <c r="KP245">
        <v>0</v>
      </c>
      <c r="KQ245">
        <v>0</v>
      </c>
      <c r="KR245">
        <v>0</v>
      </c>
      <c r="KS245">
        <v>0</v>
      </c>
      <c r="KT245">
        <v>0</v>
      </c>
      <c r="KU245">
        <v>0</v>
      </c>
      <c r="KV245">
        <v>0</v>
      </c>
      <c r="KW245">
        <v>0</v>
      </c>
      <c r="KX245">
        <v>0</v>
      </c>
      <c r="KY245">
        <v>0</v>
      </c>
      <c r="KZ245">
        <v>0</v>
      </c>
      <c r="LA245">
        <v>0</v>
      </c>
      <c r="LB245">
        <v>0</v>
      </c>
      <c r="LC245">
        <v>0</v>
      </c>
      <c r="LD245">
        <v>0</v>
      </c>
      <c r="LE245">
        <v>0</v>
      </c>
      <c r="LF245">
        <v>0</v>
      </c>
      <c r="LG245">
        <v>0</v>
      </c>
      <c r="LH245">
        <v>0</v>
      </c>
      <c r="LI245">
        <v>0</v>
      </c>
      <c r="LJ245">
        <v>0</v>
      </c>
      <c r="LK245">
        <v>0</v>
      </c>
      <c r="LL245">
        <v>0</v>
      </c>
      <c r="LM245">
        <v>0</v>
      </c>
      <c r="LN245">
        <v>0</v>
      </c>
      <c r="LO245">
        <v>0</v>
      </c>
      <c r="LP245">
        <v>0</v>
      </c>
      <c r="LQ245">
        <v>0</v>
      </c>
      <c r="LR245">
        <v>0</v>
      </c>
      <c r="LS245">
        <v>0</v>
      </c>
      <c r="LT245">
        <v>0</v>
      </c>
      <c r="LU245">
        <v>0</v>
      </c>
      <c r="LV245">
        <v>0</v>
      </c>
      <c r="LW245">
        <v>0</v>
      </c>
      <c r="LX245">
        <v>0</v>
      </c>
      <c r="LY245">
        <v>0</v>
      </c>
      <c r="LZ245">
        <v>0</v>
      </c>
      <c r="MA245">
        <v>0</v>
      </c>
      <c r="MB245">
        <v>0</v>
      </c>
      <c r="MC245">
        <v>0</v>
      </c>
      <c r="MD245">
        <v>0</v>
      </c>
      <c r="ME245">
        <v>0</v>
      </c>
      <c r="MF245">
        <v>0</v>
      </c>
      <c r="MG245">
        <v>0</v>
      </c>
      <c r="MH245">
        <v>0</v>
      </c>
      <c r="MI245">
        <v>0</v>
      </c>
      <c r="MJ245">
        <v>0</v>
      </c>
      <c r="MK245">
        <v>0</v>
      </c>
      <c r="ML245">
        <v>0</v>
      </c>
      <c r="MM245">
        <v>0</v>
      </c>
      <c r="MN245">
        <v>0</v>
      </c>
      <c r="MO245">
        <v>0</v>
      </c>
      <c r="MP245">
        <v>0</v>
      </c>
      <c r="MQ245">
        <v>0</v>
      </c>
      <c r="MR245">
        <v>0</v>
      </c>
      <c r="MS245">
        <v>0</v>
      </c>
      <c r="MT245">
        <v>0</v>
      </c>
      <c r="MU245">
        <v>0</v>
      </c>
      <c r="MV245">
        <v>0</v>
      </c>
      <c r="MW245">
        <v>0</v>
      </c>
      <c r="MX245">
        <v>0</v>
      </c>
      <c r="MY245">
        <v>0</v>
      </c>
      <c r="MZ245">
        <v>0</v>
      </c>
      <c r="NA245">
        <v>0</v>
      </c>
      <c r="NB245">
        <v>0</v>
      </c>
      <c r="NC245">
        <v>0</v>
      </c>
      <c r="ND245">
        <v>0</v>
      </c>
      <c r="NE245">
        <v>0</v>
      </c>
      <c r="NF245">
        <v>0</v>
      </c>
      <c r="NG245">
        <v>0</v>
      </c>
      <c r="NH245">
        <v>0</v>
      </c>
      <c r="NI245">
        <v>0</v>
      </c>
      <c r="NJ245">
        <v>0</v>
      </c>
      <c r="NK245">
        <v>0</v>
      </c>
      <c r="NL245">
        <v>0</v>
      </c>
      <c r="NM245">
        <v>0</v>
      </c>
      <c r="NN245">
        <v>0</v>
      </c>
      <c r="NO245">
        <v>0</v>
      </c>
      <c r="NP245">
        <v>0</v>
      </c>
      <c r="NQ245">
        <v>0</v>
      </c>
      <c r="NR245">
        <v>0</v>
      </c>
      <c r="NS245">
        <v>0</v>
      </c>
      <c r="NT245">
        <v>0</v>
      </c>
      <c r="NU245">
        <v>0</v>
      </c>
      <c r="NV245">
        <v>0</v>
      </c>
      <c r="NW245">
        <v>0</v>
      </c>
      <c r="NX245">
        <v>0</v>
      </c>
      <c r="NY245">
        <v>0</v>
      </c>
      <c r="NZ245">
        <v>0</v>
      </c>
      <c r="OA245">
        <v>0</v>
      </c>
      <c r="OB245">
        <v>0</v>
      </c>
      <c r="OC245">
        <v>0</v>
      </c>
      <c r="OD245">
        <v>0</v>
      </c>
      <c r="OE245">
        <v>0</v>
      </c>
    </row>
    <row r="246" spans="11:395" x14ac:dyDescent="0.3">
      <c r="K246" s="65"/>
      <c r="L246" s="55"/>
      <c r="M246" s="66"/>
      <c r="N246" s="19" t="s">
        <v>356</v>
      </c>
      <c r="P246" s="7"/>
      <c r="Q246" cm="1">
        <f t="array" ref="Q246:OE246">IF( (YEAR(O15)=YEAR(_xlfn.ANCHORARRAY($Q$2)))*(MONTH(O15)=MONTH(_xlfn.ANCHORARRAY($Q$2))),-E42,0)</f>
        <v>0</v>
      </c>
      <c r="R246">
        <v>0</v>
      </c>
      <c r="S246">
        <v>0</v>
      </c>
      <c r="T246">
        <v>0</v>
      </c>
      <c r="U246">
        <v>0</v>
      </c>
      <c r="V246">
        <v>0</v>
      </c>
      <c r="W246">
        <v>0</v>
      </c>
      <c r="X246">
        <v>0</v>
      </c>
      <c r="Y246">
        <v>0</v>
      </c>
      <c r="Z246">
        <v>0</v>
      </c>
      <c r="AA246">
        <v>-50000</v>
      </c>
      <c r="AB246">
        <v>0</v>
      </c>
      <c r="AC246">
        <v>0</v>
      </c>
      <c r="AD246">
        <v>0</v>
      </c>
      <c r="AE246">
        <v>0</v>
      </c>
      <c r="AF246">
        <v>0</v>
      </c>
      <c r="AG246">
        <v>0</v>
      </c>
      <c r="AH246">
        <v>0</v>
      </c>
      <c r="AI246">
        <v>0</v>
      </c>
      <c r="AJ246">
        <v>0</v>
      </c>
      <c r="AK246">
        <v>0</v>
      </c>
      <c r="AL246">
        <v>0</v>
      </c>
      <c r="AM246">
        <v>0</v>
      </c>
      <c r="AN246">
        <v>0</v>
      </c>
      <c r="AO246">
        <v>0</v>
      </c>
      <c r="AP246">
        <v>0</v>
      </c>
      <c r="AQ246">
        <v>0</v>
      </c>
      <c r="AR246">
        <v>0</v>
      </c>
      <c r="AS246">
        <v>0</v>
      </c>
      <c r="AT246">
        <v>0</v>
      </c>
      <c r="AU246">
        <v>0</v>
      </c>
      <c r="AV246">
        <v>0</v>
      </c>
      <c r="AW246">
        <v>0</v>
      </c>
      <c r="AX246">
        <v>0</v>
      </c>
      <c r="AY246">
        <v>0</v>
      </c>
      <c r="AZ246">
        <v>0</v>
      </c>
      <c r="BA246">
        <v>0</v>
      </c>
      <c r="BB246">
        <v>0</v>
      </c>
      <c r="BC246">
        <v>0</v>
      </c>
      <c r="BD246">
        <v>0</v>
      </c>
      <c r="BE246">
        <v>0</v>
      </c>
      <c r="BF246">
        <v>0</v>
      </c>
      <c r="BG246">
        <v>0</v>
      </c>
      <c r="BH246">
        <v>0</v>
      </c>
      <c r="BI246">
        <v>0</v>
      </c>
      <c r="BJ246">
        <v>0</v>
      </c>
      <c r="BK246">
        <v>0</v>
      </c>
      <c r="BL246">
        <v>0</v>
      </c>
      <c r="BM246">
        <v>0</v>
      </c>
      <c r="BN246">
        <v>0</v>
      </c>
      <c r="BO246">
        <v>0</v>
      </c>
      <c r="BP246">
        <v>0</v>
      </c>
      <c r="BQ246">
        <v>0</v>
      </c>
      <c r="BR246">
        <v>0</v>
      </c>
      <c r="BS246">
        <v>0</v>
      </c>
      <c r="BT246">
        <v>0</v>
      </c>
      <c r="BU246">
        <v>0</v>
      </c>
      <c r="BV246">
        <v>0</v>
      </c>
      <c r="BW246">
        <v>0</v>
      </c>
      <c r="BX246">
        <v>0</v>
      </c>
      <c r="BY246">
        <v>0</v>
      </c>
      <c r="BZ246">
        <v>0</v>
      </c>
      <c r="CA246">
        <v>0</v>
      </c>
      <c r="CB246">
        <v>0</v>
      </c>
      <c r="CC246">
        <v>0</v>
      </c>
      <c r="CD246">
        <v>0</v>
      </c>
      <c r="CE246">
        <v>0</v>
      </c>
      <c r="CF246">
        <v>0</v>
      </c>
      <c r="CG246">
        <v>0</v>
      </c>
      <c r="CH246">
        <v>0</v>
      </c>
      <c r="CI246">
        <v>0</v>
      </c>
      <c r="CJ246">
        <v>0</v>
      </c>
      <c r="CK246">
        <v>0</v>
      </c>
      <c r="CL246">
        <v>0</v>
      </c>
      <c r="CM246">
        <v>0</v>
      </c>
      <c r="CN246">
        <v>0</v>
      </c>
      <c r="CO246">
        <v>0</v>
      </c>
      <c r="CP246">
        <v>0</v>
      </c>
      <c r="CQ246">
        <v>0</v>
      </c>
      <c r="CR246">
        <v>0</v>
      </c>
      <c r="CS246">
        <v>0</v>
      </c>
      <c r="CT246">
        <v>0</v>
      </c>
      <c r="CU246">
        <v>0</v>
      </c>
      <c r="CV246">
        <v>0</v>
      </c>
      <c r="CW246">
        <v>0</v>
      </c>
      <c r="CX246">
        <v>0</v>
      </c>
      <c r="CY246">
        <v>0</v>
      </c>
      <c r="CZ246">
        <v>0</v>
      </c>
      <c r="DA246">
        <v>0</v>
      </c>
      <c r="DB246">
        <v>0</v>
      </c>
      <c r="DC246">
        <v>0</v>
      </c>
      <c r="DD246">
        <v>0</v>
      </c>
      <c r="DE246">
        <v>0</v>
      </c>
      <c r="DF246">
        <v>0</v>
      </c>
      <c r="DG246">
        <v>0</v>
      </c>
      <c r="DH246">
        <v>0</v>
      </c>
      <c r="DI246">
        <v>0</v>
      </c>
      <c r="DJ246">
        <v>0</v>
      </c>
      <c r="DK246">
        <v>0</v>
      </c>
      <c r="DL246">
        <v>0</v>
      </c>
      <c r="DM246">
        <v>0</v>
      </c>
      <c r="DN246">
        <v>0</v>
      </c>
      <c r="DO246">
        <v>0</v>
      </c>
      <c r="DP246">
        <v>0</v>
      </c>
      <c r="DQ246">
        <v>0</v>
      </c>
      <c r="DR246">
        <v>0</v>
      </c>
      <c r="DS246">
        <v>0</v>
      </c>
      <c r="DT246">
        <v>0</v>
      </c>
      <c r="DU246">
        <v>0</v>
      </c>
      <c r="DV246">
        <v>0</v>
      </c>
      <c r="DW246">
        <v>0</v>
      </c>
      <c r="DX246">
        <v>0</v>
      </c>
      <c r="DY246">
        <v>0</v>
      </c>
      <c r="DZ246">
        <v>0</v>
      </c>
      <c r="EA246">
        <v>0</v>
      </c>
      <c r="EB246">
        <v>0</v>
      </c>
      <c r="EC246">
        <v>0</v>
      </c>
      <c r="ED246">
        <v>0</v>
      </c>
      <c r="EE246">
        <v>0</v>
      </c>
      <c r="EF246">
        <v>0</v>
      </c>
      <c r="EG246">
        <v>0</v>
      </c>
      <c r="EH246">
        <v>0</v>
      </c>
      <c r="EI246">
        <v>0</v>
      </c>
      <c r="EJ246">
        <v>0</v>
      </c>
      <c r="EK246">
        <v>0</v>
      </c>
      <c r="EL246">
        <v>0</v>
      </c>
      <c r="EM246">
        <v>0</v>
      </c>
      <c r="EN246">
        <v>0</v>
      </c>
      <c r="EO246">
        <v>0</v>
      </c>
      <c r="EP246">
        <v>0</v>
      </c>
      <c r="EQ246">
        <v>0</v>
      </c>
      <c r="ER246">
        <v>0</v>
      </c>
      <c r="ES246">
        <v>0</v>
      </c>
      <c r="ET246">
        <v>0</v>
      </c>
      <c r="EU246">
        <v>0</v>
      </c>
      <c r="EV246">
        <v>0</v>
      </c>
      <c r="EW246">
        <v>0</v>
      </c>
      <c r="EX246">
        <v>0</v>
      </c>
      <c r="EY246">
        <v>0</v>
      </c>
      <c r="EZ246">
        <v>0</v>
      </c>
      <c r="FA246">
        <v>0</v>
      </c>
      <c r="FB246">
        <v>0</v>
      </c>
      <c r="FC246">
        <v>0</v>
      </c>
      <c r="FD246">
        <v>0</v>
      </c>
      <c r="FE246">
        <v>0</v>
      </c>
      <c r="FF246">
        <v>0</v>
      </c>
      <c r="FG246">
        <v>0</v>
      </c>
      <c r="FH246">
        <v>0</v>
      </c>
      <c r="FI246">
        <v>0</v>
      </c>
      <c r="FJ246">
        <v>0</v>
      </c>
      <c r="FK246">
        <v>0</v>
      </c>
      <c r="FL246">
        <v>0</v>
      </c>
      <c r="FM246">
        <v>0</v>
      </c>
      <c r="FN246">
        <v>0</v>
      </c>
      <c r="FO246">
        <v>0</v>
      </c>
      <c r="FP246">
        <v>0</v>
      </c>
      <c r="FQ246">
        <v>0</v>
      </c>
      <c r="FR246">
        <v>0</v>
      </c>
      <c r="FS246">
        <v>0</v>
      </c>
      <c r="FT246">
        <v>0</v>
      </c>
      <c r="FU246">
        <v>0</v>
      </c>
      <c r="FV246">
        <v>0</v>
      </c>
      <c r="FW246">
        <v>0</v>
      </c>
      <c r="FX246">
        <v>0</v>
      </c>
      <c r="FY246">
        <v>0</v>
      </c>
      <c r="FZ246">
        <v>0</v>
      </c>
      <c r="GA246">
        <v>0</v>
      </c>
      <c r="GB246">
        <v>0</v>
      </c>
      <c r="GC246">
        <v>0</v>
      </c>
      <c r="GD246">
        <v>0</v>
      </c>
      <c r="GE246">
        <v>0</v>
      </c>
      <c r="GF246">
        <v>0</v>
      </c>
      <c r="GG246">
        <v>0</v>
      </c>
      <c r="GH246">
        <v>0</v>
      </c>
      <c r="GI246">
        <v>0</v>
      </c>
      <c r="GJ246">
        <v>0</v>
      </c>
      <c r="GK246">
        <v>0</v>
      </c>
      <c r="GL246">
        <v>0</v>
      </c>
      <c r="GM246">
        <v>0</v>
      </c>
      <c r="GN246">
        <v>0</v>
      </c>
      <c r="GO246">
        <v>0</v>
      </c>
      <c r="GP246">
        <v>0</v>
      </c>
      <c r="GQ246">
        <v>0</v>
      </c>
      <c r="GR246">
        <v>0</v>
      </c>
      <c r="GS246">
        <v>0</v>
      </c>
      <c r="GT246">
        <v>0</v>
      </c>
      <c r="GU246">
        <v>0</v>
      </c>
      <c r="GV246">
        <v>0</v>
      </c>
      <c r="GW246">
        <v>0</v>
      </c>
      <c r="GX246">
        <v>0</v>
      </c>
      <c r="GY246">
        <v>0</v>
      </c>
      <c r="GZ246">
        <v>0</v>
      </c>
      <c r="HA246">
        <v>0</v>
      </c>
      <c r="HB246">
        <v>0</v>
      </c>
      <c r="HC246">
        <v>0</v>
      </c>
      <c r="HD246">
        <v>0</v>
      </c>
      <c r="HE246">
        <v>0</v>
      </c>
      <c r="HF246">
        <v>0</v>
      </c>
      <c r="HG246">
        <v>0</v>
      </c>
      <c r="HH246">
        <v>0</v>
      </c>
      <c r="HI246">
        <v>0</v>
      </c>
      <c r="HJ246">
        <v>0</v>
      </c>
      <c r="HK246">
        <v>0</v>
      </c>
      <c r="HL246">
        <v>0</v>
      </c>
      <c r="HM246">
        <v>0</v>
      </c>
      <c r="HN246">
        <v>0</v>
      </c>
      <c r="HO246">
        <v>0</v>
      </c>
      <c r="HP246">
        <v>0</v>
      </c>
      <c r="HQ246">
        <v>0</v>
      </c>
      <c r="HR246">
        <v>0</v>
      </c>
      <c r="HS246">
        <v>0</v>
      </c>
      <c r="HT246">
        <v>0</v>
      </c>
      <c r="HU246">
        <v>0</v>
      </c>
      <c r="HV246">
        <v>0</v>
      </c>
      <c r="HW246">
        <v>0</v>
      </c>
      <c r="HX246">
        <v>0</v>
      </c>
      <c r="HY246">
        <v>0</v>
      </c>
      <c r="HZ246">
        <v>0</v>
      </c>
      <c r="IA246">
        <v>0</v>
      </c>
      <c r="IB246">
        <v>0</v>
      </c>
      <c r="IC246">
        <v>0</v>
      </c>
      <c r="ID246">
        <v>0</v>
      </c>
      <c r="IE246">
        <v>0</v>
      </c>
      <c r="IF246">
        <v>0</v>
      </c>
      <c r="IG246">
        <v>0</v>
      </c>
      <c r="IH246">
        <v>0</v>
      </c>
      <c r="II246">
        <v>0</v>
      </c>
      <c r="IJ246">
        <v>0</v>
      </c>
      <c r="IK246">
        <v>0</v>
      </c>
      <c r="IL246">
        <v>0</v>
      </c>
      <c r="IM246">
        <v>0</v>
      </c>
      <c r="IN246">
        <v>0</v>
      </c>
      <c r="IO246">
        <v>0</v>
      </c>
      <c r="IP246">
        <v>0</v>
      </c>
      <c r="IQ246">
        <v>0</v>
      </c>
      <c r="IR246">
        <v>0</v>
      </c>
      <c r="IS246">
        <v>0</v>
      </c>
      <c r="IT246">
        <v>0</v>
      </c>
      <c r="IU246">
        <v>0</v>
      </c>
      <c r="IV246">
        <v>0</v>
      </c>
      <c r="IW246">
        <v>0</v>
      </c>
      <c r="IX246">
        <v>0</v>
      </c>
      <c r="IY246">
        <v>0</v>
      </c>
      <c r="IZ246">
        <v>0</v>
      </c>
      <c r="JA246">
        <v>0</v>
      </c>
      <c r="JB246">
        <v>0</v>
      </c>
      <c r="JC246">
        <v>0</v>
      </c>
      <c r="JD246">
        <v>0</v>
      </c>
      <c r="JE246">
        <v>0</v>
      </c>
      <c r="JF246">
        <v>0</v>
      </c>
      <c r="JG246">
        <v>0</v>
      </c>
      <c r="JH246">
        <v>0</v>
      </c>
      <c r="JI246">
        <v>0</v>
      </c>
      <c r="JJ246">
        <v>0</v>
      </c>
      <c r="JK246">
        <v>0</v>
      </c>
      <c r="JL246">
        <v>0</v>
      </c>
      <c r="JM246">
        <v>0</v>
      </c>
      <c r="JN246">
        <v>0</v>
      </c>
      <c r="JO246">
        <v>0</v>
      </c>
      <c r="JP246">
        <v>0</v>
      </c>
      <c r="JQ246">
        <v>0</v>
      </c>
      <c r="JR246">
        <v>0</v>
      </c>
      <c r="JS246">
        <v>0</v>
      </c>
      <c r="JT246">
        <v>0</v>
      </c>
      <c r="JU246">
        <v>0</v>
      </c>
      <c r="JV246">
        <v>0</v>
      </c>
      <c r="JW246">
        <v>0</v>
      </c>
      <c r="JX246">
        <v>0</v>
      </c>
      <c r="JY246">
        <v>0</v>
      </c>
      <c r="JZ246">
        <v>0</v>
      </c>
      <c r="KA246">
        <v>0</v>
      </c>
      <c r="KB246">
        <v>0</v>
      </c>
      <c r="KC246">
        <v>0</v>
      </c>
      <c r="KD246">
        <v>0</v>
      </c>
      <c r="KE246">
        <v>0</v>
      </c>
      <c r="KF246">
        <v>0</v>
      </c>
      <c r="KG246">
        <v>0</v>
      </c>
      <c r="KH246">
        <v>0</v>
      </c>
      <c r="KI246">
        <v>0</v>
      </c>
      <c r="KJ246">
        <v>0</v>
      </c>
      <c r="KK246">
        <v>0</v>
      </c>
      <c r="KL246">
        <v>0</v>
      </c>
      <c r="KM246">
        <v>0</v>
      </c>
      <c r="KN246">
        <v>0</v>
      </c>
      <c r="KO246">
        <v>0</v>
      </c>
      <c r="KP246">
        <v>0</v>
      </c>
      <c r="KQ246">
        <v>0</v>
      </c>
      <c r="KR246">
        <v>0</v>
      </c>
      <c r="KS246">
        <v>0</v>
      </c>
      <c r="KT246">
        <v>0</v>
      </c>
      <c r="KU246">
        <v>0</v>
      </c>
      <c r="KV246">
        <v>0</v>
      </c>
      <c r="KW246">
        <v>0</v>
      </c>
      <c r="KX246">
        <v>0</v>
      </c>
      <c r="KY246">
        <v>0</v>
      </c>
      <c r="KZ246">
        <v>0</v>
      </c>
      <c r="LA246">
        <v>0</v>
      </c>
      <c r="LB246">
        <v>0</v>
      </c>
      <c r="LC246">
        <v>0</v>
      </c>
      <c r="LD246">
        <v>0</v>
      </c>
      <c r="LE246">
        <v>0</v>
      </c>
      <c r="LF246">
        <v>0</v>
      </c>
      <c r="LG246">
        <v>0</v>
      </c>
      <c r="LH246">
        <v>0</v>
      </c>
      <c r="LI246">
        <v>0</v>
      </c>
      <c r="LJ246">
        <v>0</v>
      </c>
      <c r="LK246">
        <v>0</v>
      </c>
      <c r="LL246">
        <v>0</v>
      </c>
      <c r="LM246">
        <v>0</v>
      </c>
      <c r="LN246">
        <v>0</v>
      </c>
      <c r="LO246">
        <v>0</v>
      </c>
      <c r="LP246">
        <v>0</v>
      </c>
      <c r="LQ246">
        <v>0</v>
      </c>
      <c r="LR246">
        <v>0</v>
      </c>
      <c r="LS246">
        <v>0</v>
      </c>
      <c r="LT246">
        <v>0</v>
      </c>
      <c r="LU246">
        <v>0</v>
      </c>
      <c r="LV246">
        <v>0</v>
      </c>
      <c r="LW246">
        <v>0</v>
      </c>
      <c r="LX246">
        <v>0</v>
      </c>
      <c r="LY246">
        <v>0</v>
      </c>
      <c r="LZ246">
        <v>0</v>
      </c>
      <c r="MA246">
        <v>0</v>
      </c>
      <c r="MB246">
        <v>0</v>
      </c>
      <c r="MC246">
        <v>0</v>
      </c>
      <c r="MD246">
        <v>0</v>
      </c>
      <c r="ME246">
        <v>0</v>
      </c>
      <c r="MF246">
        <v>0</v>
      </c>
      <c r="MG246">
        <v>0</v>
      </c>
      <c r="MH246">
        <v>0</v>
      </c>
      <c r="MI246">
        <v>0</v>
      </c>
      <c r="MJ246">
        <v>0</v>
      </c>
      <c r="MK246">
        <v>0</v>
      </c>
      <c r="ML246">
        <v>0</v>
      </c>
      <c r="MM246">
        <v>0</v>
      </c>
      <c r="MN246">
        <v>0</v>
      </c>
      <c r="MO246">
        <v>0</v>
      </c>
      <c r="MP246">
        <v>0</v>
      </c>
      <c r="MQ246">
        <v>0</v>
      </c>
      <c r="MR246">
        <v>0</v>
      </c>
      <c r="MS246">
        <v>0</v>
      </c>
      <c r="MT246">
        <v>0</v>
      </c>
      <c r="MU246">
        <v>0</v>
      </c>
      <c r="MV246">
        <v>0</v>
      </c>
      <c r="MW246">
        <v>0</v>
      </c>
      <c r="MX246">
        <v>0</v>
      </c>
      <c r="MY246">
        <v>0</v>
      </c>
      <c r="MZ246">
        <v>0</v>
      </c>
      <c r="NA246">
        <v>0</v>
      </c>
      <c r="NB246">
        <v>0</v>
      </c>
      <c r="NC246">
        <v>0</v>
      </c>
      <c r="ND246">
        <v>0</v>
      </c>
      <c r="NE246">
        <v>0</v>
      </c>
      <c r="NF246">
        <v>0</v>
      </c>
      <c r="NG246">
        <v>0</v>
      </c>
      <c r="NH246">
        <v>0</v>
      </c>
      <c r="NI246">
        <v>0</v>
      </c>
      <c r="NJ246">
        <v>0</v>
      </c>
      <c r="NK246">
        <v>0</v>
      </c>
      <c r="NL246">
        <v>0</v>
      </c>
      <c r="NM246">
        <v>0</v>
      </c>
      <c r="NN246">
        <v>0</v>
      </c>
      <c r="NO246">
        <v>0</v>
      </c>
      <c r="NP246">
        <v>0</v>
      </c>
      <c r="NQ246">
        <v>0</v>
      </c>
      <c r="NR246">
        <v>0</v>
      </c>
      <c r="NS246">
        <v>0</v>
      </c>
      <c r="NT246">
        <v>0</v>
      </c>
      <c r="NU246">
        <v>0</v>
      </c>
      <c r="NV246">
        <v>0</v>
      </c>
      <c r="NW246">
        <v>0</v>
      </c>
      <c r="NX246">
        <v>0</v>
      </c>
      <c r="NY246">
        <v>0</v>
      </c>
      <c r="NZ246">
        <v>0</v>
      </c>
      <c r="OA246">
        <v>0</v>
      </c>
      <c r="OB246">
        <v>0</v>
      </c>
      <c r="OC246">
        <v>0</v>
      </c>
      <c r="OD246">
        <v>0</v>
      </c>
      <c r="OE246">
        <v>0</v>
      </c>
    </row>
    <row r="247" spans="11:395" x14ac:dyDescent="0.3">
      <c r="K247" s="65"/>
      <c r="L247" s="55"/>
      <c r="M247" s="66"/>
      <c r="N247" s="19" t="s">
        <v>357</v>
      </c>
      <c r="P247" s="7"/>
      <c r="Q247" cm="1">
        <f t="array" ref="Q247:OE247">IF( (YEAR(O16)=YEAR(_xlfn.ANCHORARRAY($Q$2)))*(MONTH(O16)=MONTH(_xlfn.ANCHORARRAY($Q$2))),-E43,0)</f>
        <v>0</v>
      </c>
      <c r="R247">
        <v>0</v>
      </c>
      <c r="S247">
        <v>0</v>
      </c>
      <c r="T247">
        <v>0</v>
      </c>
      <c r="U247">
        <v>0</v>
      </c>
      <c r="V247">
        <v>0</v>
      </c>
      <c r="W247">
        <v>0</v>
      </c>
      <c r="X247">
        <v>0</v>
      </c>
      <c r="Y247">
        <v>0</v>
      </c>
      <c r="Z247">
        <v>0</v>
      </c>
      <c r="AA247">
        <v>0</v>
      </c>
      <c r="AB247">
        <v>0</v>
      </c>
      <c r="AC247">
        <v>0</v>
      </c>
      <c r="AD247">
        <v>0</v>
      </c>
      <c r="AE247">
        <v>0</v>
      </c>
      <c r="AF247">
        <v>0</v>
      </c>
      <c r="AG247">
        <v>0</v>
      </c>
      <c r="AH247">
        <v>-60000</v>
      </c>
      <c r="AI247">
        <v>0</v>
      </c>
      <c r="AJ247">
        <v>0</v>
      </c>
      <c r="AK247">
        <v>0</v>
      </c>
      <c r="AL247">
        <v>0</v>
      </c>
      <c r="AM247">
        <v>0</v>
      </c>
      <c r="AN247">
        <v>0</v>
      </c>
      <c r="AO247">
        <v>0</v>
      </c>
      <c r="AP247">
        <v>0</v>
      </c>
      <c r="AQ247">
        <v>0</v>
      </c>
      <c r="AR247">
        <v>0</v>
      </c>
      <c r="AS247">
        <v>0</v>
      </c>
      <c r="AT247">
        <v>0</v>
      </c>
      <c r="AU247">
        <v>0</v>
      </c>
      <c r="AV247">
        <v>0</v>
      </c>
      <c r="AW247">
        <v>0</v>
      </c>
      <c r="AX247">
        <v>0</v>
      </c>
      <c r="AY247">
        <v>0</v>
      </c>
      <c r="AZ247">
        <v>0</v>
      </c>
      <c r="BA247">
        <v>0</v>
      </c>
      <c r="BB247">
        <v>0</v>
      </c>
      <c r="BC247">
        <v>0</v>
      </c>
      <c r="BD247">
        <v>0</v>
      </c>
      <c r="BE247">
        <v>0</v>
      </c>
      <c r="BF247">
        <v>0</v>
      </c>
      <c r="BG247">
        <v>0</v>
      </c>
      <c r="BH247">
        <v>0</v>
      </c>
      <c r="BI247">
        <v>0</v>
      </c>
      <c r="BJ247">
        <v>0</v>
      </c>
      <c r="BK247">
        <v>0</v>
      </c>
      <c r="BL247">
        <v>0</v>
      </c>
      <c r="BM247">
        <v>0</v>
      </c>
      <c r="BN247">
        <v>0</v>
      </c>
      <c r="BO247">
        <v>0</v>
      </c>
      <c r="BP247">
        <v>0</v>
      </c>
      <c r="BQ247">
        <v>0</v>
      </c>
      <c r="BR247">
        <v>0</v>
      </c>
      <c r="BS247">
        <v>0</v>
      </c>
      <c r="BT247">
        <v>0</v>
      </c>
      <c r="BU247">
        <v>0</v>
      </c>
      <c r="BV247">
        <v>0</v>
      </c>
      <c r="BW247">
        <v>0</v>
      </c>
      <c r="BX247">
        <v>0</v>
      </c>
      <c r="BY247">
        <v>0</v>
      </c>
      <c r="BZ247">
        <v>0</v>
      </c>
      <c r="CA247">
        <v>0</v>
      </c>
      <c r="CB247">
        <v>0</v>
      </c>
      <c r="CC247">
        <v>0</v>
      </c>
      <c r="CD247">
        <v>0</v>
      </c>
      <c r="CE247">
        <v>0</v>
      </c>
      <c r="CF247">
        <v>0</v>
      </c>
      <c r="CG247">
        <v>0</v>
      </c>
      <c r="CH247">
        <v>0</v>
      </c>
      <c r="CI247">
        <v>0</v>
      </c>
      <c r="CJ247">
        <v>0</v>
      </c>
      <c r="CK247">
        <v>0</v>
      </c>
      <c r="CL247">
        <v>0</v>
      </c>
      <c r="CM247">
        <v>0</v>
      </c>
      <c r="CN247">
        <v>0</v>
      </c>
      <c r="CO247">
        <v>0</v>
      </c>
      <c r="CP247">
        <v>0</v>
      </c>
      <c r="CQ247">
        <v>0</v>
      </c>
      <c r="CR247">
        <v>0</v>
      </c>
      <c r="CS247">
        <v>0</v>
      </c>
      <c r="CT247">
        <v>0</v>
      </c>
      <c r="CU247">
        <v>0</v>
      </c>
      <c r="CV247">
        <v>0</v>
      </c>
      <c r="CW247">
        <v>0</v>
      </c>
      <c r="CX247">
        <v>0</v>
      </c>
      <c r="CY247">
        <v>0</v>
      </c>
      <c r="CZ247">
        <v>0</v>
      </c>
      <c r="DA247">
        <v>0</v>
      </c>
      <c r="DB247">
        <v>0</v>
      </c>
      <c r="DC247">
        <v>0</v>
      </c>
      <c r="DD247">
        <v>0</v>
      </c>
      <c r="DE247">
        <v>0</v>
      </c>
      <c r="DF247">
        <v>0</v>
      </c>
      <c r="DG247">
        <v>0</v>
      </c>
      <c r="DH247">
        <v>0</v>
      </c>
      <c r="DI247">
        <v>0</v>
      </c>
      <c r="DJ247">
        <v>0</v>
      </c>
      <c r="DK247">
        <v>0</v>
      </c>
      <c r="DL247">
        <v>0</v>
      </c>
      <c r="DM247">
        <v>0</v>
      </c>
      <c r="DN247">
        <v>0</v>
      </c>
      <c r="DO247">
        <v>0</v>
      </c>
      <c r="DP247">
        <v>0</v>
      </c>
      <c r="DQ247">
        <v>0</v>
      </c>
      <c r="DR247">
        <v>0</v>
      </c>
      <c r="DS247">
        <v>0</v>
      </c>
      <c r="DT247">
        <v>0</v>
      </c>
      <c r="DU247">
        <v>0</v>
      </c>
      <c r="DV247">
        <v>0</v>
      </c>
      <c r="DW247">
        <v>0</v>
      </c>
      <c r="DX247">
        <v>0</v>
      </c>
      <c r="DY247">
        <v>0</v>
      </c>
      <c r="DZ247">
        <v>0</v>
      </c>
      <c r="EA247">
        <v>0</v>
      </c>
      <c r="EB247">
        <v>0</v>
      </c>
      <c r="EC247">
        <v>0</v>
      </c>
      <c r="ED247">
        <v>0</v>
      </c>
      <c r="EE247">
        <v>0</v>
      </c>
      <c r="EF247">
        <v>0</v>
      </c>
      <c r="EG247">
        <v>0</v>
      </c>
      <c r="EH247">
        <v>0</v>
      </c>
      <c r="EI247">
        <v>0</v>
      </c>
      <c r="EJ247">
        <v>0</v>
      </c>
      <c r="EK247">
        <v>0</v>
      </c>
      <c r="EL247">
        <v>0</v>
      </c>
      <c r="EM247">
        <v>0</v>
      </c>
      <c r="EN247">
        <v>0</v>
      </c>
      <c r="EO247">
        <v>0</v>
      </c>
      <c r="EP247">
        <v>0</v>
      </c>
      <c r="EQ247">
        <v>0</v>
      </c>
      <c r="ER247">
        <v>0</v>
      </c>
      <c r="ES247">
        <v>0</v>
      </c>
      <c r="ET247">
        <v>0</v>
      </c>
      <c r="EU247">
        <v>0</v>
      </c>
      <c r="EV247">
        <v>0</v>
      </c>
      <c r="EW247">
        <v>0</v>
      </c>
      <c r="EX247">
        <v>0</v>
      </c>
      <c r="EY247">
        <v>0</v>
      </c>
      <c r="EZ247">
        <v>0</v>
      </c>
      <c r="FA247">
        <v>0</v>
      </c>
      <c r="FB247">
        <v>0</v>
      </c>
      <c r="FC247">
        <v>0</v>
      </c>
      <c r="FD247">
        <v>0</v>
      </c>
      <c r="FE247">
        <v>0</v>
      </c>
      <c r="FF247">
        <v>0</v>
      </c>
      <c r="FG247">
        <v>0</v>
      </c>
      <c r="FH247">
        <v>0</v>
      </c>
      <c r="FI247">
        <v>0</v>
      </c>
      <c r="FJ247">
        <v>0</v>
      </c>
      <c r="FK247">
        <v>0</v>
      </c>
      <c r="FL247">
        <v>0</v>
      </c>
      <c r="FM247">
        <v>0</v>
      </c>
      <c r="FN247">
        <v>0</v>
      </c>
      <c r="FO247">
        <v>0</v>
      </c>
      <c r="FP247">
        <v>0</v>
      </c>
      <c r="FQ247">
        <v>0</v>
      </c>
      <c r="FR247">
        <v>0</v>
      </c>
      <c r="FS247">
        <v>0</v>
      </c>
      <c r="FT247">
        <v>0</v>
      </c>
      <c r="FU247">
        <v>0</v>
      </c>
      <c r="FV247">
        <v>0</v>
      </c>
      <c r="FW247">
        <v>0</v>
      </c>
      <c r="FX247">
        <v>0</v>
      </c>
      <c r="FY247">
        <v>0</v>
      </c>
      <c r="FZ247">
        <v>0</v>
      </c>
      <c r="GA247">
        <v>0</v>
      </c>
      <c r="GB247">
        <v>0</v>
      </c>
      <c r="GC247">
        <v>0</v>
      </c>
      <c r="GD247">
        <v>0</v>
      </c>
      <c r="GE247">
        <v>0</v>
      </c>
      <c r="GF247">
        <v>0</v>
      </c>
      <c r="GG247">
        <v>0</v>
      </c>
      <c r="GH247">
        <v>0</v>
      </c>
      <c r="GI247">
        <v>0</v>
      </c>
      <c r="GJ247">
        <v>0</v>
      </c>
      <c r="GK247">
        <v>0</v>
      </c>
      <c r="GL247">
        <v>0</v>
      </c>
      <c r="GM247">
        <v>0</v>
      </c>
      <c r="GN247">
        <v>0</v>
      </c>
      <c r="GO247">
        <v>0</v>
      </c>
      <c r="GP247">
        <v>0</v>
      </c>
      <c r="GQ247">
        <v>0</v>
      </c>
      <c r="GR247">
        <v>0</v>
      </c>
      <c r="GS247">
        <v>0</v>
      </c>
      <c r="GT247">
        <v>0</v>
      </c>
      <c r="GU247">
        <v>0</v>
      </c>
      <c r="GV247">
        <v>0</v>
      </c>
      <c r="GW247">
        <v>0</v>
      </c>
      <c r="GX247">
        <v>0</v>
      </c>
      <c r="GY247">
        <v>0</v>
      </c>
      <c r="GZ247">
        <v>0</v>
      </c>
      <c r="HA247">
        <v>0</v>
      </c>
      <c r="HB247">
        <v>0</v>
      </c>
      <c r="HC247">
        <v>0</v>
      </c>
      <c r="HD247">
        <v>0</v>
      </c>
      <c r="HE247">
        <v>0</v>
      </c>
      <c r="HF247">
        <v>0</v>
      </c>
      <c r="HG247">
        <v>0</v>
      </c>
      <c r="HH247">
        <v>0</v>
      </c>
      <c r="HI247">
        <v>0</v>
      </c>
      <c r="HJ247">
        <v>0</v>
      </c>
      <c r="HK247">
        <v>0</v>
      </c>
      <c r="HL247">
        <v>0</v>
      </c>
      <c r="HM247">
        <v>0</v>
      </c>
      <c r="HN247">
        <v>0</v>
      </c>
      <c r="HO247">
        <v>0</v>
      </c>
      <c r="HP247">
        <v>0</v>
      </c>
      <c r="HQ247">
        <v>0</v>
      </c>
      <c r="HR247">
        <v>0</v>
      </c>
      <c r="HS247">
        <v>0</v>
      </c>
      <c r="HT247">
        <v>0</v>
      </c>
      <c r="HU247">
        <v>0</v>
      </c>
      <c r="HV247">
        <v>0</v>
      </c>
      <c r="HW247">
        <v>0</v>
      </c>
      <c r="HX247">
        <v>0</v>
      </c>
      <c r="HY247">
        <v>0</v>
      </c>
      <c r="HZ247">
        <v>0</v>
      </c>
      <c r="IA247">
        <v>0</v>
      </c>
      <c r="IB247">
        <v>0</v>
      </c>
      <c r="IC247">
        <v>0</v>
      </c>
      <c r="ID247">
        <v>0</v>
      </c>
      <c r="IE247">
        <v>0</v>
      </c>
      <c r="IF247">
        <v>0</v>
      </c>
      <c r="IG247">
        <v>0</v>
      </c>
      <c r="IH247">
        <v>0</v>
      </c>
      <c r="II247">
        <v>0</v>
      </c>
      <c r="IJ247">
        <v>0</v>
      </c>
      <c r="IK247">
        <v>0</v>
      </c>
      <c r="IL247">
        <v>0</v>
      </c>
      <c r="IM247">
        <v>0</v>
      </c>
      <c r="IN247">
        <v>0</v>
      </c>
      <c r="IO247">
        <v>0</v>
      </c>
      <c r="IP247">
        <v>0</v>
      </c>
      <c r="IQ247">
        <v>0</v>
      </c>
      <c r="IR247">
        <v>0</v>
      </c>
      <c r="IS247">
        <v>0</v>
      </c>
      <c r="IT247">
        <v>0</v>
      </c>
      <c r="IU247">
        <v>0</v>
      </c>
      <c r="IV247">
        <v>0</v>
      </c>
      <c r="IW247">
        <v>0</v>
      </c>
      <c r="IX247">
        <v>0</v>
      </c>
      <c r="IY247">
        <v>0</v>
      </c>
      <c r="IZ247">
        <v>0</v>
      </c>
      <c r="JA247">
        <v>0</v>
      </c>
      <c r="JB247">
        <v>0</v>
      </c>
      <c r="JC247">
        <v>0</v>
      </c>
      <c r="JD247">
        <v>0</v>
      </c>
      <c r="JE247">
        <v>0</v>
      </c>
      <c r="JF247">
        <v>0</v>
      </c>
      <c r="JG247">
        <v>0</v>
      </c>
      <c r="JH247">
        <v>0</v>
      </c>
      <c r="JI247">
        <v>0</v>
      </c>
      <c r="JJ247">
        <v>0</v>
      </c>
      <c r="JK247">
        <v>0</v>
      </c>
      <c r="JL247">
        <v>0</v>
      </c>
      <c r="JM247">
        <v>0</v>
      </c>
      <c r="JN247">
        <v>0</v>
      </c>
      <c r="JO247">
        <v>0</v>
      </c>
      <c r="JP247">
        <v>0</v>
      </c>
      <c r="JQ247">
        <v>0</v>
      </c>
      <c r="JR247">
        <v>0</v>
      </c>
      <c r="JS247">
        <v>0</v>
      </c>
      <c r="JT247">
        <v>0</v>
      </c>
      <c r="JU247">
        <v>0</v>
      </c>
      <c r="JV247">
        <v>0</v>
      </c>
      <c r="JW247">
        <v>0</v>
      </c>
      <c r="JX247">
        <v>0</v>
      </c>
      <c r="JY247">
        <v>0</v>
      </c>
      <c r="JZ247">
        <v>0</v>
      </c>
      <c r="KA247">
        <v>0</v>
      </c>
      <c r="KB247">
        <v>0</v>
      </c>
      <c r="KC247">
        <v>0</v>
      </c>
      <c r="KD247">
        <v>0</v>
      </c>
      <c r="KE247">
        <v>0</v>
      </c>
      <c r="KF247">
        <v>0</v>
      </c>
      <c r="KG247">
        <v>0</v>
      </c>
      <c r="KH247">
        <v>0</v>
      </c>
      <c r="KI247">
        <v>0</v>
      </c>
      <c r="KJ247">
        <v>0</v>
      </c>
      <c r="KK247">
        <v>0</v>
      </c>
      <c r="KL247">
        <v>0</v>
      </c>
      <c r="KM247">
        <v>0</v>
      </c>
      <c r="KN247">
        <v>0</v>
      </c>
      <c r="KO247">
        <v>0</v>
      </c>
      <c r="KP247">
        <v>0</v>
      </c>
      <c r="KQ247">
        <v>0</v>
      </c>
      <c r="KR247">
        <v>0</v>
      </c>
      <c r="KS247">
        <v>0</v>
      </c>
      <c r="KT247">
        <v>0</v>
      </c>
      <c r="KU247">
        <v>0</v>
      </c>
      <c r="KV247">
        <v>0</v>
      </c>
      <c r="KW247">
        <v>0</v>
      </c>
      <c r="KX247">
        <v>0</v>
      </c>
      <c r="KY247">
        <v>0</v>
      </c>
      <c r="KZ247">
        <v>0</v>
      </c>
      <c r="LA247">
        <v>0</v>
      </c>
      <c r="LB247">
        <v>0</v>
      </c>
      <c r="LC247">
        <v>0</v>
      </c>
      <c r="LD247">
        <v>0</v>
      </c>
      <c r="LE247">
        <v>0</v>
      </c>
      <c r="LF247">
        <v>0</v>
      </c>
      <c r="LG247">
        <v>0</v>
      </c>
      <c r="LH247">
        <v>0</v>
      </c>
      <c r="LI247">
        <v>0</v>
      </c>
      <c r="LJ247">
        <v>0</v>
      </c>
      <c r="LK247">
        <v>0</v>
      </c>
      <c r="LL247">
        <v>0</v>
      </c>
      <c r="LM247">
        <v>0</v>
      </c>
      <c r="LN247">
        <v>0</v>
      </c>
      <c r="LO247">
        <v>0</v>
      </c>
      <c r="LP247">
        <v>0</v>
      </c>
      <c r="LQ247">
        <v>0</v>
      </c>
      <c r="LR247">
        <v>0</v>
      </c>
      <c r="LS247">
        <v>0</v>
      </c>
      <c r="LT247">
        <v>0</v>
      </c>
      <c r="LU247">
        <v>0</v>
      </c>
      <c r="LV247">
        <v>0</v>
      </c>
      <c r="LW247">
        <v>0</v>
      </c>
      <c r="LX247">
        <v>0</v>
      </c>
      <c r="LY247">
        <v>0</v>
      </c>
      <c r="LZ247">
        <v>0</v>
      </c>
      <c r="MA247">
        <v>0</v>
      </c>
      <c r="MB247">
        <v>0</v>
      </c>
      <c r="MC247">
        <v>0</v>
      </c>
      <c r="MD247">
        <v>0</v>
      </c>
      <c r="ME247">
        <v>0</v>
      </c>
      <c r="MF247">
        <v>0</v>
      </c>
      <c r="MG247">
        <v>0</v>
      </c>
      <c r="MH247">
        <v>0</v>
      </c>
      <c r="MI247">
        <v>0</v>
      </c>
      <c r="MJ247">
        <v>0</v>
      </c>
      <c r="MK247">
        <v>0</v>
      </c>
      <c r="ML247">
        <v>0</v>
      </c>
      <c r="MM247">
        <v>0</v>
      </c>
      <c r="MN247">
        <v>0</v>
      </c>
      <c r="MO247">
        <v>0</v>
      </c>
      <c r="MP247">
        <v>0</v>
      </c>
      <c r="MQ247">
        <v>0</v>
      </c>
      <c r="MR247">
        <v>0</v>
      </c>
      <c r="MS247">
        <v>0</v>
      </c>
      <c r="MT247">
        <v>0</v>
      </c>
      <c r="MU247">
        <v>0</v>
      </c>
      <c r="MV247">
        <v>0</v>
      </c>
      <c r="MW247">
        <v>0</v>
      </c>
      <c r="MX247">
        <v>0</v>
      </c>
      <c r="MY247">
        <v>0</v>
      </c>
      <c r="MZ247">
        <v>0</v>
      </c>
      <c r="NA247">
        <v>0</v>
      </c>
      <c r="NB247">
        <v>0</v>
      </c>
      <c r="NC247">
        <v>0</v>
      </c>
      <c r="ND247">
        <v>0</v>
      </c>
      <c r="NE247">
        <v>0</v>
      </c>
      <c r="NF247">
        <v>0</v>
      </c>
      <c r="NG247">
        <v>0</v>
      </c>
      <c r="NH247">
        <v>0</v>
      </c>
      <c r="NI247">
        <v>0</v>
      </c>
      <c r="NJ247">
        <v>0</v>
      </c>
      <c r="NK247">
        <v>0</v>
      </c>
      <c r="NL247">
        <v>0</v>
      </c>
      <c r="NM247">
        <v>0</v>
      </c>
      <c r="NN247">
        <v>0</v>
      </c>
      <c r="NO247">
        <v>0</v>
      </c>
      <c r="NP247">
        <v>0</v>
      </c>
      <c r="NQ247">
        <v>0</v>
      </c>
      <c r="NR247">
        <v>0</v>
      </c>
      <c r="NS247">
        <v>0</v>
      </c>
      <c r="NT247">
        <v>0</v>
      </c>
      <c r="NU247">
        <v>0</v>
      </c>
      <c r="NV247">
        <v>0</v>
      </c>
      <c r="NW247">
        <v>0</v>
      </c>
      <c r="NX247">
        <v>0</v>
      </c>
      <c r="NY247">
        <v>0</v>
      </c>
      <c r="NZ247">
        <v>0</v>
      </c>
      <c r="OA247">
        <v>0</v>
      </c>
      <c r="OB247">
        <v>0</v>
      </c>
      <c r="OC247">
        <v>0</v>
      </c>
      <c r="OD247">
        <v>0</v>
      </c>
      <c r="OE247">
        <v>0</v>
      </c>
    </row>
    <row r="248" spans="11:395" x14ac:dyDescent="0.3">
      <c r="K248" s="65"/>
      <c r="L248" s="55"/>
      <c r="M248" s="66"/>
      <c r="N248" s="19" t="s">
        <v>358</v>
      </c>
      <c r="P248" s="7"/>
      <c r="Q248" cm="1">
        <f t="array" ref="Q248:OE248">IF( (YEAR(O17)=YEAR(_xlfn.ANCHORARRAY($Q$2)))*(MONTH(O17)=MONTH(_xlfn.ANCHORARRAY($Q$2))),-E44,0)</f>
        <v>0</v>
      </c>
      <c r="R248">
        <v>0</v>
      </c>
      <c r="S248">
        <v>0</v>
      </c>
      <c r="T248">
        <v>0</v>
      </c>
      <c r="U248">
        <v>0</v>
      </c>
      <c r="V248">
        <v>0</v>
      </c>
      <c r="W248">
        <v>0</v>
      </c>
      <c r="X248">
        <v>0</v>
      </c>
      <c r="Y248">
        <v>0</v>
      </c>
      <c r="Z248">
        <v>0</v>
      </c>
      <c r="AA248">
        <v>0</v>
      </c>
      <c r="AB248">
        <v>0</v>
      </c>
      <c r="AC248">
        <v>0</v>
      </c>
      <c r="AD248">
        <v>0</v>
      </c>
      <c r="AE248">
        <v>0</v>
      </c>
      <c r="AF248">
        <v>0</v>
      </c>
      <c r="AG248">
        <v>0</v>
      </c>
      <c r="AH248">
        <v>0</v>
      </c>
      <c r="AI248">
        <v>0</v>
      </c>
      <c r="AJ248">
        <v>0</v>
      </c>
      <c r="AK248">
        <v>0</v>
      </c>
      <c r="AL248">
        <v>-70000</v>
      </c>
      <c r="AM248">
        <v>0</v>
      </c>
      <c r="AN248">
        <v>0</v>
      </c>
      <c r="AO248">
        <v>0</v>
      </c>
      <c r="AP248">
        <v>0</v>
      </c>
      <c r="AQ248">
        <v>0</v>
      </c>
      <c r="AR248">
        <v>0</v>
      </c>
      <c r="AS248">
        <v>0</v>
      </c>
      <c r="AT248">
        <v>0</v>
      </c>
      <c r="AU248">
        <v>0</v>
      </c>
      <c r="AV248">
        <v>0</v>
      </c>
      <c r="AW248">
        <v>0</v>
      </c>
      <c r="AX248">
        <v>0</v>
      </c>
      <c r="AY248">
        <v>0</v>
      </c>
      <c r="AZ248">
        <v>0</v>
      </c>
      <c r="BA248">
        <v>0</v>
      </c>
      <c r="BB248">
        <v>0</v>
      </c>
      <c r="BC248">
        <v>0</v>
      </c>
      <c r="BD248">
        <v>0</v>
      </c>
      <c r="BE248">
        <v>0</v>
      </c>
      <c r="BF248">
        <v>0</v>
      </c>
      <c r="BG248">
        <v>0</v>
      </c>
      <c r="BH248">
        <v>0</v>
      </c>
      <c r="BI248">
        <v>0</v>
      </c>
      <c r="BJ248">
        <v>0</v>
      </c>
      <c r="BK248">
        <v>0</v>
      </c>
      <c r="BL248">
        <v>0</v>
      </c>
      <c r="BM248">
        <v>0</v>
      </c>
      <c r="BN248">
        <v>0</v>
      </c>
      <c r="BO248">
        <v>0</v>
      </c>
      <c r="BP248">
        <v>0</v>
      </c>
      <c r="BQ248">
        <v>0</v>
      </c>
      <c r="BR248">
        <v>0</v>
      </c>
      <c r="BS248">
        <v>0</v>
      </c>
      <c r="BT248">
        <v>0</v>
      </c>
      <c r="BU248">
        <v>0</v>
      </c>
      <c r="BV248">
        <v>0</v>
      </c>
      <c r="BW248">
        <v>0</v>
      </c>
      <c r="BX248">
        <v>0</v>
      </c>
      <c r="BY248">
        <v>0</v>
      </c>
      <c r="BZ248">
        <v>0</v>
      </c>
      <c r="CA248">
        <v>0</v>
      </c>
      <c r="CB248">
        <v>0</v>
      </c>
      <c r="CC248">
        <v>0</v>
      </c>
      <c r="CD248">
        <v>0</v>
      </c>
      <c r="CE248">
        <v>0</v>
      </c>
      <c r="CF248">
        <v>0</v>
      </c>
      <c r="CG248">
        <v>0</v>
      </c>
      <c r="CH248">
        <v>0</v>
      </c>
      <c r="CI248">
        <v>0</v>
      </c>
      <c r="CJ248">
        <v>0</v>
      </c>
      <c r="CK248">
        <v>0</v>
      </c>
      <c r="CL248">
        <v>0</v>
      </c>
      <c r="CM248">
        <v>0</v>
      </c>
      <c r="CN248">
        <v>0</v>
      </c>
      <c r="CO248">
        <v>0</v>
      </c>
      <c r="CP248">
        <v>0</v>
      </c>
      <c r="CQ248">
        <v>0</v>
      </c>
      <c r="CR248">
        <v>0</v>
      </c>
      <c r="CS248">
        <v>0</v>
      </c>
      <c r="CT248">
        <v>0</v>
      </c>
      <c r="CU248">
        <v>0</v>
      </c>
      <c r="CV248">
        <v>0</v>
      </c>
      <c r="CW248">
        <v>0</v>
      </c>
      <c r="CX248">
        <v>0</v>
      </c>
      <c r="CY248">
        <v>0</v>
      </c>
      <c r="CZ248">
        <v>0</v>
      </c>
      <c r="DA248">
        <v>0</v>
      </c>
      <c r="DB248">
        <v>0</v>
      </c>
      <c r="DC248">
        <v>0</v>
      </c>
      <c r="DD248">
        <v>0</v>
      </c>
      <c r="DE248">
        <v>0</v>
      </c>
      <c r="DF248">
        <v>0</v>
      </c>
      <c r="DG248">
        <v>0</v>
      </c>
      <c r="DH248">
        <v>0</v>
      </c>
      <c r="DI248">
        <v>0</v>
      </c>
      <c r="DJ248">
        <v>0</v>
      </c>
      <c r="DK248">
        <v>0</v>
      </c>
      <c r="DL248">
        <v>0</v>
      </c>
      <c r="DM248">
        <v>0</v>
      </c>
      <c r="DN248">
        <v>0</v>
      </c>
      <c r="DO248">
        <v>0</v>
      </c>
      <c r="DP248">
        <v>0</v>
      </c>
      <c r="DQ248">
        <v>0</v>
      </c>
      <c r="DR248">
        <v>0</v>
      </c>
      <c r="DS248">
        <v>0</v>
      </c>
      <c r="DT248">
        <v>0</v>
      </c>
      <c r="DU248">
        <v>0</v>
      </c>
      <c r="DV248">
        <v>0</v>
      </c>
      <c r="DW248">
        <v>0</v>
      </c>
      <c r="DX248">
        <v>0</v>
      </c>
      <c r="DY248">
        <v>0</v>
      </c>
      <c r="DZ248">
        <v>0</v>
      </c>
      <c r="EA248">
        <v>0</v>
      </c>
      <c r="EB248">
        <v>0</v>
      </c>
      <c r="EC248">
        <v>0</v>
      </c>
      <c r="ED248">
        <v>0</v>
      </c>
      <c r="EE248">
        <v>0</v>
      </c>
      <c r="EF248">
        <v>0</v>
      </c>
      <c r="EG248">
        <v>0</v>
      </c>
      <c r="EH248">
        <v>0</v>
      </c>
      <c r="EI248">
        <v>0</v>
      </c>
      <c r="EJ248">
        <v>0</v>
      </c>
      <c r="EK248">
        <v>0</v>
      </c>
      <c r="EL248">
        <v>0</v>
      </c>
      <c r="EM248">
        <v>0</v>
      </c>
      <c r="EN248">
        <v>0</v>
      </c>
      <c r="EO248">
        <v>0</v>
      </c>
      <c r="EP248">
        <v>0</v>
      </c>
      <c r="EQ248">
        <v>0</v>
      </c>
      <c r="ER248">
        <v>0</v>
      </c>
      <c r="ES248">
        <v>0</v>
      </c>
      <c r="ET248">
        <v>0</v>
      </c>
      <c r="EU248">
        <v>0</v>
      </c>
      <c r="EV248">
        <v>0</v>
      </c>
      <c r="EW248">
        <v>0</v>
      </c>
      <c r="EX248">
        <v>0</v>
      </c>
      <c r="EY248">
        <v>0</v>
      </c>
      <c r="EZ248">
        <v>0</v>
      </c>
      <c r="FA248">
        <v>0</v>
      </c>
      <c r="FB248">
        <v>0</v>
      </c>
      <c r="FC248">
        <v>0</v>
      </c>
      <c r="FD248">
        <v>0</v>
      </c>
      <c r="FE248">
        <v>0</v>
      </c>
      <c r="FF248">
        <v>0</v>
      </c>
      <c r="FG248">
        <v>0</v>
      </c>
      <c r="FH248">
        <v>0</v>
      </c>
      <c r="FI248">
        <v>0</v>
      </c>
      <c r="FJ248">
        <v>0</v>
      </c>
      <c r="FK248">
        <v>0</v>
      </c>
      <c r="FL248">
        <v>0</v>
      </c>
      <c r="FM248">
        <v>0</v>
      </c>
      <c r="FN248">
        <v>0</v>
      </c>
      <c r="FO248">
        <v>0</v>
      </c>
      <c r="FP248">
        <v>0</v>
      </c>
      <c r="FQ248">
        <v>0</v>
      </c>
      <c r="FR248">
        <v>0</v>
      </c>
      <c r="FS248">
        <v>0</v>
      </c>
      <c r="FT248">
        <v>0</v>
      </c>
      <c r="FU248">
        <v>0</v>
      </c>
      <c r="FV248">
        <v>0</v>
      </c>
      <c r="FW248">
        <v>0</v>
      </c>
      <c r="FX248">
        <v>0</v>
      </c>
      <c r="FY248">
        <v>0</v>
      </c>
      <c r="FZ248">
        <v>0</v>
      </c>
      <c r="GA248">
        <v>0</v>
      </c>
      <c r="GB248">
        <v>0</v>
      </c>
      <c r="GC248">
        <v>0</v>
      </c>
      <c r="GD248">
        <v>0</v>
      </c>
      <c r="GE248">
        <v>0</v>
      </c>
      <c r="GF248">
        <v>0</v>
      </c>
      <c r="GG248">
        <v>0</v>
      </c>
      <c r="GH248">
        <v>0</v>
      </c>
      <c r="GI248">
        <v>0</v>
      </c>
      <c r="GJ248">
        <v>0</v>
      </c>
      <c r="GK248">
        <v>0</v>
      </c>
      <c r="GL248">
        <v>0</v>
      </c>
      <c r="GM248">
        <v>0</v>
      </c>
      <c r="GN248">
        <v>0</v>
      </c>
      <c r="GO248">
        <v>0</v>
      </c>
      <c r="GP248">
        <v>0</v>
      </c>
      <c r="GQ248">
        <v>0</v>
      </c>
      <c r="GR248">
        <v>0</v>
      </c>
      <c r="GS248">
        <v>0</v>
      </c>
      <c r="GT248">
        <v>0</v>
      </c>
      <c r="GU248">
        <v>0</v>
      </c>
      <c r="GV248">
        <v>0</v>
      </c>
      <c r="GW248">
        <v>0</v>
      </c>
      <c r="GX248">
        <v>0</v>
      </c>
      <c r="GY248">
        <v>0</v>
      </c>
      <c r="GZ248">
        <v>0</v>
      </c>
      <c r="HA248">
        <v>0</v>
      </c>
      <c r="HB248">
        <v>0</v>
      </c>
      <c r="HC248">
        <v>0</v>
      </c>
      <c r="HD248">
        <v>0</v>
      </c>
      <c r="HE248">
        <v>0</v>
      </c>
      <c r="HF248">
        <v>0</v>
      </c>
      <c r="HG248">
        <v>0</v>
      </c>
      <c r="HH248">
        <v>0</v>
      </c>
      <c r="HI248">
        <v>0</v>
      </c>
      <c r="HJ248">
        <v>0</v>
      </c>
      <c r="HK248">
        <v>0</v>
      </c>
      <c r="HL248">
        <v>0</v>
      </c>
      <c r="HM248">
        <v>0</v>
      </c>
      <c r="HN248">
        <v>0</v>
      </c>
      <c r="HO248">
        <v>0</v>
      </c>
      <c r="HP248">
        <v>0</v>
      </c>
      <c r="HQ248">
        <v>0</v>
      </c>
      <c r="HR248">
        <v>0</v>
      </c>
      <c r="HS248">
        <v>0</v>
      </c>
      <c r="HT248">
        <v>0</v>
      </c>
      <c r="HU248">
        <v>0</v>
      </c>
      <c r="HV248">
        <v>0</v>
      </c>
      <c r="HW248">
        <v>0</v>
      </c>
      <c r="HX248">
        <v>0</v>
      </c>
      <c r="HY248">
        <v>0</v>
      </c>
      <c r="HZ248">
        <v>0</v>
      </c>
      <c r="IA248">
        <v>0</v>
      </c>
      <c r="IB248">
        <v>0</v>
      </c>
      <c r="IC248">
        <v>0</v>
      </c>
      <c r="ID248">
        <v>0</v>
      </c>
      <c r="IE248">
        <v>0</v>
      </c>
      <c r="IF248">
        <v>0</v>
      </c>
      <c r="IG248">
        <v>0</v>
      </c>
      <c r="IH248">
        <v>0</v>
      </c>
      <c r="II248">
        <v>0</v>
      </c>
      <c r="IJ248">
        <v>0</v>
      </c>
      <c r="IK248">
        <v>0</v>
      </c>
      <c r="IL248">
        <v>0</v>
      </c>
      <c r="IM248">
        <v>0</v>
      </c>
      <c r="IN248">
        <v>0</v>
      </c>
      <c r="IO248">
        <v>0</v>
      </c>
      <c r="IP248">
        <v>0</v>
      </c>
      <c r="IQ248">
        <v>0</v>
      </c>
      <c r="IR248">
        <v>0</v>
      </c>
      <c r="IS248">
        <v>0</v>
      </c>
      <c r="IT248">
        <v>0</v>
      </c>
      <c r="IU248">
        <v>0</v>
      </c>
      <c r="IV248">
        <v>0</v>
      </c>
      <c r="IW248">
        <v>0</v>
      </c>
      <c r="IX248">
        <v>0</v>
      </c>
      <c r="IY248">
        <v>0</v>
      </c>
      <c r="IZ248">
        <v>0</v>
      </c>
      <c r="JA248">
        <v>0</v>
      </c>
      <c r="JB248">
        <v>0</v>
      </c>
      <c r="JC248">
        <v>0</v>
      </c>
      <c r="JD248">
        <v>0</v>
      </c>
      <c r="JE248">
        <v>0</v>
      </c>
      <c r="JF248">
        <v>0</v>
      </c>
      <c r="JG248">
        <v>0</v>
      </c>
      <c r="JH248">
        <v>0</v>
      </c>
      <c r="JI248">
        <v>0</v>
      </c>
      <c r="JJ248">
        <v>0</v>
      </c>
      <c r="JK248">
        <v>0</v>
      </c>
      <c r="JL248">
        <v>0</v>
      </c>
      <c r="JM248">
        <v>0</v>
      </c>
      <c r="JN248">
        <v>0</v>
      </c>
      <c r="JO248">
        <v>0</v>
      </c>
      <c r="JP248">
        <v>0</v>
      </c>
      <c r="JQ248">
        <v>0</v>
      </c>
      <c r="JR248">
        <v>0</v>
      </c>
      <c r="JS248">
        <v>0</v>
      </c>
      <c r="JT248">
        <v>0</v>
      </c>
      <c r="JU248">
        <v>0</v>
      </c>
      <c r="JV248">
        <v>0</v>
      </c>
      <c r="JW248">
        <v>0</v>
      </c>
      <c r="JX248">
        <v>0</v>
      </c>
      <c r="JY248">
        <v>0</v>
      </c>
      <c r="JZ248">
        <v>0</v>
      </c>
      <c r="KA248">
        <v>0</v>
      </c>
      <c r="KB248">
        <v>0</v>
      </c>
      <c r="KC248">
        <v>0</v>
      </c>
      <c r="KD248">
        <v>0</v>
      </c>
      <c r="KE248">
        <v>0</v>
      </c>
      <c r="KF248">
        <v>0</v>
      </c>
      <c r="KG248">
        <v>0</v>
      </c>
      <c r="KH248">
        <v>0</v>
      </c>
      <c r="KI248">
        <v>0</v>
      </c>
      <c r="KJ248">
        <v>0</v>
      </c>
      <c r="KK248">
        <v>0</v>
      </c>
      <c r="KL248">
        <v>0</v>
      </c>
      <c r="KM248">
        <v>0</v>
      </c>
      <c r="KN248">
        <v>0</v>
      </c>
      <c r="KO248">
        <v>0</v>
      </c>
      <c r="KP248">
        <v>0</v>
      </c>
      <c r="KQ248">
        <v>0</v>
      </c>
      <c r="KR248">
        <v>0</v>
      </c>
      <c r="KS248">
        <v>0</v>
      </c>
      <c r="KT248">
        <v>0</v>
      </c>
      <c r="KU248">
        <v>0</v>
      </c>
      <c r="KV248">
        <v>0</v>
      </c>
      <c r="KW248">
        <v>0</v>
      </c>
      <c r="KX248">
        <v>0</v>
      </c>
      <c r="KY248">
        <v>0</v>
      </c>
      <c r="KZ248">
        <v>0</v>
      </c>
      <c r="LA248">
        <v>0</v>
      </c>
      <c r="LB248">
        <v>0</v>
      </c>
      <c r="LC248">
        <v>0</v>
      </c>
      <c r="LD248">
        <v>0</v>
      </c>
      <c r="LE248">
        <v>0</v>
      </c>
      <c r="LF248">
        <v>0</v>
      </c>
      <c r="LG248">
        <v>0</v>
      </c>
      <c r="LH248">
        <v>0</v>
      </c>
      <c r="LI248">
        <v>0</v>
      </c>
      <c r="LJ248">
        <v>0</v>
      </c>
      <c r="LK248">
        <v>0</v>
      </c>
      <c r="LL248">
        <v>0</v>
      </c>
      <c r="LM248">
        <v>0</v>
      </c>
      <c r="LN248">
        <v>0</v>
      </c>
      <c r="LO248">
        <v>0</v>
      </c>
      <c r="LP248">
        <v>0</v>
      </c>
      <c r="LQ248">
        <v>0</v>
      </c>
      <c r="LR248">
        <v>0</v>
      </c>
      <c r="LS248">
        <v>0</v>
      </c>
      <c r="LT248">
        <v>0</v>
      </c>
      <c r="LU248">
        <v>0</v>
      </c>
      <c r="LV248">
        <v>0</v>
      </c>
      <c r="LW248">
        <v>0</v>
      </c>
      <c r="LX248">
        <v>0</v>
      </c>
      <c r="LY248">
        <v>0</v>
      </c>
      <c r="LZ248">
        <v>0</v>
      </c>
      <c r="MA248">
        <v>0</v>
      </c>
      <c r="MB248">
        <v>0</v>
      </c>
      <c r="MC248">
        <v>0</v>
      </c>
      <c r="MD248">
        <v>0</v>
      </c>
      <c r="ME248">
        <v>0</v>
      </c>
      <c r="MF248">
        <v>0</v>
      </c>
      <c r="MG248">
        <v>0</v>
      </c>
      <c r="MH248">
        <v>0</v>
      </c>
      <c r="MI248">
        <v>0</v>
      </c>
      <c r="MJ248">
        <v>0</v>
      </c>
      <c r="MK248">
        <v>0</v>
      </c>
      <c r="ML248">
        <v>0</v>
      </c>
      <c r="MM248">
        <v>0</v>
      </c>
      <c r="MN248">
        <v>0</v>
      </c>
      <c r="MO248">
        <v>0</v>
      </c>
      <c r="MP248">
        <v>0</v>
      </c>
      <c r="MQ248">
        <v>0</v>
      </c>
      <c r="MR248">
        <v>0</v>
      </c>
      <c r="MS248">
        <v>0</v>
      </c>
      <c r="MT248">
        <v>0</v>
      </c>
      <c r="MU248">
        <v>0</v>
      </c>
      <c r="MV248">
        <v>0</v>
      </c>
      <c r="MW248">
        <v>0</v>
      </c>
      <c r="MX248">
        <v>0</v>
      </c>
      <c r="MY248">
        <v>0</v>
      </c>
      <c r="MZ248">
        <v>0</v>
      </c>
      <c r="NA248">
        <v>0</v>
      </c>
      <c r="NB248">
        <v>0</v>
      </c>
      <c r="NC248">
        <v>0</v>
      </c>
      <c r="ND248">
        <v>0</v>
      </c>
      <c r="NE248">
        <v>0</v>
      </c>
      <c r="NF248">
        <v>0</v>
      </c>
      <c r="NG248">
        <v>0</v>
      </c>
      <c r="NH248">
        <v>0</v>
      </c>
      <c r="NI248">
        <v>0</v>
      </c>
      <c r="NJ248">
        <v>0</v>
      </c>
      <c r="NK248">
        <v>0</v>
      </c>
      <c r="NL248">
        <v>0</v>
      </c>
      <c r="NM248">
        <v>0</v>
      </c>
      <c r="NN248">
        <v>0</v>
      </c>
      <c r="NO248">
        <v>0</v>
      </c>
      <c r="NP248">
        <v>0</v>
      </c>
      <c r="NQ248">
        <v>0</v>
      </c>
      <c r="NR248">
        <v>0</v>
      </c>
      <c r="NS248">
        <v>0</v>
      </c>
      <c r="NT248">
        <v>0</v>
      </c>
      <c r="NU248">
        <v>0</v>
      </c>
      <c r="NV248">
        <v>0</v>
      </c>
      <c r="NW248">
        <v>0</v>
      </c>
      <c r="NX248">
        <v>0</v>
      </c>
      <c r="NY248">
        <v>0</v>
      </c>
      <c r="NZ248">
        <v>0</v>
      </c>
      <c r="OA248">
        <v>0</v>
      </c>
      <c r="OB248">
        <v>0</v>
      </c>
      <c r="OC248">
        <v>0</v>
      </c>
      <c r="OD248">
        <v>0</v>
      </c>
      <c r="OE248">
        <v>0</v>
      </c>
    </row>
    <row r="249" spans="11:395" x14ac:dyDescent="0.3">
      <c r="K249" s="65"/>
      <c r="L249" s="55"/>
      <c r="M249" s="66"/>
      <c r="N249" s="19" t="s">
        <v>180</v>
      </c>
      <c r="P249" s="7"/>
      <c r="Q249" cm="1">
        <f t="array" ref="Q249:OE249">IF( (YEAR(O18)=YEAR(_xlfn.ANCHORARRAY($Q$2)))*(MONTH(O18)=MONTH(_xlfn.ANCHORARRAY($Q$2))),-E45,0)</f>
        <v>0</v>
      </c>
      <c r="R249">
        <v>0</v>
      </c>
      <c r="S249">
        <v>0</v>
      </c>
      <c r="T249">
        <v>0</v>
      </c>
      <c r="U249">
        <v>0</v>
      </c>
      <c r="V249">
        <v>0</v>
      </c>
      <c r="W249">
        <v>0</v>
      </c>
      <c r="X249">
        <v>0</v>
      </c>
      <c r="Y249">
        <v>0</v>
      </c>
      <c r="Z249">
        <v>0</v>
      </c>
      <c r="AA249">
        <v>0</v>
      </c>
      <c r="AB249">
        <v>0</v>
      </c>
      <c r="AC249">
        <v>0</v>
      </c>
      <c r="AD249">
        <v>0</v>
      </c>
      <c r="AE249">
        <v>0</v>
      </c>
      <c r="AF249">
        <v>0</v>
      </c>
      <c r="AG249">
        <v>0</v>
      </c>
      <c r="AH249">
        <v>0</v>
      </c>
      <c r="AI249">
        <v>0</v>
      </c>
      <c r="AJ249">
        <v>0</v>
      </c>
      <c r="AK249">
        <v>0</v>
      </c>
      <c r="AL249">
        <v>0</v>
      </c>
      <c r="AM249">
        <v>0</v>
      </c>
      <c r="AN249">
        <v>0</v>
      </c>
      <c r="AO249">
        <v>-80000</v>
      </c>
      <c r="AP249">
        <v>0</v>
      </c>
      <c r="AQ249">
        <v>0</v>
      </c>
      <c r="AR249">
        <v>0</v>
      </c>
      <c r="AS249">
        <v>0</v>
      </c>
      <c r="AT249">
        <v>0</v>
      </c>
      <c r="AU249">
        <v>0</v>
      </c>
      <c r="AV249">
        <v>0</v>
      </c>
      <c r="AW249">
        <v>0</v>
      </c>
      <c r="AX249">
        <v>0</v>
      </c>
      <c r="AY249">
        <v>0</v>
      </c>
      <c r="AZ249">
        <v>0</v>
      </c>
      <c r="BA249">
        <v>0</v>
      </c>
      <c r="BB249">
        <v>0</v>
      </c>
      <c r="BC249">
        <v>0</v>
      </c>
      <c r="BD249">
        <v>0</v>
      </c>
      <c r="BE249">
        <v>0</v>
      </c>
      <c r="BF249">
        <v>0</v>
      </c>
      <c r="BG249">
        <v>0</v>
      </c>
      <c r="BH249">
        <v>0</v>
      </c>
      <c r="BI249">
        <v>0</v>
      </c>
      <c r="BJ249">
        <v>0</v>
      </c>
      <c r="BK249">
        <v>0</v>
      </c>
      <c r="BL249">
        <v>0</v>
      </c>
      <c r="BM249">
        <v>0</v>
      </c>
      <c r="BN249">
        <v>0</v>
      </c>
      <c r="BO249">
        <v>0</v>
      </c>
      <c r="BP249">
        <v>0</v>
      </c>
      <c r="BQ249">
        <v>0</v>
      </c>
      <c r="BR249">
        <v>0</v>
      </c>
      <c r="BS249">
        <v>0</v>
      </c>
      <c r="BT249">
        <v>0</v>
      </c>
      <c r="BU249">
        <v>0</v>
      </c>
      <c r="BV249">
        <v>0</v>
      </c>
      <c r="BW249">
        <v>0</v>
      </c>
      <c r="BX249">
        <v>0</v>
      </c>
      <c r="BY249">
        <v>0</v>
      </c>
      <c r="BZ249">
        <v>0</v>
      </c>
      <c r="CA249">
        <v>0</v>
      </c>
      <c r="CB249">
        <v>0</v>
      </c>
      <c r="CC249">
        <v>0</v>
      </c>
      <c r="CD249">
        <v>0</v>
      </c>
      <c r="CE249">
        <v>0</v>
      </c>
      <c r="CF249">
        <v>0</v>
      </c>
      <c r="CG249">
        <v>0</v>
      </c>
      <c r="CH249">
        <v>0</v>
      </c>
      <c r="CI249">
        <v>0</v>
      </c>
      <c r="CJ249">
        <v>0</v>
      </c>
      <c r="CK249">
        <v>0</v>
      </c>
      <c r="CL249">
        <v>0</v>
      </c>
      <c r="CM249">
        <v>0</v>
      </c>
      <c r="CN249">
        <v>0</v>
      </c>
      <c r="CO249">
        <v>0</v>
      </c>
      <c r="CP249">
        <v>0</v>
      </c>
      <c r="CQ249">
        <v>0</v>
      </c>
      <c r="CR249">
        <v>0</v>
      </c>
      <c r="CS249">
        <v>0</v>
      </c>
      <c r="CT249">
        <v>0</v>
      </c>
      <c r="CU249">
        <v>0</v>
      </c>
      <c r="CV249">
        <v>0</v>
      </c>
      <c r="CW249">
        <v>0</v>
      </c>
      <c r="CX249">
        <v>0</v>
      </c>
      <c r="CY249">
        <v>0</v>
      </c>
      <c r="CZ249">
        <v>0</v>
      </c>
      <c r="DA249">
        <v>0</v>
      </c>
      <c r="DB249">
        <v>0</v>
      </c>
      <c r="DC249">
        <v>0</v>
      </c>
      <c r="DD249">
        <v>0</v>
      </c>
      <c r="DE249">
        <v>0</v>
      </c>
      <c r="DF249">
        <v>0</v>
      </c>
      <c r="DG249">
        <v>0</v>
      </c>
      <c r="DH249">
        <v>0</v>
      </c>
      <c r="DI249">
        <v>0</v>
      </c>
      <c r="DJ249">
        <v>0</v>
      </c>
      <c r="DK249">
        <v>0</v>
      </c>
      <c r="DL249">
        <v>0</v>
      </c>
      <c r="DM249">
        <v>0</v>
      </c>
      <c r="DN249">
        <v>0</v>
      </c>
      <c r="DO249">
        <v>0</v>
      </c>
      <c r="DP249">
        <v>0</v>
      </c>
      <c r="DQ249">
        <v>0</v>
      </c>
      <c r="DR249">
        <v>0</v>
      </c>
      <c r="DS249">
        <v>0</v>
      </c>
      <c r="DT249">
        <v>0</v>
      </c>
      <c r="DU249">
        <v>0</v>
      </c>
      <c r="DV249">
        <v>0</v>
      </c>
      <c r="DW249">
        <v>0</v>
      </c>
      <c r="DX249">
        <v>0</v>
      </c>
      <c r="DY249">
        <v>0</v>
      </c>
      <c r="DZ249">
        <v>0</v>
      </c>
      <c r="EA249">
        <v>0</v>
      </c>
      <c r="EB249">
        <v>0</v>
      </c>
      <c r="EC249">
        <v>0</v>
      </c>
      <c r="ED249">
        <v>0</v>
      </c>
      <c r="EE249">
        <v>0</v>
      </c>
      <c r="EF249">
        <v>0</v>
      </c>
      <c r="EG249">
        <v>0</v>
      </c>
      <c r="EH249">
        <v>0</v>
      </c>
      <c r="EI249">
        <v>0</v>
      </c>
      <c r="EJ249">
        <v>0</v>
      </c>
      <c r="EK249">
        <v>0</v>
      </c>
      <c r="EL249">
        <v>0</v>
      </c>
      <c r="EM249">
        <v>0</v>
      </c>
      <c r="EN249">
        <v>0</v>
      </c>
      <c r="EO249">
        <v>0</v>
      </c>
      <c r="EP249">
        <v>0</v>
      </c>
      <c r="EQ249">
        <v>0</v>
      </c>
      <c r="ER249">
        <v>0</v>
      </c>
      <c r="ES249">
        <v>0</v>
      </c>
      <c r="ET249">
        <v>0</v>
      </c>
      <c r="EU249">
        <v>0</v>
      </c>
      <c r="EV249">
        <v>0</v>
      </c>
      <c r="EW249">
        <v>0</v>
      </c>
      <c r="EX249">
        <v>0</v>
      </c>
      <c r="EY249">
        <v>0</v>
      </c>
      <c r="EZ249">
        <v>0</v>
      </c>
      <c r="FA249">
        <v>0</v>
      </c>
      <c r="FB249">
        <v>0</v>
      </c>
      <c r="FC249">
        <v>0</v>
      </c>
      <c r="FD249">
        <v>0</v>
      </c>
      <c r="FE249">
        <v>0</v>
      </c>
      <c r="FF249">
        <v>0</v>
      </c>
      <c r="FG249">
        <v>0</v>
      </c>
      <c r="FH249">
        <v>0</v>
      </c>
      <c r="FI249">
        <v>0</v>
      </c>
      <c r="FJ249">
        <v>0</v>
      </c>
      <c r="FK249">
        <v>0</v>
      </c>
      <c r="FL249">
        <v>0</v>
      </c>
      <c r="FM249">
        <v>0</v>
      </c>
      <c r="FN249">
        <v>0</v>
      </c>
      <c r="FO249">
        <v>0</v>
      </c>
      <c r="FP249">
        <v>0</v>
      </c>
      <c r="FQ249">
        <v>0</v>
      </c>
      <c r="FR249">
        <v>0</v>
      </c>
      <c r="FS249">
        <v>0</v>
      </c>
      <c r="FT249">
        <v>0</v>
      </c>
      <c r="FU249">
        <v>0</v>
      </c>
      <c r="FV249">
        <v>0</v>
      </c>
      <c r="FW249">
        <v>0</v>
      </c>
      <c r="FX249">
        <v>0</v>
      </c>
      <c r="FY249">
        <v>0</v>
      </c>
      <c r="FZ249">
        <v>0</v>
      </c>
      <c r="GA249">
        <v>0</v>
      </c>
      <c r="GB249">
        <v>0</v>
      </c>
      <c r="GC249">
        <v>0</v>
      </c>
      <c r="GD249">
        <v>0</v>
      </c>
      <c r="GE249">
        <v>0</v>
      </c>
      <c r="GF249">
        <v>0</v>
      </c>
      <c r="GG249">
        <v>0</v>
      </c>
      <c r="GH249">
        <v>0</v>
      </c>
      <c r="GI249">
        <v>0</v>
      </c>
      <c r="GJ249">
        <v>0</v>
      </c>
      <c r="GK249">
        <v>0</v>
      </c>
      <c r="GL249">
        <v>0</v>
      </c>
      <c r="GM249">
        <v>0</v>
      </c>
      <c r="GN249">
        <v>0</v>
      </c>
      <c r="GO249">
        <v>0</v>
      </c>
      <c r="GP249">
        <v>0</v>
      </c>
      <c r="GQ249">
        <v>0</v>
      </c>
      <c r="GR249">
        <v>0</v>
      </c>
      <c r="GS249">
        <v>0</v>
      </c>
      <c r="GT249">
        <v>0</v>
      </c>
      <c r="GU249">
        <v>0</v>
      </c>
      <c r="GV249">
        <v>0</v>
      </c>
      <c r="GW249">
        <v>0</v>
      </c>
      <c r="GX249">
        <v>0</v>
      </c>
      <c r="GY249">
        <v>0</v>
      </c>
      <c r="GZ249">
        <v>0</v>
      </c>
      <c r="HA249">
        <v>0</v>
      </c>
      <c r="HB249">
        <v>0</v>
      </c>
      <c r="HC249">
        <v>0</v>
      </c>
      <c r="HD249">
        <v>0</v>
      </c>
      <c r="HE249">
        <v>0</v>
      </c>
      <c r="HF249">
        <v>0</v>
      </c>
      <c r="HG249">
        <v>0</v>
      </c>
      <c r="HH249">
        <v>0</v>
      </c>
      <c r="HI249">
        <v>0</v>
      </c>
      <c r="HJ249">
        <v>0</v>
      </c>
      <c r="HK249">
        <v>0</v>
      </c>
      <c r="HL249">
        <v>0</v>
      </c>
      <c r="HM249">
        <v>0</v>
      </c>
      <c r="HN249">
        <v>0</v>
      </c>
      <c r="HO249">
        <v>0</v>
      </c>
      <c r="HP249">
        <v>0</v>
      </c>
      <c r="HQ249">
        <v>0</v>
      </c>
      <c r="HR249">
        <v>0</v>
      </c>
      <c r="HS249">
        <v>0</v>
      </c>
      <c r="HT249">
        <v>0</v>
      </c>
      <c r="HU249">
        <v>0</v>
      </c>
      <c r="HV249">
        <v>0</v>
      </c>
      <c r="HW249">
        <v>0</v>
      </c>
      <c r="HX249">
        <v>0</v>
      </c>
      <c r="HY249">
        <v>0</v>
      </c>
      <c r="HZ249">
        <v>0</v>
      </c>
      <c r="IA249">
        <v>0</v>
      </c>
      <c r="IB249">
        <v>0</v>
      </c>
      <c r="IC249">
        <v>0</v>
      </c>
      <c r="ID249">
        <v>0</v>
      </c>
      <c r="IE249">
        <v>0</v>
      </c>
      <c r="IF249">
        <v>0</v>
      </c>
      <c r="IG249">
        <v>0</v>
      </c>
      <c r="IH249">
        <v>0</v>
      </c>
      <c r="II249">
        <v>0</v>
      </c>
      <c r="IJ249">
        <v>0</v>
      </c>
      <c r="IK249">
        <v>0</v>
      </c>
      <c r="IL249">
        <v>0</v>
      </c>
      <c r="IM249">
        <v>0</v>
      </c>
      <c r="IN249">
        <v>0</v>
      </c>
      <c r="IO249">
        <v>0</v>
      </c>
      <c r="IP249">
        <v>0</v>
      </c>
      <c r="IQ249">
        <v>0</v>
      </c>
      <c r="IR249">
        <v>0</v>
      </c>
      <c r="IS249">
        <v>0</v>
      </c>
      <c r="IT249">
        <v>0</v>
      </c>
      <c r="IU249">
        <v>0</v>
      </c>
      <c r="IV249">
        <v>0</v>
      </c>
      <c r="IW249">
        <v>0</v>
      </c>
      <c r="IX249">
        <v>0</v>
      </c>
      <c r="IY249">
        <v>0</v>
      </c>
      <c r="IZ249">
        <v>0</v>
      </c>
      <c r="JA249">
        <v>0</v>
      </c>
      <c r="JB249">
        <v>0</v>
      </c>
      <c r="JC249">
        <v>0</v>
      </c>
      <c r="JD249">
        <v>0</v>
      </c>
      <c r="JE249">
        <v>0</v>
      </c>
      <c r="JF249">
        <v>0</v>
      </c>
      <c r="JG249">
        <v>0</v>
      </c>
      <c r="JH249">
        <v>0</v>
      </c>
      <c r="JI249">
        <v>0</v>
      </c>
      <c r="JJ249">
        <v>0</v>
      </c>
      <c r="JK249">
        <v>0</v>
      </c>
      <c r="JL249">
        <v>0</v>
      </c>
      <c r="JM249">
        <v>0</v>
      </c>
      <c r="JN249">
        <v>0</v>
      </c>
      <c r="JO249">
        <v>0</v>
      </c>
      <c r="JP249">
        <v>0</v>
      </c>
      <c r="JQ249">
        <v>0</v>
      </c>
      <c r="JR249">
        <v>0</v>
      </c>
      <c r="JS249">
        <v>0</v>
      </c>
      <c r="JT249">
        <v>0</v>
      </c>
      <c r="JU249">
        <v>0</v>
      </c>
      <c r="JV249">
        <v>0</v>
      </c>
      <c r="JW249">
        <v>0</v>
      </c>
      <c r="JX249">
        <v>0</v>
      </c>
      <c r="JY249">
        <v>0</v>
      </c>
      <c r="JZ249">
        <v>0</v>
      </c>
      <c r="KA249">
        <v>0</v>
      </c>
      <c r="KB249">
        <v>0</v>
      </c>
      <c r="KC249">
        <v>0</v>
      </c>
      <c r="KD249">
        <v>0</v>
      </c>
      <c r="KE249">
        <v>0</v>
      </c>
      <c r="KF249">
        <v>0</v>
      </c>
      <c r="KG249">
        <v>0</v>
      </c>
      <c r="KH249">
        <v>0</v>
      </c>
      <c r="KI249">
        <v>0</v>
      </c>
      <c r="KJ249">
        <v>0</v>
      </c>
      <c r="KK249">
        <v>0</v>
      </c>
      <c r="KL249">
        <v>0</v>
      </c>
      <c r="KM249">
        <v>0</v>
      </c>
      <c r="KN249">
        <v>0</v>
      </c>
      <c r="KO249">
        <v>0</v>
      </c>
      <c r="KP249">
        <v>0</v>
      </c>
      <c r="KQ249">
        <v>0</v>
      </c>
      <c r="KR249">
        <v>0</v>
      </c>
      <c r="KS249">
        <v>0</v>
      </c>
      <c r="KT249">
        <v>0</v>
      </c>
      <c r="KU249">
        <v>0</v>
      </c>
      <c r="KV249">
        <v>0</v>
      </c>
      <c r="KW249">
        <v>0</v>
      </c>
      <c r="KX249">
        <v>0</v>
      </c>
      <c r="KY249">
        <v>0</v>
      </c>
      <c r="KZ249">
        <v>0</v>
      </c>
      <c r="LA249">
        <v>0</v>
      </c>
      <c r="LB249">
        <v>0</v>
      </c>
      <c r="LC249">
        <v>0</v>
      </c>
      <c r="LD249">
        <v>0</v>
      </c>
      <c r="LE249">
        <v>0</v>
      </c>
      <c r="LF249">
        <v>0</v>
      </c>
      <c r="LG249">
        <v>0</v>
      </c>
      <c r="LH249">
        <v>0</v>
      </c>
      <c r="LI249">
        <v>0</v>
      </c>
      <c r="LJ249">
        <v>0</v>
      </c>
      <c r="LK249">
        <v>0</v>
      </c>
      <c r="LL249">
        <v>0</v>
      </c>
      <c r="LM249">
        <v>0</v>
      </c>
      <c r="LN249">
        <v>0</v>
      </c>
      <c r="LO249">
        <v>0</v>
      </c>
      <c r="LP249">
        <v>0</v>
      </c>
      <c r="LQ249">
        <v>0</v>
      </c>
      <c r="LR249">
        <v>0</v>
      </c>
      <c r="LS249">
        <v>0</v>
      </c>
      <c r="LT249">
        <v>0</v>
      </c>
      <c r="LU249">
        <v>0</v>
      </c>
      <c r="LV249">
        <v>0</v>
      </c>
      <c r="LW249">
        <v>0</v>
      </c>
      <c r="LX249">
        <v>0</v>
      </c>
      <c r="LY249">
        <v>0</v>
      </c>
      <c r="LZ249">
        <v>0</v>
      </c>
      <c r="MA249">
        <v>0</v>
      </c>
      <c r="MB249">
        <v>0</v>
      </c>
      <c r="MC249">
        <v>0</v>
      </c>
      <c r="MD249">
        <v>0</v>
      </c>
      <c r="ME249">
        <v>0</v>
      </c>
      <c r="MF249">
        <v>0</v>
      </c>
      <c r="MG249">
        <v>0</v>
      </c>
      <c r="MH249">
        <v>0</v>
      </c>
      <c r="MI249">
        <v>0</v>
      </c>
      <c r="MJ249">
        <v>0</v>
      </c>
      <c r="MK249">
        <v>0</v>
      </c>
      <c r="ML249">
        <v>0</v>
      </c>
      <c r="MM249">
        <v>0</v>
      </c>
      <c r="MN249">
        <v>0</v>
      </c>
      <c r="MO249">
        <v>0</v>
      </c>
      <c r="MP249">
        <v>0</v>
      </c>
      <c r="MQ249">
        <v>0</v>
      </c>
      <c r="MR249">
        <v>0</v>
      </c>
      <c r="MS249">
        <v>0</v>
      </c>
      <c r="MT249">
        <v>0</v>
      </c>
      <c r="MU249">
        <v>0</v>
      </c>
      <c r="MV249">
        <v>0</v>
      </c>
      <c r="MW249">
        <v>0</v>
      </c>
      <c r="MX249">
        <v>0</v>
      </c>
      <c r="MY249">
        <v>0</v>
      </c>
      <c r="MZ249">
        <v>0</v>
      </c>
      <c r="NA249">
        <v>0</v>
      </c>
      <c r="NB249">
        <v>0</v>
      </c>
      <c r="NC249">
        <v>0</v>
      </c>
      <c r="ND249">
        <v>0</v>
      </c>
      <c r="NE249">
        <v>0</v>
      </c>
      <c r="NF249">
        <v>0</v>
      </c>
      <c r="NG249">
        <v>0</v>
      </c>
      <c r="NH249">
        <v>0</v>
      </c>
      <c r="NI249">
        <v>0</v>
      </c>
      <c r="NJ249">
        <v>0</v>
      </c>
      <c r="NK249">
        <v>0</v>
      </c>
      <c r="NL249">
        <v>0</v>
      </c>
      <c r="NM249">
        <v>0</v>
      </c>
      <c r="NN249">
        <v>0</v>
      </c>
      <c r="NO249">
        <v>0</v>
      </c>
      <c r="NP249">
        <v>0</v>
      </c>
      <c r="NQ249">
        <v>0</v>
      </c>
      <c r="NR249">
        <v>0</v>
      </c>
      <c r="NS249">
        <v>0</v>
      </c>
      <c r="NT249">
        <v>0</v>
      </c>
      <c r="NU249">
        <v>0</v>
      </c>
      <c r="NV249">
        <v>0</v>
      </c>
      <c r="NW249">
        <v>0</v>
      </c>
      <c r="NX249">
        <v>0</v>
      </c>
      <c r="NY249">
        <v>0</v>
      </c>
      <c r="NZ249">
        <v>0</v>
      </c>
      <c r="OA249">
        <v>0</v>
      </c>
      <c r="OB249">
        <v>0</v>
      </c>
      <c r="OC249">
        <v>0</v>
      </c>
      <c r="OD249">
        <v>0</v>
      </c>
      <c r="OE249">
        <v>0</v>
      </c>
    </row>
    <row r="250" spans="11:395" x14ac:dyDescent="0.3">
      <c r="K250" s="65"/>
      <c r="L250" s="55"/>
      <c r="M250" s="66"/>
      <c r="N250" s="119" t="s">
        <v>359</v>
      </c>
      <c r="P250" s="7"/>
      <c r="Q250" cm="1">
        <f t="array" ref="Q250:OE250">IF( (YEAR(O19)=YEAR(_xlfn.ANCHORARRAY($Q$2)))*(MONTH(O19)=MONTH(_xlfn.ANCHORARRAY($Q$2))),-E46,0)</f>
        <v>0</v>
      </c>
      <c r="R250">
        <v>0</v>
      </c>
      <c r="S250">
        <v>0</v>
      </c>
      <c r="T250">
        <v>0</v>
      </c>
      <c r="U250">
        <v>0</v>
      </c>
      <c r="V250">
        <v>0</v>
      </c>
      <c r="W250">
        <v>0</v>
      </c>
      <c r="X250">
        <v>0</v>
      </c>
      <c r="Y250">
        <v>0</v>
      </c>
      <c r="Z250">
        <v>0</v>
      </c>
      <c r="AA250">
        <v>0</v>
      </c>
      <c r="AB250">
        <v>0</v>
      </c>
      <c r="AC250">
        <v>0</v>
      </c>
      <c r="AD250">
        <v>0</v>
      </c>
      <c r="AE250">
        <v>0</v>
      </c>
      <c r="AF250">
        <v>0</v>
      </c>
      <c r="AG250">
        <v>0</v>
      </c>
      <c r="AH250">
        <v>0</v>
      </c>
      <c r="AI250">
        <v>0</v>
      </c>
      <c r="AJ250">
        <v>0</v>
      </c>
      <c r="AK250">
        <v>0</v>
      </c>
      <c r="AL250">
        <v>0</v>
      </c>
      <c r="AM250">
        <v>0</v>
      </c>
      <c r="AN250">
        <v>0</v>
      </c>
      <c r="AO250">
        <v>0</v>
      </c>
      <c r="AP250">
        <v>0</v>
      </c>
      <c r="AQ250">
        <v>0</v>
      </c>
      <c r="AR250">
        <v>-90000</v>
      </c>
      <c r="AS250">
        <v>0</v>
      </c>
      <c r="AT250">
        <v>0</v>
      </c>
      <c r="AU250">
        <v>0</v>
      </c>
      <c r="AV250">
        <v>0</v>
      </c>
      <c r="AW250">
        <v>0</v>
      </c>
      <c r="AX250">
        <v>0</v>
      </c>
      <c r="AY250">
        <v>0</v>
      </c>
      <c r="AZ250">
        <v>0</v>
      </c>
      <c r="BA250">
        <v>0</v>
      </c>
      <c r="BB250">
        <v>0</v>
      </c>
      <c r="BC250">
        <v>0</v>
      </c>
      <c r="BD250">
        <v>0</v>
      </c>
      <c r="BE250">
        <v>0</v>
      </c>
      <c r="BF250">
        <v>0</v>
      </c>
      <c r="BG250">
        <v>0</v>
      </c>
      <c r="BH250">
        <v>0</v>
      </c>
      <c r="BI250">
        <v>0</v>
      </c>
      <c r="BJ250">
        <v>0</v>
      </c>
      <c r="BK250">
        <v>0</v>
      </c>
      <c r="BL250">
        <v>0</v>
      </c>
      <c r="BM250">
        <v>0</v>
      </c>
      <c r="BN250">
        <v>0</v>
      </c>
      <c r="BO250">
        <v>0</v>
      </c>
      <c r="BP250">
        <v>0</v>
      </c>
      <c r="BQ250">
        <v>0</v>
      </c>
      <c r="BR250">
        <v>0</v>
      </c>
      <c r="BS250">
        <v>0</v>
      </c>
      <c r="BT250">
        <v>0</v>
      </c>
      <c r="BU250">
        <v>0</v>
      </c>
      <c r="BV250">
        <v>0</v>
      </c>
      <c r="BW250">
        <v>0</v>
      </c>
      <c r="BX250">
        <v>0</v>
      </c>
      <c r="BY250">
        <v>0</v>
      </c>
      <c r="BZ250">
        <v>0</v>
      </c>
      <c r="CA250">
        <v>0</v>
      </c>
      <c r="CB250">
        <v>0</v>
      </c>
      <c r="CC250">
        <v>0</v>
      </c>
      <c r="CD250">
        <v>0</v>
      </c>
      <c r="CE250">
        <v>0</v>
      </c>
      <c r="CF250">
        <v>0</v>
      </c>
      <c r="CG250">
        <v>0</v>
      </c>
      <c r="CH250">
        <v>0</v>
      </c>
      <c r="CI250">
        <v>0</v>
      </c>
      <c r="CJ250">
        <v>0</v>
      </c>
      <c r="CK250">
        <v>0</v>
      </c>
      <c r="CL250">
        <v>0</v>
      </c>
      <c r="CM250">
        <v>0</v>
      </c>
      <c r="CN250">
        <v>0</v>
      </c>
      <c r="CO250">
        <v>0</v>
      </c>
      <c r="CP250">
        <v>0</v>
      </c>
      <c r="CQ250">
        <v>0</v>
      </c>
      <c r="CR250">
        <v>0</v>
      </c>
      <c r="CS250">
        <v>0</v>
      </c>
      <c r="CT250">
        <v>0</v>
      </c>
      <c r="CU250">
        <v>0</v>
      </c>
      <c r="CV250">
        <v>0</v>
      </c>
      <c r="CW250">
        <v>0</v>
      </c>
      <c r="CX250">
        <v>0</v>
      </c>
      <c r="CY250">
        <v>0</v>
      </c>
      <c r="CZ250">
        <v>0</v>
      </c>
      <c r="DA250">
        <v>0</v>
      </c>
      <c r="DB250">
        <v>0</v>
      </c>
      <c r="DC250">
        <v>0</v>
      </c>
      <c r="DD250">
        <v>0</v>
      </c>
      <c r="DE250">
        <v>0</v>
      </c>
      <c r="DF250">
        <v>0</v>
      </c>
      <c r="DG250">
        <v>0</v>
      </c>
      <c r="DH250">
        <v>0</v>
      </c>
      <c r="DI250">
        <v>0</v>
      </c>
      <c r="DJ250">
        <v>0</v>
      </c>
      <c r="DK250">
        <v>0</v>
      </c>
      <c r="DL250">
        <v>0</v>
      </c>
      <c r="DM250">
        <v>0</v>
      </c>
      <c r="DN250">
        <v>0</v>
      </c>
      <c r="DO250">
        <v>0</v>
      </c>
      <c r="DP250">
        <v>0</v>
      </c>
      <c r="DQ250">
        <v>0</v>
      </c>
      <c r="DR250">
        <v>0</v>
      </c>
      <c r="DS250">
        <v>0</v>
      </c>
      <c r="DT250">
        <v>0</v>
      </c>
      <c r="DU250">
        <v>0</v>
      </c>
      <c r="DV250">
        <v>0</v>
      </c>
      <c r="DW250">
        <v>0</v>
      </c>
      <c r="DX250">
        <v>0</v>
      </c>
      <c r="DY250">
        <v>0</v>
      </c>
      <c r="DZ250">
        <v>0</v>
      </c>
      <c r="EA250">
        <v>0</v>
      </c>
      <c r="EB250">
        <v>0</v>
      </c>
      <c r="EC250">
        <v>0</v>
      </c>
      <c r="ED250">
        <v>0</v>
      </c>
      <c r="EE250">
        <v>0</v>
      </c>
      <c r="EF250">
        <v>0</v>
      </c>
      <c r="EG250">
        <v>0</v>
      </c>
      <c r="EH250">
        <v>0</v>
      </c>
      <c r="EI250">
        <v>0</v>
      </c>
      <c r="EJ250">
        <v>0</v>
      </c>
      <c r="EK250">
        <v>0</v>
      </c>
      <c r="EL250">
        <v>0</v>
      </c>
      <c r="EM250">
        <v>0</v>
      </c>
      <c r="EN250">
        <v>0</v>
      </c>
      <c r="EO250">
        <v>0</v>
      </c>
      <c r="EP250">
        <v>0</v>
      </c>
      <c r="EQ250">
        <v>0</v>
      </c>
      <c r="ER250">
        <v>0</v>
      </c>
      <c r="ES250">
        <v>0</v>
      </c>
      <c r="ET250">
        <v>0</v>
      </c>
      <c r="EU250">
        <v>0</v>
      </c>
      <c r="EV250">
        <v>0</v>
      </c>
      <c r="EW250">
        <v>0</v>
      </c>
      <c r="EX250">
        <v>0</v>
      </c>
      <c r="EY250">
        <v>0</v>
      </c>
      <c r="EZ250">
        <v>0</v>
      </c>
      <c r="FA250">
        <v>0</v>
      </c>
      <c r="FB250">
        <v>0</v>
      </c>
      <c r="FC250">
        <v>0</v>
      </c>
      <c r="FD250">
        <v>0</v>
      </c>
      <c r="FE250">
        <v>0</v>
      </c>
      <c r="FF250">
        <v>0</v>
      </c>
      <c r="FG250">
        <v>0</v>
      </c>
      <c r="FH250">
        <v>0</v>
      </c>
      <c r="FI250">
        <v>0</v>
      </c>
      <c r="FJ250">
        <v>0</v>
      </c>
      <c r="FK250">
        <v>0</v>
      </c>
      <c r="FL250">
        <v>0</v>
      </c>
      <c r="FM250">
        <v>0</v>
      </c>
      <c r="FN250">
        <v>0</v>
      </c>
      <c r="FO250">
        <v>0</v>
      </c>
      <c r="FP250">
        <v>0</v>
      </c>
      <c r="FQ250">
        <v>0</v>
      </c>
      <c r="FR250">
        <v>0</v>
      </c>
      <c r="FS250">
        <v>0</v>
      </c>
      <c r="FT250">
        <v>0</v>
      </c>
      <c r="FU250">
        <v>0</v>
      </c>
      <c r="FV250">
        <v>0</v>
      </c>
      <c r="FW250">
        <v>0</v>
      </c>
      <c r="FX250">
        <v>0</v>
      </c>
      <c r="FY250">
        <v>0</v>
      </c>
      <c r="FZ250">
        <v>0</v>
      </c>
      <c r="GA250">
        <v>0</v>
      </c>
      <c r="GB250">
        <v>0</v>
      </c>
      <c r="GC250">
        <v>0</v>
      </c>
      <c r="GD250">
        <v>0</v>
      </c>
      <c r="GE250">
        <v>0</v>
      </c>
      <c r="GF250">
        <v>0</v>
      </c>
      <c r="GG250">
        <v>0</v>
      </c>
      <c r="GH250">
        <v>0</v>
      </c>
      <c r="GI250">
        <v>0</v>
      </c>
      <c r="GJ250">
        <v>0</v>
      </c>
      <c r="GK250">
        <v>0</v>
      </c>
      <c r="GL250">
        <v>0</v>
      </c>
      <c r="GM250">
        <v>0</v>
      </c>
      <c r="GN250">
        <v>0</v>
      </c>
      <c r="GO250">
        <v>0</v>
      </c>
      <c r="GP250">
        <v>0</v>
      </c>
      <c r="GQ250">
        <v>0</v>
      </c>
      <c r="GR250">
        <v>0</v>
      </c>
      <c r="GS250">
        <v>0</v>
      </c>
      <c r="GT250">
        <v>0</v>
      </c>
      <c r="GU250">
        <v>0</v>
      </c>
      <c r="GV250">
        <v>0</v>
      </c>
      <c r="GW250">
        <v>0</v>
      </c>
      <c r="GX250">
        <v>0</v>
      </c>
      <c r="GY250">
        <v>0</v>
      </c>
      <c r="GZ250">
        <v>0</v>
      </c>
      <c r="HA250">
        <v>0</v>
      </c>
      <c r="HB250">
        <v>0</v>
      </c>
      <c r="HC250">
        <v>0</v>
      </c>
      <c r="HD250">
        <v>0</v>
      </c>
      <c r="HE250">
        <v>0</v>
      </c>
      <c r="HF250">
        <v>0</v>
      </c>
      <c r="HG250">
        <v>0</v>
      </c>
      <c r="HH250">
        <v>0</v>
      </c>
      <c r="HI250">
        <v>0</v>
      </c>
      <c r="HJ250">
        <v>0</v>
      </c>
      <c r="HK250">
        <v>0</v>
      </c>
      <c r="HL250">
        <v>0</v>
      </c>
      <c r="HM250">
        <v>0</v>
      </c>
      <c r="HN250">
        <v>0</v>
      </c>
      <c r="HO250">
        <v>0</v>
      </c>
      <c r="HP250">
        <v>0</v>
      </c>
      <c r="HQ250">
        <v>0</v>
      </c>
      <c r="HR250">
        <v>0</v>
      </c>
      <c r="HS250">
        <v>0</v>
      </c>
      <c r="HT250">
        <v>0</v>
      </c>
      <c r="HU250">
        <v>0</v>
      </c>
      <c r="HV250">
        <v>0</v>
      </c>
      <c r="HW250">
        <v>0</v>
      </c>
      <c r="HX250">
        <v>0</v>
      </c>
      <c r="HY250">
        <v>0</v>
      </c>
      <c r="HZ250">
        <v>0</v>
      </c>
      <c r="IA250">
        <v>0</v>
      </c>
      <c r="IB250">
        <v>0</v>
      </c>
      <c r="IC250">
        <v>0</v>
      </c>
      <c r="ID250">
        <v>0</v>
      </c>
      <c r="IE250">
        <v>0</v>
      </c>
      <c r="IF250">
        <v>0</v>
      </c>
      <c r="IG250">
        <v>0</v>
      </c>
      <c r="IH250">
        <v>0</v>
      </c>
      <c r="II250">
        <v>0</v>
      </c>
      <c r="IJ250">
        <v>0</v>
      </c>
      <c r="IK250">
        <v>0</v>
      </c>
      <c r="IL250">
        <v>0</v>
      </c>
      <c r="IM250">
        <v>0</v>
      </c>
      <c r="IN250">
        <v>0</v>
      </c>
      <c r="IO250">
        <v>0</v>
      </c>
      <c r="IP250">
        <v>0</v>
      </c>
      <c r="IQ250">
        <v>0</v>
      </c>
      <c r="IR250">
        <v>0</v>
      </c>
      <c r="IS250">
        <v>0</v>
      </c>
      <c r="IT250">
        <v>0</v>
      </c>
      <c r="IU250">
        <v>0</v>
      </c>
      <c r="IV250">
        <v>0</v>
      </c>
      <c r="IW250">
        <v>0</v>
      </c>
      <c r="IX250">
        <v>0</v>
      </c>
      <c r="IY250">
        <v>0</v>
      </c>
      <c r="IZ250">
        <v>0</v>
      </c>
      <c r="JA250">
        <v>0</v>
      </c>
      <c r="JB250">
        <v>0</v>
      </c>
      <c r="JC250">
        <v>0</v>
      </c>
      <c r="JD250">
        <v>0</v>
      </c>
      <c r="JE250">
        <v>0</v>
      </c>
      <c r="JF250">
        <v>0</v>
      </c>
      <c r="JG250">
        <v>0</v>
      </c>
      <c r="JH250">
        <v>0</v>
      </c>
      <c r="JI250">
        <v>0</v>
      </c>
      <c r="JJ250">
        <v>0</v>
      </c>
      <c r="JK250">
        <v>0</v>
      </c>
      <c r="JL250">
        <v>0</v>
      </c>
      <c r="JM250">
        <v>0</v>
      </c>
      <c r="JN250">
        <v>0</v>
      </c>
      <c r="JO250">
        <v>0</v>
      </c>
      <c r="JP250">
        <v>0</v>
      </c>
      <c r="JQ250">
        <v>0</v>
      </c>
      <c r="JR250">
        <v>0</v>
      </c>
      <c r="JS250">
        <v>0</v>
      </c>
      <c r="JT250">
        <v>0</v>
      </c>
      <c r="JU250">
        <v>0</v>
      </c>
      <c r="JV250">
        <v>0</v>
      </c>
      <c r="JW250">
        <v>0</v>
      </c>
      <c r="JX250">
        <v>0</v>
      </c>
      <c r="JY250">
        <v>0</v>
      </c>
      <c r="JZ250">
        <v>0</v>
      </c>
      <c r="KA250">
        <v>0</v>
      </c>
      <c r="KB250">
        <v>0</v>
      </c>
      <c r="KC250">
        <v>0</v>
      </c>
      <c r="KD250">
        <v>0</v>
      </c>
      <c r="KE250">
        <v>0</v>
      </c>
      <c r="KF250">
        <v>0</v>
      </c>
      <c r="KG250">
        <v>0</v>
      </c>
      <c r="KH250">
        <v>0</v>
      </c>
      <c r="KI250">
        <v>0</v>
      </c>
      <c r="KJ250">
        <v>0</v>
      </c>
      <c r="KK250">
        <v>0</v>
      </c>
      <c r="KL250">
        <v>0</v>
      </c>
      <c r="KM250">
        <v>0</v>
      </c>
      <c r="KN250">
        <v>0</v>
      </c>
      <c r="KO250">
        <v>0</v>
      </c>
      <c r="KP250">
        <v>0</v>
      </c>
      <c r="KQ250">
        <v>0</v>
      </c>
      <c r="KR250">
        <v>0</v>
      </c>
      <c r="KS250">
        <v>0</v>
      </c>
      <c r="KT250">
        <v>0</v>
      </c>
      <c r="KU250">
        <v>0</v>
      </c>
      <c r="KV250">
        <v>0</v>
      </c>
      <c r="KW250">
        <v>0</v>
      </c>
      <c r="KX250">
        <v>0</v>
      </c>
      <c r="KY250">
        <v>0</v>
      </c>
      <c r="KZ250">
        <v>0</v>
      </c>
      <c r="LA250">
        <v>0</v>
      </c>
      <c r="LB250">
        <v>0</v>
      </c>
      <c r="LC250">
        <v>0</v>
      </c>
      <c r="LD250">
        <v>0</v>
      </c>
      <c r="LE250">
        <v>0</v>
      </c>
      <c r="LF250">
        <v>0</v>
      </c>
      <c r="LG250">
        <v>0</v>
      </c>
      <c r="LH250">
        <v>0</v>
      </c>
      <c r="LI250">
        <v>0</v>
      </c>
      <c r="LJ250">
        <v>0</v>
      </c>
      <c r="LK250">
        <v>0</v>
      </c>
      <c r="LL250">
        <v>0</v>
      </c>
      <c r="LM250">
        <v>0</v>
      </c>
      <c r="LN250">
        <v>0</v>
      </c>
      <c r="LO250">
        <v>0</v>
      </c>
      <c r="LP250">
        <v>0</v>
      </c>
      <c r="LQ250">
        <v>0</v>
      </c>
      <c r="LR250">
        <v>0</v>
      </c>
      <c r="LS250">
        <v>0</v>
      </c>
      <c r="LT250">
        <v>0</v>
      </c>
      <c r="LU250">
        <v>0</v>
      </c>
      <c r="LV250">
        <v>0</v>
      </c>
      <c r="LW250">
        <v>0</v>
      </c>
      <c r="LX250">
        <v>0</v>
      </c>
      <c r="LY250">
        <v>0</v>
      </c>
      <c r="LZ250">
        <v>0</v>
      </c>
      <c r="MA250">
        <v>0</v>
      </c>
      <c r="MB250">
        <v>0</v>
      </c>
      <c r="MC250">
        <v>0</v>
      </c>
      <c r="MD250">
        <v>0</v>
      </c>
      <c r="ME250">
        <v>0</v>
      </c>
      <c r="MF250">
        <v>0</v>
      </c>
      <c r="MG250">
        <v>0</v>
      </c>
      <c r="MH250">
        <v>0</v>
      </c>
      <c r="MI250">
        <v>0</v>
      </c>
      <c r="MJ250">
        <v>0</v>
      </c>
      <c r="MK250">
        <v>0</v>
      </c>
      <c r="ML250">
        <v>0</v>
      </c>
      <c r="MM250">
        <v>0</v>
      </c>
      <c r="MN250">
        <v>0</v>
      </c>
      <c r="MO250">
        <v>0</v>
      </c>
      <c r="MP250">
        <v>0</v>
      </c>
      <c r="MQ250">
        <v>0</v>
      </c>
      <c r="MR250">
        <v>0</v>
      </c>
      <c r="MS250">
        <v>0</v>
      </c>
      <c r="MT250">
        <v>0</v>
      </c>
      <c r="MU250">
        <v>0</v>
      </c>
      <c r="MV250">
        <v>0</v>
      </c>
      <c r="MW250">
        <v>0</v>
      </c>
      <c r="MX250">
        <v>0</v>
      </c>
      <c r="MY250">
        <v>0</v>
      </c>
      <c r="MZ250">
        <v>0</v>
      </c>
      <c r="NA250">
        <v>0</v>
      </c>
      <c r="NB250">
        <v>0</v>
      </c>
      <c r="NC250">
        <v>0</v>
      </c>
      <c r="ND250">
        <v>0</v>
      </c>
      <c r="NE250">
        <v>0</v>
      </c>
      <c r="NF250">
        <v>0</v>
      </c>
      <c r="NG250">
        <v>0</v>
      </c>
      <c r="NH250">
        <v>0</v>
      </c>
      <c r="NI250">
        <v>0</v>
      </c>
      <c r="NJ250">
        <v>0</v>
      </c>
      <c r="NK250">
        <v>0</v>
      </c>
      <c r="NL250">
        <v>0</v>
      </c>
      <c r="NM250">
        <v>0</v>
      </c>
      <c r="NN250">
        <v>0</v>
      </c>
      <c r="NO250">
        <v>0</v>
      </c>
      <c r="NP250">
        <v>0</v>
      </c>
      <c r="NQ250">
        <v>0</v>
      </c>
      <c r="NR250">
        <v>0</v>
      </c>
      <c r="NS250">
        <v>0</v>
      </c>
      <c r="NT250">
        <v>0</v>
      </c>
      <c r="NU250">
        <v>0</v>
      </c>
      <c r="NV250">
        <v>0</v>
      </c>
      <c r="NW250">
        <v>0</v>
      </c>
      <c r="NX250">
        <v>0</v>
      </c>
      <c r="NY250">
        <v>0</v>
      </c>
      <c r="NZ250">
        <v>0</v>
      </c>
      <c r="OA250">
        <v>0</v>
      </c>
      <c r="OB250">
        <v>0</v>
      </c>
      <c r="OC250">
        <v>0</v>
      </c>
      <c r="OD250">
        <v>0</v>
      </c>
      <c r="OE250">
        <v>0</v>
      </c>
    </row>
    <row r="251" spans="11:395" x14ac:dyDescent="0.3">
      <c r="K251" s="65"/>
      <c r="L251" s="55"/>
      <c r="M251" s="66"/>
      <c r="N251" s="282" t="s">
        <v>178</v>
      </c>
      <c r="O251" s="283"/>
      <c r="P251" s="284"/>
      <c r="Q251" s="283"/>
    </row>
    <row r="252" spans="11:395" x14ac:dyDescent="0.3">
      <c r="K252" s="65"/>
      <c r="L252" s="55"/>
      <c r="M252" s="66"/>
      <c r="P252" s="7"/>
    </row>
    <row r="253" spans="11:395" x14ac:dyDescent="0.3">
      <c r="K253" s="65"/>
      <c r="L253" s="55"/>
      <c r="M253" s="66"/>
      <c r="P253" s="7"/>
    </row>
    <row r="254" spans="11:395" x14ac:dyDescent="0.3">
      <c r="K254" s="65"/>
      <c r="L254" s="55"/>
      <c r="M254" s="66"/>
      <c r="P254" s="7"/>
    </row>
    <row r="255" spans="11:395" x14ac:dyDescent="0.3">
      <c r="K255" s="65"/>
      <c r="L255" s="55"/>
      <c r="M255" s="66"/>
      <c r="P255" s="7"/>
    </row>
    <row r="256" spans="11:395" x14ac:dyDescent="0.3">
      <c r="K256" s="65"/>
      <c r="L256" s="55"/>
      <c r="M256" s="66"/>
      <c r="P256" s="7"/>
    </row>
    <row r="257" spans="4:17" x14ac:dyDescent="0.3">
      <c r="K257" s="65"/>
      <c r="L257" s="55"/>
      <c r="M257" s="66"/>
      <c r="P257" s="7"/>
    </row>
    <row r="258" spans="4:17" x14ac:dyDescent="0.3">
      <c r="K258" s="65"/>
      <c r="L258" s="55"/>
      <c r="M258" s="66"/>
      <c r="P258" s="7"/>
    </row>
    <row r="259" spans="4:17" x14ac:dyDescent="0.3">
      <c r="K259" s="65"/>
      <c r="L259" s="55"/>
      <c r="M259" s="66"/>
      <c r="P259" s="7"/>
    </row>
    <row r="260" spans="4:17" x14ac:dyDescent="0.3">
      <c r="K260" s="65"/>
      <c r="L260" s="55"/>
      <c r="M260" s="66"/>
      <c r="N260" s="282" t="s">
        <v>187</v>
      </c>
      <c r="O260" s="283"/>
      <c r="P260" s="284"/>
      <c r="Q260" s="283"/>
    </row>
    <row r="261" spans="4:17" x14ac:dyDescent="0.3">
      <c r="D261" s="119"/>
      <c r="E261" s="6"/>
      <c r="K261" s="65"/>
      <c r="L261" s="55"/>
      <c r="M261" s="66"/>
      <c r="N261" s="178" t="s">
        <v>174</v>
      </c>
      <c r="O261" s="179"/>
      <c r="P261" s="180"/>
      <c r="Q261" s="179"/>
    </row>
    <row r="262" spans="4:17" x14ac:dyDescent="0.3">
      <c r="D262" s="119"/>
      <c r="E262" s="6"/>
      <c r="K262" s="65"/>
      <c r="L262" s="55"/>
      <c r="M262" s="66"/>
      <c r="P262" s="7"/>
    </row>
    <row r="263" spans="4:17" x14ac:dyDescent="0.3">
      <c r="D263" s="119"/>
      <c r="E263" s="6"/>
      <c r="K263" s="65"/>
      <c r="L263" s="55"/>
      <c r="M263" s="66"/>
      <c r="P263" s="7"/>
    </row>
    <row r="264" spans="4:17" x14ac:dyDescent="0.3">
      <c r="D264" s="119"/>
      <c r="E264" s="6"/>
      <c r="K264" s="65"/>
      <c r="L264" s="55"/>
      <c r="M264" s="66"/>
      <c r="N264" s="178" t="s">
        <v>286</v>
      </c>
      <c r="O264" s="179"/>
      <c r="P264" s="180"/>
      <c r="Q264" s="179"/>
    </row>
    <row r="265" spans="4:17" x14ac:dyDescent="0.3">
      <c r="D265" s="119"/>
      <c r="E265" s="6"/>
      <c r="K265" s="65"/>
      <c r="L265" s="55"/>
      <c r="M265" s="66"/>
      <c r="N265" s="127" t="s">
        <v>173</v>
      </c>
      <c r="O265" s="128"/>
      <c r="P265" s="154"/>
      <c r="Q265" s="128"/>
    </row>
    <row r="266" spans="4:17" x14ac:dyDescent="0.3">
      <c r="D266" s="119"/>
      <c r="K266" s="65"/>
      <c r="L266" s="55"/>
      <c r="M266" s="55"/>
      <c r="N266" s="55"/>
      <c r="O266" s="55"/>
      <c r="P266" s="55"/>
      <c r="Q266" s="55"/>
    </row>
    <row r="267" spans="4:17" x14ac:dyDescent="0.3">
      <c r="D267" s="119"/>
      <c r="K267" s="65"/>
      <c r="L267" s="55"/>
      <c r="M267" s="55"/>
      <c r="N267" s="55" t="s">
        <v>369</v>
      </c>
      <c r="O267" s="55"/>
      <c r="P267" s="55"/>
      <c r="Q267" s="55"/>
    </row>
    <row r="268" spans="4:17" x14ac:dyDescent="0.3">
      <c r="K268" s="65"/>
      <c r="L268" s="55"/>
      <c r="M268" s="55"/>
      <c r="N268" s="55" t="s">
        <v>237</v>
      </c>
      <c r="O268" s="55"/>
      <c r="P268" s="55"/>
      <c r="Q268" s="55"/>
    </row>
    <row r="269" spans="4:17" x14ac:dyDescent="0.3">
      <c r="K269" s="65"/>
      <c r="L269" s="55"/>
      <c r="M269" s="55"/>
      <c r="N269" s="55" t="s">
        <v>235</v>
      </c>
      <c r="O269" s="55"/>
      <c r="P269" s="55"/>
      <c r="Q269" s="55"/>
    </row>
    <row r="270" spans="4:17" x14ac:dyDescent="0.3">
      <c r="D270" s="119"/>
      <c r="K270" s="65"/>
      <c r="L270" s="55"/>
      <c r="M270" s="55"/>
      <c r="N270" s="55"/>
      <c r="O270" s="55"/>
      <c r="P270" s="55"/>
      <c r="Q270" s="55"/>
    </row>
    <row r="271" spans="4:17" x14ac:dyDescent="0.3">
      <c r="D271" s="119"/>
      <c r="K271" s="65"/>
      <c r="L271" s="55"/>
      <c r="M271" s="55"/>
      <c r="N271" s="55" t="s">
        <v>216</v>
      </c>
      <c r="O271" s="55"/>
      <c r="P271" s="55"/>
      <c r="Q271" s="55"/>
    </row>
    <row r="272" spans="4:17" x14ac:dyDescent="0.3">
      <c r="D272" s="119"/>
      <c r="K272" s="65"/>
      <c r="L272" s="55"/>
      <c r="M272" s="55"/>
      <c r="N272" s="55" t="s">
        <v>238</v>
      </c>
      <c r="O272" s="55"/>
      <c r="P272" s="55"/>
      <c r="Q272" s="55"/>
    </row>
    <row r="273" spans="2:395" x14ac:dyDescent="0.3">
      <c r="D273" s="119"/>
      <c r="K273" s="65"/>
      <c r="L273" s="55"/>
      <c r="M273" s="55"/>
      <c r="N273" s="55" t="s">
        <v>236</v>
      </c>
      <c r="O273" s="55"/>
      <c r="P273" s="55"/>
      <c r="Q273" s="55"/>
    </row>
    <row r="274" spans="2:395" x14ac:dyDescent="0.3">
      <c r="D274" s="119"/>
      <c r="K274" s="65"/>
      <c r="L274" s="55"/>
      <c r="M274" s="55"/>
      <c r="N274" s="55"/>
      <c r="O274" s="55"/>
      <c r="P274" s="55"/>
      <c r="Q274" s="55"/>
    </row>
    <row r="275" spans="2:395" x14ac:dyDescent="0.3">
      <c r="D275" s="119"/>
      <c r="K275" s="65"/>
      <c r="L275" s="55"/>
      <c r="M275" s="66"/>
      <c r="N275" s="129" t="s">
        <v>249</v>
      </c>
      <c r="O275" s="130"/>
      <c r="P275" s="155"/>
      <c r="Q275" s="130"/>
    </row>
    <row r="276" spans="2:395" x14ac:dyDescent="0.3">
      <c r="D276" s="119"/>
      <c r="E276" s="270"/>
      <c r="F276" s="256"/>
      <c r="K276" s="65"/>
      <c r="L276" s="55"/>
      <c r="M276" s="66"/>
      <c r="N276" s="25" t="s">
        <v>248</v>
      </c>
      <c r="O276" s="25"/>
      <c r="P276" s="27" t="s">
        <v>31</v>
      </c>
      <c r="Q276" s="341" cm="1">
        <f t="array" ref="Q276:OE276">IF(($E$128&lt;=_xlfn.ANCHORARRAY(Q2))*(_xlfn.ANCHORARRAY(Q2)&lt;$E$134),$E$131,0%)</f>
        <v>0</v>
      </c>
      <c r="R276" s="341">
        <v>0</v>
      </c>
      <c r="S276" s="341">
        <v>0.5</v>
      </c>
      <c r="T276" s="341">
        <v>0.5</v>
      </c>
      <c r="U276" s="341">
        <v>0</v>
      </c>
      <c r="V276" s="341">
        <v>0</v>
      </c>
      <c r="W276" s="341">
        <v>0</v>
      </c>
      <c r="X276" s="341">
        <v>0</v>
      </c>
      <c r="Y276" s="341">
        <v>0</v>
      </c>
      <c r="Z276" s="341">
        <v>0</v>
      </c>
      <c r="AA276" s="341">
        <v>0</v>
      </c>
      <c r="AB276" s="341">
        <v>0</v>
      </c>
      <c r="AC276" s="341">
        <v>0</v>
      </c>
      <c r="AD276" s="341">
        <v>0</v>
      </c>
      <c r="AE276" s="341">
        <v>0</v>
      </c>
      <c r="AF276" s="341">
        <v>0</v>
      </c>
      <c r="AG276" s="341">
        <v>0</v>
      </c>
      <c r="AH276" s="341">
        <v>0</v>
      </c>
      <c r="AI276" s="341">
        <v>0</v>
      </c>
      <c r="AJ276" s="341">
        <v>0</v>
      </c>
      <c r="AK276" s="341">
        <v>0</v>
      </c>
      <c r="AL276" s="341">
        <v>0</v>
      </c>
      <c r="AM276" s="341">
        <v>0</v>
      </c>
      <c r="AN276" s="341">
        <v>0</v>
      </c>
      <c r="AO276" s="341">
        <v>0</v>
      </c>
      <c r="AP276" s="341">
        <v>0</v>
      </c>
      <c r="AQ276" s="341">
        <v>0</v>
      </c>
      <c r="AR276" s="341">
        <v>0</v>
      </c>
      <c r="AS276" s="341">
        <v>0</v>
      </c>
      <c r="AT276" s="341">
        <v>0</v>
      </c>
      <c r="AU276" s="341">
        <v>0</v>
      </c>
      <c r="AV276" s="341">
        <v>0</v>
      </c>
      <c r="AW276" s="341">
        <v>0</v>
      </c>
      <c r="AX276" s="341">
        <v>0</v>
      </c>
      <c r="AY276" s="341">
        <v>0</v>
      </c>
      <c r="AZ276" s="341">
        <v>0</v>
      </c>
      <c r="BA276" s="341">
        <v>0</v>
      </c>
      <c r="BB276" s="341">
        <v>0</v>
      </c>
      <c r="BC276" s="341">
        <v>0</v>
      </c>
      <c r="BD276" s="341">
        <v>0</v>
      </c>
      <c r="BE276" s="341">
        <v>0</v>
      </c>
      <c r="BF276" s="341">
        <v>0</v>
      </c>
      <c r="BG276" s="341">
        <v>0</v>
      </c>
      <c r="BH276" s="341">
        <v>0</v>
      </c>
      <c r="BI276" s="341">
        <v>0</v>
      </c>
      <c r="BJ276" s="341">
        <v>0</v>
      </c>
      <c r="BK276" s="341">
        <v>0</v>
      </c>
      <c r="BL276" s="341">
        <v>0</v>
      </c>
      <c r="BM276" s="341">
        <v>0</v>
      </c>
      <c r="BN276" s="341">
        <v>0</v>
      </c>
      <c r="BO276" s="341">
        <v>0</v>
      </c>
      <c r="BP276" s="341">
        <v>0</v>
      </c>
      <c r="BQ276" s="341">
        <v>0</v>
      </c>
      <c r="BR276" s="341">
        <v>0</v>
      </c>
      <c r="BS276" s="341">
        <v>0</v>
      </c>
      <c r="BT276" s="341">
        <v>0</v>
      </c>
      <c r="BU276" s="341">
        <v>0</v>
      </c>
      <c r="BV276" s="341">
        <v>0</v>
      </c>
      <c r="BW276" s="341">
        <v>0</v>
      </c>
      <c r="BX276" s="341">
        <v>0</v>
      </c>
      <c r="BY276" s="341">
        <v>0</v>
      </c>
      <c r="BZ276" s="341">
        <v>0</v>
      </c>
      <c r="CA276" s="341">
        <v>0</v>
      </c>
      <c r="CB276" s="341">
        <v>0</v>
      </c>
      <c r="CC276" s="341">
        <v>0</v>
      </c>
      <c r="CD276" s="341">
        <v>0</v>
      </c>
      <c r="CE276" s="341">
        <v>0</v>
      </c>
      <c r="CF276" s="341">
        <v>0</v>
      </c>
      <c r="CG276" s="341">
        <v>0</v>
      </c>
      <c r="CH276" s="341">
        <v>0</v>
      </c>
      <c r="CI276" s="341">
        <v>0</v>
      </c>
      <c r="CJ276" s="341">
        <v>0</v>
      </c>
      <c r="CK276" s="341">
        <v>0</v>
      </c>
      <c r="CL276" s="341">
        <v>0</v>
      </c>
      <c r="CM276" s="341">
        <v>0</v>
      </c>
      <c r="CN276" s="341">
        <v>0</v>
      </c>
      <c r="CO276" s="341">
        <v>0</v>
      </c>
      <c r="CP276" s="341">
        <v>0</v>
      </c>
      <c r="CQ276" s="341">
        <v>0</v>
      </c>
      <c r="CR276" s="341">
        <v>0</v>
      </c>
      <c r="CS276" s="341">
        <v>0</v>
      </c>
      <c r="CT276" s="341">
        <v>0</v>
      </c>
      <c r="CU276" s="341">
        <v>0</v>
      </c>
      <c r="CV276" s="341">
        <v>0</v>
      </c>
      <c r="CW276" s="341">
        <v>0</v>
      </c>
      <c r="CX276" s="341">
        <v>0</v>
      </c>
      <c r="CY276" s="341">
        <v>0</v>
      </c>
      <c r="CZ276" s="341">
        <v>0</v>
      </c>
      <c r="DA276" s="341">
        <v>0</v>
      </c>
      <c r="DB276" s="341">
        <v>0</v>
      </c>
      <c r="DC276" s="341">
        <v>0</v>
      </c>
      <c r="DD276" s="341">
        <v>0</v>
      </c>
      <c r="DE276" s="341">
        <v>0</v>
      </c>
      <c r="DF276" s="341">
        <v>0</v>
      </c>
      <c r="DG276" s="341">
        <v>0</v>
      </c>
      <c r="DH276" s="341">
        <v>0</v>
      </c>
      <c r="DI276" s="341">
        <v>0</v>
      </c>
      <c r="DJ276" s="341">
        <v>0</v>
      </c>
      <c r="DK276" s="341">
        <v>0</v>
      </c>
      <c r="DL276" s="341">
        <v>0</v>
      </c>
      <c r="DM276" s="341">
        <v>0</v>
      </c>
      <c r="DN276" s="341">
        <v>0</v>
      </c>
      <c r="DO276" s="341">
        <v>0</v>
      </c>
      <c r="DP276" s="341">
        <v>0</v>
      </c>
      <c r="DQ276" s="341">
        <v>0</v>
      </c>
      <c r="DR276" s="341">
        <v>0</v>
      </c>
      <c r="DS276" s="341">
        <v>0</v>
      </c>
      <c r="DT276" s="341">
        <v>0</v>
      </c>
      <c r="DU276" s="341">
        <v>0</v>
      </c>
      <c r="DV276" s="341">
        <v>0</v>
      </c>
      <c r="DW276" s="341">
        <v>0</v>
      </c>
      <c r="DX276" s="341">
        <v>0</v>
      </c>
      <c r="DY276" s="341">
        <v>0</v>
      </c>
      <c r="DZ276" s="341">
        <v>0</v>
      </c>
      <c r="EA276" s="341">
        <v>0</v>
      </c>
      <c r="EB276" s="341">
        <v>0</v>
      </c>
      <c r="EC276" s="341">
        <v>0</v>
      </c>
      <c r="ED276" s="341">
        <v>0</v>
      </c>
      <c r="EE276" s="341">
        <v>0</v>
      </c>
      <c r="EF276" s="341">
        <v>0</v>
      </c>
      <c r="EG276" s="341">
        <v>0</v>
      </c>
      <c r="EH276" s="341">
        <v>0</v>
      </c>
      <c r="EI276" s="341">
        <v>0</v>
      </c>
      <c r="EJ276" s="341">
        <v>0</v>
      </c>
      <c r="EK276" s="341">
        <v>0</v>
      </c>
      <c r="EL276" s="341">
        <v>0</v>
      </c>
      <c r="EM276" s="341">
        <v>0</v>
      </c>
      <c r="EN276" s="341">
        <v>0</v>
      </c>
      <c r="EO276" s="341">
        <v>0</v>
      </c>
      <c r="EP276" s="341">
        <v>0</v>
      </c>
      <c r="EQ276" s="341">
        <v>0</v>
      </c>
      <c r="ER276" s="341">
        <v>0</v>
      </c>
      <c r="ES276" s="341">
        <v>0</v>
      </c>
      <c r="ET276" s="341">
        <v>0</v>
      </c>
      <c r="EU276" s="341">
        <v>0</v>
      </c>
      <c r="EV276" s="341">
        <v>0</v>
      </c>
      <c r="EW276" s="341">
        <v>0</v>
      </c>
      <c r="EX276" s="341">
        <v>0</v>
      </c>
      <c r="EY276" s="341">
        <v>0</v>
      </c>
      <c r="EZ276" s="341">
        <v>0</v>
      </c>
      <c r="FA276" s="341">
        <v>0</v>
      </c>
      <c r="FB276" s="341">
        <v>0</v>
      </c>
      <c r="FC276" s="341">
        <v>0</v>
      </c>
      <c r="FD276" s="341">
        <v>0</v>
      </c>
      <c r="FE276" s="341">
        <v>0</v>
      </c>
      <c r="FF276" s="341">
        <v>0</v>
      </c>
      <c r="FG276" s="341">
        <v>0</v>
      </c>
      <c r="FH276" s="341">
        <v>0</v>
      </c>
      <c r="FI276" s="341">
        <v>0</v>
      </c>
      <c r="FJ276" s="341">
        <v>0</v>
      </c>
      <c r="FK276" s="341">
        <v>0</v>
      </c>
      <c r="FL276" s="341">
        <v>0</v>
      </c>
      <c r="FM276" s="341">
        <v>0</v>
      </c>
      <c r="FN276" s="341">
        <v>0</v>
      </c>
      <c r="FO276" s="341">
        <v>0</v>
      </c>
      <c r="FP276" s="341">
        <v>0</v>
      </c>
      <c r="FQ276" s="341">
        <v>0</v>
      </c>
      <c r="FR276" s="341">
        <v>0</v>
      </c>
      <c r="FS276" s="341">
        <v>0</v>
      </c>
      <c r="FT276" s="341">
        <v>0</v>
      </c>
      <c r="FU276" s="341">
        <v>0</v>
      </c>
      <c r="FV276" s="341">
        <v>0</v>
      </c>
      <c r="FW276" s="341">
        <v>0</v>
      </c>
      <c r="FX276" s="341">
        <v>0</v>
      </c>
      <c r="FY276" s="341">
        <v>0</v>
      </c>
      <c r="FZ276" s="341">
        <v>0</v>
      </c>
      <c r="GA276" s="341">
        <v>0</v>
      </c>
      <c r="GB276" s="341">
        <v>0</v>
      </c>
      <c r="GC276" s="341">
        <v>0</v>
      </c>
      <c r="GD276" s="341">
        <v>0</v>
      </c>
      <c r="GE276" s="341">
        <v>0</v>
      </c>
      <c r="GF276" s="341">
        <v>0</v>
      </c>
      <c r="GG276" s="341">
        <v>0</v>
      </c>
      <c r="GH276" s="341">
        <v>0</v>
      </c>
      <c r="GI276" s="341">
        <v>0</v>
      </c>
      <c r="GJ276" s="341">
        <v>0</v>
      </c>
      <c r="GK276" s="341">
        <v>0</v>
      </c>
      <c r="GL276" s="341">
        <v>0</v>
      </c>
      <c r="GM276" s="341">
        <v>0</v>
      </c>
      <c r="GN276" s="341">
        <v>0</v>
      </c>
      <c r="GO276" s="341">
        <v>0</v>
      </c>
      <c r="GP276" s="341">
        <v>0</v>
      </c>
      <c r="GQ276" s="341">
        <v>0</v>
      </c>
      <c r="GR276" s="341">
        <v>0</v>
      </c>
      <c r="GS276" s="341">
        <v>0</v>
      </c>
      <c r="GT276" s="341">
        <v>0</v>
      </c>
      <c r="GU276" s="341">
        <v>0</v>
      </c>
      <c r="GV276" s="341">
        <v>0</v>
      </c>
      <c r="GW276" s="341">
        <v>0</v>
      </c>
      <c r="GX276" s="341">
        <v>0</v>
      </c>
      <c r="GY276" s="341">
        <v>0</v>
      </c>
      <c r="GZ276" s="341">
        <v>0</v>
      </c>
      <c r="HA276" s="341">
        <v>0</v>
      </c>
      <c r="HB276" s="341">
        <v>0</v>
      </c>
      <c r="HC276" s="341">
        <v>0</v>
      </c>
      <c r="HD276" s="341">
        <v>0</v>
      </c>
      <c r="HE276" s="341">
        <v>0</v>
      </c>
      <c r="HF276" s="341">
        <v>0</v>
      </c>
      <c r="HG276" s="341">
        <v>0</v>
      </c>
      <c r="HH276" s="341">
        <v>0</v>
      </c>
      <c r="HI276" s="341">
        <v>0</v>
      </c>
      <c r="HJ276" s="341">
        <v>0</v>
      </c>
      <c r="HK276" s="341">
        <v>0</v>
      </c>
      <c r="HL276" s="341">
        <v>0</v>
      </c>
      <c r="HM276" s="341">
        <v>0</v>
      </c>
      <c r="HN276" s="341">
        <v>0</v>
      </c>
      <c r="HO276" s="341">
        <v>0</v>
      </c>
      <c r="HP276" s="341">
        <v>0</v>
      </c>
      <c r="HQ276" s="341">
        <v>0</v>
      </c>
      <c r="HR276" s="341">
        <v>0</v>
      </c>
      <c r="HS276" s="341">
        <v>0</v>
      </c>
      <c r="HT276" s="341">
        <v>0</v>
      </c>
      <c r="HU276" s="341">
        <v>0</v>
      </c>
      <c r="HV276" s="341">
        <v>0</v>
      </c>
      <c r="HW276" s="341">
        <v>0</v>
      </c>
      <c r="HX276" s="341">
        <v>0</v>
      </c>
      <c r="HY276" s="341">
        <v>0</v>
      </c>
      <c r="HZ276" s="341">
        <v>0</v>
      </c>
      <c r="IA276" s="341">
        <v>0</v>
      </c>
      <c r="IB276" s="341">
        <v>0</v>
      </c>
      <c r="IC276" s="341">
        <v>0</v>
      </c>
      <c r="ID276" s="341">
        <v>0</v>
      </c>
      <c r="IE276" s="341">
        <v>0</v>
      </c>
      <c r="IF276" s="341">
        <v>0</v>
      </c>
      <c r="IG276" s="341">
        <v>0</v>
      </c>
      <c r="IH276" s="341">
        <v>0</v>
      </c>
      <c r="II276" s="341">
        <v>0</v>
      </c>
      <c r="IJ276" s="341">
        <v>0</v>
      </c>
      <c r="IK276" s="341">
        <v>0</v>
      </c>
      <c r="IL276" s="341">
        <v>0</v>
      </c>
      <c r="IM276" s="341">
        <v>0</v>
      </c>
      <c r="IN276" s="341">
        <v>0</v>
      </c>
      <c r="IO276" s="341">
        <v>0</v>
      </c>
      <c r="IP276" s="341">
        <v>0</v>
      </c>
      <c r="IQ276" s="341">
        <v>0</v>
      </c>
      <c r="IR276" s="341">
        <v>0</v>
      </c>
      <c r="IS276" s="341">
        <v>0</v>
      </c>
      <c r="IT276" s="341">
        <v>0</v>
      </c>
      <c r="IU276" s="341">
        <v>0</v>
      </c>
      <c r="IV276" s="341">
        <v>0</v>
      </c>
      <c r="IW276" s="341">
        <v>0</v>
      </c>
      <c r="IX276" s="341">
        <v>0</v>
      </c>
      <c r="IY276" s="341">
        <v>0</v>
      </c>
      <c r="IZ276" s="341">
        <v>0</v>
      </c>
      <c r="JA276" s="341">
        <v>0</v>
      </c>
      <c r="JB276" s="341">
        <v>0</v>
      </c>
      <c r="JC276" s="341">
        <v>0</v>
      </c>
      <c r="JD276" s="341">
        <v>0</v>
      </c>
      <c r="JE276" s="341">
        <v>0</v>
      </c>
      <c r="JF276" s="341">
        <v>0</v>
      </c>
      <c r="JG276" s="341">
        <v>0</v>
      </c>
      <c r="JH276" s="341">
        <v>0</v>
      </c>
      <c r="JI276" s="341">
        <v>0</v>
      </c>
      <c r="JJ276" s="341">
        <v>0</v>
      </c>
      <c r="JK276" s="341">
        <v>0</v>
      </c>
      <c r="JL276" s="341">
        <v>0</v>
      </c>
      <c r="JM276" s="341">
        <v>0</v>
      </c>
      <c r="JN276" s="341">
        <v>0</v>
      </c>
      <c r="JO276" s="341">
        <v>0</v>
      </c>
      <c r="JP276" s="341">
        <v>0</v>
      </c>
      <c r="JQ276" s="341">
        <v>0</v>
      </c>
      <c r="JR276" s="341">
        <v>0</v>
      </c>
      <c r="JS276" s="341">
        <v>0</v>
      </c>
      <c r="JT276" s="341">
        <v>0</v>
      </c>
      <c r="JU276" s="341">
        <v>0</v>
      </c>
      <c r="JV276" s="341">
        <v>0</v>
      </c>
      <c r="JW276" s="341">
        <v>0</v>
      </c>
      <c r="JX276" s="341">
        <v>0</v>
      </c>
      <c r="JY276" s="341">
        <v>0</v>
      </c>
      <c r="JZ276" s="341">
        <v>0</v>
      </c>
      <c r="KA276" s="341">
        <v>0</v>
      </c>
      <c r="KB276" s="341">
        <v>0</v>
      </c>
      <c r="KC276" s="341">
        <v>0</v>
      </c>
      <c r="KD276" s="341">
        <v>0</v>
      </c>
      <c r="KE276" s="341">
        <v>0</v>
      </c>
      <c r="KF276" s="341">
        <v>0</v>
      </c>
      <c r="KG276" s="341">
        <v>0</v>
      </c>
      <c r="KH276" s="341">
        <v>0</v>
      </c>
      <c r="KI276" s="341">
        <v>0</v>
      </c>
      <c r="KJ276" s="341">
        <v>0</v>
      </c>
      <c r="KK276" s="341">
        <v>0</v>
      </c>
      <c r="KL276" s="341">
        <v>0</v>
      </c>
      <c r="KM276" s="341">
        <v>0</v>
      </c>
      <c r="KN276" s="341">
        <v>0</v>
      </c>
      <c r="KO276" s="341">
        <v>0</v>
      </c>
      <c r="KP276" s="341">
        <v>0</v>
      </c>
      <c r="KQ276" s="341">
        <v>0</v>
      </c>
      <c r="KR276" s="341">
        <v>0</v>
      </c>
      <c r="KS276" s="341">
        <v>0</v>
      </c>
      <c r="KT276" s="341">
        <v>0</v>
      </c>
      <c r="KU276" s="341">
        <v>0</v>
      </c>
      <c r="KV276" s="341">
        <v>0</v>
      </c>
      <c r="KW276" s="341">
        <v>0</v>
      </c>
      <c r="KX276" s="341">
        <v>0</v>
      </c>
      <c r="KY276" s="341">
        <v>0</v>
      </c>
      <c r="KZ276" s="341">
        <v>0</v>
      </c>
      <c r="LA276" s="341">
        <v>0</v>
      </c>
      <c r="LB276" s="341">
        <v>0</v>
      </c>
      <c r="LC276" s="341">
        <v>0</v>
      </c>
      <c r="LD276" s="341">
        <v>0</v>
      </c>
      <c r="LE276" s="341">
        <v>0</v>
      </c>
      <c r="LF276" s="341">
        <v>0</v>
      </c>
      <c r="LG276" s="341">
        <v>0</v>
      </c>
      <c r="LH276" s="341">
        <v>0</v>
      </c>
      <c r="LI276" s="341">
        <v>0</v>
      </c>
      <c r="LJ276" s="341">
        <v>0</v>
      </c>
      <c r="LK276" s="341">
        <v>0</v>
      </c>
      <c r="LL276" s="341">
        <v>0</v>
      </c>
      <c r="LM276" s="341">
        <v>0</v>
      </c>
      <c r="LN276" s="341">
        <v>0</v>
      </c>
      <c r="LO276" s="341">
        <v>0</v>
      </c>
      <c r="LP276" s="341">
        <v>0</v>
      </c>
      <c r="LQ276" s="341">
        <v>0</v>
      </c>
      <c r="LR276" s="341">
        <v>0</v>
      </c>
      <c r="LS276" s="341">
        <v>0</v>
      </c>
      <c r="LT276" s="341">
        <v>0</v>
      </c>
      <c r="LU276" s="341">
        <v>0</v>
      </c>
      <c r="LV276" s="341">
        <v>0</v>
      </c>
      <c r="LW276" s="341">
        <v>0</v>
      </c>
      <c r="LX276" s="341">
        <v>0</v>
      </c>
      <c r="LY276" s="341">
        <v>0</v>
      </c>
      <c r="LZ276" s="341">
        <v>0</v>
      </c>
      <c r="MA276" s="341">
        <v>0</v>
      </c>
      <c r="MB276" s="341">
        <v>0</v>
      </c>
      <c r="MC276" s="341">
        <v>0</v>
      </c>
      <c r="MD276" s="341">
        <v>0</v>
      </c>
      <c r="ME276" s="341">
        <v>0</v>
      </c>
      <c r="MF276" s="341">
        <v>0</v>
      </c>
      <c r="MG276" s="341">
        <v>0</v>
      </c>
      <c r="MH276" s="341">
        <v>0</v>
      </c>
      <c r="MI276" s="341">
        <v>0</v>
      </c>
      <c r="MJ276" s="341">
        <v>0</v>
      </c>
      <c r="MK276" s="341">
        <v>0</v>
      </c>
      <c r="ML276" s="341">
        <v>0</v>
      </c>
      <c r="MM276" s="341">
        <v>0</v>
      </c>
      <c r="MN276" s="341">
        <v>0</v>
      </c>
      <c r="MO276" s="341">
        <v>0</v>
      </c>
      <c r="MP276" s="341">
        <v>0</v>
      </c>
      <c r="MQ276" s="341">
        <v>0</v>
      </c>
      <c r="MR276" s="341">
        <v>0</v>
      </c>
      <c r="MS276" s="341">
        <v>0</v>
      </c>
      <c r="MT276" s="341">
        <v>0</v>
      </c>
      <c r="MU276" s="341">
        <v>0</v>
      </c>
      <c r="MV276" s="341">
        <v>0</v>
      </c>
      <c r="MW276" s="341">
        <v>0</v>
      </c>
      <c r="MX276" s="341">
        <v>0</v>
      </c>
      <c r="MY276" s="341">
        <v>0</v>
      </c>
      <c r="MZ276" s="341">
        <v>0</v>
      </c>
      <c r="NA276" s="341">
        <v>0</v>
      </c>
      <c r="NB276" s="341">
        <v>0</v>
      </c>
      <c r="NC276" s="341">
        <v>0</v>
      </c>
      <c r="ND276" s="341">
        <v>0</v>
      </c>
      <c r="NE276" s="341">
        <v>0</v>
      </c>
      <c r="NF276" s="341">
        <v>0</v>
      </c>
      <c r="NG276" s="341">
        <v>0</v>
      </c>
      <c r="NH276" s="341">
        <v>0</v>
      </c>
      <c r="NI276" s="341">
        <v>0</v>
      </c>
      <c r="NJ276" s="341">
        <v>0</v>
      </c>
      <c r="NK276" s="341">
        <v>0</v>
      </c>
      <c r="NL276" s="341">
        <v>0</v>
      </c>
      <c r="NM276" s="341">
        <v>0</v>
      </c>
      <c r="NN276" s="341">
        <v>0</v>
      </c>
      <c r="NO276" s="341">
        <v>0</v>
      </c>
      <c r="NP276" s="341">
        <v>0</v>
      </c>
      <c r="NQ276" s="341">
        <v>0</v>
      </c>
      <c r="NR276" s="341">
        <v>0</v>
      </c>
      <c r="NS276" s="341">
        <v>0</v>
      </c>
      <c r="NT276" s="341">
        <v>0</v>
      </c>
      <c r="NU276" s="341">
        <v>0</v>
      </c>
      <c r="NV276" s="341">
        <v>0</v>
      </c>
      <c r="NW276" s="341">
        <v>0</v>
      </c>
      <c r="NX276" s="341">
        <v>0</v>
      </c>
      <c r="NY276" s="341">
        <v>0</v>
      </c>
      <c r="NZ276" s="341">
        <v>0</v>
      </c>
      <c r="OA276" s="341">
        <v>0</v>
      </c>
      <c r="OB276" s="341">
        <v>0</v>
      </c>
      <c r="OC276" s="341">
        <v>0</v>
      </c>
      <c r="OD276" s="341">
        <v>0</v>
      </c>
      <c r="OE276" s="341">
        <v>0</v>
      </c>
    </row>
    <row r="277" spans="2:395" x14ac:dyDescent="0.3">
      <c r="B277" s="117"/>
      <c r="D277" s="119"/>
      <c r="K277" s="65"/>
      <c r="L277" s="55"/>
      <c r="M277" s="66"/>
      <c r="N277" s="159" t="s">
        <v>247</v>
      </c>
      <c r="O277" s="186"/>
      <c r="P277" s="187" t="s">
        <v>31</v>
      </c>
      <c r="Q277" s="342" cm="1">
        <f t="array" ref="Q277:OE277">100%-_xlfn.ANCHORARRAY(Q276)</f>
        <v>1</v>
      </c>
      <c r="R277" s="342">
        <v>1</v>
      </c>
      <c r="S277" s="342">
        <v>0.5</v>
      </c>
      <c r="T277" s="342">
        <v>0.5</v>
      </c>
      <c r="U277" s="342">
        <v>1</v>
      </c>
      <c r="V277" s="342">
        <v>1</v>
      </c>
      <c r="W277" s="342">
        <v>1</v>
      </c>
      <c r="X277" s="342">
        <v>1</v>
      </c>
      <c r="Y277" s="342">
        <v>1</v>
      </c>
      <c r="Z277" s="342">
        <v>1</v>
      </c>
      <c r="AA277" s="342">
        <v>1</v>
      </c>
      <c r="AB277" s="342">
        <v>1</v>
      </c>
      <c r="AC277" s="342">
        <v>1</v>
      </c>
      <c r="AD277" s="342">
        <v>1</v>
      </c>
      <c r="AE277" s="342">
        <v>1</v>
      </c>
      <c r="AF277" s="342">
        <v>1</v>
      </c>
      <c r="AG277" s="342">
        <v>1</v>
      </c>
      <c r="AH277" s="342">
        <v>1</v>
      </c>
      <c r="AI277" s="342">
        <v>1</v>
      </c>
      <c r="AJ277" s="342">
        <v>1</v>
      </c>
      <c r="AK277" s="342">
        <v>1</v>
      </c>
      <c r="AL277" s="342">
        <v>1</v>
      </c>
      <c r="AM277" s="342">
        <v>1</v>
      </c>
      <c r="AN277" s="342">
        <v>1</v>
      </c>
      <c r="AO277" s="342">
        <v>1</v>
      </c>
      <c r="AP277" s="342">
        <v>1</v>
      </c>
      <c r="AQ277" s="342">
        <v>1</v>
      </c>
      <c r="AR277" s="342">
        <v>1</v>
      </c>
      <c r="AS277" s="342">
        <v>1</v>
      </c>
      <c r="AT277" s="342">
        <v>1</v>
      </c>
      <c r="AU277" s="342">
        <v>1</v>
      </c>
      <c r="AV277" s="342">
        <v>1</v>
      </c>
      <c r="AW277" s="342">
        <v>1</v>
      </c>
      <c r="AX277" s="342">
        <v>1</v>
      </c>
      <c r="AY277" s="342">
        <v>1</v>
      </c>
      <c r="AZ277" s="342">
        <v>1</v>
      </c>
      <c r="BA277" s="342">
        <v>1</v>
      </c>
      <c r="BB277" s="342">
        <v>1</v>
      </c>
      <c r="BC277" s="342">
        <v>1</v>
      </c>
      <c r="BD277" s="342">
        <v>1</v>
      </c>
      <c r="BE277" s="342">
        <v>1</v>
      </c>
      <c r="BF277" s="342">
        <v>1</v>
      </c>
      <c r="BG277" s="342">
        <v>1</v>
      </c>
      <c r="BH277" s="342">
        <v>1</v>
      </c>
      <c r="BI277" s="342">
        <v>1</v>
      </c>
      <c r="BJ277" s="342">
        <v>1</v>
      </c>
      <c r="BK277" s="342">
        <v>1</v>
      </c>
      <c r="BL277" s="342">
        <v>1</v>
      </c>
      <c r="BM277" s="342">
        <v>1</v>
      </c>
      <c r="BN277" s="342">
        <v>1</v>
      </c>
      <c r="BO277" s="342">
        <v>1</v>
      </c>
      <c r="BP277" s="342">
        <v>1</v>
      </c>
      <c r="BQ277" s="342">
        <v>1</v>
      </c>
      <c r="BR277" s="342">
        <v>1</v>
      </c>
      <c r="BS277" s="342">
        <v>1</v>
      </c>
      <c r="BT277" s="342">
        <v>1</v>
      </c>
      <c r="BU277" s="342">
        <v>1</v>
      </c>
      <c r="BV277" s="342">
        <v>1</v>
      </c>
      <c r="BW277" s="342">
        <v>1</v>
      </c>
      <c r="BX277" s="342">
        <v>1</v>
      </c>
      <c r="BY277" s="342">
        <v>1</v>
      </c>
      <c r="BZ277" s="342">
        <v>1</v>
      </c>
      <c r="CA277" s="342">
        <v>1</v>
      </c>
      <c r="CB277" s="342">
        <v>1</v>
      </c>
      <c r="CC277" s="342">
        <v>1</v>
      </c>
      <c r="CD277" s="342">
        <v>1</v>
      </c>
      <c r="CE277" s="342">
        <v>1</v>
      </c>
      <c r="CF277" s="342">
        <v>1</v>
      </c>
      <c r="CG277" s="342">
        <v>1</v>
      </c>
      <c r="CH277" s="342">
        <v>1</v>
      </c>
      <c r="CI277" s="342">
        <v>1</v>
      </c>
      <c r="CJ277" s="342">
        <v>1</v>
      </c>
      <c r="CK277" s="342">
        <v>1</v>
      </c>
      <c r="CL277" s="342">
        <v>1</v>
      </c>
      <c r="CM277" s="342">
        <v>1</v>
      </c>
      <c r="CN277" s="342">
        <v>1</v>
      </c>
      <c r="CO277" s="342">
        <v>1</v>
      </c>
      <c r="CP277" s="342">
        <v>1</v>
      </c>
      <c r="CQ277" s="342">
        <v>1</v>
      </c>
      <c r="CR277" s="342">
        <v>1</v>
      </c>
      <c r="CS277" s="342">
        <v>1</v>
      </c>
      <c r="CT277" s="342">
        <v>1</v>
      </c>
      <c r="CU277" s="342">
        <v>1</v>
      </c>
      <c r="CV277" s="342">
        <v>1</v>
      </c>
      <c r="CW277" s="342">
        <v>1</v>
      </c>
      <c r="CX277" s="342">
        <v>1</v>
      </c>
      <c r="CY277" s="342">
        <v>1</v>
      </c>
      <c r="CZ277" s="342">
        <v>1</v>
      </c>
      <c r="DA277" s="342">
        <v>1</v>
      </c>
      <c r="DB277" s="342">
        <v>1</v>
      </c>
      <c r="DC277" s="342">
        <v>1</v>
      </c>
      <c r="DD277" s="342">
        <v>1</v>
      </c>
      <c r="DE277" s="342">
        <v>1</v>
      </c>
      <c r="DF277" s="342">
        <v>1</v>
      </c>
      <c r="DG277" s="342">
        <v>1</v>
      </c>
      <c r="DH277" s="342">
        <v>1</v>
      </c>
      <c r="DI277" s="342">
        <v>1</v>
      </c>
      <c r="DJ277" s="342">
        <v>1</v>
      </c>
      <c r="DK277" s="342">
        <v>1</v>
      </c>
      <c r="DL277" s="342">
        <v>1</v>
      </c>
      <c r="DM277" s="342">
        <v>1</v>
      </c>
      <c r="DN277" s="342">
        <v>1</v>
      </c>
      <c r="DO277" s="342">
        <v>1</v>
      </c>
      <c r="DP277" s="342">
        <v>1</v>
      </c>
      <c r="DQ277" s="342">
        <v>1</v>
      </c>
      <c r="DR277" s="342">
        <v>1</v>
      </c>
      <c r="DS277" s="342">
        <v>1</v>
      </c>
      <c r="DT277" s="342">
        <v>1</v>
      </c>
      <c r="DU277" s="342">
        <v>1</v>
      </c>
      <c r="DV277" s="342">
        <v>1</v>
      </c>
      <c r="DW277" s="342">
        <v>1</v>
      </c>
      <c r="DX277" s="342">
        <v>1</v>
      </c>
      <c r="DY277" s="342">
        <v>1</v>
      </c>
      <c r="DZ277" s="342">
        <v>1</v>
      </c>
      <c r="EA277" s="342">
        <v>1</v>
      </c>
      <c r="EB277" s="342">
        <v>1</v>
      </c>
      <c r="EC277" s="342">
        <v>1</v>
      </c>
      <c r="ED277" s="342">
        <v>1</v>
      </c>
      <c r="EE277" s="342">
        <v>1</v>
      </c>
      <c r="EF277" s="342">
        <v>1</v>
      </c>
      <c r="EG277" s="342">
        <v>1</v>
      </c>
      <c r="EH277" s="342">
        <v>1</v>
      </c>
      <c r="EI277" s="342">
        <v>1</v>
      </c>
      <c r="EJ277" s="342">
        <v>1</v>
      </c>
      <c r="EK277" s="342">
        <v>1</v>
      </c>
      <c r="EL277" s="342">
        <v>1</v>
      </c>
      <c r="EM277" s="342">
        <v>1</v>
      </c>
      <c r="EN277" s="342">
        <v>1</v>
      </c>
      <c r="EO277" s="342">
        <v>1</v>
      </c>
      <c r="EP277" s="342">
        <v>1</v>
      </c>
      <c r="EQ277" s="342">
        <v>1</v>
      </c>
      <c r="ER277" s="342">
        <v>1</v>
      </c>
      <c r="ES277" s="342">
        <v>1</v>
      </c>
      <c r="ET277" s="342">
        <v>1</v>
      </c>
      <c r="EU277" s="342">
        <v>1</v>
      </c>
      <c r="EV277" s="342">
        <v>1</v>
      </c>
      <c r="EW277" s="342">
        <v>1</v>
      </c>
      <c r="EX277" s="342">
        <v>1</v>
      </c>
      <c r="EY277" s="342">
        <v>1</v>
      </c>
      <c r="EZ277" s="342">
        <v>1</v>
      </c>
      <c r="FA277" s="342">
        <v>1</v>
      </c>
      <c r="FB277" s="342">
        <v>1</v>
      </c>
      <c r="FC277" s="342">
        <v>1</v>
      </c>
      <c r="FD277" s="342">
        <v>1</v>
      </c>
      <c r="FE277" s="342">
        <v>1</v>
      </c>
      <c r="FF277" s="342">
        <v>1</v>
      </c>
      <c r="FG277" s="342">
        <v>1</v>
      </c>
      <c r="FH277" s="342">
        <v>1</v>
      </c>
      <c r="FI277" s="342">
        <v>1</v>
      </c>
      <c r="FJ277" s="342">
        <v>1</v>
      </c>
      <c r="FK277" s="342">
        <v>1</v>
      </c>
      <c r="FL277" s="342">
        <v>1</v>
      </c>
      <c r="FM277" s="342">
        <v>1</v>
      </c>
      <c r="FN277" s="342">
        <v>1</v>
      </c>
      <c r="FO277" s="342">
        <v>1</v>
      </c>
      <c r="FP277" s="342">
        <v>1</v>
      </c>
      <c r="FQ277" s="342">
        <v>1</v>
      </c>
      <c r="FR277" s="342">
        <v>1</v>
      </c>
      <c r="FS277" s="342">
        <v>1</v>
      </c>
      <c r="FT277" s="342">
        <v>1</v>
      </c>
      <c r="FU277" s="342">
        <v>1</v>
      </c>
      <c r="FV277" s="342">
        <v>1</v>
      </c>
      <c r="FW277" s="342">
        <v>1</v>
      </c>
      <c r="FX277" s="342">
        <v>1</v>
      </c>
      <c r="FY277" s="342">
        <v>1</v>
      </c>
      <c r="FZ277" s="342">
        <v>1</v>
      </c>
      <c r="GA277" s="342">
        <v>1</v>
      </c>
      <c r="GB277" s="342">
        <v>1</v>
      </c>
      <c r="GC277" s="342">
        <v>1</v>
      </c>
      <c r="GD277" s="342">
        <v>1</v>
      </c>
      <c r="GE277" s="342">
        <v>1</v>
      </c>
      <c r="GF277" s="342">
        <v>1</v>
      </c>
      <c r="GG277" s="342">
        <v>1</v>
      </c>
      <c r="GH277" s="342">
        <v>1</v>
      </c>
      <c r="GI277" s="342">
        <v>1</v>
      </c>
      <c r="GJ277" s="342">
        <v>1</v>
      </c>
      <c r="GK277" s="342">
        <v>1</v>
      </c>
      <c r="GL277" s="342">
        <v>1</v>
      </c>
      <c r="GM277" s="342">
        <v>1</v>
      </c>
      <c r="GN277" s="342">
        <v>1</v>
      </c>
      <c r="GO277" s="342">
        <v>1</v>
      </c>
      <c r="GP277" s="342">
        <v>1</v>
      </c>
      <c r="GQ277" s="342">
        <v>1</v>
      </c>
      <c r="GR277" s="342">
        <v>1</v>
      </c>
      <c r="GS277" s="342">
        <v>1</v>
      </c>
      <c r="GT277" s="342">
        <v>1</v>
      </c>
      <c r="GU277" s="342">
        <v>1</v>
      </c>
      <c r="GV277" s="342">
        <v>1</v>
      </c>
      <c r="GW277" s="342">
        <v>1</v>
      </c>
      <c r="GX277" s="342">
        <v>1</v>
      </c>
      <c r="GY277" s="342">
        <v>1</v>
      </c>
      <c r="GZ277" s="342">
        <v>1</v>
      </c>
      <c r="HA277" s="342">
        <v>1</v>
      </c>
      <c r="HB277" s="342">
        <v>1</v>
      </c>
      <c r="HC277" s="342">
        <v>1</v>
      </c>
      <c r="HD277" s="342">
        <v>1</v>
      </c>
      <c r="HE277" s="342">
        <v>1</v>
      </c>
      <c r="HF277" s="342">
        <v>1</v>
      </c>
      <c r="HG277" s="342">
        <v>1</v>
      </c>
      <c r="HH277" s="342">
        <v>1</v>
      </c>
      <c r="HI277" s="342">
        <v>1</v>
      </c>
      <c r="HJ277" s="342">
        <v>1</v>
      </c>
      <c r="HK277" s="342">
        <v>1</v>
      </c>
      <c r="HL277" s="342">
        <v>1</v>
      </c>
      <c r="HM277" s="342">
        <v>1</v>
      </c>
      <c r="HN277" s="342">
        <v>1</v>
      </c>
      <c r="HO277" s="342">
        <v>1</v>
      </c>
      <c r="HP277" s="342">
        <v>1</v>
      </c>
      <c r="HQ277" s="342">
        <v>1</v>
      </c>
      <c r="HR277" s="342">
        <v>1</v>
      </c>
      <c r="HS277" s="342">
        <v>1</v>
      </c>
      <c r="HT277" s="342">
        <v>1</v>
      </c>
      <c r="HU277" s="342">
        <v>1</v>
      </c>
      <c r="HV277" s="342">
        <v>1</v>
      </c>
      <c r="HW277" s="342">
        <v>1</v>
      </c>
      <c r="HX277" s="342">
        <v>1</v>
      </c>
      <c r="HY277" s="342">
        <v>1</v>
      </c>
      <c r="HZ277" s="342">
        <v>1</v>
      </c>
      <c r="IA277" s="342">
        <v>1</v>
      </c>
      <c r="IB277" s="342">
        <v>1</v>
      </c>
      <c r="IC277" s="342">
        <v>1</v>
      </c>
      <c r="ID277" s="342">
        <v>1</v>
      </c>
      <c r="IE277" s="342">
        <v>1</v>
      </c>
      <c r="IF277" s="342">
        <v>1</v>
      </c>
      <c r="IG277" s="342">
        <v>1</v>
      </c>
      <c r="IH277" s="342">
        <v>1</v>
      </c>
      <c r="II277" s="342">
        <v>1</v>
      </c>
      <c r="IJ277" s="342">
        <v>1</v>
      </c>
      <c r="IK277" s="342">
        <v>1</v>
      </c>
      <c r="IL277" s="342">
        <v>1</v>
      </c>
      <c r="IM277" s="342">
        <v>1</v>
      </c>
      <c r="IN277" s="342">
        <v>1</v>
      </c>
      <c r="IO277" s="342">
        <v>1</v>
      </c>
      <c r="IP277" s="342">
        <v>1</v>
      </c>
      <c r="IQ277" s="342">
        <v>1</v>
      </c>
      <c r="IR277" s="342">
        <v>1</v>
      </c>
      <c r="IS277" s="342">
        <v>1</v>
      </c>
      <c r="IT277" s="342">
        <v>1</v>
      </c>
      <c r="IU277" s="342">
        <v>1</v>
      </c>
      <c r="IV277" s="342">
        <v>1</v>
      </c>
      <c r="IW277" s="342">
        <v>1</v>
      </c>
      <c r="IX277" s="342">
        <v>1</v>
      </c>
      <c r="IY277" s="342">
        <v>1</v>
      </c>
      <c r="IZ277" s="342">
        <v>1</v>
      </c>
      <c r="JA277" s="342">
        <v>1</v>
      </c>
      <c r="JB277" s="342">
        <v>1</v>
      </c>
      <c r="JC277" s="342">
        <v>1</v>
      </c>
      <c r="JD277" s="342">
        <v>1</v>
      </c>
      <c r="JE277" s="342">
        <v>1</v>
      </c>
      <c r="JF277" s="342">
        <v>1</v>
      </c>
      <c r="JG277" s="342">
        <v>1</v>
      </c>
      <c r="JH277" s="342">
        <v>1</v>
      </c>
      <c r="JI277" s="342">
        <v>1</v>
      </c>
      <c r="JJ277" s="342">
        <v>1</v>
      </c>
      <c r="JK277" s="342">
        <v>1</v>
      </c>
      <c r="JL277" s="342">
        <v>1</v>
      </c>
      <c r="JM277" s="342">
        <v>1</v>
      </c>
      <c r="JN277" s="342">
        <v>1</v>
      </c>
      <c r="JO277" s="342">
        <v>1</v>
      </c>
      <c r="JP277" s="342">
        <v>1</v>
      </c>
      <c r="JQ277" s="342">
        <v>1</v>
      </c>
      <c r="JR277" s="342">
        <v>1</v>
      </c>
      <c r="JS277" s="342">
        <v>1</v>
      </c>
      <c r="JT277" s="342">
        <v>1</v>
      </c>
      <c r="JU277" s="342">
        <v>1</v>
      </c>
      <c r="JV277" s="342">
        <v>1</v>
      </c>
      <c r="JW277" s="342">
        <v>1</v>
      </c>
      <c r="JX277" s="342">
        <v>1</v>
      </c>
      <c r="JY277" s="342">
        <v>1</v>
      </c>
      <c r="JZ277" s="342">
        <v>1</v>
      </c>
      <c r="KA277" s="342">
        <v>1</v>
      </c>
      <c r="KB277" s="342">
        <v>1</v>
      </c>
      <c r="KC277" s="342">
        <v>1</v>
      </c>
      <c r="KD277" s="342">
        <v>1</v>
      </c>
      <c r="KE277" s="342">
        <v>1</v>
      </c>
      <c r="KF277" s="342">
        <v>1</v>
      </c>
      <c r="KG277" s="342">
        <v>1</v>
      </c>
      <c r="KH277" s="342">
        <v>1</v>
      </c>
      <c r="KI277" s="342">
        <v>1</v>
      </c>
      <c r="KJ277" s="342">
        <v>1</v>
      </c>
      <c r="KK277" s="342">
        <v>1</v>
      </c>
      <c r="KL277" s="342">
        <v>1</v>
      </c>
      <c r="KM277" s="342">
        <v>1</v>
      </c>
      <c r="KN277" s="342">
        <v>1</v>
      </c>
      <c r="KO277" s="342">
        <v>1</v>
      </c>
      <c r="KP277" s="342">
        <v>1</v>
      </c>
      <c r="KQ277" s="342">
        <v>1</v>
      </c>
      <c r="KR277" s="342">
        <v>1</v>
      </c>
      <c r="KS277" s="342">
        <v>1</v>
      </c>
      <c r="KT277" s="342">
        <v>1</v>
      </c>
      <c r="KU277" s="342">
        <v>1</v>
      </c>
      <c r="KV277" s="342">
        <v>1</v>
      </c>
      <c r="KW277" s="342">
        <v>1</v>
      </c>
      <c r="KX277" s="342">
        <v>1</v>
      </c>
      <c r="KY277" s="342">
        <v>1</v>
      </c>
      <c r="KZ277" s="342">
        <v>1</v>
      </c>
      <c r="LA277" s="342">
        <v>1</v>
      </c>
      <c r="LB277" s="342">
        <v>1</v>
      </c>
      <c r="LC277" s="342">
        <v>1</v>
      </c>
      <c r="LD277" s="342">
        <v>1</v>
      </c>
      <c r="LE277" s="342">
        <v>1</v>
      </c>
      <c r="LF277" s="342">
        <v>1</v>
      </c>
      <c r="LG277" s="342">
        <v>1</v>
      </c>
      <c r="LH277" s="342">
        <v>1</v>
      </c>
      <c r="LI277" s="342">
        <v>1</v>
      </c>
      <c r="LJ277" s="342">
        <v>1</v>
      </c>
      <c r="LK277" s="342">
        <v>1</v>
      </c>
      <c r="LL277" s="342">
        <v>1</v>
      </c>
      <c r="LM277" s="342">
        <v>1</v>
      </c>
      <c r="LN277" s="342">
        <v>1</v>
      </c>
      <c r="LO277" s="342">
        <v>1</v>
      </c>
      <c r="LP277" s="342">
        <v>1</v>
      </c>
      <c r="LQ277" s="342">
        <v>1</v>
      </c>
      <c r="LR277" s="342">
        <v>1</v>
      </c>
      <c r="LS277" s="342">
        <v>1</v>
      </c>
      <c r="LT277" s="342">
        <v>1</v>
      </c>
      <c r="LU277" s="342">
        <v>1</v>
      </c>
      <c r="LV277" s="342">
        <v>1</v>
      </c>
      <c r="LW277" s="342">
        <v>1</v>
      </c>
      <c r="LX277" s="342">
        <v>1</v>
      </c>
      <c r="LY277" s="342">
        <v>1</v>
      </c>
      <c r="LZ277" s="342">
        <v>1</v>
      </c>
      <c r="MA277" s="342">
        <v>1</v>
      </c>
      <c r="MB277" s="342">
        <v>1</v>
      </c>
      <c r="MC277" s="342">
        <v>1</v>
      </c>
      <c r="MD277" s="342">
        <v>1</v>
      </c>
      <c r="ME277" s="342">
        <v>1</v>
      </c>
      <c r="MF277" s="342">
        <v>1</v>
      </c>
      <c r="MG277" s="342">
        <v>1</v>
      </c>
      <c r="MH277" s="342">
        <v>1</v>
      </c>
      <c r="MI277" s="342">
        <v>1</v>
      </c>
      <c r="MJ277" s="342">
        <v>1</v>
      </c>
      <c r="MK277" s="342">
        <v>1</v>
      </c>
      <c r="ML277" s="342">
        <v>1</v>
      </c>
      <c r="MM277" s="342">
        <v>1</v>
      </c>
      <c r="MN277" s="342">
        <v>1</v>
      </c>
      <c r="MO277" s="342">
        <v>1</v>
      </c>
      <c r="MP277" s="342">
        <v>1</v>
      </c>
      <c r="MQ277" s="342">
        <v>1</v>
      </c>
      <c r="MR277" s="342">
        <v>1</v>
      </c>
      <c r="MS277" s="342">
        <v>1</v>
      </c>
      <c r="MT277" s="342">
        <v>1</v>
      </c>
      <c r="MU277" s="342">
        <v>1</v>
      </c>
      <c r="MV277" s="342">
        <v>1</v>
      </c>
      <c r="MW277" s="342">
        <v>1</v>
      </c>
      <c r="MX277" s="342">
        <v>1</v>
      </c>
      <c r="MY277" s="342">
        <v>1</v>
      </c>
      <c r="MZ277" s="342">
        <v>1</v>
      </c>
      <c r="NA277" s="342">
        <v>1</v>
      </c>
      <c r="NB277" s="342">
        <v>1</v>
      </c>
      <c r="NC277" s="342">
        <v>1</v>
      </c>
      <c r="ND277" s="342">
        <v>1</v>
      </c>
      <c r="NE277" s="342">
        <v>1</v>
      </c>
      <c r="NF277" s="342">
        <v>1</v>
      </c>
      <c r="NG277" s="342">
        <v>1</v>
      </c>
      <c r="NH277" s="342">
        <v>1</v>
      </c>
      <c r="NI277" s="342">
        <v>1</v>
      </c>
      <c r="NJ277" s="342">
        <v>1</v>
      </c>
      <c r="NK277" s="342">
        <v>1</v>
      </c>
      <c r="NL277" s="342">
        <v>1</v>
      </c>
      <c r="NM277" s="342">
        <v>1</v>
      </c>
      <c r="NN277" s="342">
        <v>1</v>
      </c>
      <c r="NO277" s="342">
        <v>1</v>
      </c>
      <c r="NP277" s="342">
        <v>1</v>
      </c>
      <c r="NQ277" s="342">
        <v>1</v>
      </c>
      <c r="NR277" s="342">
        <v>1</v>
      </c>
      <c r="NS277" s="342">
        <v>1</v>
      </c>
      <c r="NT277" s="342">
        <v>1</v>
      </c>
      <c r="NU277" s="342">
        <v>1</v>
      </c>
      <c r="NV277" s="342">
        <v>1</v>
      </c>
      <c r="NW277" s="342">
        <v>1</v>
      </c>
      <c r="NX277" s="342">
        <v>1</v>
      </c>
      <c r="NY277" s="342">
        <v>1</v>
      </c>
      <c r="NZ277" s="342">
        <v>1</v>
      </c>
      <c r="OA277" s="342">
        <v>1</v>
      </c>
      <c r="OB277" s="342">
        <v>1</v>
      </c>
      <c r="OC277" s="342">
        <v>1</v>
      </c>
      <c r="OD277" s="342">
        <v>1</v>
      </c>
      <c r="OE277" s="342">
        <v>1</v>
      </c>
    </row>
    <row r="278" spans="2:395" x14ac:dyDescent="0.3">
      <c r="B278" s="117"/>
      <c r="D278" s="119"/>
      <c r="K278" s="65"/>
      <c r="L278" s="55"/>
      <c r="M278" s="66"/>
      <c r="N278" s="182" t="s">
        <v>215</v>
      </c>
      <c r="O278" s="183"/>
      <c r="P278" s="184"/>
      <c r="Q278" s="183" t="e" cm="1">
        <f t="array" ref="Q278">IF(_xlfn.ANCHORARRAY(Q271)&lt;0,-_xlfn.ANCHORARRAY(Q271),0)</f>
        <v>#REF!</v>
      </c>
    </row>
    <row r="279" spans="2:395" x14ac:dyDescent="0.3">
      <c r="B279" s="117"/>
      <c r="D279" s="119"/>
      <c r="K279" s="65"/>
      <c r="L279" s="55"/>
      <c r="M279" s="66"/>
      <c r="N279" s="158" t="s">
        <v>244</v>
      </c>
      <c r="P279" s="7"/>
      <c r="Q279" t="e" cm="1">
        <f t="array" ref="Q279:OE279">_xlfn.ANCHORARRAY(Q278)*_xlfn.ANCHORARRAY(Q276)</f>
        <v>#REF!</v>
      </c>
      <c r="R279" t="e">
        <v>#REF!</v>
      </c>
      <c r="S279" t="e">
        <v>#REF!</v>
      </c>
      <c r="T279" t="e">
        <v>#REF!</v>
      </c>
      <c r="U279" t="e">
        <v>#REF!</v>
      </c>
      <c r="V279" t="e">
        <v>#REF!</v>
      </c>
      <c r="W279" t="e">
        <v>#REF!</v>
      </c>
      <c r="X279" t="e">
        <v>#REF!</v>
      </c>
      <c r="Y279" t="e">
        <v>#REF!</v>
      </c>
      <c r="Z279" t="e">
        <v>#REF!</v>
      </c>
      <c r="AA279" t="e">
        <v>#REF!</v>
      </c>
      <c r="AB279" t="e">
        <v>#REF!</v>
      </c>
      <c r="AC279" t="e">
        <v>#REF!</v>
      </c>
      <c r="AD279" t="e">
        <v>#REF!</v>
      </c>
      <c r="AE279" t="e">
        <v>#REF!</v>
      </c>
      <c r="AF279" t="e">
        <v>#REF!</v>
      </c>
      <c r="AG279" t="e">
        <v>#REF!</v>
      </c>
      <c r="AH279" t="e">
        <v>#REF!</v>
      </c>
      <c r="AI279" t="e">
        <v>#REF!</v>
      </c>
      <c r="AJ279" t="e">
        <v>#REF!</v>
      </c>
      <c r="AK279" t="e">
        <v>#REF!</v>
      </c>
      <c r="AL279" t="e">
        <v>#REF!</v>
      </c>
      <c r="AM279" t="e">
        <v>#REF!</v>
      </c>
      <c r="AN279" t="e">
        <v>#REF!</v>
      </c>
      <c r="AO279" t="e">
        <v>#REF!</v>
      </c>
      <c r="AP279" t="e">
        <v>#REF!</v>
      </c>
      <c r="AQ279" t="e">
        <v>#REF!</v>
      </c>
      <c r="AR279" t="e">
        <v>#REF!</v>
      </c>
      <c r="AS279" t="e">
        <v>#REF!</v>
      </c>
      <c r="AT279" t="e">
        <v>#REF!</v>
      </c>
      <c r="AU279" t="e">
        <v>#REF!</v>
      </c>
      <c r="AV279" t="e">
        <v>#REF!</v>
      </c>
      <c r="AW279" t="e">
        <v>#REF!</v>
      </c>
      <c r="AX279" t="e">
        <v>#REF!</v>
      </c>
      <c r="AY279" t="e">
        <v>#REF!</v>
      </c>
      <c r="AZ279" t="e">
        <v>#REF!</v>
      </c>
      <c r="BA279" t="e">
        <v>#REF!</v>
      </c>
      <c r="BB279" t="e">
        <v>#REF!</v>
      </c>
      <c r="BC279" t="e">
        <v>#REF!</v>
      </c>
      <c r="BD279" t="e">
        <v>#REF!</v>
      </c>
      <c r="BE279" t="e">
        <v>#REF!</v>
      </c>
      <c r="BF279" t="e">
        <v>#REF!</v>
      </c>
      <c r="BG279" t="e">
        <v>#REF!</v>
      </c>
      <c r="BH279" t="e">
        <v>#REF!</v>
      </c>
      <c r="BI279" t="e">
        <v>#REF!</v>
      </c>
      <c r="BJ279" t="e">
        <v>#REF!</v>
      </c>
      <c r="BK279" t="e">
        <v>#REF!</v>
      </c>
      <c r="BL279" t="e">
        <v>#REF!</v>
      </c>
      <c r="BM279" t="e">
        <v>#REF!</v>
      </c>
      <c r="BN279" t="e">
        <v>#REF!</v>
      </c>
      <c r="BO279" t="e">
        <v>#REF!</v>
      </c>
      <c r="BP279" t="e">
        <v>#REF!</v>
      </c>
      <c r="BQ279" t="e">
        <v>#REF!</v>
      </c>
      <c r="BR279" t="e">
        <v>#REF!</v>
      </c>
      <c r="BS279" t="e">
        <v>#REF!</v>
      </c>
      <c r="BT279" t="e">
        <v>#REF!</v>
      </c>
      <c r="BU279" t="e">
        <v>#REF!</v>
      </c>
      <c r="BV279" t="e">
        <v>#REF!</v>
      </c>
      <c r="BW279" t="e">
        <v>#REF!</v>
      </c>
      <c r="BX279" t="e">
        <v>#REF!</v>
      </c>
      <c r="BY279" t="e">
        <v>#REF!</v>
      </c>
      <c r="BZ279" t="e">
        <v>#REF!</v>
      </c>
      <c r="CA279" t="e">
        <v>#REF!</v>
      </c>
      <c r="CB279" t="e">
        <v>#REF!</v>
      </c>
      <c r="CC279" t="e">
        <v>#REF!</v>
      </c>
      <c r="CD279" t="e">
        <v>#REF!</v>
      </c>
      <c r="CE279" t="e">
        <v>#REF!</v>
      </c>
      <c r="CF279" t="e">
        <v>#REF!</v>
      </c>
      <c r="CG279" t="e">
        <v>#REF!</v>
      </c>
      <c r="CH279" t="e">
        <v>#REF!</v>
      </c>
      <c r="CI279" t="e">
        <v>#REF!</v>
      </c>
      <c r="CJ279" t="e">
        <v>#REF!</v>
      </c>
      <c r="CK279" t="e">
        <v>#REF!</v>
      </c>
      <c r="CL279" t="e">
        <v>#REF!</v>
      </c>
      <c r="CM279" t="e">
        <v>#REF!</v>
      </c>
      <c r="CN279" t="e">
        <v>#REF!</v>
      </c>
      <c r="CO279" t="e">
        <v>#REF!</v>
      </c>
      <c r="CP279" t="e">
        <v>#REF!</v>
      </c>
      <c r="CQ279" t="e">
        <v>#REF!</v>
      </c>
      <c r="CR279" t="e">
        <v>#REF!</v>
      </c>
      <c r="CS279" t="e">
        <v>#REF!</v>
      </c>
      <c r="CT279" t="e">
        <v>#REF!</v>
      </c>
      <c r="CU279" t="e">
        <v>#REF!</v>
      </c>
      <c r="CV279" t="e">
        <v>#REF!</v>
      </c>
      <c r="CW279" t="e">
        <v>#REF!</v>
      </c>
      <c r="CX279" t="e">
        <v>#REF!</v>
      </c>
      <c r="CY279" t="e">
        <v>#REF!</v>
      </c>
      <c r="CZ279" t="e">
        <v>#REF!</v>
      </c>
      <c r="DA279" t="e">
        <v>#REF!</v>
      </c>
      <c r="DB279" t="e">
        <v>#REF!</v>
      </c>
      <c r="DC279" t="e">
        <v>#REF!</v>
      </c>
      <c r="DD279" t="e">
        <v>#REF!</v>
      </c>
      <c r="DE279" t="e">
        <v>#REF!</v>
      </c>
      <c r="DF279" t="e">
        <v>#REF!</v>
      </c>
      <c r="DG279" t="e">
        <v>#REF!</v>
      </c>
      <c r="DH279" t="e">
        <v>#REF!</v>
      </c>
      <c r="DI279" t="e">
        <v>#REF!</v>
      </c>
      <c r="DJ279" t="e">
        <v>#REF!</v>
      </c>
      <c r="DK279" t="e">
        <v>#REF!</v>
      </c>
      <c r="DL279" t="e">
        <v>#REF!</v>
      </c>
      <c r="DM279" t="e">
        <v>#REF!</v>
      </c>
      <c r="DN279" t="e">
        <v>#REF!</v>
      </c>
      <c r="DO279" t="e">
        <v>#REF!</v>
      </c>
      <c r="DP279" t="e">
        <v>#REF!</v>
      </c>
      <c r="DQ279" t="e">
        <v>#REF!</v>
      </c>
      <c r="DR279" t="e">
        <v>#REF!</v>
      </c>
      <c r="DS279" t="e">
        <v>#REF!</v>
      </c>
      <c r="DT279" t="e">
        <v>#REF!</v>
      </c>
      <c r="DU279" t="e">
        <v>#REF!</v>
      </c>
      <c r="DV279" t="e">
        <v>#REF!</v>
      </c>
      <c r="DW279" t="e">
        <v>#REF!</v>
      </c>
      <c r="DX279" t="e">
        <v>#REF!</v>
      </c>
      <c r="DY279" t="e">
        <v>#REF!</v>
      </c>
      <c r="DZ279" t="e">
        <v>#REF!</v>
      </c>
      <c r="EA279" t="e">
        <v>#REF!</v>
      </c>
      <c r="EB279" t="e">
        <v>#REF!</v>
      </c>
      <c r="EC279" t="e">
        <v>#REF!</v>
      </c>
      <c r="ED279" t="e">
        <v>#REF!</v>
      </c>
      <c r="EE279" t="e">
        <v>#REF!</v>
      </c>
      <c r="EF279" t="e">
        <v>#REF!</v>
      </c>
      <c r="EG279" t="e">
        <v>#REF!</v>
      </c>
      <c r="EH279" t="e">
        <v>#REF!</v>
      </c>
      <c r="EI279" t="e">
        <v>#REF!</v>
      </c>
      <c r="EJ279" t="e">
        <v>#REF!</v>
      </c>
      <c r="EK279" t="e">
        <v>#REF!</v>
      </c>
      <c r="EL279" t="e">
        <v>#REF!</v>
      </c>
      <c r="EM279" t="e">
        <v>#REF!</v>
      </c>
      <c r="EN279" t="e">
        <v>#REF!</v>
      </c>
      <c r="EO279" t="e">
        <v>#REF!</v>
      </c>
      <c r="EP279" t="e">
        <v>#REF!</v>
      </c>
      <c r="EQ279" t="e">
        <v>#REF!</v>
      </c>
      <c r="ER279" t="e">
        <v>#REF!</v>
      </c>
      <c r="ES279" t="e">
        <v>#REF!</v>
      </c>
      <c r="ET279" t="e">
        <v>#REF!</v>
      </c>
      <c r="EU279" t="e">
        <v>#REF!</v>
      </c>
      <c r="EV279" t="e">
        <v>#REF!</v>
      </c>
      <c r="EW279" t="e">
        <v>#REF!</v>
      </c>
      <c r="EX279" t="e">
        <v>#REF!</v>
      </c>
      <c r="EY279" t="e">
        <v>#REF!</v>
      </c>
      <c r="EZ279" t="e">
        <v>#REF!</v>
      </c>
      <c r="FA279" t="e">
        <v>#REF!</v>
      </c>
      <c r="FB279" t="e">
        <v>#REF!</v>
      </c>
      <c r="FC279" t="e">
        <v>#REF!</v>
      </c>
      <c r="FD279" t="e">
        <v>#REF!</v>
      </c>
      <c r="FE279" t="e">
        <v>#REF!</v>
      </c>
      <c r="FF279" t="e">
        <v>#REF!</v>
      </c>
      <c r="FG279" t="e">
        <v>#REF!</v>
      </c>
      <c r="FH279" t="e">
        <v>#REF!</v>
      </c>
      <c r="FI279" t="e">
        <v>#REF!</v>
      </c>
      <c r="FJ279" t="e">
        <v>#REF!</v>
      </c>
      <c r="FK279" t="e">
        <v>#REF!</v>
      </c>
      <c r="FL279" t="e">
        <v>#REF!</v>
      </c>
      <c r="FM279" t="e">
        <v>#REF!</v>
      </c>
      <c r="FN279" t="e">
        <v>#REF!</v>
      </c>
      <c r="FO279" t="e">
        <v>#REF!</v>
      </c>
      <c r="FP279" t="e">
        <v>#REF!</v>
      </c>
      <c r="FQ279" t="e">
        <v>#REF!</v>
      </c>
      <c r="FR279" t="e">
        <v>#REF!</v>
      </c>
      <c r="FS279" t="e">
        <v>#REF!</v>
      </c>
      <c r="FT279" t="e">
        <v>#REF!</v>
      </c>
      <c r="FU279" t="e">
        <v>#REF!</v>
      </c>
      <c r="FV279" t="e">
        <v>#REF!</v>
      </c>
      <c r="FW279" t="e">
        <v>#REF!</v>
      </c>
      <c r="FX279" t="e">
        <v>#REF!</v>
      </c>
      <c r="FY279" t="e">
        <v>#REF!</v>
      </c>
      <c r="FZ279" t="e">
        <v>#REF!</v>
      </c>
      <c r="GA279" t="e">
        <v>#REF!</v>
      </c>
      <c r="GB279" t="e">
        <v>#REF!</v>
      </c>
      <c r="GC279" t="e">
        <v>#REF!</v>
      </c>
      <c r="GD279" t="e">
        <v>#REF!</v>
      </c>
      <c r="GE279" t="e">
        <v>#REF!</v>
      </c>
      <c r="GF279" t="e">
        <v>#REF!</v>
      </c>
      <c r="GG279" t="e">
        <v>#REF!</v>
      </c>
      <c r="GH279" t="e">
        <v>#REF!</v>
      </c>
      <c r="GI279" t="e">
        <v>#REF!</v>
      </c>
      <c r="GJ279" t="e">
        <v>#REF!</v>
      </c>
      <c r="GK279" t="e">
        <v>#REF!</v>
      </c>
      <c r="GL279" t="e">
        <v>#REF!</v>
      </c>
      <c r="GM279" t="e">
        <v>#REF!</v>
      </c>
      <c r="GN279" t="e">
        <v>#REF!</v>
      </c>
      <c r="GO279" t="e">
        <v>#REF!</v>
      </c>
      <c r="GP279" t="e">
        <v>#REF!</v>
      </c>
      <c r="GQ279" t="e">
        <v>#REF!</v>
      </c>
      <c r="GR279" t="e">
        <v>#REF!</v>
      </c>
      <c r="GS279" t="e">
        <v>#REF!</v>
      </c>
      <c r="GT279" t="e">
        <v>#REF!</v>
      </c>
      <c r="GU279" t="e">
        <v>#REF!</v>
      </c>
      <c r="GV279" t="e">
        <v>#REF!</v>
      </c>
      <c r="GW279" t="e">
        <v>#REF!</v>
      </c>
      <c r="GX279" t="e">
        <v>#REF!</v>
      </c>
      <c r="GY279" t="e">
        <v>#REF!</v>
      </c>
      <c r="GZ279" t="e">
        <v>#REF!</v>
      </c>
      <c r="HA279" t="e">
        <v>#REF!</v>
      </c>
      <c r="HB279" t="e">
        <v>#REF!</v>
      </c>
      <c r="HC279" t="e">
        <v>#REF!</v>
      </c>
      <c r="HD279" t="e">
        <v>#REF!</v>
      </c>
      <c r="HE279" t="e">
        <v>#REF!</v>
      </c>
      <c r="HF279" t="e">
        <v>#REF!</v>
      </c>
      <c r="HG279" t="e">
        <v>#REF!</v>
      </c>
      <c r="HH279" t="e">
        <v>#REF!</v>
      </c>
      <c r="HI279" t="e">
        <v>#REF!</v>
      </c>
      <c r="HJ279" t="e">
        <v>#REF!</v>
      </c>
      <c r="HK279" t="e">
        <v>#REF!</v>
      </c>
      <c r="HL279" t="e">
        <v>#REF!</v>
      </c>
      <c r="HM279" t="e">
        <v>#REF!</v>
      </c>
      <c r="HN279" t="e">
        <v>#REF!</v>
      </c>
      <c r="HO279" t="e">
        <v>#REF!</v>
      </c>
      <c r="HP279" t="e">
        <v>#REF!</v>
      </c>
      <c r="HQ279" t="e">
        <v>#REF!</v>
      </c>
      <c r="HR279" t="e">
        <v>#REF!</v>
      </c>
      <c r="HS279" t="e">
        <v>#REF!</v>
      </c>
      <c r="HT279" t="e">
        <v>#REF!</v>
      </c>
      <c r="HU279" t="e">
        <v>#REF!</v>
      </c>
      <c r="HV279" t="e">
        <v>#REF!</v>
      </c>
      <c r="HW279" t="e">
        <v>#REF!</v>
      </c>
      <c r="HX279" t="e">
        <v>#REF!</v>
      </c>
      <c r="HY279" t="e">
        <v>#REF!</v>
      </c>
      <c r="HZ279" t="e">
        <v>#REF!</v>
      </c>
      <c r="IA279" t="e">
        <v>#REF!</v>
      </c>
      <c r="IB279" t="e">
        <v>#REF!</v>
      </c>
      <c r="IC279" t="e">
        <v>#REF!</v>
      </c>
      <c r="ID279" t="e">
        <v>#REF!</v>
      </c>
      <c r="IE279" t="e">
        <v>#REF!</v>
      </c>
      <c r="IF279" t="e">
        <v>#REF!</v>
      </c>
      <c r="IG279" t="e">
        <v>#REF!</v>
      </c>
      <c r="IH279" t="e">
        <v>#REF!</v>
      </c>
      <c r="II279" t="e">
        <v>#REF!</v>
      </c>
      <c r="IJ279" t="e">
        <v>#REF!</v>
      </c>
      <c r="IK279" t="e">
        <v>#REF!</v>
      </c>
      <c r="IL279" t="e">
        <v>#REF!</v>
      </c>
      <c r="IM279" t="e">
        <v>#REF!</v>
      </c>
      <c r="IN279" t="e">
        <v>#REF!</v>
      </c>
      <c r="IO279" t="e">
        <v>#REF!</v>
      </c>
      <c r="IP279" t="e">
        <v>#REF!</v>
      </c>
      <c r="IQ279" t="e">
        <v>#REF!</v>
      </c>
      <c r="IR279" t="e">
        <v>#REF!</v>
      </c>
      <c r="IS279" t="e">
        <v>#REF!</v>
      </c>
      <c r="IT279" t="e">
        <v>#REF!</v>
      </c>
      <c r="IU279" t="e">
        <v>#REF!</v>
      </c>
      <c r="IV279" t="e">
        <v>#REF!</v>
      </c>
      <c r="IW279" t="e">
        <v>#REF!</v>
      </c>
      <c r="IX279" t="e">
        <v>#REF!</v>
      </c>
      <c r="IY279" t="e">
        <v>#REF!</v>
      </c>
      <c r="IZ279" t="e">
        <v>#REF!</v>
      </c>
      <c r="JA279" t="e">
        <v>#REF!</v>
      </c>
      <c r="JB279" t="e">
        <v>#REF!</v>
      </c>
      <c r="JC279" t="e">
        <v>#REF!</v>
      </c>
      <c r="JD279" t="e">
        <v>#REF!</v>
      </c>
      <c r="JE279" t="e">
        <v>#REF!</v>
      </c>
      <c r="JF279" t="e">
        <v>#REF!</v>
      </c>
      <c r="JG279" t="e">
        <v>#REF!</v>
      </c>
      <c r="JH279" t="e">
        <v>#REF!</v>
      </c>
      <c r="JI279" t="e">
        <v>#REF!</v>
      </c>
      <c r="JJ279" t="e">
        <v>#REF!</v>
      </c>
      <c r="JK279" t="e">
        <v>#REF!</v>
      </c>
      <c r="JL279" t="e">
        <v>#REF!</v>
      </c>
      <c r="JM279" t="e">
        <v>#REF!</v>
      </c>
      <c r="JN279" t="e">
        <v>#REF!</v>
      </c>
      <c r="JO279" t="e">
        <v>#REF!</v>
      </c>
      <c r="JP279" t="e">
        <v>#REF!</v>
      </c>
      <c r="JQ279" t="e">
        <v>#REF!</v>
      </c>
      <c r="JR279" t="e">
        <v>#REF!</v>
      </c>
      <c r="JS279" t="e">
        <v>#REF!</v>
      </c>
      <c r="JT279" t="e">
        <v>#REF!</v>
      </c>
      <c r="JU279" t="e">
        <v>#REF!</v>
      </c>
      <c r="JV279" t="e">
        <v>#REF!</v>
      </c>
      <c r="JW279" t="e">
        <v>#REF!</v>
      </c>
      <c r="JX279" t="e">
        <v>#REF!</v>
      </c>
      <c r="JY279" t="e">
        <v>#REF!</v>
      </c>
      <c r="JZ279" t="e">
        <v>#REF!</v>
      </c>
      <c r="KA279" t="e">
        <v>#REF!</v>
      </c>
      <c r="KB279" t="e">
        <v>#REF!</v>
      </c>
      <c r="KC279" t="e">
        <v>#REF!</v>
      </c>
      <c r="KD279" t="e">
        <v>#REF!</v>
      </c>
      <c r="KE279" t="e">
        <v>#REF!</v>
      </c>
      <c r="KF279" t="e">
        <v>#REF!</v>
      </c>
      <c r="KG279" t="e">
        <v>#REF!</v>
      </c>
      <c r="KH279" t="e">
        <v>#REF!</v>
      </c>
      <c r="KI279" t="e">
        <v>#REF!</v>
      </c>
      <c r="KJ279" t="e">
        <v>#REF!</v>
      </c>
      <c r="KK279" t="e">
        <v>#REF!</v>
      </c>
      <c r="KL279" t="e">
        <v>#REF!</v>
      </c>
      <c r="KM279" t="e">
        <v>#REF!</v>
      </c>
      <c r="KN279" t="e">
        <v>#REF!</v>
      </c>
      <c r="KO279" t="e">
        <v>#REF!</v>
      </c>
      <c r="KP279" t="e">
        <v>#REF!</v>
      </c>
      <c r="KQ279" t="e">
        <v>#REF!</v>
      </c>
      <c r="KR279" t="e">
        <v>#REF!</v>
      </c>
      <c r="KS279" t="e">
        <v>#REF!</v>
      </c>
      <c r="KT279" t="e">
        <v>#REF!</v>
      </c>
      <c r="KU279" t="e">
        <v>#REF!</v>
      </c>
      <c r="KV279" t="e">
        <v>#REF!</v>
      </c>
      <c r="KW279" t="e">
        <v>#REF!</v>
      </c>
      <c r="KX279" t="e">
        <v>#REF!</v>
      </c>
      <c r="KY279" t="e">
        <v>#REF!</v>
      </c>
      <c r="KZ279" t="e">
        <v>#REF!</v>
      </c>
      <c r="LA279" t="e">
        <v>#REF!</v>
      </c>
      <c r="LB279" t="e">
        <v>#REF!</v>
      </c>
      <c r="LC279" t="e">
        <v>#REF!</v>
      </c>
      <c r="LD279" t="e">
        <v>#REF!</v>
      </c>
      <c r="LE279" t="e">
        <v>#REF!</v>
      </c>
      <c r="LF279" t="e">
        <v>#REF!</v>
      </c>
      <c r="LG279" t="e">
        <v>#REF!</v>
      </c>
      <c r="LH279" t="e">
        <v>#REF!</v>
      </c>
      <c r="LI279" t="e">
        <v>#REF!</v>
      </c>
      <c r="LJ279" t="e">
        <v>#REF!</v>
      </c>
      <c r="LK279" t="e">
        <v>#REF!</v>
      </c>
      <c r="LL279" t="e">
        <v>#REF!</v>
      </c>
      <c r="LM279" t="e">
        <v>#REF!</v>
      </c>
      <c r="LN279" t="e">
        <v>#REF!</v>
      </c>
      <c r="LO279" t="e">
        <v>#REF!</v>
      </c>
      <c r="LP279" t="e">
        <v>#REF!</v>
      </c>
      <c r="LQ279" t="e">
        <v>#REF!</v>
      </c>
      <c r="LR279" t="e">
        <v>#REF!</v>
      </c>
      <c r="LS279" t="e">
        <v>#REF!</v>
      </c>
      <c r="LT279" t="e">
        <v>#REF!</v>
      </c>
      <c r="LU279" t="e">
        <v>#REF!</v>
      </c>
      <c r="LV279" t="e">
        <v>#REF!</v>
      </c>
      <c r="LW279" t="e">
        <v>#REF!</v>
      </c>
      <c r="LX279" t="e">
        <v>#REF!</v>
      </c>
      <c r="LY279" t="e">
        <v>#REF!</v>
      </c>
      <c r="LZ279" t="e">
        <v>#REF!</v>
      </c>
      <c r="MA279" t="e">
        <v>#REF!</v>
      </c>
      <c r="MB279" t="e">
        <v>#REF!</v>
      </c>
      <c r="MC279" t="e">
        <v>#REF!</v>
      </c>
      <c r="MD279" t="e">
        <v>#REF!</v>
      </c>
      <c r="ME279" t="e">
        <v>#REF!</v>
      </c>
      <c r="MF279" t="e">
        <v>#REF!</v>
      </c>
      <c r="MG279" t="e">
        <v>#REF!</v>
      </c>
      <c r="MH279" t="e">
        <v>#REF!</v>
      </c>
      <c r="MI279" t="e">
        <v>#REF!</v>
      </c>
      <c r="MJ279" t="e">
        <v>#REF!</v>
      </c>
      <c r="MK279" t="e">
        <v>#REF!</v>
      </c>
      <c r="ML279" t="e">
        <v>#REF!</v>
      </c>
      <c r="MM279" t="e">
        <v>#REF!</v>
      </c>
      <c r="MN279" t="e">
        <v>#REF!</v>
      </c>
      <c r="MO279" t="e">
        <v>#REF!</v>
      </c>
      <c r="MP279" t="e">
        <v>#REF!</v>
      </c>
      <c r="MQ279" t="e">
        <v>#REF!</v>
      </c>
      <c r="MR279" t="e">
        <v>#REF!</v>
      </c>
      <c r="MS279" t="e">
        <v>#REF!</v>
      </c>
      <c r="MT279" t="e">
        <v>#REF!</v>
      </c>
      <c r="MU279" t="e">
        <v>#REF!</v>
      </c>
      <c r="MV279" t="e">
        <v>#REF!</v>
      </c>
      <c r="MW279" t="e">
        <v>#REF!</v>
      </c>
      <c r="MX279" t="e">
        <v>#REF!</v>
      </c>
      <c r="MY279" t="e">
        <v>#REF!</v>
      </c>
      <c r="MZ279" t="e">
        <v>#REF!</v>
      </c>
      <c r="NA279" t="e">
        <v>#REF!</v>
      </c>
      <c r="NB279" t="e">
        <v>#REF!</v>
      </c>
      <c r="NC279" t="e">
        <v>#REF!</v>
      </c>
      <c r="ND279" t="e">
        <v>#REF!</v>
      </c>
      <c r="NE279" t="e">
        <v>#REF!</v>
      </c>
      <c r="NF279" t="e">
        <v>#REF!</v>
      </c>
      <c r="NG279" t="e">
        <v>#REF!</v>
      </c>
      <c r="NH279" t="e">
        <v>#REF!</v>
      </c>
      <c r="NI279" t="e">
        <v>#REF!</v>
      </c>
      <c r="NJ279" t="e">
        <v>#REF!</v>
      </c>
      <c r="NK279" t="e">
        <v>#REF!</v>
      </c>
      <c r="NL279" t="e">
        <v>#REF!</v>
      </c>
      <c r="NM279" t="e">
        <v>#REF!</v>
      </c>
      <c r="NN279" t="e">
        <v>#REF!</v>
      </c>
      <c r="NO279" t="e">
        <v>#REF!</v>
      </c>
      <c r="NP279" t="e">
        <v>#REF!</v>
      </c>
      <c r="NQ279" t="e">
        <v>#REF!</v>
      </c>
      <c r="NR279" t="e">
        <v>#REF!</v>
      </c>
      <c r="NS279" t="e">
        <v>#REF!</v>
      </c>
      <c r="NT279" t="e">
        <v>#REF!</v>
      </c>
      <c r="NU279" t="e">
        <v>#REF!</v>
      </c>
      <c r="NV279" t="e">
        <v>#REF!</v>
      </c>
      <c r="NW279" t="e">
        <v>#REF!</v>
      </c>
      <c r="NX279" t="e">
        <v>#REF!</v>
      </c>
      <c r="NY279" t="e">
        <v>#REF!</v>
      </c>
      <c r="NZ279" t="e">
        <v>#REF!</v>
      </c>
      <c r="OA279" t="e">
        <v>#REF!</v>
      </c>
      <c r="OB279" t="e">
        <v>#REF!</v>
      </c>
      <c r="OC279" t="e">
        <v>#REF!</v>
      </c>
      <c r="OD279" t="e">
        <v>#REF!</v>
      </c>
      <c r="OE279" t="e">
        <v>#REF!</v>
      </c>
    </row>
    <row r="280" spans="2:395" x14ac:dyDescent="0.3">
      <c r="B280" s="117"/>
      <c r="D280" s="119"/>
      <c r="K280" s="65"/>
      <c r="L280" s="55"/>
      <c r="M280" s="66"/>
      <c r="N280" s="159" t="s">
        <v>245</v>
      </c>
      <c r="O280" s="5"/>
      <c r="P280" s="28"/>
      <c r="Q280" s="5" t="e" cm="1">
        <f t="array" ref="Q280:OE280">_xlfn.ANCHORARRAY(Q278)*_xlfn.ANCHORARRAY(Q277)</f>
        <v>#REF!</v>
      </c>
      <c r="R280" s="5" t="e">
        <v>#REF!</v>
      </c>
      <c r="S280" s="5" t="e">
        <v>#REF!</v>
      </c>
      <c r="T280" s="5" t="e">
        <v>#REF!</v>
      </c>
      <c r="U280" s="5" t="e">
        <v>#REF!</v>
      </c>
      <c r="V280" s="5" t="e">
        <v>#REF!</v>
      </c>
      <c r="W280" s="5" t="e">
        <v>#REF!</v>
      </c>
      <c r="X280" s="5" t="e">
        <v>#REF!</v>
      </c>
      <c r="Y280" s="5" t="e">
        <v>#REF!</v>
      </c>
      <c r="Z280" s="5" t="e">
        <v>#REF!</v>
      </c>
      <c r="AA280" s="5" t="e">
        <v>#REF!</v>
      </c>
      <c r="AB280" s="5" t="e">
        <v>#REF!</v>
      </c>
      <c r="AC280" s="5" t="e">
        <v>#REF!</v>
      </c>
      <c r="AD280" s="5" t="e">
        <v>#REF!</v>
      </c>
      <c r="AE280" s="5" t="e">
        <v>#REF!</v>
      </c>
      <c r="AF280" s="5" t="e">
        <v>#REF!</v>
      </c>
      <c r="AG280" s="5" t="e">
        <v>#REF!</v>
      </c>
      <c r="AH280" s="5" t="e">
        <v>#REF!</v>
      </c>
      <c r="AI280" s="5" t="e">
        <v>#REF!</v>
      </c>
      <c r="AJ280" s="5" t="e">
        <v>#REF!</v>
      </c>
      <c r="AK280" s="5" t="e">
        <v>#REF!</v>
      </c>
      <c r="AL280" s="5" t="e">
        <v>#REF!</v>
      </c>
      <c r="AM280" s="5" t="e">
        <v>#REF!</v>
      </c>
      <c r="AN280" s="5" t="e">
        <v>#REF!</v>
      </c>
      <c r="AO280" s="5" t="e">
        <v>#REF!</v>
      </c>
      <c r="AP280" s="5" t="e">
        <v>#REF!</v>
      </c>
      <c r="AQ280" s="5" t="e">
        <v>#REF!</v>
      </c>
      <c r="AR280" s="5" t="e">
        <v>#REF!</v>
      </c>
      <c r="AS280" s="5" t="e">
        <v>#REF!</v>
      </c>
      <c r="AT280" s="5" t="e">
        <v>#REF!</v>
      </c>
      <c r="AU280" s="5" t="e">
        <v>#REF!</v>
      </c>
      <c r="AV280" s="5" t="e">
        <v>#REF!</v>
      </c>
      <c r="AW280" s="5" t="e">
        <v>#REF!</v>
      </c>
      <c r="AX280" s="5" t="e">
        <v>#REF!</v>
      </c>
      <c r="AY280" s="5" t="e">
        <v>#REF!</v>
      </c>
      <c r="AZ280" s="5" t="e">
        <v>#REF!</v>
      </c>
      <c r="BA280" s="5" t="e">
        <v>#REF!</v>
      </c>
      <c r="BB280" s="5" t="e">
        <v>#REF!</v>
      </c>
      <c r="BC280" s="5" t="e">
        <v>#REF!</v>
      </c>
      <c r="BD280" s="5" t="e">
        <v>#REF!</v>
      </c>
      <c r="BE280" s="5" t="e">
        <v>#REF!</v>
      </c>
      <c r="BF280" s="5" t="e">
        <v>#REF!</v>
      </c>
      <c r="BG280" s="5" t="e">
        <v>#REF!</v>
      </c>
      <c r="BH280" s="5" t="e">
        <v>#REF!</v>
      </c>
      <c r="BI280" s="5" t="e">
        <v>#REF!</v>
      </c>
      <c r="BJ280" s="5" t="e">
        <v>#REF!</v>
      </c>
      <c r="BK280" s="5" t="e">
        <v>#REF!</v>
      </c>
      <c r="BL280" s="5" t="e">
        <v>#REF!</v>
      </c>
      <c r="BM280" s="5" t="e">
        <v>#REF!</v>
      </c>
      <c r="BN280" s="5" t="e">
        <v>#REF!</v>
      </c>
      <c r="BO280" s="5" t="e">
        <v>#REF!</v>
      </c>
      <c r="BP280" s="5" t="e">
        <v>#REF!</v>
      </c>
      <c r="BQ280" s="5" t="e">
        <v>#REF!</v>
      </c>
      <c r="BR280" s="5" t="e">
        <v>#REF!</v>
      </c>
      <c r="BS280" s="5" t="e">
        <v>#REF!</v>
      </c>
      <c r="BT280" s="5" t="e">
        <v>#REF!</v>
      </c>
      <c r="BU280" s="5" t="e">
        <v>#REF!</v>
      </c>
      <c r="BV280" s="5" t="e">
        <v>#REF!</v>
      </c>
      <c r="BW280" s="5" t="e">
        <v>#REF!</v>
      </c>
      <c r="BX280" s="5" t="e">
        <v>#REF!</v>
      </c>
      <c r="BY280" s="5" t="e">
        <v>#REF!</v>
      </c>
      <c r="BZ280" s="5" t="e">
        <v>#REF!</v>
      </c>
      <c r="CA280" s="5" t="e">
        <v>#REF!</v>
      </c>
      <c r="CB280" s="5" t="e">
        <v>#REF!</v>
      </c>
      <c r="CC280" s="5" t="e">
        <v>#REF!</v>
      </c>
      <c r="CD280" s="5" t="e">
        <v>#REF!</v>
      </c>
      <c r="CE280" s="5" t="e">
        <v>#REF!</v>
      </c>
      <c r="CF280" s="5" t="e">
        <v>#REF!</v>
      </c>
      <c r="CG280" s="5" t="e">
        <v>#REF!</v>
      </c>
      <c r="CH280" s="5" t="e">
        <v>#REF!</v>
      </c>
      <c r="CI280" s="5" t="e">
        <v>#REF!</v>
      </c>
      <c r="CJ280" s="5" t="e">
        <v>#REF!</v>
      </c>
      <c r="CK280" s="5" t="e">
        <v>#REF!</v>
      </c>
      <c r="CL280" s="5" t="e">
        <v>#REF!</v>
      </c>
      <c r="CM280" s="5" t="e">
        <v>#REF!</v>
      </c>
      <c r="CN280" s="5" t="e">
        <v>#REF!</v>
      </c>
      <c r="CO280" s="5" t="e">
        <v>#REF!</v>
      </c>
      <c r="CP280" s="5" t="e">
        <v>#REF!</v>
      </c>
      <c r="CQ280" s="5" t="e">
        <v>#REF!</v>
      </c>
      <c r="CR280" s="5" t="e">
        <v>#REF!</v>
      </c>
      <c r="CS280" s="5" t="e">
        <v>#REF!</v>
      </c>
      <c r="CT280" s="5" t="e">
        <v>#REF!</v>
      </c>
      <c r="CU280" s="5" t="e">
        <v>#REF!</v>
      </c>
      <c r="CV280" s="5" t="e">
        <v>#REF!</v>
      </c>
      <c r="CW280" s="5" t="e">
        <v>#REF!</v>
      </c>
      <c r="CX280" s="5" t="e">
        <v>#REF!</v>
      </c>
      <c r="CY280" s="5" t="e">
        <v>#REF!</v>
      </c>
      <c r="CZ280" s="5" t="e">
        <v>#REF!</v>
      </c>
      <c r="DA280" s="5" t="e">
        <v>#REF!</v>
      </c>
      <c r="DB280" s="5" t="e">
        <v>#REF!</v>
      </c>
      <c r="DC280" s="5" t="e">
        <v>#REF!</v>
      </c>
      <c r="DD280" s="5" t="e">
        <v>#REF!</v>
      </c>
      <c r="DE280" s="5" t="e">
        <v>#REF!</v>
      </c>
      <c r="DF280" s="5" t="e">
        <v>#REF!</v>
      </c>
      <c r="DG280" s="5" t="e">
        <v>#REF!</v>
      </c>
      <c r="DH280" s="5" t="e">
        <v>#REF!</v>
      </c>
      <c r="DI280" s="5" t="e">
        <v>#REF!</v>
      </c>
      <c r="DJ280" s="5" t="e">
        <v>#REF!</v>
      </c>
      <c r="DK280" s="5" t="e">
        <v>#REF!</v>
      </c>
      <c r="DL280" s="5" t="e">
        <v>#REF!</v>
      </c>
      <c r="DM280" s="5" t="e">
        <v>#REF!</v>
      </c>
      <c r="DN280" s="5" t="e">
        <v>#REF!</v>
      </c>
      <c r="DO280" s="5" t="e">
        <v>#REF!</v>
      </c>
      <c r="DP280" s="5" t="e">
        <v>#REF!</v>
      </c>
      <c r="DQ280" s="5" t="e">
        <v>#REF!</v>
      </c>
      <c r="DR280" s="5" t="e">
        <v>#REF!</v>
      </c>
      <c r="DS280" s="5" t="e">
        <v>#REF!</v>
      </c>
      <c r="DT280" s="5" t="e">
        <v>#REF!</v>
      </c>
      <c r="DU280" s="5" t="e">
        <v>#REF!</v>
      </c>
      <c r="DV280" s="5" t="e">
        <v>#REF!</v>
      </c>
      <c r="DW280" s="5" t="e">
        <v>#REF!</v>
      </c>
      <c r="DX280" s="5" t="e">
        <v>#REF!</v>
      </c>
      <c r="DY280" s="5" t="e">
        <v>#REF!</v>
      </c>
      <c r="DZ280" s="5" t="e">
        <v>#REF!</v>
      </c>
      <c r="EA280" s="5" t="e">
        <v>#REF!</v>
      </c>
      <c r="EB280" s="5" t="e">
        <v>#REF!</v>
      </c>
      <c r="EC280" s="5" t="e">
        <v>#REF!</v>
      </c>
      <c r="ED280" s="5" t="e">
        <v>#REF!</v>
      </c>
      <c r="EE280" s="5" t="e">
        <v>#REF!</v>
      </c>
      <c r="EF280" s="5" t="e">
        <v>#REF!</v>
      </c>
      <c r="EG280" s="5" t="e">
        <v>#REF!</v>
      </c>
      <c r="EH280" s="5" t="e">
        <v>#REF!</v>
      </c>
      <c r="EI280" s="5" t="e">
        <v>#REF!</v>
      </c>
      <c r="EJ280" s="5" t="e">
        <v>#REF!</v>
      </c>
      <c r="EK280" s="5" t="e">
        <v>#REF!</v>
      </c>
      <c r="EL280" s="5" t="e">
        <v>#REF!</v>
      </c>
      <c r="EM280" s="5" t="e">
        <v>#REF!</v>
      </c>
      <c r="EN280" s="5" t="e">
        <v>#REF!</v>
      </c>
      <c r="EO280" s="5" t="e">
        <v>#REF!</v>
      </c>
      <c r="EP280" s="5" t="e">
        <v>#REF!</v>
      </c>
      <c r="EQ280" s="5" t="e">
        <v>#REF!</v>
      </c>
      <c r="ER280" s="5" t="e">
        <v>#REF!</v>
      </c>
      <c r="ES280" s="5" t="e">
        <v>#REF!</v>
      </c>
      <c r="ET280" s="5" t="e">
        <v>#REF!</v>
      </c>
      <c r="EU280" s="5" t="e">
        <v>#REF!</v>
      </c>
      <c r="EV280" s="5" t="e">
        <v>#REF!</v>
      </c>
      <c r="EW280" s="5" t="e">
        <v>#REF!</v>
      </c>
      <c r="EX280" s="5" t="e">
        <v>#REF!</v>
      </c>
      <c r="EY280" s="5" t="e">
        <v>#REF!</v>
      </c>
      <c r="EZ280" s="5" t="e">
        <v>#REF!</v>
      </c>
      <c r="FA280" s="5" t="e">
        <v>#REF!</v>
      </c>
      <c r="FB280" s="5" t="e">
        <v>#REF!</v>
      </c>
      <c r="FC280" s="5" t="e">
        <v>#REF!</v>
      </c>
      <c r="FD280" s="5" t="e">
        <v>#REF!</v>
      </c>
      <c r="FE280" s="5" t="e">
        <v>#REF!</v>
      </c>
      <c r="FF280" s="5" t="e">
        <v>#REF!</v>
      </c>
      <c r="FG280" s="5" t="e">
        <v>#REF!</v>
      </c>
      <c r="FH280" s="5" t="e">
        <v>#REF!</v>
      </c>
      <c r="FI280" s="5" t="e">
        <v>#REF!</v>
      </c>
      <c r="FJ280" s="5" t="e">
        <v>#REF!</v>
      </c>
      <c r="FK280" s="5" t="e">
        <v>#REF!</v>
      </c>
      <c r="FL280" s="5" t="e">
        <v>#REF!</v>
      </c>
      <c r="FM280" s="5" t="e">
        <v>#REF!</v>
      </c>
      <c r="FN280" s="5" t="e">
        <v>#REF!</v>
      </c>
      <c r="FO280" s="5" t="e">
        <v>#REF!</v>
      </c>
      <c r="FP280" s="5" t="e">
        <v>#REF!</v>
      </c>
      <c r="FQ280" s="5" t="e">
        <v>#REF!</v>
      </c>
      <c r="FR280" s="5" t="e">
        <v>#REF!</v>
      </c>
      <c r="FS280" s="5" t="e">
        <v>#REF!</v>
      </c>
      <c r="FT280" s="5" t="e">
        <v>#REF!</v>
      </c>
      <c r="FU280" s="5" t="e">
        <v>#REF!</v>
      </c>
      <c r="FV280" s="5" t="e">
        <v>#REF!</v>
      </c>
      <c r="FW280" s="5" t="e">
        <v>#REF!</v>
      </c>
      <c r="FX280" s="5" t="e">
        <v>#REF!</v>
      </c>
      <c r="FY280" s="5" t="e">
        <v>#REF!</v>
      </c>
      <c r="FZ280" s="5" t="e">
        <v>#REF!</v>
      </c>
      <c r="GA280" s="5" t="e">
        <v>#REF!</v>
      </c>
      <c r="GB280" s="5" t="e">
        <v>#REF!</v>
      </c>
      <c r="GC280" s="5" t="e">
        <v>#REF!</v>
      </c>
      <c r="GD280" s="5" t="e">
        <v>#REF!</v>
      </c>
      <c r="GE280" s="5" t="e">
        <v>#REF!</v>
      </c>
      <c r="GF280" s="5" t="e">
        <v>#REF!</v>
      </c>
      <c r="GG280" s="5" t="e">
        <v>#REF!</v>
      </c>
      <c r="GH280" s="5" t="e">
        <v>#REF!</v>
      </c>
      <c r="GI280" s="5" t="e">
        <v>#REF!</v>
      </c>
      <c r="GJ280" s="5" t="e">
        <v>#REF!</v>
      </c>
      <c r="GK280" s="5" t="e">
        <v>#REF!</v>
      </c>
      <c r="GL280" s="5" t="e">
        <v>#REF!</v>
      </c>
      <c r="GM280" s="5" t="e">
        <v>#REF!</v>
      </c>
      <c r="GN280" s="5" t="e">
        <v>#REF!</v>
      </c>
      <c r="GO280" s="5" t="e">
        <v>#REF!</v>
      </c>
      <c r="GP280" s="5" t="e">
        <v>#REF!</v>
      </c>
      <c r="GQ280" s="5" t="e">
        <v>#REF!</v>
      </c>
      <c r="GR280" s="5" t="e">
        <v>#REF!</v>
      </c>
      <c r="GS280" s="5" t="e">
        <v>#REF!</v>
      </c>
      <c r="GT280" s="5" t="e">
        <v>#REF!</v>
      </c>
      <c r="GU280" s="5" t="e">
        <v>#REF!</v>
      </c>
      <c r="GV280" s="5" t="e">
        <v>#REF!</v>
      </c>
      <c r="GW280" s="5" t="e">
        <v>#REF!</v>
      </c>
      <c r="GX280" s="5" t="e">
        <v>#REF!</v>
      </c>
      <c r="GY280" s="5" t="e">
        <v>#REF!</v>
      </c>
      <c r="GZ280" s="5" t="e">
        <v>#REF!</v>
      </c>
      <c r="HA280" s="5" t="e">
        <v>#REF!</v>
      </c>
      <c r="HB280" s="5" t="e">
        <v>#REF!</v>
      </c>
      <c r="HC280" s="5" t="e">
        <v>#REF!</v>
      </c>
      <c r="HD280" s="5" t="e">
        <v>#REF!</v>
      </c>
      <c r="HE280" s="5" t="e">
        <v>#REF!</v>
      </c>
      <c r="HF280" s="5" t="e">
        <v>#REF!</v>
      </c>
      <c r="HG280" s="5" t="e">
        <v>#REF!</v>
      </c>
      <c r="HH280" s="5" t="e">
        <v>#REF!</v>
      </c>
      <c r="HI280" s="5" t="e">
        <v>#REF!</v>
      </c>
      <c r="HJ280" s="5" t="e">
        <v>#REF!</v>
      </c>
      <c r="HK280" s="5" t="e">
        <v>#REF!</v>
      </c>
      <c r="HL280" s="5" t="e">
        <v>#REF!</v>
      </c>
      <c r="HM280" s="5" t="e">
        <v>#REF!</v>
      </c>
      <c r="HN280" s="5" t="e">
        <v>#REF!</v>
      </c>
      <c r="HO280" s="5" t="e">
        <v>#REF!</v>
      </c>
      <c r="HP280" s="5" t="e">
        <v>#REF!</v>
      </c>
      <c r="HQ280" s="5" t="e">
        <v>#REF!</v>
      </c>
      <c r="HR280" s="5" t="e">
        <v>#REF!</v>
      </c>
      <c r="HS280" s="5" t="e">
        <v>#REF!</v>
      </c>
      <c r="HT280" s="5" t="e">
        <v>#REF!</v>
      </c>
      <c r="HU280" s="5" t="e">
        <v>#REF!</v>
      </c>
      <c r="HV280" s="5" t="e">
        <v>#REF!</v>
      </c>
      <c r="HW280" s="5" t="e">
        <v>#REF!</v>
      </c>
      <c r="HX280" s="5" t="e">
        <v>#REF!</v>
      </c>
      <c r="HY280" s="5" t="e">
        <v>#REF!</v>
      </c>
      <c r="HZ280" s="5" t="e">
        <v>#REF!</v>
      </c>
      <c r="IA280" s="5" t="e">
        <v>#REF!</v>
      </c>
      <c r="IB280" s="5" t="e">
        <v>#REF!</v>
      </c>
      <c r="IC280" s="5" t="e">
        <v>#REF!</v>
      </c>
      <c r="ID280" s="5" t="e">
        <v>#REF!</v>
      </c>
      <c r="IE280" s="5" t="e">
        <v>#REF!</v>
      </c>
      <c r="IF280" s="5" t="e">
        <v>#REF!</v>
      </c>
      <c r="IG280" s="5" t="e">
        <v>#REF!</v>
      </c>
      <c r="IH280" s="5" t="e">
        <v>#REF!</v>
      </c>
      <c r="II280" s="5" t="e">
        <v>#REF!</v>
      </c>
      <c r="IJ280" s="5" t="e">
        <v>#REF!</v>
      </c>
      <c r="IK280" s="5" t="e">
        <v>#REF!</v>
      </c>
      <c r="IL280" s="5" t="e">
        <v>#REF!</v>
      </c>
      <c r="IM280" s="5" t="e">
        <v>#REF!</v>
      </c>
      <c r="IN280" s="5" t="e">
        <v>#REF!</v>
      </c>
      <c r="IO280" s="5" t="e">
        <v>#REF!</v>
      </c>
      <c r="IP280" s="5" t="e">
        <v>#REF!</v>
      </c>
      <c r="IQ280" s="5" t="e">
        <v>#REF!</v>
      </c>
      <c r="IR280" s="5" t="e">
        <v>#REF!</v>
      </c>
      <c r="IS280" s="5" t="e">
        <v>#REF!</v>
      </c>
      <c r="IT280" s="5" t="e">
        <v>#REF!</v>
      </c>
      <c r="IU280" s="5" t="e">
        <v>#REF!</v>
      </c>
      <c r="IV280" s="5" t="e">
        <v>#REF!</v>
      </c>
      <c r="IW280" s="5" t="e">
        <v>#REF!</v>
      </c>
      <c r="IX280" s="5" t="e">
        <v>#REF!</v>
      </c>
      <c r="IY280" s="5" t="e">
        <v>#REF!</v>
      </c>
      <c r="IZ280" s="5" t="e">
        <v>#REF!</v>
      </c>
      <c r="JA280" s="5" t="e">
        <v>#REF!</v>
      </c>
      <c r="JB280" s="5" t="e">
        <v>#REF!</v>
      </c>
      <c r="JC280" s="5" t="e">
        <v>#REF!</v>
      </c>
      <c r="JD280" s="5" t="e">
        <v>#REF!</v>
      </c>
      <c r="JE280" s="5" t="e">
        <v>#REF!</v>
      </c>
      <c r="JF280" s="5" t="e">
        <v>#REF!</v>
      </c>
      <c r="JG280" s="5" t="e">
        <v>#REF!</v>
      </c>
      <c r="JH280" s="5" t="e">
        <v>#REF!</v>
      </c>
      <c r="JI280" s="5" t="e">
        <v>#REF!</v>
      </c>
      <c r="JJ280" s="5" t="e">
        <v>#REF!</v>
      </c>
      <c r="JK280" s="5" t="e">
        <v>#REF!</v>
      </c>
      <c r="JL280" s="5" t="e">
        <v>#REF!</v>
      </c>
      <c r="JM280" s="5" t="e">
        <v>#REF!</v>
      </c>
      <c r="JN280" s="5" t="e">
        <v>#REF!</v>
      </c>
      <c r="JO280" s="5" t="e">
        <v>#REF!</v>
      </c>
      <c r="JP280" s="5" t="e">
        <v>#REF!</v>
      </c>
      <c r="JQ280" s="5" t="e">
        <v>#REF!</v>
      </c>
      <c r="JR280" s="5" t="e">
        <v>#REF!</v>
      </c>
      <c r="JS280" s="5" t="e">
        <v>#REF!</v>
      </c>
      <c r="JT280" s="5" t="e">
        <v>#REF!</v>
      </c>
      <c r="JU280" s="5" t="e">
        <v>#REF!</v>
      </c>
      <c r="JV280" s="5" t="e">
        <v>#REF!</v>
      </c>
      <c r="JW280" s="5" t="e">
        <v>#REF!</v>
      </c>
      <c r="JX280" s="5" t="e">
        <v>#REF!</v>
      </c>
      <c r="JY280" s="5" t="e">
        <v>#REF!</v>
      </c>
      <c r="JZ280" s="5" t="e">
        <v>#REF!</v>
      </c>
      <c r="KA280" s="5" t="e">
        <v>#REF!</v>
      </c>
      <c r="KB280" s="5" t="e">
        <v>#REF!</v>
      </c>
      <c r="KC280" s="5" t="e">
        <v>#REF!</v>
      </c>
      <c r="KD280" s="5" t="e">
        <v>#REF!</v>
      </c>
      <c r="KE280" s="5" t="e">
        <v>#REF!</v>
      </c>
      <c r="KF280" s="5" t="e">
        <v>#REF!</v>
      </c>
      <c r="KG280" s="5" t="e">
        <v>#REF!</v>
      </c>
      <c r="KH280" s="5" t="e">
        <v>#REF!</v>
      </c>
      <c r="KI280" s="5" t="e">
        <v>#REF!</v>
      </c>
      <c r="KJ280" s="5" t="e">
        <v>#REF!</v>
      </c>
      <c r="KK280" s="5" t="e">
        <v>#REF!</v>
      </c>
      <c r="KL280" s="5" t="e">
        <v>#REF!</v>
      </c>
      <c r="KM280" s="5" t="e">
        <v>#REF!</v>
      </c>
      <c r="KN280" s="5" t="e">
        <v>#REF!</v>
      </c>
      <c r="KO280" s="5" t="e">
        <v>#REF!</v>
      </c>
      <c r="KP280" s="5" t="e">
        <v>#REF!</v>
      </c>
      <c r="KQ280" s="5" t="e">
        <v>#REF!</v>
      </c>
      <c r="KR280" s="5" t="e">
        <v>#REF!</v>
      </c>
      <c r="KS280" s="5" t="e">
        <v>#REF!</v>
      </c>
      <c r="KT280" s="5" t="e">
        <v>#REF!</v>
      </c>
      <c r="KU280" s="5" t="e">
        <v>#REF!</v>
      </c>
      <c r="KV280" s="5" t="e">
        <v>#REF!</v>
      </c>
      <c r="KW280" s="5" t="e">
        <v>#REF!</v>
      </c>
      <c r="KX280" s="5" t="e">
        <v>#REF!</v>
      </c>
      <c r="KY280" s="5" t="e">
        <v>#REF!</v>
      </c>
      <c r="KZ280" s="5" t="e">
        <v>#REF!</v>
      </c>
      <c r="LA280" s="5" t="e">
        <v>#REF!</v>
      </c>
      <c r="LB280" s="5" t="e">
        <v>#REF!</v>
      </c>
      <c r="LC280" s="5" t="e">
        <v>#REF!</v>
      </c>
      <c r="LD280" s="5" t="e">
        <v>#REF!</v>
      </c>
      <c r="LE280" s="5" t="e">
        <v>#REF!</v>
      </c>
      <c r="LF280" s="5" t="e">
        <v>#REF!</v>
      </c>
      <c r="LG280" s="5" t="e">
        <v>#REF!</v>
      </c>
      <c r="LH280" s="5" t="e">
        <v>#REF!</v>
      </c>
      <c r="LI280" s="5" t="e">
        <v>#REF!</v>
      </c>
      <c r="LJ280" s="5" t="e">
        <v>#REF!</v>
      </c>
      <c r="LK280" s="5" t="e">
        <v>#REF!</v>
      </c>
      <c r="LL280" s="5" t="e">
        <v>#REF!</v>
      </c>
      <c r="LM280" s="5" t="e">
        <v>#REF!</v>
      </c>
      <c r="LN280" s="5" t="e">
        <v>#REF!</v>
      </c>
      <c r="LO280" s="5" t="e">
        <v>#REF!</v>
      </c>
      <c r="LP280" s="5" t="e">
        <v>#REF!</v>
      </c>
      <c r="LQ280" s="5" t="e">
        <v>#REF!</v>
      </c>
      <c r="LR280" s="5" t="e">
        <v>#REF!</v>
      </c>
      <c r="LS280" s="5" t="e">
        <v>#REF!</v>
      </c>
      <c r="LT280" s="5" t="e">
        <v>#REF!</v>
      </c>
      <c r="LU280" s="5" t="e">
        <v>#REF!</v>
      </c>
      <c r="LV280" s="5" t="e">
        <v>#REF!</v>
      </c>
      <c r="LW280" s="5" t="e">
        <v>#REF!</v>
      </c>
      <c r="LX280" s="5" t="e">
        <v>#REF!</v>
      </c>
      <c r="LY280" s="5" t="e">
        <v>#REF!</v>
      </c>
      <c r="LZ280" s="5" t="e">
        <v>#REF!</v>
      </c>
      <c r="MA280" s="5" t="e">
        <v>#REF!</v>
      </c>
      <c r="MB280" s="5" t="e">
        <v>#REF!</v>
      </c>
      <c r="MC280" s="5" t="e">
        <v>#REF!</v>
      </c>
      <c r="MD280" s="5" t="e">
        <v>#REF!</v>
      </c>
      <c r="ME280" s="5" t="e">
        <v>#REF!</v>
      </c>
      <c r="MF280" s="5" t="e">
        <v>#REF!</v>
      </c>
      <c r="MG280" s="5" t="e">
        <v>#REF!</v>
      </c>
      <c r="MH280" s="5" t="e">
        <v>#REF!</v>
      </c>
      <c r="MI280" s="5" t="e">
        <v>#REF!</v>
      </c>
      <c r="MJ280" s="5" t="e">
        <v>#REF!</v>
      </c>
      <c r="MK280" s="5" t="e">
        <v>#REF!</v>
      </c>
      <c r="ML280" s="5" t="e">
        <v>#REF!</v>
      </c>
      <c r="MM280" s="5" t="e">
        <v>#REF!</v>
      </c>
      <c r="MN280" s="5" t="e">
        <v>#REF!</v>
      </c>
      <c r="MO280" s="5" t="e">
        <v>#REF!</v>
      </c>
      <c r="MP280" s="5" t="e">
        <v>#REF!</v>
      </c>
      <c r="MQ280" s="5" t="e">
        <v>#REF!</v>
      </c>
      <c r="MR280" s="5" t="e">
        <v>#REF!</v>
      </c>
      <c r="MS280" s="5" t="e">
        <v>#REF!</v>
      </c>
      <c r="MT280" s="5" t="e">
        <v>#REF!</v>
      </c>
      <c r="MU280" s="5" t="e">
        <v>#REF!</v>
      </c>
      <c r="MV280" s="5" t="e">
        <v>#REF!</v>
      </c>
      <c r="MW280" s="5" t="e">
        <v>#REF!</v>
      </c>
      <c r="MX280" s="5" t="e">
        <v>#REF!</v>
      </c>
      <c r="MY280" s="5" t="e">
        <v>#REF!</v>
      </c>
      <c r="MZ280" s="5" t="e">
        <v>#REF!</v>
      </c>
      <c r="NA280" s="5" t="e">
        <v>#REF!</v>
      </c>
      <c r="NB280" s="5" t="e">
        <v>#REF!</v>
      </c>
      <c r="NC280" s="5" t="e">
        <v>#REF!</v>
      </c>
      <c r="ND280" s="5" t="e">
        <v>#REF!</v>
      </c>
      <c r="NE280" s="5" t="e">
        <v>#REF!</v>
      </c>
      <c r="NF280" s="5" t="e">
        <v>#REF!</v>
      </c>
      <c r="NG280" s="5" t="e">
        <v>#REF!</v>
      </c>
      <c r="NH280" s="5" t="e">
        <v>#REF!</v>
      </c>
      <c r="NI280" s="5" t="e">
        <v>#REF!</v>
      </c>
      <c r="NJ280" s="5" t="e">
        <v>#REF!</v>
      </c>
      <c r="NK280" s="5" t="e">
        <v>#REF!</v>
      </c>
      <c r="NL280" s="5" t="e">
        <v>#REF!</v>
      </c>
      <c r="NM280" s="5" t="e">
        <v>#REF!</v>
      </c>
      <c r="NN280" s="5" t="e">
        <v>#REF!</v>
      </c>
      <c r="NO280" s="5" t="e">
        <v>#REF!</v>
      </c>
      <c r="NP280" s="5" t="e">
        <v>#REF!</v>
      </c>
      <c r="NQ280" s="5" t="e">
        <v>#REF!</v>
      </c>
      <c r="NR280" s="5" t="e">
        <v>#REF!</v>
      </c>
      <c r="NS280" s="5" t="e">
        <v>#REF!</v>
      </c>
      <c r="NT280" s="5" t="e">
        <v>#REF!</v>
      </c>
      <c r="NU280" s="5" t="e">
        <v>#REF!</v>
      </c>
      <c r="NV280" s="5" t="e">
        <v>#REF!</v>
      </c>
      <c r="NW280" s="5" t="e">
        <v>#REF!</v>
      </c>
      <c r="NX280" s="5" t="e">
        <v>#REF!</v>
      </c>
      <c r="NY280" s="5" t="e">
        <v>#REF!</v>
      </c>
      <c r="NZ280" s="5" t="e">
        <v>#REF!</v>
      </c>
      <c r="OA280" s="5" t="e">
        <v>#REF!</v>
      </c>
      <c r="OB280" s="5" t="e">
        <v>#REF!</v>
      </c>
      <c r="OC280" s="5" t="e">
        <v>#REF!</v>
      </c>
      <c r="OD280" s="5" t="e">
        <v>#REF!</v>
      </c>
      <c r="OE280" s="5" t="e">
        <v>#REF!</v>
      </c>
    </row>
    <row r="281" spans="2:395" x14ac:dyDescent="0.3">
      <c r="B281" s="117"/>
      <c r="D281" s="119"/>
      <c r="K281" s="65"/>
      <c r="L281" s="55"/>
      <c r="M281" s="66"/>
      <c r="N281" s="182" t="s">
        <v>2</v>
      </c>
      <c r="O281" s="183"/>
      <c r="P281" s="184"/>
      <c r="Q281" s="183" t="e" cm="1">
        <f t="array" ref="Q281">IF(_xlfn.ANCHORARRAY(Q271)&gt;=0,-_xlfn.ANCHORARRAY(Q271),0)</f>
        <v>#REF!</v>
      </c>
    </row>
    <row r="282" spans="2:395" x14ac:dyDescent="0.3">
      <c r="D282" s="285"/>
      <c r="E282" s="25"/>
      <c r="F282" s="25"/>
      <c r="K282" s="65"/>
      <c r="L282" s="55"/>
      <c r="M282" s="66"/>
      <c r="N282" s="158" t="s">
        <v>242</v>
      </c>
      <c r="P282" s="7"/>
      <c r="Q282" t="e" cm="1">
        <f t="array" ref="Q282:OE282">_xlfn.ANCHORARRAY(Q281)*_xlfn.ANCHORARRAY(Q276)</f>
        <v>#REF!</v>
      </c>
      <c r="R282" t="e">
        <v>#REF!</v>
      </c>
      <c r="S282" t="e">
        <v>#REF!</v>
      </c>
      <c r="T282" t="e">
        <v>#REF!</v>
      </c>
      <c r="U282" t="e">
        <v>#REF!</v>
      </c>
      <c r="V282" t="e">
        <v>#REF!</v>
      </c>
      <c r="W282" t="e">
        <v>#REF!</v>
      </c>
      <c r="X282" t="e">
        <v>#REF!</v>
      </c>
      <c r="Y282" t="e">
        <v>#REF!</v>
      </c>
      <c r="Z282" t="e">
        <v>#REF!</v>
      </c>
      <c r="AA282" t="e">
        <v>#REF!</v>
      </c>
      <c r="AB282" t="e">
        <v>#REF!</v>
      </c>
      <c r="AC282" t="e">
        <v>#REF!</v>
      </c>
      <c r="AD282" t="e">
        <v>#REF!</v>
      </c>
      <c r="AE282" t="e">
        <v>#REF!</v>
      </c>
      <c r="AF282" t="e">
        <v>#REF!</v>
      </c>
      <c r="AG282" t="e">
        <v>#REF!</v>
      </c>
      <c r="AH282" t="e">
        <v>#REF!</v>
      </c>
      <c r="AI282" t="e">
        <v>#REF!</v>
      </c>
      <c r="AJ282" t="e">
        <v>#REF!</v>
      </c>
      <c r="AK282" t="e">
        <v>#REF!</v>
      </c>
      <c r="AL282" t="e">
        <v>#REF!</v>
      </c>
      <c r="AM282" t="e">
        <v>#REF!</v>
      </c>
      <c r="AN282" t="e">
        <v>#REF!</v>
      </c>
      <c r="AO282" t="e">
        <v>#REF!</v>
      </c>
      <c r="AP282" t="e">
        <v>#REF!</v>
      </c>
      <c r="AQ282" t="e">
        <v>#REF!</v>
      </c>
      <c r="AR282" t="e">
        <v>#REF!</v>
      </c>
      <c r="AS282" t="e">
        <v>#REF!</v>
      </c>
      <c r="AT282" t="e">
        <v>#REF!</v>
      </c>
      <c r="AU282" t="e">
        <v>#REF!</v>
      </c>
      <c r="AV282" t="e">
        <v>#REF!</v>
      </c>
      <c r="AW282" t="e">
        <v>#REF!</v>
      </c>
      <c r="AX282" t="e">
        <v>#REF!</v>
      </c>
      <c r="AY282" t="e">
        <v>#REF!</v>
      </c>
      <c r="AZ282" t="e">
        <v>#REF!</v>
      </c>
      <c r="BA282" t="e">
        <v>#REF!</v>
      </c>
      <c r="BB282" t="e">
        <v>#REF!</v>
      </c>
      <c r="BC282" t="e">
        <v>#REF!</v>
      </c>
      <c r="BD282" t="e">
        <v>#REF!</v>
      </c>
      <c r="BE282" t="e">
        <v>#REF!</v>
      </c>
      <c r="BF282" t="e">
        <v>#REF!</v>
      </c>
      <c r="BG282" t="e">
        <v>#REF!</v>
      </c>
      <c r="BH282" t="e">
        <v>#REF!</v>
      </c>
      <c r="BI282" t="e">
        <v>#REF!</v>
      </c>
      <c r="BJ282" t="e">
        <v>#REF!</v>
      </c>
      <c r="BK282" t="e">
        <v>#REF!</v>
      </c>
      <c r="BL282" t="e">
        <v>#REF!</v>
      </c>
      <c r="BM282" t="e">
        <v>#REF!</v>
      </c>
      <c r="BN282" t="e">
        <v>#REF!</v>
      </c>
      <c r="BO282" t="e">
        <v>#REF!</v>
      </c>
      <c r="BP282" t="e">
        <v>#REF!</v>
      </c>
      <c r="BQ282" t="e">
        <v>#REF!</v>
      </c>
      <c r="BR282" t="e">
        <v>#REF!</v>
      </c>
      <c r="BS282" t="e">
        <v>#REF!</v>
      </c>
      <c r="BT282" t="e">
        <v>#REF!</v>
      </c>
      <c r="BU282" t="e">
        <v>#REF!</v>
      </c>
      <c r="BV282" t="e">
        <v>#REF!</v>
      </c>
      <c r="BW282" t="e">
        <v>#REF!</v>
      </c>
      <c r="BX282" t="e">
        <v>#REF!</v>
      </c>
      <c r="BY282" t="e">
        <v>#REF!</v>
      </c>
      <c r="BZ282" t="e">
        <v>#REF!</v>
      </c>
      <c r="CA282" t="e">
        <v>#REF!</v>
      </c>
      <c r="CB282" t="e">
        <v>#REF!</v>
      </c>
      <c r="CC282" t="e">
        <v>#REF!</v>
      </c>
      <c r="CD282" t="e">
        <v>#REF!</v>
      </c>
      <c r="CE282" t="e">
        <v>#REF!</v>
      </c>
      <c r="CF282" t="e">
        <v>#REF!</v>
      </c>
      <c r="CG282" t="e">
        <v>#REF!</v>
      </c>
      <c r="CH282" t="e">
        <v>#REF!</v>
      </c>
      <c r="CI282" t="e">
        <v>#REF!</v>
      </c>
      <c r="CJ282" t="e">
        <v>#REF!</v>
      </c>
      <c r="CK282" t="e">
        <v>#REF!</v>
      </c>
      <c r="CL282" t="e">
        <v>#REF!</v>
      </c>
      <c r="CM282" t="e">
        <v>#REF!</v>
      </c>
      <c r="CN282" t="e">
        <v>#REF!</v>
      </c>
      <c r="CO282" t="e">
        <v>#REF!</v>
      </c>
      <c r="CP282" t="e">
        <v>#REF!</v>
      </c>
      <c r="CQ282" t="e">
        <v>#REF!</v>
      </c>
      <c r="CR282" t="e">
        <v>#REF!</v>
      </c>
      <c r="CS282" t="e">
        <v>#REF!</v>
      </c>
      <c r="CT282" t="e">
        <v>#REF!</v>
      </c>
      <c r="CU282" t="e">
        <v>#REF!</v>
      </c>
      <c r="CV282" t="e">
        <v>#REF!</v>
      </c>
      <c r="CW282" t="e">
        <v>#REF!</v>
      </c>
      <c r="CX282" t="e">
        <v>#REF!</v>
      </c>
      <c r="CY282" t="e">
        <v>#REF!</v>
      </c>
      <c r="CZ282" t="e">
        <v>#REF!</v>
      </c>
      <c r="DA282" t="e">
        <v>#REF!</v>
      </c>
      <c r="DB282" t="e">
        <v>#REF!</v>
      </c>
      <c r="DC282" t="e">
        <v>#REF!</v>
      </c>
      <c r="DD282" t="e">
        <v>#REF!</v>
      </c>
      <c r="DE282" t="e">
        <v>#REF!</v>
      </c>
      <c r="DF282" t="e">
        <v>#REF!</v>
      </c>
      <c r="DG282" t="e">
        <v>#REF!</v>
      </c>
      <c r="DH282" t="e">
        <v>#REF!</v>
      </c>
      <c r="DI282" t="e">
        <v>#REF!</v>
      </c>
      <c r="DJ282" t="e">
        <v>#REF!</v>
      </c>
      <c r="DK282" t="e">
        <v>#REF!</v>
      </c>
      <c r="DL282" t="e">
        <v>#REF!</v>
      </c>
      <c r="DM282" t="e">
        <v>#REF!</v>
      </c>
      <c r="DN282" t="e">
        <v>#REF!</v>
      </c>
      <c r="DO282" t="e">
        <v>#REF!</v>
      </c>
      <c r="DP282" t="e">
        <v>#REF!</v>
      </c>
      <c r="DQ282" t="e">
        <v>#REF!</v>
      </c>
      <c r="DR282" t="e">
        <v>#REF!</v>
      </c>
      <c r="DS282" t="e">
        <v>#REF!</v>
      </c>
      <c r="DT282" t="e">
        <v>#REF!</v>
      </c>
      <c r="DU282" t="e">
        <v>#REF!</v>
      </c>
      <c r="DV282" t="e">
        <v>#REF!</v>
      </c>
      <c r="DW282" t="e">
        <v>#REF!</v>
      </c>
      <c r="DX282" t="e">
        <v>#REF!</v>
      </c>
      <c r="DY282" t="e">
        <v>#REF!</v>
      </c>
      <c r="DZ282" t="e">
        <v>#REF!</v>
      </c>
      <c r="EA282" t="e">
        <v>#REF!</v>
      </c>
      <c r="EB282" t="e">
        <v>#REF!</v>
      </c>
      <c r="EC282" t="e">
        <v>#REF!</v>
      </c>
      <c r="ED282" t="e">
        <v>#REF!</v>
      </c>
      <c r="EE282" t="e">
        <v>#REF!</v>
      </c>
      <c r="EF282" t="e">
        <v>#REF!</v>
      </c>
      <c r="EG282" t="e">
        <v>#REF!</v>
      </c>
      <c r="EH282" t="e">
        <v>#REF!</v>
      </c>
      <c r="EI282" t="e">
        <v>#REF!</v>
      </c>
      <c r="EJ282" t="e">
        <v>#REF!</v>
      </c>
      <c r="EK282" t="e">
        <v>#REF!</v>
      </c>
      <c r="EL282" t="e">
        <v>#REF!</v>
      </c>
      <c r="EM282" t="e">
        <v>#REF!</v>
      </c>
      <c r="EN282" t="e">
        <v>#REF!</v>
      </c>
      <c r="EO282" t="e">
        <v>#REF!</v>
      </c>
      <c r="EP282" t="e">
        <v>#REF!</v>
      </c>
      <c r="EQ282" t="e">
        <v>#REF!</v>
      </c>
      <c r="ER282" t="e">
        <v>#REF!</v>
      </c>
      <c r="ES282" t="e">
        <v>#REF!</v>
      </c>
      <c r="ET282" t="e">
        <v>#REF!</v>
      </c>
      <c r="EU282" t="e">
        <v>#REF!</v>
      </c>
      <c r="EV282" t="e">
        <v>#REF!</v>
      </c>
      <c r="EW282" t="e">
        <v>#REF!</v>
      </c>
      <c r="EX282" t="e">
        <v>#REF!</v>
      </c>
      <c r="EY282" t="e">
        <v>#REF!</v>
      </c>
      <c r="EZ282" t="e">
        <v>#REF!</v>
      </c>
      <c r="FA282" t="e">
        <v>#REF!</v>
      </c>
      <c r="FB282" t="e">
        <v>#REF!</v>
      </c>
      <c r="FC282" t="e">
        <v>#REF!</v>
      </c>
      <c r="FD282" t="e">
        <v>#REF!</v>
      </c>
      <c r="FE282" t="e">
        <v>#REF!</v>
      </c>
      <c r="FF282" t="e">
        <v>#REF!</v>
      </c>
      <c r="FG282" t="e">
        <v>#REF!</v>
      </c>
      <c r="FH282" t="e">
        <v>#REF!</v>
      </c>
      <c r="FI282" t="e">
        <v>#REF!</v>
      </c>
      <c r="FJ282" t="e">
        <v>#REF!</v>
      </c>
      <c r="FK282" t="e">
        <v>#REF!</v>
      </c>
      <c r="FL282" t="e">
        <v>#REF!</v>
      </c>
      <c r="FM282" t="e">
        <v>#REF!</v>
      </c>
      <c r="FN282" t="e">
        <v>#REF!</v>
      </c>
      <c r="FO282" t="e">
        <v>#REF!</v>
      </c>
      <c r="FP282" t="e">
        <v>#REF!</v>
      </c>
      <c r="FQ282" t="e">
        <v>#REF!</v>
      </c>
      <c r="FR282" t="e">
        <v>#REF!</v>
      </c>
      <c r="FS282" t="e">
        <v>#REF!</v>
      </c>
      <c r="FT282" t="e">
        <v>#REF!</v>
      </c>
      <c r="FU282" t="e">
        <v>#REF!</v>
      </c>
      <c r="FV282" t="e">
        <v>#REF!</v>
      </c>
      <c r="FW282" t="e">
        <v>#REF!</v>
      </c>
      <c r="FX282" t="e">
        <v>#REF!</v>
      </c>
      <c r="FY282" t="e">
        <v>#REF!</v>
      </c>
      <c r="FZ282" t="e">
        <v>#REF!</v>
      </c>
      <c r="GA282" t="e">
        <v>#REF!</v>
      </c>
      <c r="GB282" t="e">
        <v>#REF!</v>
      </c>
      <c r="GC282" t="e">
        <v>#REF!</v>
      </c>
      <c r="GD282" t="e">
        <v>#REF!</v>
      </c>
      <c r="GE282" t="e">
        <v>#REF!</v>
      </c>
      <c r="GF282" t="e">
        <v>#REF!</v>
      </c>
      <c r="GG282" t="e">
        <v>#REF!</v>
      </c>
      <c r="GH282" t="e">
        <v>#REF!</v>
      </c>
      <c r="GI282" t="e">
        <v>#REF!</v>
      </c>
      <c r="GJ282" t="e">
        <v>#REF!</v>
      </c>
      <c r="GK282" t="e">
        <v>#REF!</v>
      </c>
      <c r="GL282" t="e">
        <v>#REF!</v>
      </c>
      <c r="GM282" t="e">
        <v>#REF!</v>
      </c>
      <c r="GN282" t="e">
        <v>#REF!</v>
      </c>
      <c r="GO282" t="e">
        <v>#REF!</v>
      </c>
      <c r="GP282" t="e">
        <v>#REF!</v>
      </c>
      <c r="GQ282" t="e">
        <v>#REF!</v>
      </c>
      <c r="GR282" t="e">
        <v>#REF!</v>
      </c>
      <c r="GS282" t="e">
        <v>#REF!</v>
      </c>
      <c r="GT282" t="e">
        <v>#REF!</v>
      </c>
      <c r="GU282" t="e">
        <v>#REF!</v>
      </c>
      <c r="GV282" t="e">
        <v>#REF!</v>
      </c>
      <c r="GW282" t="e">
        <v>#REF!</v>
      </c>
      <c r="GX282" t="e">
        <v>#REF!</v>
      </c>
      <c r="GY282" t="e">
        <v>#REF!</v>
      </c>
      <c r="GZ282" t="e">
        <v>#REF!</v>
      </c>
      <c r="HA282" t="e">
        <v>#REF!</v>
      </c>
      <c r="HB282" t="e">
        <v>#REF!</v>
      </c>
      <c r="HC282" t="e">
        <v>#REF!</v>
      </c>
      <c r="HD282" t="e">
        <v>#REF!</v>
      </c>
      <c r="HE282" t="e">
        <v>#REF!</v>
      </c>
      <c r="HF282" t="e">
        <v>#REF!</v>
      </c>
      <c r="HG282" t="e">
        <v>#REF!</v>
      </c>
      <c r="HH282" t="e">
        <v>#REF!</v>
      </c>
      <c r="HI282" t="e">
        <v>#REF!</v>
      </c>
      <c r="HJ282" t="e">
        <v>#REF!</v>
      </c>
      <c r="HK282" t="e">
        <v>#REF!</v>
      </c>
      <c r="HL282" t="e">
        <v>#REF!</v>
      </c>
      <c r="HM282" t="e">
        <v>#REF!</v>
      </c>
      <c r="HN282" t="e">
        <v>#REF!</v>
      </c>
      <c r="HO282" t="e">
        <v>#REF!</v>
      </c>
      <c r="HP282" t="e">
        <v>#REF!</v>
      </c>
      <c r="HQ282" t="e">
        <v>#REF!</v>
      </c>
      <c r="HR282" t="e">
        <v>#REF!</v>
      </c>
      <c r="HS282" t="e">
        <v>#REF!</v>
      </c>
      <c r="HT282" t="e">
        <v>#REF!</v>
      </c>
      <c r="HU282" t="e">
        <v>#REF!</v>
      </c>
      <c r="HV282" t="e">
        <v>#REF!</v>
      </c>
      <c r="HW282" t="e">
        <v>#REF!</v>
      </c>
      <c r="HX282" t="e">
        <v>#REF!</v>
      </c>
      <c r="HY282" t="e">
        <v>#REF!</v>
      </c>
      <c r="HZ282" t="e">
        <v>#REF!</v>
      </c>
      <c r="IA282" t="e">
        <v>#REF!</v>
      </c>
      <c r="IB282" t="e">
        <v>#REF!</v>
      </c>
      <c r="IC282" t="e">
        <v>#REF!</v>
      </c>
      <c r="ID282" t="e">
        <v>#REF!</v>
      </c>
      <c r="IE282" t="e">
        <v>#REF!</v>
      </c>
      <c r="IF282" t="e">
        <v>#REF!</v>
      </c>
      <c r="IG282" t="e">
        <v>#REF!</v>
      </c>
      <c r="IH282" t="e">
        <v>#REF!</v>
      </c>
      <c r="II282" t="e">
        <v>#REF!</v>
      </c>
      <c r="IJ282" t="e">
        <v>#REF!</v>
      </c>
      <c r="IK282" t="e">
        <v>#REF!</v>
      </c>
      <c r="IL282" t="e">
        <v>#REF!</v>
      </c>
      <c r="IM282" t="e">
        <v>#REF!</v>
      </c>
      <c r="IN282" t="e">
        <v>#REF!</v>
      </c>
      <c r="IO282" t="e">
        <v>#REF!</v>
      </c>
      <c r="IP282" t="e">
        <v>#REF!</v>
      </c>
      <c r="IQ282" t="e">
        <v>#REF!</v>
      </c>
      <c r="IR282" t="e">
        <v>#REF!</v>
      </c>
      <c r="IS282" t="e">
        <v>#REF!</v>
      </c>
      <c r="IT282" t="e">
        <v>#REF!</v>
      </c>
      <c r="IU282" t="e">
        <v>#REF!</v>
      </c>
      <c r="IV282" t="e">
        <v>#REF!</v>
      </c>
      <c r="IW282" t="e">
        <v>#REF!</v>
      </c>
      <c r="IX282" t="e">
        <v>#REF!</v>
      </c>
      <c r="IY282" t="e">
        <v>#REF!</v>
      </c>
      <c r="IZ282" t="e">
        <v>#REF!</v>
      </c>
      <c r="JA282" t="e">
        <v>#REF!</v>
      </c>
      <c r="JB282" t="e">
        <v>#REF!</v>
      </c>
      <c r="JC282" t="e">
        <v>#REF!</v>
      </c>
      <c r="JD282" t="e">
        <v>#REF!</v>
      </c>
      <c r="JE282" t="e">
        <v>#REF!</v>
      </c>
      <c r="JF282" t="e">
        <v>#REF!</v>
      </c>
      <c r="JG282" t="e">
        <v>#REF!</v>
      </c>
      <c r="JH282" t="e">
        <v>#REF!</v>
      </c>
      <c r="JI282" t="e">
        <v>#REF!</v>
      </c>
      <c r="JJ282" t="e">
        <v>#REF!</v>
      </c>
      <c r="JK282" t="e">
        <v>#REF!</v>
      </c>
      <c r="JL282" t="e">
        <v>#REF!</v>
      </c>
      <c r="JM282" t="e">
        <v>#REF!</v>
      </c>
      <c r="JN282" t="e">
        <v>#REF!</v>
      </c>
      <c r="JO282" t="e">
        <v>#REF!</v>
      </c>
      <c r="JP282" t="e">
        <v>#REF!</v>
      </c>
      <c r="JQ282" t="e">
        <v>#REF!</v>
      </c>
      <c r="JR282" t="e">
        <v>#REF!</v>
      </c>
      <c r="JS282" t="e">
        <v>#REF!</v>
      </c>
      <c r="JT282" t="e">
        <v>#REF!</v>
      </c>
      <c r="JU282" t="e">
        <v>#REF!</v>
      </c>
      <c r="JV282" t="e">
        <v>#REF!</v>
      </c>
      <c r="JW282" t="e">
        <v>#REF!</v>
      </c>
      <c r="JX282" t="e">
        <v>#REF!</v>
      </c>
      <c r="JY282" t="e">
        <v>#REF!</v>
      </c>
      <c r="JZ282" t="e">
        <v>#REF!</v>
      </c>
      <c r="KA282" t="e">
        <v>#REF!</v>
      </c>
      <c r="KB282" t="e">
        <v>#REF!</v>
      </c>
      <c r="KC282" t="e">
        <v>#REF!</v>
      </c>
      <c r="KD282" t="e">
        <v>#REF!</v>
      </c>
      <c r="KE282" t="e">
        <v>#REF!</v>
      </c>
      <c r="KF282" t="e">
        <v>#REF!</v>
      </c>
      <c r="KG282" t="e">
        <v>#REF!</v>
      </c>
      <c r="KH282" t="e">
        <v>#REF!</v>
      </c>
      <c r="KI282" t="e">
        <v>#REF!</v>
      </c>
      <c r="KJ282" t="e">
        <v>#REF!</v>
      </c>
      <c r="KK282" t="e">
        <v>#REF!</v>
      </c>
      <c r="KL282" t="e">
        <v>#REF!</v>
      </c>
      <c r="KM282" t="e">
        <v>#REF!</v>
      </c>
      <c r="KN282" t="e">
        <v>#REF!</v>
      </c>
      <c r="KO282" t="e">
        <v>#REF!</v>
      </c>
      <c r="KP282" t="e">
        <v>#REF!</v>
      </c>
      <c r="KQ282" t="e">
        <v>#REF!</v>
      </c>
      <c r="KR282" t="e">
        <v>#REF!</v>
      </c>
      <c r="KS282" t="e">
        <v>#REF!</v>
      </c>
      <c r="KT282" t="e">
        <v>#REF!</v>
      </c>
      <c r="KU282" t="e">
        <v>#REF!</v>
      </c>
      <c r="KV282" t="e">
        <v>#REF!</v>
      </c>
      <c r="KW282" t="e">
        <v>#REF!</v>
      </c>
      <c r="KX282" t="e">
        <v>#REF!</v>
      </c>
      <c r="KY282" t="e">
        <v>#REF!</v>
      </c>
      <c r="KZ282" t="e">
        <v>#REF!</v>
      </c>
      <c r="LA282" t="e">
        <v>#REF!</v>
      </c>
      <c r="LB282" t="e">
        <v>#REF!</v>
      </c>
      <c r="LC282" t="e">
        <v>#REF!</v>
      </c>
      <c r="LD282" t="e">
        <v>#REF!</v>
      </c>
      <c r="LE282" t="e">
        <v>#REF!</v>
      </c>
      <c r="LF282" t="e">
        <v>#REF!</v>
      </c>
      <c r="LG282" t="e">
        <v>#REF!</v>
      </c>
      <c r="LH282" t="e">
        <v>#REF!</v>
      </c>
      <c r="LI282" t="e">
        <v>#REF!</v>
      </c>
      <c r="LJ282" t="e">
        <v>#REF!</v>
      </c>
      <c r="LK282" t="e">
        <v>#REF!</v>
      </c>
      <c r="LL282" t="e">
        <v>#REF!</v>
      </c>
      <c r="LM282" t="e">
        <v>#REF!</v>
      </c>
      <c r="LN282" t="e">
        <v>#REF!</v>
      </c>
      <c r="LO282" t="e">
        <v>#REF!</v>
      </c>
      <c r="LP282" t="e">
        <v>#REF!</v>
      </c>
      <c r="LQ282" t="e">
        <v>#REF!</v>
      </c>
      <c r="LR282" t="e">
        <v>#REF!</v>
      </c>
      <c r="LS282" t="e">
        <v>#REF!</v>
      </c>
      <c r="LT282" t="e">
        <v>#REF!</v>
      </c>
      <c r="LU282" t="e">
        <v>#REF!</v>
      </c>
      <c r="LV282" t="e">
        <v>#REF!</v>
      </c>
      <c r="LW282" t="e">
        <v>#REF!</v>
      </c>
      <c r="LX282" t="e">
        <v>#REF!</v>
      </c>
      <c r="LY282" t="e">
        <v>#REF!</v>
      </c>
      <c r="LZ282" t="e">
        <v>#REF!</v>
      </c>
      <c r="MA282" t="e">
        <v>#REF!</v>
      </c>
      <c r="MB282" t="e">
        <v>#REF!</v>
      </c>
      <c r="MC282" t="e">
        <v>#REF!</v>
      </c>
      <c r="MD282" t="e">
        <v>#REF!</v>
      </c>
      <c r="ME282" t="e">
        <v>#REF!</v>
      </c>
      <c r="MF282" t="e">
        <v>#REF!</v>
      </c>
      <c r="MG282" t="e">
        <v>#REF!</v>
      </c>
      <c r="MH282" t="e">
        <v>#REF!</v>
      </c>
      <c r="MI282" t="e">
        <v>#REF!</v>
      </c>
      <c r="MJ282" t="e">
        <v>#REF!</v>
      </c>
      <c r="MK282" t="e">
        <v>#REF!</v>
      </c>
      <c r="ML282" t="e">
        <v>#REF!</v>
      </c>
      <c r="MM282" t="e">
        <v>#REF!</v>
      </c>
      <c r="MN282" t="e">
        <v>#REF!</v>
      </c>
      <c r="MO282" t="e">
        <v>#REF!</v>
      </c>
      <c r="MP282" t="e">
        <v>#REF!</v>
      </c>
      <c r="MQ282" t="e">
        <v>#REF!</v>
      </c>
      <c r="MR282" t="e">
        <v>#REF!</v>
      </c>
      <c r="MS282" t="e">
        <v>#REF!</v>
      </c>
      <c r="MT282" t="e">
        <v>#REF!</v>
      </c>
      <c r="MU282" t="e">
        <v>#REF!</v>
      </c>
      <c r="MV282" t="e">
        <v>#REF!</v>
      </c>
      <c r="MW282" t="e">
        <v>#REF!</v>
      </c>
      <c r="MX282" t="e">
        <v>#REF!</v>
      </c>
      <c r="MY282" t="e">
        <v>#REF!</v>
      </c>
      <c r="MZ282" t="e">
        <v>#REF!</v>
      </c>
      <c r="NA282" t="e">
        <v>#REF!</v>
      </c>
      <c r="NB282" t="e">
        <v>#REF!</v>
      </c>
      <c r="NC282" t="e">
        <v>#REF!</v>
      </c>
      <c r="ND282" t="e">
        <v>#REF!</v>
      </c>
      <c r="NE282" t="e">
        <v>#REF!</v>
      </c>
      <c r="NF282" t="e">
        <v>#REF!</v>
      </c>
      <c r="NG282" t="e">
        <v>#REF!</v>
      </c>
      <c r="NH282" t="e">
        <v>#REF!</v>
      </c>
      <c r="NI282" t="e">
        <v>#REF!</v>
      </c>
      <c r="NJ282" t="e">
        <v>#REF!</v>
      </c>
      <c r="NK282" t="e">
        <v>#REF!</v>
      </c>
      <c r="NL282" t="e">
        <v>#REF!</v>
      </c>
      <c r="NM282" t="e">
        <v>#REF!</v>
      </c>
      <c r="NN282" t="e">
        <v>#REF!</v>
      </c>
      <c r="NO282" t="e">
        <v>#REF!</v>
      </c>
      <c r="NP282" t="e">
        <v>#REF!</v>
      </c>
      <c r="NQ282" t="e">
        <v>#REF!</v>
      </c>
      <c r="NR282" t="e">
        <v>#REF!</v>
      </c>
      <c r="NS282" t="e">
        <v>#REF!</v>
      </c>
      <c r="NT282" t="e">
        <v>#REF!</v>
      </c>
      <c r="NU282" t="e">
        <v>#REF!</v>
      </c>
      <c r="NV282" t="e">
        <v>#REF!</v>
      </c>
      <c r="NW282" t="e">
        <v>#REF!</v>
      </c>
      <c r="NX282" t="e">
        <v>#REF!</v>
      </c>
      <c r="NY282" t="e">
        <v>#REF!</v>
      </c>
      <c r="NZ282" t="e">
        <v>#REF!</v>
      </c>
      <c r="OA282" t="e">
        <v>#REF!</v>
      </c>
      <c r="OB282" t="e">
        <v>#REF!</v>
      </c>
      <c r="OC282" t="e">
        <v>#REF!</v>
      </c>
      <c r="OD282" t="e">
        <v>#REF!</v>
      </c>
      <c r="OE282" t="e">
        <v>#REF!</v>
      </c>
    </row>
    <row r="283" spans="2:395" x14ac:dyDescent="0.3">
      <c r="B283" s="117"/>
      <c r="D283" s="119"/>
      <c r="K283" s="65"/>
      <c r="L283" s="55"/>
      <c r="M283" s="66"/>
      <c r="N283" s="159" t="s">
        <v>243</v>
      </c>
      <c r="O283" s="5"/>
      <c r="P283" s="28"/>
      <c r="Q283" s="5" t="e" cm="1">
        <f t="array" ref="Q283:OE283">_xlfn.ANCHORARRAY(Q281)*_xlfn.ANCHORARRAY(Q277)</f>
        <v>#REF!</v>
      </c>
      <c r="R283" s="5" t="e">
        <v>#REF!</v>
      </c>
      <c r="S283" s="5" t="e">
        <v>#REF!</v>
      </c>
      <c r="T283" s="5" t="e">
        <v>#REF!</v>
      </c>
      <c r="U283" s="5" t="e">
        <v>#REF!</v>
      </c>
      <c r="V283" s="5" t="e">
        <v>#REF!</v>
      </c>
      <c r="W283" s="5" t="e">
        <v>#REF!</v>
      </c>
      <c r="X283" s="5" t="e">
        <v>#REF!</v>
      </c>
      <c r="Y283" s="5" t="e">
        <v>#REF!</v>
      </c>
      <c r="Z283" s="5" t="e">
        <v>#REF!</v>
      </c>
      <c r="AA283" s="5" t="e">
        <v>#REF!</v>
      </c>
      <c r="AB283" s="5" t="e">
        <v>#REF!</v>
      </c>
      <c r="AC283" s="5" t="e">
        <v>#REF!</v>
      </c>
      <c r="AD283" s="5" t="e">
        <v>#REF!</v>
      </c>
      <c r="AE283" s="5" t="e">
        <v>#REF!</v>
      </c>
      <c r="AF283" s="5" t="e">
        <v>#REF!</v>
      </c>
      <c r="AG283" s="5" t="e">
        <v>#REF!</v>
      </c>
      <c r="AH283" s="5" t="e">
        <v>#REF!</v>
      </c>
      <c r="AI283" s="5" t="e">
        <v>#REF!</v>
      </c>
      <c r="AJ283" s="5" t="e">
        <v>#REF!</v>
      </c>
      <c r="AK283" s="5" t="e">
        <v>#REF!</v>
      </c>
      <c r="AL283" s="5" t="e">
        <v>#REF!</v>
      </c>
      <c r="AM283" s="5" t="e">
        <v>#REF!</v>
      </c>
      <c r="AN283" s="5" t="e">
        <v>#REF!</v>
      </c>
      <c r="AO283" s="5" t="e">
        <v>#REF!</v>
      </c>
      <c r="AP283" s="5" t="e">
        <v>#REF!</v>
      </c>
      <c r="AQ283" s="5" t="e">
        <v>#REF!</v>
      </c>
      <c r="AR283" s="5" t="e">
        <v>#REF!</v>
      </c>
      <c r="AS283" s="5" t="e">
        <v>#REF!</v>
      </c>
      <c r="AT283" s="5" t="e">
        <v>#REF!</v>
      </c>
      <c r="AU283" s="5" t="e">
        <v>#REF!</v>
      </c>
      <c r="AV283" s="5" t="e">
        <v>#REF!</v>
      </c>
      <c r="AW283" s="5" t="e">
        <v>#REF!</v>
      </c>
      <c r="AX283" s="5" t="e">
        <v>#REF!</v>
      </c>
      <c r="AY283" s="5" t="e">
        <v>#REF!</v>
      </c>
      <c r="AZ283" s="5" t="e">
        <v>#REF!</v>
      </c>
      <c r="BA283" s="5" t="e">
        <v>#REF!</v>
      </c>
      <c r="BB283" s="5" t="e">
        <v>#REF!</v>
      </c>
      <c r="BC283" s="5" t="e">
        <v>#REF!</v>
      </c>
      <c r="BD283" s="5" t="e">
        <v>#REF!</v>
      </c>
      <c r="BE283" s="5" t="e">
        <v>#REF!</v>
      </c>
      <c r="BF283" s="5" t="e">
        <v>#REF!</v>
      </c>
      <c r="BG283" s="5" t="e">
        <v>#REF!</v>
      </c>
      <c r="BH283" s="5" t="e">
        <v>#REF!</v>
      </c>
      <c r="BI283" s="5" t="e">
        <v>#REF!</v>
      </c>
      <c r="BJ283" s="5" t="e">
        <v>#REF!</v>
      </c>
      <c r="BK283" s="5" t="e">
        <v>#REF!</v>
      </c>
      <c r="BL283" s="5" t="e">
        <v>#REF!</v>
      </c>
      <c r="BM283" s="5" t="e">
        <v>#REF!</v>
      </c>
      <c r="BN283" s="5" t="e">
        <v>#REF!</v>
      </c>
      <c r="BO283" s="5" t="e">
        <v>#REF!</v>
      </c>
      <c r="BP283" s="5" t="e">
        <v>#REF!</v>
      </c>
      <c r="BQ283" s="5" t="e">
        <v>#REF!</v>
      </c>
      <c r="BR283" s="5" t="e">
        <v>#REF!</v>
      </c>
      <c r="BS283" s="5" t="e">
        <v>#REF!</v>
      </c>
      <c r="BT283" s="5" t="e">
        <v>#REF!</v>
      </c>
      <c r="BU283" s="5" t="e">
        <v>#REF!</v>
      </c>
      <c r="BV283" s="5" t="e">
        <v>#REF!</v>
      </c>
      <c r="BW283" s="5" t="e">
        <v>#REF!</v>
      </c>
      <c r="BX283" s="5" t="e">
        <v>#REF!</v>
      </c>
      <c r="BY283" s="5" t="e">
        <v>#REF!</v>
      </c>
      <c r="BZ283" s="5" t="e">
        <v>#REF!</v>
      </c>
      <c r="CA283" s="5" t="e">
        <v>#REF!</v>
      </c>
      <c r="CB283" s="5" t="e">
        <v>#REF!</v>
      </c>
      <c r="CC283" s="5" t="e">
        <v>#REF!</v>
      </c>
      <c r="CD283" s="5" t="e">
        <v>#REF!</v>
      </c>
      <c r="CE283" s="5" t="e">
        <v>#REF!</v>
      </c>
      <c r="CF283" s="5" t="e">
        <v>#REF!</v>
      </c>
      <c r="CG283" s="5" t="e">
        <v>#REF!</v>
      </c>
      <c r="CH283" s="5" t="e">
        <v>#REF!</v>
      </c>
      <c r="CI283" s="5" t="e">
        <v>#REF!</v>
      </c>
      <c r="CJ283" s="5" t="e">
        <v>#REF!</v>
      </c>
      <c r="CK283" s="5" t="e">
        <v>#REF!</v>
      </c>
      <c r="CL283" s="5" t="e">
        <v>#REF!</v>
      </c>
      <c r="CM283" s="5" t="e">
        <v>#REF!</v>
      </c>
      <c r="CN283" s="5" t="e">
        <v>#REF!</v>
      </c>
      <c r="CO283" s="5" t="e">
        <v>#REF!</v>
      </c>
      <c r="CP283" s="5" t="e">
        <v>#REF!</v>
      </c>
      <c r="CQ283" s="5" t="e">
        <v>#REF!</v>
      </c>
      <c r="CR283" s="5" t="e">
        <v>#REF!</v>
      </c>
      <c r="CS283" s="5" t="e">
        <v>#REF!</v>
      </c>
      <c r="CT283" s="5" t="e">
        <v>#REF!</v>
      </c>
      <c r="CU283" s="5" t="e">
        <v>#REF!</v>
      </c>
      <c r="CV283" s="5" t="e">
        <v>#REF!</v>
      </c>
      <c r="CW283" s="5" t="e">
        <v>#REF!</v>
      </c>
      <c r="CX283" s="5" t="e">
        <v>#REF!</v>
      </c>
      <c r="CY283" s="5" t="e">
        <v>#REF!</v>
      </c>
      <c r="CZ283" s="5" t="e">
        <v>#REF!</v>
      </c>
      <c r="DA283" s="5" t="e">
        <v>#REF!</v>
      </c>
      <c r="DB283" s="5" t="e">
        <v>#REF!</v>
      </c>
      <c r="DC283" s="5" t="e">
        <v>#REF!</v>
      </c>
      <c r="DD283" s="5" t="e">
        <v>#REF!</v>
      </c>
      <c r="DE283" s="5" t="e">
        <v>#REF!</v>
      </c>
      <c r="DF283" s="5" t="e">
        <v>#REF!</v>
      </c>
      <c r="DG283" s="5" t="e">
        <v>#REF!</v>
      </c>
      <c r="DH283" s="5" t="e">
        <v>#REF!</v>
      </c>
      <c r="DI283" s="5" t="e">
        <v>#REF!</v>
      </c>
      <c r="DJ283" s="5" t="e">
        <v>#REF!</v>
      </c>
      <c r="DK283" s="5" t="e">
        <v>#REF!</v>
      </c>
      <c r="DL283" s="5" t="e">
        <v>#REF!</v>
      </c>
      <c r="DM283" s="5" t="e">
        <v>#REF!</v>
      </c>
      <c r="DN283" s="5" t="e">
        <v>#REF!</v>
      </c>
      <c r="DO283" s="5" t="e">
        <v>#REF!</v>
      </c>
      <c r="DP283" s="5" t="e">
        <v>#REF!</v>
      </c>
      <c r="DQ283" s="5" t="e">
        <v>#REF!</v>
      </c>
      <c r="DR283" s="5" t="e">
        <v>#REF!</v>
      </c>
      <c r="DS283" s="5" t="e">
        <v>#REF!</v>
      </c>
      <c r="DT283" s="5" t="e">
        <v>#REF!</v>
      </c>
      <c r="DU283" s="5" t="e">
        <v>#REF!</v>
      </c>
      <c r="DV283" s="5" t="e">
        <v>#REF!</v>
      </c>
      <c r="DW283" s="5" t="e">
        <v>#REF!</v>
      </c>
      <c r="DX283" s="5" t="e">
        <v>#REF!</v>
      </c>
      <c r="DY283" s="5" t="e">
        <v>#REF!</v>
      </c>
      <c r="DZ283" s="5" t="e">
        <v>#REF!</v>
      </c>
      <c r="EA283" s="5" t="e">
        <v>#REF!</v>
      </c>
      <c r="EB283" s="5" t="e">
        <v>#REF!</v>
      </c>
      <c r="EC283" s="5" t="e">
        <v>#REF!</v>
      </c>
      <c r="ED283" s="5" t="e">
        <v>#REF!</v>
      </c>
      <c r="EE283" s="5" t="e">
        <v>#REF!</v>
      </c>
      <c r="EF283" s="5" t="e">
        <v>#REF!</v>
      </c>
      <c r="EG283" s="5" t="e">
        <v>#REF!</v>
      </c>
      <c r="EH283" s="5" t="e">
        <v>#REF!</v>
      </c>
      <c r="EI283" s="5" t="e">
        <v>#REF!</v>
      </c>
      <c r="EJ283" s="5" t="e">
        <v>#REF!</v>
      </c>
      <c r="EK283" s="5" t="e">
        <v>#REF!</v>
      </c>
      <c r="EL283" s="5" t="e">
        <v>#REF!</v>
      </c>
      <c r="EM283" s="5" t="e">
        <v>#REF!</v>
      </c>
      <c r="EN283" s="5" t="e">
        <v>#REF!</v>
      </c>
      <c r="EO283" s="5" t="e">
        <v>#REF!</v>
      </c>
      <c r="EP283" s="5" t="e">
        <v>#REF!</v>
      </c>
      <c r="EQ283" s="5" t="e">
        <v>#REF!</v>
      </c>
      <c r="ER283" s="5" t="e">
        <v>#REF!</v>
      </c>
      <c r="ES283" s="5" t="e">
        <v>#REF!</v>
      </c>
      <c r="ET283" s="5" t="e">
        <v>#REF!</v>
      </c>
      <c r="EU283" s="5" t="e">
        <v>#REF!</v>
      </c>
      <c r="EV283" s="5" t="e">
        <v>#REF!</v>
      </c>
      <c r="EW283" s="5" t="e">
        <v>#REF!</v>
      </c>
      <c r="EX283" s="5" t="e">
        <v>#REF!</v>
      </c>
      <c r="EY283" s="5" t="e">
        <v>#REF!</v>
      </c>
      <c r="EZ283" s="5" t="e">
        <v>#REF!</v>
      </c>
      <c r="FA283" s="5" t="e">
        <v>#REF!</v>
      </c>
      <c r="FB283" s="5" t="e">
        <v>#REF!</v>
      </c>
      <c r="FC283" s="5" t="e">
        <v>#REF!</v>
      </c>
      <c r="FD283" s="5" t="e">
        <v>#REF!</v>
      </c>
      <c r="FE283" s="5" t="e">
        <v>#REF!</v>
      </c>
      <c r="FF283" s="5" t="e">
        <v>#REF!</v>
      </c>
      <c r="FG283" s="5" t="e">
        <v>#REF!</v>
      </c>
      <c r="FH283" s="5" t="e">
        <v>#REF!</v>
      </c>
      <c r="FI283" s="5" t="e">
        <v>#REF!</v>
      </c>
      <c r="FJ283" s="5" t="e">
        <v>#REF!</v>
      </c>
      <c r="FK283" s="5" t="e">
        <v>#REF!</v>
      </c>
      <c r="FL283" s="5" t="e">
        <v>#REF!</v>
      </c>
      <c r="FM283" s="5" t="e">
        <v>#REF!</v>
      </c>
      <c r="FN283" s="5" t="e">
        <v>#REF!</v>
      </c>
      <c r="FO283" s="5" t="e">
        <v>#REF!</v>
      </c>
      <c r="FP283" s="5" t="e">
        <v>#REF!</v>
      </c>
      <c r="FQ283" s="5" t="e">
        <v>#REF!</v>
      </c>
      <c r="FR283" s="5" t="e">
        <v>#REF!</v>
      </c>
      <c r="FS283" s="5" t="e">
        <v>#REF!</v>
      </c>
      <c r="FT283" s="5" t="e">
        <v>#REF!</v>
      </c>
      <c r="FU283" s="5" t="e">
        <v>#REF!</v>
      </c>
      <c r="FV283" s="5" t="e">
        <v>#REF!</v>
      </c>
      <c r="FW283" s="5" t="e">
        <v>#REF!</v>
      </c>
      <c r="FX283" s="5" t="e">
        <v>#REF!</v>
      </c>
      <c r="FY283" s="5" t="e">
        <v>#REF!</v>
      </c>
      <c r="FZ283" s="5" t="e">
        <v>#REF!</v>
      </c>
      <c r="GA283" s="5" t="e">
        <v>#REF!</v>
      </c>
      <c r="GB283" s="5" t="e">
        <v>#REF!</v>
      </c>
      <c r="GC283" s="5" t="e">
        <v>#REF!</v>
      </c>
      <c r="GD283" s="5" t="e">
        <v>#REF!</v>
      </c>
      <c r="GE283" s="5" t="e">
        <v>#REF!</v>
      </c>
      <c r="GF283" s="5" t="e">
        <v>#REF!</v>
      </c>
      <c r="GG283" s="5" t="e">
        <v>#REF!</v>
      </c>
      <c r="GH283" s="5" t="e">
        <v>#REF!</v>
      </c>
      <c r="GI283" s="5" t="e">
        <v>#REF!</v>
      </c>
      <c r="GJ283" s="5" t="e">
        <v>#REF!</v>
      </c>
      <c r="GK283" s="5" t="e">
        <v>#REF!</v>
      </c>
      <c r="GL283" s="5" t="e">
        <v>#REF!</v>
      </c>
      <c r="GM283" s="5" t="e">
        <v>#REF!</v>
      </c>
      <c r="GN283" s="5" t="e">
        <v>#REF!</v>
      </c>
      <c r="GO283" s="5" t="e">
        <v>#REF!</v>
      </c>
      <c r="GP283" s="5" t="e">
        <v>#REF!</v>
      </c>
      <c r="GQ283" s="5" t="e">
        <v>#REF!</v>
      </c>
      <c r="GR283" s="5" t="e">
        <v>#REF!</v>
      </c>
      <c r="GS283" s="5" t="e">
        <v>#REF!</v>
      </c>
      <c r="GT283" s="5" t="e">
        <v>#REF!</v>
      </c>
      <c r="GU283" s="5" t="e">
        <v>#REF!</v>
      </c>
      <c r="GV283" s="5" t="e">
        <v>#REF!</v>
      </c>
      <c r="GW283" s="5" t="e">
        <v>#REF!</v>
      </c>
      <c r="GX283" s="5" t="e">
        <v>#REF!</v>
      </c>
      <c r="GY283" s="5" t="e">
        <v>#REF!</v>
      </c>
      <c r="GZ283" s="5" t="e">
        <v>#REF!</v>
      </c>
      <c r="HA283" s="5" t="e">
        <v>#REF!</v>
      </c>
      <c r="HB283" s="5" t="e">
        <v>#REF!</v>
      </c>
      <c r="HC283" s="5" t="e">
        <v>#REF!</v>
      </c>
      <c r="HD283" s="5" t="e">
        <v>#REF!</v>
      </c>
      <c r="HE283" s="5" t="e">
        <v>#REF!</v>
      </c>
      <c r="HF283" s="5" t="e">
        <v>#REF!</v>
      </c>
      <c r="HG283" s="5" t="e">
        <v>#REF!</v>
      </c>
      <c r="HH283" s="5" t="e">
        <v>#REF!</v>
      </c>
      <c r="HI283" s="5" t="e">
        <v>#REF!</v>
      </c>
      <c r="HJ283" s="5" t="e">
        <v>#REF!</v>
      </c>
      <c r="HK283" s="5" t="e">
        <v>#REF!</v>
      </c>
      <c r="HL283" s="5" t="e">
        <v>#REF!</v>
      </c>
      <c r="HM283" s="5" t="e">
        <v>#REF!</v>
      </c>
      <c r="HN283" s="5" t="e">
        <v>#REF!</v>
      </c>
      <c r="HO283" s="5" t="e">
        <v>#REF!</v>
      </c>
      <c r="HP283" s="5" t="e">
        <v>#REF!</v>
      </c>
      <c r="HQ283" s="5" t="e">
        <v>#REF!</v>
      </c>
      <c r="HR283" s="5" t="e">
        <v>#REF!</v>
      </c>
      <c r="HS283" s="5" t="e">
        <v>#REF!</v>
      </c>
      <c r="HT283" s="5" t="e">
        <v>#REF!</v>
      </c>
      <c r="HU283" s="5" t="e">
        <v>#REF!</v>
      </c>
      <c r="HV283" s="5" t="e">
        <v>#REF!</v>
      </c>
      <c r="HW283" s="5" t="e">
        <v>#REF!</v>
      </c>
      <c r="HX283" s="5" t="e">
        <v>#REF!</v>
      </c>
      <c r="HY283" s="5" t="e">
        <v>#REF!</v>
      </c>
      <c r="HZ283" s="5" t="e">
        <v>#REF!</v>
      </c>
      <c r="IA283" s="5" t="e">
        <v>#REF!</v>
      </c>
      <c r="IB283" s="5" t="e">
        <v>#REF!</v>
      </c>
      <c r="IC283" s="5" t="e">
        <v>#REF!</v>
      </c>
      <c r="ID283" s="5" t="e">
        <v>#REF!</v>
      </c>
      <c r="IE283" s="5" t="e">
        <v>#REF!</v>
      </c>
      <c r="IF283" s="5" t="e">
        <v>#REF!</v>
      </c>
      <c r="IG283" s="5" t="e">
        <v>#REF!</v>
      </c>
      <c r="IH283" s="5" t="e">
        <v>#REF!</v>
      </c>
      <c r="II283" s="5" t="e">
        <v>#REF!</v>
      </c>
      <c r="IJ283" s="5" t="e">
        <v>#REF!</v>
      </c>
      <c r="IK283" s="5" t="e">
        <v>#REF!</v>
      </c>
      <c r="IL283" s="5" t="e">
        <v>#REF!</v>
      </c>
      <c r="IM283" s="5" t="e">
        <v>#REF!</v>
      </c>
      <c r="IN283" s="5" t="e">
        <v>#REF!</v>
      </c>
      <c r="IO283" s="5" t="e">
        <v>#REF!</v>
      </c>
      <c r="IP283" s="5" t="e">
        <v>#REF!</v>
      </c>
      <c r="IQ283" s="5" t="e">
        <v>#REF!</v>
      </c>
      <c r="IR283" s="5" t="e">
        <v>#REF!</v>
      </c>
      <c r="IS283" s="5" t="e">
        <v>#REF!</v>
      </c>
      <c r="IT283" s="5" t="e">
        <v>#REF!</v>
      </c>
      <c r="IU283" s="5" t="e">
        <v>#REF!</v>
      </c>
      <c r="IV283" s="5" t="e">
        <v>#REF!</v>
      </c>
      <c r="IW283" s="5" t="e">
        <v>#REF!</v>
      </c>
      <c r="IX283" s="5" t="e">
        <v>#REF!</v>
      </c>
      <c r="IY283" s="5" t="e">
        <v>#REF!</v>
      </c>
      <c r="IZ283" s="5" t="e">
        <v>#REF!</v>
      </c>
      <c r="JA283" s="5" t="e">
        <v>#REF!</v>
      </c>
      <c r="JB283" s="5" t="e">
        <v>#REF!</v>
      </c>
      <c r="JC283" s="5" t="e">
        <v>#REF!</v>
      </c>
      <c r="JD283" s="5" t="e">
        <v>#REF!</v>
      </c>
      <c r="JE283" s="5" t="e">
        <v>#REF!</v>
      </c>
      <c r="JF283" s="5" t="e">
        <v>#REF!</v>
      </c>
      <c r="JG283" s="5" t="e">
        <v>#REF!</v>
      </c>
      <c r="JH283" s="5" t="e">
        <v>#REF!</v>
      </c>
      <c r="JI283" s="5" t="e">
        <v>#REF!</v>
      </c>
      <c r="JJ283" s="5" t="e">
        <v>#REF!</v>
      </c>
      <c r="JK283" s="5" t="e">
        <v>#REF!</v>
      </c>
      <c r="JL283" s="5" t="e">
        <v>#REF!</v>
      </c>
      <c r="JM283" s="5" t="e">
        <v>#REF!</v>
      </c>
      <c r="JN283" s="5" t="e">
        <v>#REF!</v>
      </c>
      <c r="JO283" s="5" t="e">
        <v>#REF!</v>
      </c>
      <c r="JP283" s="5" t="e">
        <v>#REF!</v>
      </c>
      <c r="JQ283" s="5" t="e">
        <v>#REF!</v>
      </c>
      <c r="JR283" s="5" t="e">
        <v>#REF!</v>
      </c>
      <c r="JS283" s="5" t="e">
        <v>#REF!</v>
      </c>
      <c r="JT283" s="5" t="e">
        <v>#REF!</v>
      </c>
      <c r="JU283" s="5" t="e">
        <v>#REF!</v>
      </c>
      <c r="JV283" s="5" t="e">
        <v>#REF!</v>
      </c>
      <c r="JW283" s="5" t="e">
        <v>#REF!</v>
      </c>
      <c r="JX283" s="5" t="e">
        <v>#REF!</v>
      </c>
      <c r="JY283" s="5" t="e">
        <v>#REF!</v>
      </c>
      <c r="JZ283" s="5" t="e">
        <v>#REF!</v>
      </c>
      <c r="KA283" s="5" t="e">
        <v>#REF!</v>
      </c>
      <c r="KB283" s="5" t="e">
        <v>#REF!</v>
      </c>
      <c r="KC283" s="5" t="e">
        <v>#REF!</v>
      </c>
      <c r="KD283" s="5" t="e">
        <v>#REF!</v>
      </c>
      <c r="KE283" s="5" t="e">
        <v>#REF!</v>
      </c>
      <c r="KF283" s="5" t="e">
        <v>#REF!</v>
      </c>
      <c r="KG283" s="5" t="e">
        <v>#REF!</v>
      </c>
      <c r="KH283" s="5" t="e">
        <v>#REF!</v>
      </c>
      <c r="KI283" s="5" t="e">
        <v>#REF!</v>
      </c>
      <c r="KJ283" s="5" t="e">
        <v>#REF!</v>
      </c>
      <c r="KK283" s="5" t="e">
        <v>#REF!</v>
      </c>
      <c r="KL283" s="5" t="e">
        <v>#REF!</v>
      </c>
      <c r="KM283" s="5" t="e">
        <v>#REF!</v>
      </c>
      <c r="KN283" s="5" t="e">
        <v>#REF!</v>
      </c>
      <c r="KO283" s="5" t="e">
        <v>#REF!</v>
      </c>
      <c r="KP283" s="5" t="e">
        <v>#REF!</v>
      </c>
      <c r="KQ283" s="5" t="e">
        <v>#REF!</v>
      </c>
      <c r="KR283" s="5" t="e">
        <v>#REF!</v>
      </c>
      <c r="KS283" s="5" t="e">
        <v>#REF!</v>
      </c>
      <c r="KT283" s="5" t="e">
        <v>#REF!</v>
      </c>
      <c r="KU283" s="5" t="e">
        <v>#REF!</v>
      </c>
      <c r="KV283" s="5" t="e">
        <v>#REF!</v>
      </c>
      <c r="KW283" s="5" t="e">
        <v>#REF!</v>
      </c>
      <c r="KX283" s="5" t="e">
        <v>#REF!</v>
      </c>
      <c r="KY283" s="5" t="e">
        <v>#REF!</v>
      </c>
      <c r="KZ283" s="5" t="e">
        <v>#REF!</v>
      </c>
      <c r="LA283" s="5" t="e">
        <v>#REF!</v>
      </c>
      <c r="LB283" s="5" t="e">
        <v>#REF!</v>
      </c>
      <c r="LC283" s="5" t="e">
        <v>#REF!</v>
      </c>
      <c r="LD283" s="5" t="e">
        <v>#REF!</v>
      </c>
      <c r="LE283" s="5" t="e">
        <v>#REF!</v>
      </c>
      <c r="LF283" s="5" t="e">
        <v>#REF!</v>
      </c>
      <c r="LG283" s="5" t="e">
        <v>#REF!</v>
      </c>
      <c r="LH283" s="5" t="e">
        <v>#REF!</v>
      </c>
      <c r="LI283" s="5" t="e">
        <v>#REF!</v>
      </c>
      <c r="LJ283" s="5" t="e">
        <v>#REF!</v>
      </c>
      <c r="LK283" s="5" t="e">
        <v>#REF!</v>
      </c>
      <c r="LL283" s="5" t="e">
        <v>#REF!</v>
      </c>
      <c r="LM283" s="5" t="e">
        <v>#REF!</v>
      </c>
      <c r="LN283" s="5" t="e">
        <v>#REF!</v>
      </c>
      <c r="LO283" s="5" t="e">
        <v>#REF!</v>
      </c>
      <c r="LP283" s="5" t="e">
        <v>#REF!</v>
      </c>
      <c r="LQ283" s="5" t="e">
        <v>#REF!</v>
      </c>
      <c r="LR283" s="5" t="e">
        <v>#REF!</v>
      </c>
      <c r="LS283" s="5" t="e">
        <v>#REF!</v>
      </c>
      <c r="LT283" s="5" t="e">
        <v>#REF!</v>
      </c>
      <c r="LU283" s="5" t="e">
        <v>#REF!</v>
      </c>
      <c r="LV283" s="5" t="e">
        <v>#REF!</v>
      </c>
      <c r="LW283" s="5" t="e">
        <v>#REF!</v>
      </c>
      <c r="LX283" s="5" t="e">
        <v>#REF!</v>
      </c>
      <c r="LY283" s="5" t="e">
        <v>#REF!</v>
      </c>
      <c r="LZ283" s="5" t="e">
        <v>#REF!</v>
      </c>
      <c r="MA283" s="5" t="e">
        <v>#REF!</v>
      </c>
      <c r="MB283" s="5" t="e">
        <v>#REF!</v>
      </c>
      <c r="MC283" s="5" t="e">
        <v>#REF!</v>
      </c>
      <c r="MD283" s="5" t="e">
        <v>#REF!</v>
      </c>
      <c r="ME283" s="5" t="e">
        <v>#REF!</v>
      </c>
      <c r="MF283" s="5" t="e">
        <v>#REF!</v>
      </c>
      <c r="MG283" s="5" t="e">
        <v>#REF!</v>
      </c>
      <c r="MH283" s="5" t="e">
        <v>#REF!</v>
      </c>
      <c r="MI283" s="5" t="e">
        <v>#REF!</v>
      </c>
      <c r="MJ283" s="5" t="e">
        <v>#REF!</v>
      </c>
      <c r="MK283" s="5" t="e">
        <v>#REF!</v>
      </c>
      <c r="ML283" s="5" t="e">
        <v>#REF!</v>
      </c>
      <c r="MM283" s="5" t="e">
        <v>#REF!</v>
      </c>
      <c r="MN283" s="5" t="e">
        <v>#REF!</v>
      </c>
      <c r="MO283" s="5" t="e">
        <v>#REF!</v>
      </c>
      <c r="MP283" s="5" t="e">
        <v>#REF!</v>
      </c>
      <c r="MQ283" s="5" t="e">
        <v>#REF!</v>
      </c>
      <c r="MR283" s="5" t="e">
        <v>#REF!</v>
      </c>
      <c r="MS283" s="5" t="e">
        <v>#REF!</v>
      </c>
      <c r="MT283" s="5" t="e">
        <v>#REF!</v>
      </c>
      <c r="MU283" s="5" t="e">
        <v>#REF!</v>
      </c>
      <c r="MV283" s="5" t="e">
        <v>#REF!</v>
      </c>
      <c r="MW283" s="5" t="e">
        <v>#REF!</v>
      </c>
      <c r="MX283" s="5" t="e">
        <v>#REF!</v>
      </c>
      <c r="MY283" s="5" t="e">
        <v>#REF!</v>
      </c>
      <c r="MZ283" s="5" t="e">
        <v>#REF!</v>
      </c>
      <c r="NA283" s="5" t="e">
        <v>#REF!</v>
      </c>
      <c r="NB283" s="5" t="e">
        <v>#REF!</v>
      </c>
      <c r="NC283" s="5" t="e">
        <v>#REF!</v>
      </c>
      <c r="ND283" s="5" t="e">
        <v>#REF!</v>
      </c>
      <c r="NE283" s="5" t="e">
        <v>#REF!</v>
      </c>
      <c r="NF283" s="5" t="e">
        <v>#REF!</v>
      </c>
      <c r="NG283" s="5" t="e">
        <v>#REF!</v>
      </c>
      <c r="NH283" s="5" t="e">
        <v>#REF!</v>
      </c>
      <c r="NI283" s="5" t="e">
        <v>#REF!</v>
      </c>
      <c r="NJ283" s="5" t="e">
        <v>#REF!</v>
      </c>
      <c r="NK283" s="5" t="e">
        <v>#REF!</v>
      </c>
      <c r="NL283" s="5" t="e">
        <v>#REF!</v>
      </c>
      <c r="NM283" s="5" t="e">
        <v>#REF!</v>
      </c>
      <c r="NN283" s="5" t="e">
        <v>#REF!</v>
      </c>
      <c r="NO283" s="5" t="e">
        <v>#REF!</v>
      </c>
      <c r="NP283" s="5" t="e">
        <v>#REF!</v>
      </c>
      <c r="NQ283" s="5" t="e">
        <v>#REF!</v>
      </c>
      <c r="NR283" s="5" t="e">
        <v>#REF!</v>
      </c>
      <c r="NS283" s="5" t="e">
        <v>#REF!</v>
      </c>
      <c r="NT283" s="5" t="e">
        <v>#REF!</v>
      </c>
      <c r="NU283" s="5" t="e">
        <v>#REF!</v>
      </c>
      <c r="NV283" s="5" t="e">
        <v>#REF!</v>
      </c>
      <c r="NW283" s="5" t="e">
        <v>#REF!</v>
      </c>
      <c r="NX283" s="5" t="e">
        <v>#REF!</v>
      </c>
      <c r="NY283" s="5" t="e">
        <v>#REF!</v>
      </c>
      <c r="NZ283" s="5" t="e">
        <v>#REF!</v>
      </c>
      <c r="OA283" s="5" t="e">
        <v>#REF!</v>
      </c>
      <c r="OB283" s="5" t="e">
        <v>#REF!</v>
      </c>
      <c r="OC283" s="5" t="e">
        <v>#REF!</v>
      </c>
      <c r="OD283" s="5" t="e">
        <v>#REF!</v>
      </c>
      <c r="OE283" s="5" t="e">
        <v>#REF!</v>
      </c>
    </row>
    <row r="284" spans="2:395" x14ac:dyDescent="0.3">
      <c r="D284" s="119"/>
      <c r="K284" s="65"/>
      <c r="L284" s="55"/>
      <c r="M284" s="66"/>
      <c r="N284" s="129" t="s">
        <v>173</v>
      </c>
      <c r="O284" s="130"/>
      <c r="P284" s="155"/>
      <c r="Q284" s="130" t="e" cm="1">
        <f t="array" ref="Q284">_xlfn.ANCHORARRAY(Q271)+_xlfn.ANCHORARRAY(Q278)-_xlfn.ANCHORARRAY(Q281)</f>
        <v>#REF!</v>
      </c>
    </row>
    <row r="285" spans="2:395" x14ac:dyDescent="0.3">
      <c r="D285" s="119"/>
      <c r="K285" s="65"/>
      <c r="L285" s="55"/>
      <c r="M285" s="55"/>
      <c r="N285" s="55"/>
      <c r="O285" s="55"/>
      <c r="P285" s="55"/>
      <c r="Q285" s="55"/>
    </row>
    <row r="286" spans="2:395" x14ac:dyDescent="0.3">
      <c r="D286" s="119"/>
      <c r="K286" s="65"/>
      <c r="L286" s="55"/>
      <c r="M286" s="55"/>
      <c r="N286" s="55" t="s">
        <v>370</v>
      </c>
      <c r="O286" s="55"/>
      <c r="P286" s="55"/>
      <c r="Q286" s="55"/>
    </row>
    <row r="287" spans="2:395" x14ac:dyDescent="0.3">
      <c r="D287" s="119"/>
      <c r="K287" s="65"/>
      <c r="L287" s="55"/>
      <c r="M287" s="55"/>
      <c r="N287" s="55" t="s">
        <v>226</v>
      </c>
      <c r="O287" s="55"/>
      <c r="P287" s="55"/>
      <c r="Q287" s="55"/>
    </row>
    <row r="288" spans="2:395" x14ac:dyDescent="0.3">
      <c r="D288" s="119"/>
      <c r="K288" s="65"/>
      <c r="L288" s="55"/>
      <c r="M288" s="55"/>
      <c r="N288" s="55" t="s">
        <v>228</v>
      </c>
      <c r="O288" s="55"/>
      <c r="P288" s="55"/>
      <c r="Q288" s="55"/>
    </row>
    <row r="289" spans="4:17" ht="14.4" thickBot="1" x14ac:dyDescent="0.35">
      <c r="D289" s="119"/>
      <c r="K289" s="143"/>
      <c r="L289" s="142"/>
      <c r="M289" s="141" t="s">
        <v>217</v>
      </c>
      <c r="N289" s="142"/>
      <c r="O289" s="142"/>
      <c r="P289" s="142"/>
      <c r="Q289" s="142"/>
    </row>
    <row r="290" spans="4:17" x14ac:dyDescent="0.3">
      <c r="D290" s="119"/>
      <c r="K290" s="192"/>
      <c r="L290" s="193"/>
      <c r="M290" s="194" t="s">
        <v>368</v>
      </c>
      <c r="N290" s="193"/>
      <c r="O290" s="189"/>
      <c r="P290" s="189"/>
      <c r="Q290" s="189"/>
    </row>
    <row r="291" spans="4:17" x14ac:dyDescent="0.3">
      <c r="D291" s="119"/>
      <c r="K291" s="65"/>
      <c r="L291" s="189"/>
      <c r="M291" s="189"/>
      <c r="N291" s="189"/>
      <c r="O291" s="189"/>
      <c r="P291" s="189"/>
      <c r="Q291" s="189"/>
    </row>
    <row r="292" spans="4:17" x14ac:dyDescent="0.3">
      <c r="D292" s="119"/>
      <c r="K292" s="65"/>
      <c r="L292" s="55"/>
      <c r="M292" s="66"/>
      <c r="N292" s="190" t="s">
        <v>254</v>
      </c>
      <c r="O292" s="160"/>
      <c r="P292" s="161"/>
      <c r="Q292" s="160"/>
    </row>
    <row r="293" spans="4:17" x14ac:dyDescent="0.3">
      <c r="D293" s="119"/>
      <c r="K293" s="65"/>
      <c r="L293" s="55"/>
      <c r="M293" s="66"/>
      <c r="N293" s="286" t="s">
        <v>259</v>
      </c>
      <c r="O293" s="286"/>
      <c r="P293" s="287"/>
      <c r="Q293" s="286"/>
    </row>
    <row r="294" spans="4:17" x14ac:dyDescent="0.3">
      <c r="D294" s="119"/>
      <c r="K294" s="65"/>
      <c r="L294" s="55"/>
      <c r="M294" s="66"/>
      <c r="N294" s="164" t="s">
        <v>255</v>
      </c>
      <c r="O294" s="164"/>
      <c r="P294" s="214"/>
      <c r="Q294" s="164"/>
    </row>
    <row r="295" spans="4:17" x14ac:dyDescent="0.3">
      <c r="D295" s="119"/>
      <c r="K295" s="65"/>
      <c r="L295" s="55"/>
      <c r="M295" s="66"/>
      <c r="N295" s="82" t="s">
        <v>256</v>
      </c>
      <c r="O295" s="82"/>
      <c r="P295" s="81"/>
      <c r="Q295" s="82"/>
    </row>
    <row r="296" spans="4:17" x14ac:dyDescent="0.3">
      <c r="D296" s="119"/>
      <c r="K296" s="65"/>
      <c r="L296" s="55"/>
      <c r="M296" s="66"/>
      <c r="N296" s="166" t="s">
        <v>257</v>
      </c>
      <c r="O296" s="166"/>
      <c r="P296" s="280"/>
      <c r="Q296" s="166"/>
    </row>
    <row r="297" spans="4:17" x14ac:dyDescent="0.3">
      <c r="D297" s="119"/>
      <c r="K297" s="65"/>
      <c r="L297" s="55"/>
      <c r="M297" s="66"/>
      <c r="N297" s="166" t="s">
        <v>258</v>
      </c>
      <c r="O297" s="166"/>
      <c r="P297" s="280"/>
      <c r="Q297" s="166"/>
    </row>
    <row r="298" spans="4:17" x14ac:dyDescent="0.3">
      <c r="D298" t="s">
        <v>335</v>
      </c>
      <c r="K298" s="65"/>
      <c r="L298" s="55"/>
      <c r="M298" s="66"/>
      <c r="N298" s="191" t="s">
        <v>173</v>
      </c>
      <c r="O298" s="162"/>
      <c r="P298" s="163"/>
      <c r="Q298" s="162"/>
    </row>
    <row r="299" spans="4:17" x14ac:dyDescent="0.3">
      <c r="D299" s="119"/>
      <c r="K299" s="65"/>
      <c r="L299" s="55"/>
      <c r="M299" s="189"/>
      <c r="N299" s="195"/>
      <c r="O299" s="189"/>
      <c r="P299" s="189"/>
      <c r="Q299" s="189"/>
    </row>
    <row r="300" spans="4:17" ht="14.4" customHeight="1" x14ac:dyDescent="0.3">
      <c r="D300" s="119"/>
      <c r="K300" s="65"/>
      <c r="L300" s="55"/>
      <c r="M300" s="189"/>
      <c r="N300" s="196"/>
      <c r="O300" s="189"/>
      <c r="P300" s="189"/>
      <c r="Q300" s="189"/>
    </row>
    <row r="301" spans="4:17" ht="14.4" customHeight="1" x14ac:dyDescent="0.3">
      <c r="D301" s="119"/>
      <c r="K301" s="65"/>
      <c r="L301" s="55"/>
      <c r="M301" s="66"/>
      <c r="N301" s="190" t="s">
        <v>260</v>
      </c>
      <c r="O301" s="160"/>
      <c r="P301" s="161"/>
      <c r="Q301" s="160"/>
    </row>
    <row r="302" spans="4:17" ht="14.4" customHeight="1" x14ac:dyDescent="0.3">
      <c r="D302" s="119"/>
      <c r="K302" s="65"/>
      <c r="L302" s="55"/>
      <c r="M302" s="66"/>
      <c r="N302" t="s">
        <v>316</v>
      </c>
      <c r="P302" t="s">
        <v>306</v>
      </c>
    </row>
    <row r="303" spans="4:17" ht="14.4" customHeight="1" x14ac:dyDescent="0.3">
      <c r="D303" s="119"/>
      <c r="K303" s="65"/>
      <c r="L303" s="55"/>
      <c r="M303" s="66"/>
      <c r="N303" t="s">
        <v>317</v>
      </c>
      <c r="P303" t="s">
        <v>306</v>
      </c>
    </row>
    <row r="304" spans="4:17" ht="14.4" customHeight="1" x14ac:dyDescent="0.3">
      <c r="D304" s="119"/>
      <c r="K304" s="65"/>
      <c r="L304" s="55"/>
      <c r="M304" s="66"/>
      <c r="N304" t="s">
        <v>265</v>
      </c>
      <c r="P304" t="s">
        <v>306</v>
      </c>
    </row>
    <row r="305" spans="4:17" ht="14.4" customHeight="1" x14ac:dyDescent="0.3">
      <c r="D305" s="119"/>
      <c r="K305" s="65"/>
      <c r="L305" s="55"/>
      <c r="M305" s="66"/>
      <c r="N305" t="s">
        <v>264</v>
      </c>
      <c r="P305" t="s">
        <v>306</v>
      </c>
    </row>
    <row r="306" spans="4:17" ht="14.4" customHeight="1" x14ac:dyDescent="0.3">
      <c r="D306" s="119"/>
      <c r="K306" s="65"/>
      <c r="L306" s="55"/>
      <c r="M306" s="66"/>
      <c r="N306" t="s">
        <v>237</v>
      </c>
      <c r="P306" t="s">
        <v>81</v>
      </c>
    </row>
    <row r="307" spans="4:17" ht="14.4" customHeight="1" x14ac:dyDescent="0.3">
      <c r="D307" s="119"/>
      <c r="K307" s="65"/>
      <c r="L307" s="55"/>
      <c r="M307" s="66"/>
      <c r="N307" s="166" t="s">
        <v>235</v>
      </c>
      <c r="P307" t="s">
        <v>31</v>
      </c>
    </row>
    <row r="308" spans="4:17" ht="14.4" customHeight="1" x14ac:dyDescent="0.3">
      <c r="D308" s="119"/>
      <c r="K308" s="65"/>
      <c r="L308" s="55"/>
      <c r="M308" s="66"/>
      <c r="N308" t="s">
        <v>315</v>
      </c>
      <c r="P308" t="s">
        <v>81</v>
      </c>
    </row>
    <row r="309" spans="4:17" ht="14.4" customHeight="1" x14ac:dyDescent="0.3">
      <c r="D309" s="119"/>
      <c r="K309" s="65"/>
      <c r="L309" s="55"/>
      <c r="M309" s="66"/>
      <c r="N309" s="75" t="s">
        <v>261</v>
      </c>
      <c r="O309" s="5"/>
      <c r="P309" s="5" t="s">
        <v>31</v>
      </c>
      <c r="Q309" s="5"/>
    </row>
    <row r="310" spans="4:17" ht="14.4" customHeight="1" x14ac:dyDescent="0.3">
      <c r="D310" s="119"/>
      <c r="K310" s="65"/>
      <c r="L310" s="55"/>
      <c r="M310" s="55"/>
      <c r="N310" s="55"/>
      <c r="O310" s="55"/>
      <c r="P310" s="55"/>
      <c r="Q310" s="55"/>
    </row>
    <row r="311" spans="4:17" ht="14.4" customHeight="1" thickBot="1" x14ac:dyDescent="0.35">
      <c r="D311" s="119"/>
      <c r="K311" s="143"/>
      <c r="L311" s="142"/>
      <c r="M311" s="141" t="s">
        <v>288</v>
      </c>
      <c r="N311" s="142"/>
      <c r="O311" s="142"/>
      <c r="P311" s="142"/>
      <c r="Q311" s="142"/>
    </row>
    <row r="312" spans="4:17" ht="14.4" customHeight="1" x14ac:dyDescent="0.3">
      <c r="D312" s="119"/>
      <c r="M312" s="76" t="s">
        <v>348</v>
      </c>
    </row>
    <row r="313" spans="4:17" ht="14.4" customHeight="1" x14ac:dyDescent="0.3">
      <c r="D313" s="119"/>
      <c r="M313" s="76"/>
    </row>
    <row r="314" spans="4:17" ht="19.95" customHeight="1" x14ac:dyDescent="0.3">
      <c r="D314" s="119"/>
      <c r="F314" s="288" t="str">
        <f>""</f>
        <v/>
      </c>
      <c r="G314" s="288" t="str">
        <f>""</f>
        <v/>
      </c>
      <c r="H314" s="288" t="str">
        <f>""</f>
        <v/>
      </c>
      <c r="I314" s="289" t="s">
        <v>30</v>
      </c>
      <c r="J314" s="289" t="s">
        <v>53</v>
      </c>
    </row>
    <row r="315" spans="4:17" ht="19.95" customHeight="1" x14ac:dyDescent="0.3">
      <c r="D315" s="119"/>
      <c r="F315" s="324" t="s">
        <v>48</v>
      </c>
      <c r="G315" s="288" t="s">
        <v>233</v>
      </c>
      <c r="H315" s="288" t="s">
        <v>29</v>
      </c>
    </row>
    <row r="316" spans="4:17" ht="19.95" customHeight="1" x14ac:dyDescent="0.3">
      <c r="D316" s="119"/>
      <c r="F316" s="324"/>
      <c r="G316" s="288" t="s">
        <v>49</v>
      </c>
      <c r="H316" s="288" t="s">
        <v>14</v>
      </c>
    </row>
    <row r="317" spans="4:17" ht="19.95" customHeight="1" x14ac:dyDescent="0.3">
      <c r="D317" s="119"/>
      <c r="F317" s="324" t="s">
        <v>344</v>
      </c>
      <c r="G317" s="288" t="s">
        <v>371</v>
      </c>
      <c r="H317" s="288" t="s">
        <v>342</v>
      </c>
    </row>
    <row r="318" spans="4:17" ht="19.95" customHeight="1" x14ac:dyDescent="0.3">
      <c r="D318" s="119"/>
      <c r="F318" s="324"/>
      <c r="G318" s="288" t="s">
        <v>341</v>
      </c>
      <c r="H318" s="288" t="s">
        <v>15</v>
      </c>
    </row>
    <row r="319" spans="4:17" ht="19.95" customHeight="1" x14ac:dyDescent="0.3">
      <c r="D319" s="119"/>
      <c r="F319" s="324" t="s">
        <v>345</v>
      </c>
      <c r="G319" s="288" t="s">
        <v>174</v>
      </c>
      <c r="H319" s="288" t="s">
        <v>343</v>
      </c>
    </row>
    <row r="320" spans="4:17" ht="19.95" customHeight="1" x14ac:dyDescent="0.3">
      <c r="D320" s="119"/>
      <c r="F320" s="324"/>
      <c r="G320" s="288" t="s">
        <v>339</v>
      </c>
      <c r="H320" s="288" t="s">
        <v>343</v>
      </c>
    </row>
    <row r="321" spans="4:13" ht="19.95" customHeight="1" x14ac:dyDescent="0.3">
      <c r="D321" s="119"/>
      <c r="F321" s="324"/>
      <c r="G321" s="288" t="s">
        <v>336</v>
      </c>
      <c r="H321" s="288" t="s">
        <v>343</v>
      </c>
    </row>
    <row r="322" spans="4:13" ht="19.95" customHeight="1" x14ac:dyDescent="0.3">
      <c r="D322" s="119"/>
      <c r="F322" s="324"/>
      <c r="G322" s="288" t="s">
        <v>337</v>
      </c>
      <c r="H322" s="288" t="s">
        <v>343</v>
      </c>
    </row>
    <row r="323" spans="4:13" ht="19.95" customHeight="1" x14ac:dyDescent="0.3">
      <c r="D323" s="119"/>
      <c r="F323" s="324"/>
      <c r="G323" s="288" t="s">
        <v>338</v>
      </c>
      <c r="H323" s="288" t="s">
        <v>343</v>
      </c>
    </row>
    <row r="324" spans="4:13" ht="19.95" customHeight="1" x14ac:dyDescent="0.3">
      <c r="D324" s="119"/>
      <c r="F324" s="324" t="s">
        <v>346</v>
      </c>
      <c r="G324" s="288" t="s">
        <v>340</v>
      </c>
      <c r="H324" s="288" t="s">
        <v>343</v>
      </c>
    </row>
    <row r="325" spans="4:13" ht="19.95" customHeight="1" x14ac:dyDescent="0.3">
      <c r="D325" s="119"/>
      <c r="F325" s="324"/>
      <c r="G325" s="288" t="s">
        <v>316</v>
      </c>
      <c r="H325" s="288" t="s">
        <v>132</v>
      </c>
      <c r="I325" s="290"/>
      <c r="J325" s="290"/>
      <c r="K325" s="290"/>
      <c r="L325" s="290"/>
      <c r="M325" s="290"/>
    </row>
    <row r="326" spans="4:13" ht="19.95" customHeight="1" x14ac:dyDescent="0.3">
      <c r="D326" s="119"/>
      <c r="F326" s="324"/>
      <c r="G326" s="288" t="s">
        <v>317</v>
      </c>
      <c r="H326" s="288" t="s">
        <v>132</v>
      </c>
      <c r="I326" s="290"/>
      <c r="J326" s="290"/>
      <c r="K326" s="290"/>
      <c r="L326" s="290"/>
      <c r="M326" s="290"/>
    </row>
    <row r="327" spans="4:13" ht="19.95" customHeight="1" x14ac:dyDescent="0.3">
      <c r="D327" s="119"/>
      <c r="F327" s="324"/>
      <c r="G327" s="288" t="s">
        <v>265</v>
      </c>
      <c r="H327" s="288" t="s">
        <v>132</v>
      </c>
      <c r="I327" s="290"/>
      <c r="J327" s="290"/>
      <c r="K327" s="290"/>
      <c r="L327" s="290"/>
      <c r="M327" s="290"/>
    </row>
    <row r="328" spans="4:13" ht="19.95" customHeight="1" x14ac:dyDescent="0.3">
      <c r="D328" s="119"/>
      <c r="F328" s="324"/>
      <c r="G328" s="288" t="s">
        <v>264</v>
      </c>
      <c r="H328" s="288" t="s">
        <v>132</v>
      </c>
      <c r="I328" s="290"/>
      <c r="J328" s="290"/>
      <c r="K328" s="290"/>
      <c r="L328" s="290"/>
      <c r="M328" s="290"/>
    </row>
    <row r="329" spans="4:13" ht="19.95" customHeight="1" x14ac:dyDescent="0.3">
      <c r="F329" s="324" t="s">
        <v>347</v>
      </c>
      <c r="G329" s="288" t="s">
        <v>237</v>
      </c>
      <c r="H329" s="288" t="s">
        <v>343</v>
      </c>
    </row>
    <row r="330" spans="4:13" ht="19.95" customHeight="1" x14ac:dyDescent="0.3">
      <c r="F330" s="324"/>
      <c r="G330" s="288" t="s">
        <v>235</v>
      </c>
      <c r="H330" s="288" t="s">
        <v>31</v>
      </c>
    </row>
    <row r="331" spans="4:13" ht="19.95" customHeight="1" x14ac:dyDescent="0.3">
      <c r="F331" s="324"/>
      <c r="G331" s="288" t="s">
        <v>315</v>
      </c>
      <c r="H331" s="288" t="s">
        <v>343</v>
      </c>
    </row>
    <row r="332" spans="4:13" ht="19.95" customHeight="1" x14ac:dyDescent="0.3">
      <c r="F332" s="324"/>
      <c r="G332" s="288" t="s">
        <v>261</v>
      </c>
      <c r="H332" s="288" t="s">
        <v>31</v>
      </c>
    </row>
    <row r="333" spans="4:13" x14ac:dyDescent="0.3"/>
    <row r="334" spans="4:13" x14ac:dyDescent="0.3"/>
    <row r="335" spans="4:13" x14ac:dyDescent="0.3"/>
    <row r="336" spans="4:13" x14ac:dyDescent="0.3"/>
    <row r="337" spans="1:395" x14ac:dyDescent="0.3"/>
    <row r="340" spans="1:395" ht="13.8" customHeight="1" x14ac:dyDescent="0.3">
      <c r="D340" s="119"/>
      <c r="I340" s="290"/>
      <c r="J340" s="290"/>
      <c r="K340" s="290"/>
      <c r="L340" s="290"/>
      <c r="M340" s="290"/>
    </row>
    <row r="341" spans="1:395" ht="13.8" customHeight="1" x14ac:dyDescent="0.3">
      <c r="D341" s="119"/>
      <c r="I341" s="290"/>
      <c r="J341" s="290"/>
      <c r="K341" s="290"/>
      <c r="L341" s="290"/>
      <c r="M341" s="290"/>
      <c r="N341" s="291" t="s">
        <v>0</v>
      </c>
      <c r="O341" s="5"/>
      <c r="P341" s="28"/>
      <c r="Q341" s="5"/>
      <c r="R341" s="5"/>
      <c r="S341" s="5"/>
      <c r="T341" s="5"/>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c r="BP341" s="5"/>
      <c r="BQ341" s="5"/>
      <c r="BR341" s="5"/>
      <c r="BS341" s="5"/>
      <c r="BT341" s="5"/>
      <c r="BU341" s="5"/>
      <c r="BV341" s="5"/>
      <c r="BW341" s="5"/>
      <c r="BX341" s="5"/>
      <c r="BY341" s="5"/>
      <c r="BZ341" s="5"/>
      <c r="CA341" s="5"/>
      <c r="CB341" s="5"/>
      <c r="CC341" s="5"/>
      <c r="CD341" s="5"/>
      <c r="CE341" s="5"/>
      <c r="CF341" s="5"/>
      <c r="CG341" s="5"/>
      <c r="CH341" s="5"/>
      <c r="CI341" s="5"/>
      <c r="CJ341" s="5"/>
      <c r="CK341" s="5"/>
      <c r="CL341" s="5"/>
      <c r="CM341" s="5"/>
      <c r="CN341" s="5"/>
      <c r="CO341" s="5"/>
      <c r="CP341" s="5"/>
      <c r="CQ341" s="5"/>
      <c r="CR341" s="5"/>
      <c r="CS341" s="5"/>
      <c r="CT341" s="5"/>
      <c r="CU341" s="5"/>
      <c r="CV341" s="5"/>
      <c r="CW341" s="5"/>
      <c r="CX341" s="5"/>
      <c r="CY341" s="5"/>
      <c r="CZ341" s="5"/>
      <c r="DA341" s="5"/>
      <c r="DB341" s="5"/>
      <c r="DC341" s="5"/>
      <c r="DD341" s="5"/>
      <c r="DE341" s="5"/>
      <c r="DF341" s="5"/>
      <c r="DG341" s="5"/>
      <c r="DH341" s="5"/>
      <c r="DI341" s="5"/>
      <c r="DJ341" s="5"/>
      <c r="DK341" s="5"/>
      <c r="DL341" s="5"/>
      <c r="DM341" s="5"/>
      <c r="DN341" s="5"/>
      <c r="DO341" s="5"/>
      <c r="DP341" s="5"/>
      <c r="DQ341" s="5"/>
      <c r="DR341" s="5"/>
      <c r="DS341" s="5"/>
      <c r="DT341" s="5"/>
      <c r="DU341" s="5"/>
      <c r="DV341" s="5"/>
      <c r="DW341" s="5"/>
      <c r="DX341" s="5"/>
      <c r="DY341" s="5"/>
      <c r="DZ341" s="5"/>
      <c r="EA341" s="5"/>
      <c r="EB341" s="5"/>
      <c r="EC341" s="5"/>
      <c r="ED341" s="5"/>
      <c r="EE341" s="5"/>
      <c r="EF341" s="5"/>
      <c r="EG341" s="5"/>
      <c r="EH341" s="5"/>
      <c r="EI341" s="5"/>
      <c r="EJ341" s="5"/>
      <c r="EK341" s="5"/>
      <c r="EL341" s="5"/>
      <c r="EM341" s="5"/>
      <c r="EN341" s="5"/>
      <c r="EO341" s="5"/>
      <c r="EP341" s="5"/>
      <c r="EQ341" s="5"/>
      <c r="ER341" s="5"/>
      <c r="ES341" s="5"/>
      <c r="ET341" s="5"/>
      <c r="EU341" s="5"/>
      <c r="EV341" s="5"/>
      <c r="EW341" s="5"/>
      <c r="EX341" s="5"/>
      <c r="EY341" s="5"/>
      <c r="EZ341" s="5"/>
      <c r="FA341" s="5"/>
      <c r="FB341" s="5"/>
      <c r="FC341" s="5"/>
      <c r="FD341" s="5"/>
      <c r="FE341" s="5"/>
      <c r="FF341" s="5"/>
      <c r="FG341" s="5"/>
      <c r="FH341" s="5"/>
      <c r="FI341" s="5"/>
      <c r="FJ341" s="5"/>
      <c r="FK341" s="5"/>
      <c r="FL341" s="5"/>
      <c r="FM341" s="5"/>
      <c r="FN341" s="5"/>
      <c r="FO341" s="5"/>
      <c r="FP341" s="5"/>
      <c r="FQ341" s="5"/>
      <c r="FR341" s="5"/>
      <c r="FS341" s="5"/>
      <c r="FT341" s="5"/>
      <c r="FU341" s="5"/>
      <c r="FV341" s="5"/>
      <c r="FW341" s="5"/>
      <c r="FX341" s="5"/>
      <c r="FY341" s="5"/>
      <c r="FZ341" s="5"/>
      <c r="GA341" s="5"/>
      <c r="GB341" s="5"/>
      <c r="GC341" s="5"/>
      <c r="GD341" s="5"/>
      <c r="GE341" s="5"/>
      <c r="GF341" s="5"/>
      <c r="GG341" s="5"/>
      <c r="GH341" s="5"/>
      <c r="GI341" s="5"/>
      <c r="GJ341" s="5"/>
      <c r="GK341" s="5"/>
      <c r="GL341" s="5"/>
      <c r="GM341" s="5"/>
      <c r="GN341" s="5"/>
      <c r="GO341" s="5"/>
      <c r="GP341" s="5"/>
      <c r="GQ341" s="5"/>
      <c r="GR341" s="5"/>
      <c r="GS341" s="5"/>
      <c r="GT341" s="5"/>
      <c r="GU341" s="5"/>
      <c r="GV341" s="5"/>
      <c r="GW341" s="5"/>
      <c r="GX341" s="5"/>
      <c r="GY341" s="5"/>
      <c r="GZ341" s="5"/>
      <c r="HA341" s="5"/>
      <c r="HB341" s="5"/>
      <c r="HC341" s="5"/>
      <c r="HD341" s="5"/>
      <c r="HE341" s="5"/>
      <c r="HF341" s="5"/>
      <c r="HG341" s="5"/>
      <c r="HH341" s="5"/>
      <c r="HI341" s="5"/>
      <c r="HJ341" s="5"/>
      <c r="HK341" s="5"/>
      <c r="HL341" s="5"/>
      <c r="HM341" s="5"/>
      <c r="HN341" s="5"/>
      <c r="HO341" s="5"/>
      <c r="HP341" s="5"/>
      <c r="HQ341" s="5"/>
      <c r="HR341" s="5"/>
      <c r="HS341" s="5"/>
      <c r="HT341" s="5"/>
      <c r="HU341" s="5"/>
      <c r="HV341" s="5"/>
      <c r="HW341" s="5"/>
      <c r="HX341" s="5"/>
      <c r="HY341" s="5"/>
      <c r="HZ341" s="5"/>
      <c r="IA341" s="5"/>
      <c r="IB341" s="5"/>
      <c r="IC341" s="5"/>
      <c r="ID341" s="5"/>
      <c r="IE341" s="5"/>
      <c r="IF341" s="5"/>
      <c r="IG341" s="5"/>
      <c r="IH341" s="5"/>
      <c r="II341" s="5"/>
      <c r="IJ341" s="5"/>
      <c r="IK341" s="5"/>
      <c r="IL341" s="5"/>
      <c r="IM341" s="5"/>
      <c r="IN341" s="5"/>
      <c r="IO341" s="5"/>
      <c r="IP341" s="5"/>
      <c r="IQ341" s="5"/>
      <c r="IR341" s="5"/>
      <c r="IS341" s="5"/>
      <c r="IT341" s="5"/>
      <c r="IU341" s="5"/>
      <c r="IV341" s="5"/>
      <c r="IW341" s="5"/>
      <c r="IX341" s="5"/>
      <c r="IY341" s="5"/>
      <c r="IZ341" s="5"/>
      <c r="JA341" s="5"/>
      <c r="JB341" s="5"/>
      <c r="JC341" s="5"/>
      <c r="JD341" s="5"/>
      <c r="JE341" s="5"/>
      <c r="JF341" s="5"/>
      <c r="JG341" s="5"/>
      <c r="JH341" s="5"/>
      <c r="JI341" s="5"/>
      <c r="JJ341" s="5"/>
      <c r="JK341" s="5"/>
      <c r="JL341" s="5"/>
      <c r="JM341" s="5"/>
      <c r="JN341" s="5"/>
      <c r="JO341" s="5"/>
      <c r="JP341" s="5"/>
      <c r="JQ341" s="5"/>
      <c r="JR341" s="5"/>
      <c r="JS341" s="5"/>
      <c r="JT341" s="5"/>
      <c r="JU341" s="5"/>
      <c r="JV341" s="5"/>
      <c r="JW341" s="5"/>
      <c r="JX341" s="5"/>
      <c r="JY341" s="5"/>
      <c r="JZ341" s="5"/>
      <c r="KA341" s="5"/>
      <c r="KB341" s="5"/>
      <c r="KC341" s="5"/>
      <c r="KD341" s="5"/>
      <c r="KE341" s="5"/>
      <c r="KF341" s="5"/>
      <c r="KG341" s="5"/>
      <c r="KH341" s="5"/>
      <c r="KI341" s="5"/>
      <c r="KJ341" s="5"/>
      <c r="KK341" s="5"/>
      <c r="KL341" s="5"/>
      <c r="KM341" s="5"/>
      <c r="KN341" s="5"/>
      <c r="KO341" s="5"/>
      <c r="KP341" s="5"/>
      <c r="KQ341" s="5"/>
      <c r="KR341" s="5"/>
      <c r="KS341" s="5"/>
      <c r="KT341" s="5"/>
      <c r="KU341" s="5"/>
      <c r="KV341" s="5"/>
      <c r="KW341" s="5"/>
      <c r="KX341" s="5"/>
      <c r="KY341" s="5"/>
      <c r="KZ341" s="5"/>
      <c r="LA341" s="5"/>
      <c r="LB341" s="5"/>
      <c r="LC341" s="5"/>
      <c r="LD341" s="5"/>
      <c r="LE341" s="5"/>
      <c r="LF341" s="5"/>
      <c r="LG341" s="5"/>
      <c r="LH341" s="5"/>
      <c r="LI341" s="5"/>
      <c r="LJ341" s="5"/>
      <c r="LK341" s="5"/>
      <c r="LL341" s="5"/>
      <c r="LM341" s="5"/>
      <c r="LN341" s="5"/>
      <c r="LO341" s="5"/>
      <c r="LP341" s="5"/>
      <c r="LQ341" s="5"/>
      <c r="LR341" s="5"/>
      <c r="LS341" s="5"/>
      <c r="LT341" s="5"/>
      <c r="LU341" s="5"/>
      <c r="LV341" s="5"/>
      <c r="LW341" s="5"/>
      <c r="LX341" s="5"/>
      <c r="LY341" s="5"/>
      <c r="LZ341" s="5"/>
      <c r="MA341" s="5"/>
      <c r="MB341" s="5"/>
      <c r="MC341" s="5"/>
      <c r="MD341" s="5"/>
      <c r="ME341" s="5"/>
      <c r="MF341" s="5"/>
      <c r="MG341" s="5"/>
      <c r="MH341" s="5"/>
      <c r="MI341" s="5"/>
      <c r="MJ341" s="5"/>
      <c r="MK341" s="5"/>
      <c r="ML341" s="5"/>
      <c r="MM341" s="5"/>
      <c r="MN341" s="5"/>
      <c r="MO341" s="5"/>
      <c r="MP341" s="5"/>
      <c r="MQ341" s="5"/>
      <c r="MR341" s="5"/>
      <c r="MS341" s="5"/>
      <c r="MT341" s="5"/>
      <c r="MU341" s="5"/>
      <c r="MV341" s="5"/>
      <c r="MW341" s="5"/>
      <c r="MX341" s="5"/>
      <c r="MY341" s="5"/>
      <c r="MZ341" s="5"/>
      <c r="NA341" s="5"/>
      <c r="NB341" s="5"/>
      <c r="NC341" s="5"/>
      <c r="ND341" s="5"/>
      <c r="NE341" s="5"/>
      <c r="NF341" s="5"/>
      <c r="NG341" s="5"/>
      <c r="NH341" s="5"/>
      <c r="NI341" s="5"/>
      <c r="NJ341" s="5"/>
      <c r="NK341" s="5"/>
      <c r="NL341" s="5"/>
      <c r="NM341" s="5"/>
      <c r="NN341" s="5"/>
      <c r="NO341" s="5"/>
      <c r="NP341" s="5"/>
      <c r="NQ341" s="5"/>
      <c r="NR341" s="5"/>
      <c r="NS341" s="5"/>
      <c r="NT341" s="5"/>
      <c r="NU341" s="5"/>
      <c r="NV341" s="5"/>
      <c r="NW341" s="5"/>
      <c r="NX341" s="5"/>
      <c r="NY341" s="5"/>
      <c r="NZ341" s="5"/>
      <c r="OA341" s="5"/>
      <c r="OB341" s="5"/>
      <c r="OC341" s="5"/>
      <c r="OD341" s="5"/>
      <c r="OE341" s="5"/>
    </row>
    <row r="342" spans="1:395" ht="13.8" customHeight="1" x14ac:dyDescent="0.3">
      <c r="D342" s="119"/>
      <c r="I342" s="290"/>
      <c r="J342" s="290"/>
      <c r="K342" s="290"/>
      <c r="L342" s="290"/>
      <c r="M342" s="290"/>
      <c r="N342" s="25" t="s">
        <v>60</v>
      </c>
      <c r="O342" s="25"/>
      <c r="P342" s="27" t="s">
        <v>65</v>
      </c>
      <c r="Q342" s="25" cm="1">
        <f t="array" ref="Q342:OE342">E368+(_xlfn.ANCHORARRAY(Q4)-1)*E370</f>
        <v>230</v>
      </c>
      <c r="R342" s="25">
        <v>230</v>
      </c>
      <c r="S342" s="25">
        <v>230</v>
      </c>
      <c r="T342" s="25">
        <v>230</v>
      </c>
      <c r="U342" s="25">
        <v>230</v>
      </c>
      <c r="V342" s="25">
        <v>230</v>
      </c>
      <c r="W342" s="25">
        <v>230</v>
      </c>
      <c r="X342" s="25">
        <v>230</v>
      </c>
      <c r="Y342" s="25">
        <v>230</v>
      </c>
      <c r="Z342" s="25">
        <v>230</v>
      </c>
      <c r="AA342" s="25">
        <v>230</v>
      </c>
      <c r="AB342" s="25">
        <v>230</v>
      </c>
      <c r="AC342" s="25">
        <v>227</v>
      </c>
      <c r="AD342" s="25">
        <v>227</v>
      </c>
      <c r="AE342" s="25">
        <v>227</v>
      </c>
      <c r="AF342" s="25">
        <v>227</v>
      </c>
      <c r="AG342" s="25">
        <v>227</v>
      </c>
      <c r="AH342" s="25">
        <v>227</v>
      </c>
      <c r="AI342" s="25">
        <v>227</v>
      </c>
      <c r="AJ342" s="25">
        <v>227</v>
      </c>
      <c r="AK342" s="25">
        <v>227</v>
      </c>
      <c r="AL342" s="25">
        <v>227</v>
      </c>
      <c r="AM342" s="25">
        <v>227</v>
      </c>
      <c r="AN342" s="25">
        <v>227</v>
      </c>
      <c r="AO342" s="25">
        <v>224</v>
      </c>
      <c r="AP342" s="25">
        <v>224</v>
      </c>
      <c r="AQ342" s="25">
        <v>224</v>
      </c>
      <c r="AR342" s="25">
        <v>224</v>
      </c>
      <c r="AS342" s="25">
        <v>224</v>
      </c>
      <c r="AT342" s="25">
        <v>224</v>
      </c>
      <c r="AU342" s="25">
        <v>224</v>
      </c>
      <c r="AV342" s="25">
        <v>224</v>
      </c>
      <c r="AW342" s="25">
        <v>224</v>
      </c>
      <c r="AX342" s="25">
        <v>224</v>
      </c>
      <c r="AY342" s="25">
        <v>224</v>
      </c>
      <c r="AZ342" s="25">
        <v>224</v>
      </c>
      <c r="BA342" s="25">
        <v>221</v>
      </c>
      <c r="BB342" s="25">
        <v>221</v>
      </c>
      <c r="BC342" s="25">
        <v>221</v>
      </c>
      <c r="BD342" s="25">
        <v>221</v>
      </c>
      <c r="BE342" s="25">
        <v>221</v>
      </c>
      <c r="BF342" s="25">
        <v>221</v>
      </c>
      <c r="BG342" s="25">
        <v>221</v>
      </c>
      <c r="BH342" s="25">
        <v>221</v>
      </c>
      <c r="BI342" s="25">
        <v>221</v>
      </c>
      <c r="BJ342" s="25">
        <v>221</v>
      </c>
      <c r="BK342" s="25">
        <v>221</v>
      </c>
      <c r="BL342" s="25">
        <v>221</v>
      </c>
      <c r="BM342" s="25">
        <v>218</v>
      </c>
      <c r="BN342" s="25">
        <v>218</v>
      </c>
      <c r="BO342" s="25">
        <v>218</v>
      </c>
      <c r="BP342" s="25">
        <v>218</v>
      </c>
      <c r="BQ342" s="25">
        <v>218</v>
      </c>
      <c r="BR342" s="25">
        <v>218</v>
      </c>
      <c r="BS342" s="25">
        <v>218</v>
      </c>
      <c r="BT342" s="25">
        <v>218</v>
      </c>
      <c r="BU342" s="25">
        <v>218</v>
      </c>
      <c r="BV342" s="25">
        <v>218</v>
      </c>
      <c r="BW342" s="25">
        <v>218</v>
      </c>
      <c r="BX342" s="25">
        <v>218</v>
      </c>
      <c r="BY342" s="25">
        <v>215</v>
      </c>
      <c r="BZ342" s="25">
        <v>215</v>
      </c>
      <c r="CA342" s="25">
        <v>215</v>
      </c>
      <c r="CB342" s="25">
        <v>215</v>
      </c>
      <c r="CC342" s="25">
        <v>215</v>
      </c>
      <c r="CD342" s="25">
        <v>215</v>
      </c>
      <c r="CE342" s="25">
        <v>215</v>
      </c>
      <c r="CF342" s="25">
        <v>215</v>
      </c>
      <c r="CG342" s="25">
        <v>215</v>
      </c>
      <c r="CH342" s="25">
        <v>215</v>
      </c>
      <c r="CI342" s="25">
        <v>215</v>
      </c>
      <c r="CJ342" s="25">
        <v>215</v>
      </c>
      <c r="CK342" s="25">
        <v>212</v>
      </c>
      <c r="CL342" s="25">
        <v>212</v>
      </c>
      <c r="CM342" s="25">
        <v>212</v>
      </c>
      <c r="CN342" s="25">
        <v>212</v>
      </c>
      <c r="CO342" s="25">
        <v>212</v>
      </c>
      <c r="CP342" s="25">
        <v>212</v>
      </c>
      <c r="CQ342" s="25">
        <v>212</v>
      </c>
      <c r="CR342" s="25">
        <v>212</v>
      </c>
      <c r="CS342" s="25">
        <v>212</v>
      </c>
      <c r="CT342" s="25">
        <v>212</v>
      </c>
      <c r="CU342" s="25">
        <v>212</v>
      </c>
      <c r="CV342" s="25">
        <v>212</v>
      </c>
      <c r="CW342" s="25">
        <v>209</v>
      </c>
      <c r="CX342" s="25">
        <v>209</v>
      </c>
      <c r="CY342" s="25">
        <v>209</v>
      </c>
      <c r="CZ342" s="25">
        <v>209</v>
      </c>
      <c r="DA342" s="25">
        <v>209</v>
      </c>
      <c r="DB342" s="25">
        <v>209</v>
      </c>
      <c r="DC342" s="25">
        <v>209</v>
      </c>
      <c r="DD342" s="25">
        <v>209</v>
      </c>
      <c r="DE342" s="25">
        <v>209</v>
      </c>
      <c r="DF342" s="25">
        <v>209</v>
      </c>
      <c r="DG342" s="25">
        <v>209</v>
      </c>
      <c r="DH342" s="25">
        <v>209</v>
      </c>
      <c r="DI342" s="25">
        <v>206</v>
      </c>
      <c r="DJ342" s="25">
        <v>206</v>
      </c>
      <c r="DK342" s="25">
        <v>206</v>
      </c>
      <c r="DL342" s="25">
        <v>206</v>
      </c>
      <c r="DM342" s="25">
        <v>206</v>
      </c>
      <c r="DN342" s="25">
        <v>206</v>
      </c>
      <c r="DO342" s="25">
        <v>206</v>
      </c>
      <c r="DP342" s="25">
        <v>206</v>
      </c>
      <c r="DQ342" s="25">
        <v>206</v>
      </c>
      <c r="DR342" s="25">
        <v>206</v>
      </c>
      <c r="DS342" s="25">
        <v>206</v>
      </c>
      <c r="DT342" s="25">
        <v>206</v>
      </c>
      <c r="DU342" s="25">
        <v>203</v>
      </c>
      <c r="DV342" s="25">
        <v>203</v>
      </c>
      <c r="DW342" s="25">
        <v>203</v>
      </c>
      <c r="DX342" s="25">
        <v>203</v>
      </c>
      <c r="DY342" s="25">
        <v>203</v>
      </c>
      <c r="DZ342" s="25">
        <v>203</v>
      </c>
      <c r="EA342" s="25">
        <v>203</v>
      </c>
      <c r="EB342" s="25">
        <v>203</v>
      </c>
      <c r="EC342" s="25">
        <v>203</v>
      </c>
      <c r="ED342" s="25">
        <v>203</v>
      </c>
      <c r="EE342" s="25">
        <v>203</v>
      </c>
      <c r="EF342" s="25">
        <v>203</v>
      </c>
      <c r="EG342" s="25">
        <v>200</v>
      </c>
      <c r="EH342" s="25">
        <v>200</v>
      </c>
      <c r="EI342" s="25">
        <v>200</v>
      </c>
      <c r="EJ342" s="25">
        <v>200</v>
      </c>
      <c r="EK342" s="25">
        <v>200</v>
      </c>
      <c r="EL342" s="25">
        <v>200</v>
      </c>
      <c r="EM342" s="25">
        <v>200</v>
      </c>
      <c r="EN342" s="25">
        <v>200</v>
      </c>
      <c r="EO342" s="25">
        <v>200</v>
      </c>
      <c r="EP342" s="25">
        <v>200</v>
      </c>
      <c r="EQ342" s="25">
        <v>200</v>
      </c>
      <c r="ER342" s="25">
        <v>200</v>
      </c>
      <c r="ES342" s="25">
        <v>197</v>
      </c>
      <c r="ET342" s="25">
        <v>197</v>
      </c>
      <c r="EU342" s="25">
        <v>197</v>
      </c>
      <c r="EV342" s="25">
        <v>197</v>
      </c>
      <c r="EW342" s="25">
        <v>197</v>
      </c>
      <c r="EX342" s="25">
        <v>197</v>
      </c>
      <c r="EY342" s="25">
        <v>197</v>
      </c>
      <c r="EZ342" s="25">
        <v>197</v>
      </c>
      <c r="FA342" s="25">
        <v>197</v>
      </c>
      <c r="FB342" s="25">
        <v>197</v>
      </c>
      <c r="FC342" s="25">
        <v>197</v>
      </c>
      <c r="FD342" s="25">
        <v>197</v>
      </c>
      <c r="FE342" s="25">
        <v>194</v>
      </c>
      <c r="FF342" s="25">
        <v>194</v>
      </c>
      <c r="FG342" s="25">
        <v>194</v>
      </c>
      <c r="FH342" s="25">
        <v>194</v>
      </c>
      <c r="FI342" s="25">
        <v>194</v>
      </c>
      <c r="FJ342" s="25">
        <v>194</v>
      </c>
      <c r="FK342" s="25">
        <v>194</v>
      </c>
      <c r="FL342" s="25">
        <v>194</v>
      </c>
      <c r="FM342" s="25">
        <v>194</v>
      </c>
      <c r="FN342" s="25">
        <v>194</v>
      </c>
      <c r="FO342" s="25">
        <v>194</v>
      </c>
      <c r="FP342" s="25">
        <v>194</v>
      </c>
      <c r="FQ342" s="25">
        <v>191</v>
      </c>
      <c r="FR342" s="25">
        <v>191</v>
      </c>
      <c r="FS342" s="25">
        <v>191</v>
      </c>
      <c r="FT342" s="25">
        <v>191</v>
      </c>
      <c r="FU342" s="25">
        <v>191</v>
      </c>
      <c r="FV342" s="25">
        <v>191</v>
      </c>
      <c r="FW342" s="25">
        <v>191</v>
      </c>
      <c r="FX342" s="25">
        <v>191</v>
      </c>
      <c r="FY342" s="25">
        <v>191</v>
      </c>
      <c r="FZ342" s="25">
        <v>191</v>
      </c>
      <c r="GA342" s="25">
        <v>191</v>
      </c>
      <c r="GB342" s="25">
        <v>191</v>
      </c>
      <c r="GC342" s="25">
        <v>188</v>
      </c>
      <c r="GD342" s="25">
        <v>188</v>
      </c>
      <c r="GE342" s="25">
        <v>188</v>
      </c>
      <c r="GF342" s="25">
        <v>188</v>
      </c>
      <c r="GG342" s="25">
        <v>188</v>
      </c>
      <c r="GH342" s="25">
        <v>188</v>
      </c>
      <c r="GI342" s="25">
        <v>188</v>
      </c>
      <c r="GJ342" s="25">
        <v>188</v>
      </c>
      <c r="GK342" s="25">
        <v>188</v>
      </c>
      <c r="GL342" s="25">
        <v>188</v>
      </c>
      <c r="GM342" s="25">
        <v>188</v>
      </c>
      <c r="GN342" s="25">
        <v>188</v>
      </c>
      <c r="GO342" s="25">
        <v>185</v>
      </c>
      <c r="GP342" s="25">
        <v>185</v>
      </c>
      <c r="GQ342" s="25">
        <v>185</v>
      </c>
      <c r="GR342" s="25">
        <v>185</v>
      </c>
      <c r="GS342" s="25">
        <v>185</v>
      </c>
      <c r="GT342" s="25">
        <v>185</v>
      </c>
      <c r="GU342" s="25">
        <v>185</v>
      </c>
      <c r="GV342" s="25">
        <v>185</v>
      </c>
      <c r="GW342" s="25">
        <v>185</v>
      </c>
      <c r="GX342" s="25">
        <v>185</v>
      </c>
      <c r="GY342" s="25">
        <v>185</v>
      </c>
      <c r="GZ342" s="25">
        <v>185</v>
      </c>
      <c r="HA342" s="25">
        <v>182</v>
      </c>
      <c r="HB342" s="25">
        <v>182</v>
      </c>
      <c r="HC342" s="25">
        <v>182</v>
      </c>
      <c r="HD342" s="25">
        <v>182</v>
      </c>
      <c r="HE342" s="25">
        <v>182</v>
      </c>
      <c r="HF342" s="25">
        <v>182</v>
      </c>
      <c r="HG342" s="25">
        <v>182</v>
      </c>
      <c r="HH342" s="25">
        <v>182</v>
      </c>
      <c r="HI342" s="25">
        <v>182</v>
      </c>
      <c r="HJ342" s="25">
        <v>182</v>
      </c>
      <c r="HK342" s="25">
        <v>182</v>
      </c>
      <c r="HL342" s="25">
        <v>182</v>
      </c>
      <c r="HM342" s="25">
        <v>179</v>
      </c>
      <c r="HN342" s="25">
        <v>179</v>
      </c>
      <c r="HO342" s="25">
        <v>179</v>
      </c>
      <c r="HP342" s="25">
        <v>179</v>
      </c>
      <c r="HQ342" s="25">
        <v>179</v>
      </c>
      <c r="HR342" s="25">
        <v>179</v>
      </c>
      <c r="HS342" s="25">
        <v>179</v>
      </c>
      <c r="HT342" s="25">
        <v>179</v>
      </c>
      <c r="HU342" s="25">
        <v>179</v>
      </c>
      <c r="HV342" s="25">
        <v>179</v>
      </c>
      <c r="HW342" s="25">
        <v>179</v>
      </c>
      <c r="HX342" s="25">
        <v>179</v>
      </c>
      <c r="HY342" s="25">
        <v>176</v>
      </c>
      <c r="HZ342" s="25">
        <v>176</v>
      </c>
      <c r="IA342" s="25">
        <v>176</v>
      </c>
      <c r="IB342" s="25">
        <v>176</v>
      </c>
      <c r="IC342" s="25">
        <v>176</v>
      </c>
      <c r="ID342" s="25">
        <v>176</v>
      </c>
      <c r="IE342" s="25">
        <v>176</v>
      </c>
      <c r="IF342" s="25">
        <v>176</v>
      </c>
      <c r="IG342" s="25">
        <v>176</v>
      </c>
      <c r="IH342" s="25">
        <v>176</v>
      </c>
      <c r="II342" s="25">
        <v>176</v>
      </c>
      <c r="IJ342" s="25">
        <v>176</v>
      </c>
      <c r="IK342" s="25">
        <v>173</v>
      </c>
      <c r="IL342" s="25">
        <v>173</v>
      </c>
      <c r="IM342" s="25">
        <v>173</v>
      </c>
      <c r="IN342" s="25">
        <v>173</v>
      </c>
      <c r="IO342" s="25">
        <v>173</v>
      </c>
      <c r="IP342" s="25">
        <v>173</v>
      </c>
      <c r="IQ342" s="25">
        <v>173</v>
      </c>
      <c r="IR342" s="25">
        <v>173</v>
      </c>
      <c r="IS342" s="25">
        <v>173</v>
      </c>
      <c r="IT342" s="25">
        <v>173</v>
      </c>
      <c r="IU342" s="25">
        <v>173</v>
      </c>
      <c r="IV342" s="25">
        <v>173</v>
      </c>
      <c r="IW342" s="25">
        <v>170</v>
      </c>
      <c r="IX342" s="25">
        <v>170</v>
      </c>
      <c r="IY342" s="25">
        <v>170</v>
      </c>
      <c r="IZ342" s="25">
        <v>170</v>
      </c>
      <c r="JA342" s="25">
        <v>170</v>
      </c>
      <c r="JB342" s="25">
        <v>170</v>
      </c>
      <c r="JC342" s="25">
        <v>170</v>
      </c>
      <c r="JD342" s="25">
        <v>170</v>
      </c>
      <c r="JE342" s="25">
        <v>170</v>
      </c>
      <c r="JF342" s="25">
        <v>170</v>
      </c>
      <c r="JG342" s="25">
        <v>170</v>
      </c>
      <c r="JH342" s="25">
        <v>170</v>
      </c>
      <c r="JI342" s="25">
        <v>167</v>
      </c>
      <c r="JJ342" s="25">
        <v>167</v>
      </c>
      <c r="JK342" s="25">
        <v>167</v>
      </c>
      <c r="JL342" s="25">
        <v>167</v>
      </c>
      <c r="JM342" s="25">
        <v>167</v>
      </c>
      <c r="JN342" s="25">
        <v>167</v>
      </c>
      <c r="JO342" s="25">
        <v>167</v>
      </c>
      <c r="JP342" s="25">
        <v>167</v>
      </c>
      <c r="JQ342" s="25">
        <v>167</v>
      </c>
      <c r="JR342" s="25">
        <v>167</v>
      </c>
      <c r="JS342" s="25">
        <v>167</v>
      </c>
      <c r="JT342" s="25">
        <v>167</v>
      </c>
      <c r="JU342" s="25">
        <v>164</v>
      </c>
      <c r="JV342" s="25">
        <v>164</v>
      </c>
      <c r="JW342" s="25">
        <v>164</v>
      </c>
      <c r="JX342" s="25">
        <v>164</v>
      </c>
      <c r="JY342" s="25">
        <v>164</v>
      </c>
      <c r="JZ342" s="25">
        <v>164</v>
      </c>
      <c r="KA342" s="25">
        <v>164</v>
      </c>
      <c r="KB342" s="25">
        <v>164</v>
      </c>
      <c r="KC342" s="25">
        <v>164</v>
      </c>
      <c r="KD342" s="25">
        <v>164</v>
      </c>
      <c r="KE342" s="25">
        <v>164</v>
      </c>
      <c r="KF342" s="25">
        <v>164</v>
      </c>
      <c r="KG342" s="25">
        <v>161</v>
      </c>
      <c r="KH342" s="25">
        <v>161</v>
      </c>
      <c r="KI342" s="25">
        <v>161</v>
      </c>
      <c r="KJ342" s="25">
        <v>161</v>
      </c>
      <c r="KK342" s="25">
        <v>161</v>
      </c>
      <c r="KL342" s="25">
        <v>161</v>
      </c>
      <c r="KM342" s="25">
        <v>161</v>
      </c>
      <c r="KN342" s="25">
        <v>161</v>
      </c>
      <c r="KO342" s="25">
        <v>161</v>
      </c>
      <c r="KP342" s="25">
        <v>161</v>
      </c>
      <c r="KQ342" s="25">
        <v>161</v>
      </c>
      <c r="KR342" s="25">
        <v>161</v>
      </c>
      <c r="KS342" s="25">
        <v>158</v>
      </c>
      <c r="KT342" s="25">
        <v>158</v>
      </c>
      <c r="KU342" s="25">
        <v>158</v>
      </c>
      <c r="KV342" s="25">
        <v>158</v>
      </c>
      <c r="KW342" s="25">
        <v>158</v>
      </c>
      <c r="KX342" s="25">
        <v>158</v>
      </c>
      <c r="KY342" s="25">
        <v>158</v>
      </c>
      <c r="KZ342" s="25">
        <v>158</v>
      </c>
      <c r="LA342" s="25">
        <v>158</v>
      </c>
      <c r="LB342" s="25">
        <v>158</v>
      </c>
      <c r="LC342" s="25">
        <v>158</v>
      </c>
      <c r="LD342" s="25">
        <v>158</v>
      </c>
      <c r="LE342" s="25">
        <v>155</v>
      </c>
      <c r="LF342" s="25">
        <v>155</v>
      </c>
      <c r="LG342" s="25">
        <v>155</v>
      </c>
      <c r="LH342" s="25">
        <v>155</v>
      </c>
      <c r="LI342" s="25">
        <v>155</v>
      </c>
      <c r="LJ342" s="25">
        <v>155</v>
      </c>
      <c r="LK342" s="25">
        <v>155</v>
      </c>
      <c r="LL342" s="25">
        <v>155</v>
      </c>
      <c r="LM342" s="25">
        <v>155</v>
      </c>
      <c r="LN342" s="25">
        <v>155</v>
      </c>
      <c r="LO342" s="25">
        <v>155</v>
      </c>
      <c r="LP342" s="25">
        <v>155</v>
      </c>
      <c r="LQ342" s="25">
        <v>152</v>
      </c>
      <c r="LR342" s="25">
        <v>152</v>
      </c>
      <c r="LS342" s="25">
        <v>152</v>
      </c>
      <c r="LT342" s="25">
        <v>152</v>
      </c>
      <c r="LU342" s="25">
        <v>152</v>
      </c>
      <c r="LV342" s="25">
        <v>152</v>
      </c>
      <c r="LW342" s="25">
        <v>152</v>
      </c>
      <c r="LX342" s="25">
        <v>152</v>
      </c>
      <c r="LY342" s="25">
        <v>152</v>
      </c>
      <c r="LZ342" s="25">
        <v>152</v>
      </c>
      <c r="MA342" s="25">
        <v>152</v>
      </c>
      <c r="MB342" s="25">
        <v>152</v>
      </c>
      <c r="MC342" s="25">
        <v>149</v>
      </c>
      <c r="MD342" s="25">
        <v>149</v>
      </c>
      <c r="ME342" s="25">
        <v>149</v>
      </c>
      <c r="MF342" s="25">
        <v>149</v>
      </c>
      <c r="MG342" s="25">
        <v>149</v>
      </c>
      <c r="MH342" s="25">
        <v>149</v>
      </c>
      <c r="MI342" s="25">
        <v>149</v>
      </c>
      <c r="MJ342" s="25">
        <v>149</v>
      </c>
      <c r="MK342" s="25">
        <v>149</v>
      </c>
      <c r="ML342" s="25">
        <v>149</v>
      </c>
      <c r="MM342" s="25">
        <v>149</v>
      </c>
      <c r="MN342" s="25">
        <v>149</v>
      </c>
      <c r="MO342" s="25">
        <v>146</v>
      </c>
      <c r="MP342" s="25">
        <v>146</v>
      </c>
      <c r="MQ342" s="25">
        <v>146</v>
      </c>
      <c r="MR342" s="25">
        <v>146</v>
      </c>
      <c r="MS342" s="25">
        <v>146</v>
      </c>
      <c r="MT342" s="25">
        <v>146</v>
      </c>
      <c r="MU342" s="25">
        <v>146</v>
      </c>
      <c r="MV342" s="25">
        <v>146</v>
      </c>
      <c r="MW342" s="25">
        <v>146</v>
      </c>
      <c r="MX342" s="25">
        <v>146</v>
      </c>
      <c r="MY342" s="25">
        <v>146</v>
      </c>
      <c r="MZ342" s="25">
        <v>146</v>
      </c>
      <c r="NA342" s="25">
        <v>143</v>
      </c>
      <c r="NB342" s="25">
        <v>143</v>
      </c>
      <c r="NC342" s="25">
        <v>143</v>
      </c>
      <c r="ND342" s="25">
        <v>143</v>
      </c>
      <c r="NE342" s="25">
        <v>143</v>
      </c>
      <c r="NF342" s="25">
        <v>143</v>
      </c>
      <c r="NG342" s="25">
        <v>143</v>
      </c>
      <c r="NH342" s="25">
        <v>143</v>
      </c>
      <c r="NI342" s="25">
        <v>143</v>
      </c>
      <c r="NJ342" s="25">
        <v>143</v>
      </c>
      <c r="NK342" s="25">
        <v>143</v>
      </c>
      <c r="NL342" s="25">
        <v>143</v>
      </c>
      <c r="NM342" s="25">
        <v>140</v>
      </c>
      <c r="NN342" s="25">
        <v>140</v>
      </c>
      <c r="NO342" s="25">
        <v>140</v>
      </c>
      <c r="NP342" s="25">
        <v>140</v>
      </c>
      <c r="NQ342" s="25">
        <v>140</v>
      </c>
      <c r="NR342" s="25">
        <v>140</v>
      </c>
      <c r="NS342" s="25">
        <v>140</v>
      </c>
      <c r="NT342" s="25">
        <v>140</v>
      </c>
      <c r="NU342" s="25">
        <v>140</v>
      </c>
      <c r="NV342" s="25">
        <v>140</v>
      </c>
      <c r="NW342" s="25">
        <v>140</v>
      </c>
      <c r="NX342" s="25">
        <v>140</v>
      </c>
      <c r="NY342" s="25">
        <v>137</v>
      </c>
      <c r="NZ342" s="25">
        <v>137</v>
      </c>
      <c r="OA342" s="25">
        <v>137</v>
      </c>
      <c r="OB342" s="25">
        <v>137</v>
      </c>
      <c r="OC342" s="25">
        <v>137</v>
      </c>
      <c r="OD342" s="25">
        <v>137</v>
      </c>
      <c r="OE342" s="25">
        <v>137</v>
      </c>
    </row>
    <row r="343" spans="1:395" ht="13.8" customHeight="1" x14ac:dyDescent="0.3">
      <c r="D343" s="119"/>
      <c r="I343" s="290"/>
      <c r="J343" s="290"/>
      <c r="K343" s="290"/>
      <c r="L343" s="290"/>
      <c r="M343" s="290"/>
      <c r="N343" s="25" t="s">
        <v>72</v>
      </c>
      <c r="O343" s="25"/>
      <c r="P343" s="27" t="s">
        <v>73</v>
      </c>
      <c r="Q343" s="25" cm="1">
        <f t="array" ref="Q343:OE343">LOOKUP(_xlfn.ANCHORARRAY(Q342),'Water Properties'!A:A,'Water Properties'!E:E)</f>
        <v>990.26</v>
      </c>
      <c r="R343" s="25">
        <v>990.26</v>
      </c>
      <c r="S343" s="25">
        <v>990.26</v>
      </c>
      <c r="T343" s="25">
        <v>990.26</v>
      </c>
      <c r="U343" s="25">
        <v>990.26</v>
      </c>
      <c r="V343" s="25">
        <v>990.26</v>
      </c>
      <c r="W343" s="25">
        <v>990.26</v>
      </c>
      <c r="X343" s="25">
        <v>990.26</v>
      </c>
      <c r="Y343" s="25">
        <v>990.26</v>
      </c>
      <c r="Z343" s="25">
        <v>990.26</v>
      </c>
      <c r="AA343" s="25">
        <v>990.26</v>
      </c>
      <c r="AB343" s="25">
        <v>990.26</v>
      </c>
      <c r="AC343" s="25">
        <v>976.21</v>
      </c>
      <c r="AD343" s="25">
        <v>976.21</v>
      </c>
      <c r="AE343" s="25">
        <v>976.21</v>
      </c>
      <c r="AF343" s="25">
        <v>976.21</v>
      </c>
      <c r="AG343" s="25">
        <v>976.21</v>
      </c>
      <c r="AH343" s="25">
        <v>976.21</v>
      </c>
      <c r="AI343" s="25">
        <v>976.21</v>
      </c>
      <c r="AJ343" s="25">
        <v>976.21</v>
      </c>
      <c r="AK343" s="25">
        <v>976.21</v>
      </c>
      <c r="AL343" s="25">
        <v>976.21</v>
      </c>
      <c r="AM343" s="25">
        <v>976.21</v>
      </c>
      <c r="AN343" s="25">
        <v>976.21</v>
      </c>
      <c r="AO343" s="25">
        <v>962.22</v>
      </c>
      <c r="AP343" s="25">
        <v>962.22</v>
      </c>
      <c r="AQ343" s="25">
        <v>962.22</v>
      </c>
      <c r="AR343" s="25">
        <v>962.22</v>
      </c>
      <c r="AS343" s="25">
        <v>962.22</v>
      </c>
      <c r="AT343" s="25">
        <v>962.22</v>
      </c>
      <c r="AU343" s="25">
        <v>962.22</v>
      </c>
      <c r="AV343" s="25">
        <v>962.22</v>
      </c>
      <c r="AW343" s="25">
        <v>962.22</v>
      </c>
      <c r="AX343" s="25">
        <v>962.22</v>
      </c>
      <c r="AY343" s="25">
        <v>962.22</v>
      </c>
      <c r="AZ343" s="25">
        <v>962.22</v>
      </c>
      <c r="BA343" s="25">
        <v>948.3</v>
      </c>
      <c r="BB343" s="25">
        <v>948.3</v>
      </c>
      <c r="BC343" s="25">
        <v>948.3</v>
      </c>
      <c r="BD343" s="25">
        <v>948.3</v>
      </c>
      <c r="BE343" s="25">
        <v>948.3</v>
      </c>
      <c r="BF343" s="25">
        <v>948.3</v>
      </c>
      <c r="BG343" s="25">
        <v>948.3</v>
      </c>
      <c r="BH343" s="25">
        <v>948.3</v>
      </c>
      <c r="BI343" s="25">
        <v>948.3</v>
      </c>
      <c r="BJ343" s="25">
        <v>948.3</v>
      </c>
      <c r="BK343" s="25">
        <v>948.3</v>
      </c>
      <c r="BL343" s="25">
        <v>948.3</v>
      </c>
      <c r="BM343" s="25">
        <v>934.44</v>
      </c>
      <c r="BN343" s="25">
        <v>934.44</v>
      </c>
      <c r="BO343" s="25">
        <v>934.44</v>
      </c>
      <c r="BP343" s="25">
        <v>934.44</v>
      </c>
      <c r="BQ343" s="25">
        <v>934.44</v>
      </c>
      <c r="BR343" s="25">
        <v>934.44</v>
      </c>
      <c r="BS343" s="25">
        <v>934.44</v>
      </c>
      <c r="BT343" s="25">
        <v>934.44</v>
      </c>
      <c r="BU343" s="25">
        <v>934.44</v>
      </c>
      <c r="BV343" s="25">
        <v>934.44</v>
      </c>
      <c r="BW343" s="25">
        <v>934.44</v>
      </c>
      <c r="BX343" s="25">
        <v>934.44</v>
      </c>
      <c r="BY343" s="25">
        <v>920.63</v>
      </c>
      <c r="BZ343" s="25">
        <v>920.63</v>
      </c>
      <c r="CA343" s="25">
        <v>920.63</v>
      </c>
      <c r="CB343" s="25">
        <v>920.63</v>
      </c>
      <c r="CC343" s="25">
        <v>920.63</v>
      </c>
      <c r="CD343" s="25">
        <v>920.63</v>
      </c>
      <c r="CE343" s="25">
        <v>920.63</v>
      </c>
      <c r="CF343" s="25">
        <v>920.63</v>
      </c>
      <c r="CG343" s="25">
        <v>920.63</v>
      </c>
      <c r="CH343" s="25">
        <v>920.63</v>
      </c>
      <c r="CI343" s="25">
        <v>920.63</v>
      </c>
      <c r="CJ343" s="25">
        <v>920.63</v>
      </c>
      <c r="CK343" s="25">
        <v>906.87</v>
      </c>
      <c r="CL343" s="25">
        <v>906.87</v>
      </c>
      <c r="CM343" s="25">
        <v>906.87</v>
      </c>
      <c r="CN343" s="25">
        <v>906.87</v>
      </c>
      <c r="CO343" s="25">
        <v>906.87</v>
      </c>
      <c r="CP343" s="25">
        <v>906.87</v>
      </c>
      <c r="CQ343" s="25">
        <v>906.87</v>
      </c>
      <c r="CR343" s="25">
        <v>906.87</v>
      </c>
      <c r="CS343" s="25">
        <v>906.87</v>
      </c>
      <c r="CT343" s="25">
        <v>906.87</v>
      </c>
      <c r="CU343" s="25">
        <v>906.87</v>
      </c>
      <c r="CV343" s="25">
        <v>906.87</v>
      </c>
      <c r="CW343" s="25">
        <v>893.17</v>
      </c>
      <c r="CX343" s="25">
        <v>893.17</v>
      </c>
      <c r="CY343" s="25">
        <v>893.17</v>
      </c>
      <c r="CZ343" s="25">
        <v>893.17</v>
      </c>
      <c r="DA343" s="25">
        <v>893.17</v>
      </c>
      <c r="DB343" s="25">
        <v>893.17</v>
      </c>
      <c r="DC343" s="25">
        <v>893.17</v>
      </c>
      <c r="DD343" s="25">
        <v>893.17</v>
      </c>
      <c r="DE343" s="25">
        <v>893.17</v>
      </c>
      <c r="DF343" s="25">
        <v>893.17</v>
      </c>
      <c r="DG343" s="25">
        <v>893.17</v>
      </c>
      <c r="DH343" s="25">
        <v>893.17</v>
      </c>
      <c r="DI343" s="25">
        <v>879.53</v>
      </c>
      <c r="DJ343" s="25">
        <v>879.53</v>
      </c>
      <c r="DK343" s="25">
        <v>879.53</v>
      </c>
      <c r="DL343" s="25">
        <v>879.53</v>
      </c>
      <c r="DM343" s="25">
        <v>879.53</v>
      </c>
      <c r="DN343" s="25">
        <v>879.53</v>
      </c>
      <c r="DO343" s="25">
        <v>879.53</v>
      </c>
      <c r="DP343" s="25">
        <v>879.53</v>
      </c>
      <c r="DQ343" s="25">
        <v>879.53</v>
      </c>
      <c r="DR343" s="25">
        <v>879.53</v>
      </c>
      <c r="DS343" s="25">
        <v>879.53</v>
      </c>
      <c r="DT343" s="25">
        <v>879.53</v>
      </c>
      <c r="DU343" s="25">
        <v>865.92</v>
      </c>
      <c r="DV343" s="25">
        <v>865.92</v>
      </c>
      <c r="DW343" s="25">
        <v>865.92</v>
      </c>
      <c r="DX343" s="25">
        <v>865.92</v>
      </c>
      <c r="DY343" s="25">
        <v>865.92</v>
      </c>
      <c r="DZ343" s="25">
        <v>865.92</v>
      </c>
      <c r="EA343" s="25">
        <v>865.92</v>
      </c>
      <c r="EB343" s="25">
        <v>865.92</v>
      </c>
      <c r="EC343" s="25">
        <v>865.92</v>
      </c>
      <c r="ED343" s="25">
        <v>865.92</v>
      </c>
      <c r="EE343" s="25">
        <v>865.92</v>
      </c>
      <c r="EF343" s="25">
        <v>865.92</v>
      </c>
      <c r="EG343" s="25">
        <v>852.27</v>
      </c>
      <c r="EH343" s="25">
        <v>852.27</v>
      </c>
      <c r="EI343" s="25">
        <v>852.27</v>
      </c>
      <c r="EJ343" s="25">
        <v>852.27</v>
      </c>
      <c r="EK343" s="25">
        <v>852.27</v>
      </c>
      <c r="EL343" s="25">
        <v>852.27</v>
      </c>
      <c r="EM343" s="25">
        <v>852.27</v>
      </c>
      <c r="EN343" s="25">
        <v>852.27</v>
      </c>
      <c r="EO343" s="25">
        <v>852.27</v>
      </c>
      <c r="EP343" s="25">
        <v>852.27</v>
      </c>
      <c r="EQ343" s="25">
        <v>852.27</v>
      </c>
      <c r="ER343" s="25">
        <v>852.27</v>
      </c>
      <c r="ES343" s="25">
        <v>838.77</v>
      </c>
      <c r="ET343" s="25">
        <v>838.77</v>
      </c>
      <c r="EU343" s="25">
        <v>838.77</v>
      </c>
      <c r="EV343" s="25">
        <v>838.77</v>
      </c>
      <c r="EW343" s="25">
        <v>838.77</v>
      </c>
      <c r="EX343" s="25">
        <v>838.77</v>
      </c>
      <c r="EY343" s="25">
        <v>838.77</v>
      </c>
      <c r="EZ343" s="25">
        <v>838.77</v>
      </c>
      <c r="FA343" s="25">
        <v>838.77</v>
      </c>
      <c r="FB343" s="25">
        <v>838.77</v>
      </c>
      <c r="FC343" s="25">
        <v>838.77</v>
      </c>
      <c r="FD343" s="25">
        <v>838.77</v>
      </c>
      <c r="FE343" s="25">
        <v>825.31</v>
      </c>
      <c r="FF343" s="25">
        <v>825.31</v>
      </c>
      <c r="FG343" s="25">
        <v>825.31</v>
      </c>
      <c r="FH343" s="25">
        <v>825.31</v>
      </c>
      <c r="FI343" s="25">
        <v>825.31</v>
      </c>
      <c r="FJ343" s="25">
        <v>825.31</v>
      </c>
      <c r="FK343" s="25">
        <v>825.31</v>
      </c>
      <c r="FL343" s="25">
        <v>825.31</v>
      </c>
      <c r="FM343" s="25">
        <v>825.31</v>
      </c>
      <c r="FN343" s="25">
        <v>825.31</v>
      </c>
      <c r="FO343" s="25">
        <v>825.31</v>
      </c>
      <c r="FP343" s="25">
        <v>825.31</v>
      </c>
      <c r="FQ343" s="25">
        <v>811.89</v>
      </c>
      <c r="FR343" s="25">
        <v>811.89</v>
      </c>
      <c r="FS343" s="25">
        <v>811.89</v>
      </c>
      <c r="FT343" s="25">
        <v>811.89</v>
      </c>
      <c r="FU343" s="25">
        <v>811.89</v>
      </c>
      <c r="FV343" s="25">
        <v>811.89</v>
      </c>
      <c r="FW343" s="25">
        <v>811.89</v>
      </c>
      <c r="FX343" s="25">
        <v>811.89</v>
      </c>
      <c r="FY343" s="25">
        <v>811.89</v>
      </c>
      <c r="FZ343" s="25">
        <v>811.89</v>
      </c>
      <c r="GA343" s="25">
        <v>811.89</v>
      </c>
      <c r="GB343" s="25">
        <v>811.89</v>
      </c>
      <c r="GC343" s="25">
        <v>798.52</v>
      </c>
      <c r="GD343" s="25">
        <v>798.52</v>
      </c>
      <c r="GE343" s="25">
        <v>798.52</v>
      </c>
      <c r="GF343" s="25">
        <v>798.52</v>
      </c>
      <c r="GG343" s="25">
        <v>798.52</v>
      </c>
      <c r="GH343" s="25">
        <v>798.52</v>
      </c>
      <c r="GI343" s="25">
        <v>798.52</v>
      </c>
      <c r="GJ343" s="25">
        <v>798.52</v>
      </c>
      <c r="GK343" s="25">
        <v>798.52</v>
      </c>
      <c r="GL343" s="25">
        <v>798.52</v>
      </c>
      <c r="GM343" s="25">
        <v>798.52</v>
      </c>
      <c r="GN343" s="25">
        <v>798.52</v>
      </c>
      <c r="GO343" s="25">
        <v>785.19</v>
      </c>
      <c r="GP343" s="25">
        <v>785.19</v>
      </c>
      <c r="GQ343" s="25">
        <v>785.19</v>
      </c>
      <c r="GR343" s="25">
        <v>785.19</v>
      </c>
      <c r="GS343" s="25">
        <v>785.19</v>
      </c>
      <c r="GT343" s="25">
        <v>785.19</v>
      </c>
      <c r="GU343" s="25">
        <v>785.19</v>
      </c>
      <c r="GV343" s="25">
        <v>785.19</v>
      </c>
      <c r="GW343" s="25">
        <v>785.19</v>
      </c>
      <c r="GX343" s="25">
        <v>785.19</v>
      </c>
      <c r="GY343" s="25">
        <v>785.19</v>
      </c>
      <c r="GZ343" s="25">
        <v>785.19</v>
      </c>
      <c r="HA343" s="25">
        <v>771.9</v>
      </c>
      <c r="HB343" s="25">
        <v>771.9</v>
      </c>
      <c r="HC343" s="25">
        <v>771.9</v>
      </c>
      <c r="HD343" s="25">
        <v>771.9</v>
      </c>
      <c r="HE343" s="25">
        <v>771.9</v>
      </c>
      <c r="HF343" s="25">
        <v>771.9</v>
      </c>
      <c r="HG343" s="25">
        <v>771.9</v>
      </c>
      <c r="HH343" s="25">
        <v>771.9</v>
      </c>
      <c r="HI343" s="25">
        <v>771.9</v>
      </c>
      <c r="HJ343" s="25">
        <v>771.9</v>
      </c>
      <c r="HK343" s="25">
        <v>771.9</v>
      </c>
      <c r="HL343" s="25">
        <v>771.9</v>
      </c>
      <c r="HM343" s="25">
        <v>758.64</v>
      </c>
      <c r="HN343" s="25">
        <v>758.64</v>
      </c>
      <c r="HO343" s="25">
        <v>758.64</v>
      </c>
      <c r="HP343" s="25">
        <v>758.64</v>
      </c>
      <c r="HQ343" s="25">
        <v>758.64</v>
      </c>
      <c r="HR343" s="25">
        <v>758.64</v>
      </c>
      <c r="HS343" s="25">
        <v>758.64</v>
      </c>
      <c r="HT343" s="25">
        <v>758.64</v>
      </c>
      <c r="HU343" s="25">
        <v>758.64</v>
      </c>
      <c r="HV343" s="25">
        <v>758.64</v>
      </c>
      <c r="HW343" s="25">
        <v>758.64</v>
      </c>
      <c r="HX343" s="25">
        <v>758.64</v>
      </c>
      <c r="HY343" s="25">
        <v>745.42</v>
      </c>
      <c r="HZ343" s="25">
        <v>745.42</v>
      </c>
      <c r="IA343" s="25">
        <v>745.42</v>
      </c>
      <c r="IB343" s="25">
        <v>745.42</v>
      </c>
      <c r="IC343" s="25">
        <v>745.42</v>
      </c>
      <c r="ID343" s="25">
        <v>745.42</v>
      </c>
      <c r="IE343" s="25">
        <v>745.42</v>
      </c>
      <c r="IF343" s="25">
        <v>745.42</v>
      </c>
      <c r="IG343" s="25">
        <v>745.42</v>
      </c>
      <c r="IH343" s="25">
        <v>745.42</v>
      </c>
      <c r="II343" s="25">
        <v>745.42</v>
      </c>
      <c r="IJ343" s="25">
        <v>745.42</v>
      </c>
      <c r="IK343" s="25">
        <v>732.23</v>
      </c>
      <c r="IL343" s="25">
        <v>732.23</v>
      </c>
      <c r="IM343" s="25">
        <v>732.23</v>
      </c>
      <c r="IN343" s="25">
        <v>732.23</v>
      </c>
      <c r="IO343" s="25">
        <v>732.23</v>
      </c>
      <c r="IP343" s="25">
        <v>732.23</v>
      </c>
      <c r="IQ343" s="25">
        <v>732.23</v>
      </c>
      <c r="IR343" s="25">
        <v>732.23</v>
      </c>
      <c r="IS343" s="25">
        <v>732.23</v>
      </c>
      <c r="IT343" s="25">
        <v>732.23</v>
      </c>
      <c r="IU343" s="25">
        <v>732.23</v>
      </c>
      <c r="IV343" s="25">
        <v>732.23</v>
      </c>
      <c r="IW343" s="25">
        <v>719.08</v>
      </c>
      <c r="IX343" s="25">
        <v>719.08</v>
      </c>
      <c r="IY343" s="25">
        <v>719.08</v>
      </c>
      <c r="IZ343" s="25">
        <v>719.08</v>
      </c>
      <c r="JA343" s="25">
        <v>719.08</v>
      </c>
      <c r="JB343" s="25">
        <v>719.08</v>
      </c>
      <c r="JC343" s="25">
        <v>719.08</v>
      </c>
      <c r="JD343" s="25">
        <v>719.08</v>
      </c>
      <c r="JE343" s="25">
        <v>719.08</v>
      </c>
      <c r="JF343" s="25">
        <v>719.08</v>
      </c>
      <c r="JG343" s="25">
        <v>719.08</v>
      </c>
      <c r="JH343" s="25">
        <v>719.08</v>
      </c>
      <c r="JI343" s="25">
        <v>705.96</v>
      </c>
      <c r="JJ343" s="25">
        <v>705.96</v>
      </c>
      <c r="JK343" s="25">
        <v>705.96</v>
      </c>
      <c r="JL343" s="25">
        <v>705.96</v>
      </c>
      <c r="JM343" s="25">
        <v>705.96</v>
      </c>
      <c r="JN343" s="25">
        <v>705.96</v>
      </c>
      <c r="JO343" s="25">
        <v>705.96</v>
      </c>
      <c r="JP343" s="25">
        <v>705.96</v>
      </c>
      <c r="JQ343" s="25">
        <v>705.96</v>
      </c>
      <c r="JR343" s="25">
        <v>705.96</v>
      </c>
      <c r="JS343" s="25">
        <v>705.96</v>
      </c>
      <c r="JT343" s="25">
        <v>705.96</v>
      </c>
      <c r="JU343" s="25">
        <v>692.88</v>
      </c>
      <c r="JV343" s="25">
        <v>692.88</v>
      </c>
      <c r="JW343" s="25">
        <v>692.88</v>
      </c>
      <c r="JX343" s="25">
        <v>692.88</v>
      </c>
      <c r="JY343" s="25">
        <v>692.88</v>
      </c>
      <c r="JZ343" s="25">
        <v>692.88</v>
      </c>
      <c r="KA343" s="25">
        <v>692.88</v>
      </c>
      <c r="KB343" s="25">
        <v>692.88</v>
      </c>
      <c r="KC343" s="25">
        <v>692.88</v>
      </c>
      <c r="KD343" s="25">
        <v>692.88</v>
      </c>
      <c r="KE343" s="25">
        <v>692.88</v>
      </c>
      <c r="KF343" s="25">
        <v>692.88</v>
      </c>
      <c r="KG343" s="25">
        <v>679.82</v>
      </c>
      <c r="KH343" s="25">
        <v>679.82</v>
      </c>
      <c r="KI343" s="25">
        <v>679.82</v>
      </c>
      <c r="KJ343" s="25">
        <v>679.82</v>
      </c>
      <c r="KK343" s="25">
        <v>679.82</v>
      </c>
      <c r="KL343" s="25">
        <v>679.82</v>
      </c>
      <c r="KM343" s="25">
        <v>679.82</v>
      </c>
      <c r="KN343" s="25">
        <v>679.82</v>
      </c>
      <c r="KO343" s="25">
        <v>679.82</v>
      </c>
      <c r="KP343" s="25">
        <v>679.82</v>
      </c>
      <c r="KQ343" s="25">
        <v>679.82</v>
      </c>
      <c r="KR343" s="25">
        <v>679.82</v>
      </c>
      <c r="KS343" s="25">
        <v>666.79</v>
      </c>
      <c r="KT343" s="25">
        <v>666.79</v>
      </c>
      <c r="KU343" s="25">
        <v>666.79</v>
      </c>
      <c r="KV343" s="25">
        <v>666.79</v>
      </c>
      <c r="KW343" s="25">
        <v>666.79</v>
      </c>
      <c r="KX343" s="25">
        <v>666.79</v>
      </c>
      <c r="KY343" s="25">
        <v>666.79</v>
      </c>
      <c r="KZ343" s="25">
        <v>666.79</v>
      </c>
      <c r="LA343" s="25">
        <v>666.79</v>
      </c>
      <c r="LB343" s="25">
        <v>666.79</v>
      </c>
      <c r="LC343" s="25">
        <v>666.79</v>
      </c>
      <c r="LD343" s="25">
        <v>666.79</v>
      </c>
      <c r="LE343" s="25">
        <v>653.79</v>
      </c>
      <c r="LF343" s="25">
        <v>653.79</v>
      </c>
      <c r="LG343" s="25">
        <v>653.79</v>
      </c>
      <c r="LH343" s="25">
        <v>653.79</v>
      </c>
      <c r="LI343" s="25">
        <v>653.79</v>
      </c>
      <c r="LJ343" s="25">
        <v>653.79</v>
      </c>
      <c r="LK343" s="25">
        <v>653.79</v>
      </c>
      <c r="LL343" s="25">
        <v>653.79</v>
      </c>
      <c r="LM343" s="25">
        <v>653.79</v>
      </c>
      <c r="LN343" s="25">
        <v>653.79</v>
      </c>
      <c r="LO343" s="25">
        <v>653.79</v>
      </c>
      <c r="LP343" s="25">
        <v>653.79</v>
      </c>
      <c r="LQ343" s="25">
        <v>640.80999999999995</v>
      </c>
      <c r="LR343" s="25">
        <v>640.80999999999995</v>
      </c>
      <c r="LS343" s="25">
        <v>640.80999999999995</v>
      </c>
      <c r="LT343" s="25">
        <v>640.80999999999995</v>
      </c>
      <c r="LU343" s="25">
        <v>640.80999999999995</v>
      </c>
      <c r="LV343" s="25">
        <v>640.80999999999995</v>
      </c>
      <c r="LW343" s="25">
        <v>640.80999999999995</v>
      </c>
      <c r="LX343" s="25">
        <v>640.80999999999995</v>
      </c>
      <c r="LY343" s="25">
        <v>640.80999999999995</v>
      </c>
      <c r="LZ343" s="25">
        <v>640.80999999999995</v>
      </c>
      <c r="MA343" s="25">
        <v>640.80999999999995</v>
      </c>
      <c r="MB343" s="25">
        <v>640.80999999999995</v>
      </c>
      <c r="MC343" s="25">
        <v>627.87</v>
      </c>
      <c r="MD343" s="25">
        <v>627.87</v>
      </c>
      <c r="ME343" s="25">
        <v>627.87</v>
      </c>
      <c r="MF343" s="25">
        <v>627.87</v>
      </c>
      <c r="MG343" s="25">
        <v>627.87</v>
      </c>
      <c r="MH343" s="25">
        <v>627.87</v>
      </c>
      <c r="MI343" s="25">
        <v>627.87</v>
      </c>
      <c r="MJ343" s="25">
        <v>627.87</v>
      </c>
      <c r="MK343" s="25">
        <v>627.87</v>
      </c>
      <c r="ML343" s="25">
        <v>627.87</v>
      </c>
      <c r="MM343" s="25">
        <v>627.87</v>
      </c>
      <c r="MN343" s="25">
        <v>627.87</v>
      </c>
      <c r="MO343" s="25">
        <v>614.94000000000005</v>
      </c>
      <c r="MP343" s="25">
        <v>614.94000000000005</v>
      </c>
      <c r="MQ343" s="25">
        <v>614.94000000000005</v>
      </c>
      <c r="MR343" s="25">
        <v>614.94000000000005</v>
      </c>
      <c r="MS343" s="25">
        <v>614.94000000000005</v>
      </c>
      <c r="MT343" s="25">
        <v>614.94000000000005</v>
      </c>
      <c r="MU343" s="25">
        <v>614.94000000000005</v>
      </c>
      <c r="MV343" s="25">
        <v>614.94000000000005</v>
      </c>
      <c r="MW343" s="25">
        <v>614.94000000000005</v>
      </c>
      <c r="MX343" s="25">
        <v>614.94000000000005</v>
      </c>
      <c r="MY343" s="25">
        <v>614.94000000000005</v>
      </c>
      <c r="MZ343" s="25">
        <v>614.94000000000005</v>
      </c>
      <c r="NA343" s="25">
        <v>602.04</v>
      </c>
      <c r="NB343" s="25">
        <v>602.04</v>
      </c>
      <c r="NC343" s="25">
        <v>602.04</v>
      </c>
      <c r="ND343" s="25">
        <v>602.04</v>
      </c>
      <c r="NE343" s="25">
        <v>602.04</v>
      </c>
      <c r="NF343" s="25">
        <v>602.04</v>
      </c>
      <c r="NG343" s="25">
        <v>602.04</v>
      </c>
      <c r="NH343" s="25">
        <v>602.04</v>
      </c>
      <c r="NI343" s="25">
        <v>602.04</v>
      </c>
      <c r="NJ343" s="25">
        <v>602.04</v>
      </c>
      <c r="NK343" s="25">
        <v>602.04</v>
      </c>
      <c r="NL343" s="25">
        <v>602.04</v>
      </c>
      <c r="NM343" s="25">
        <v>589.16</v>
      </c>
      <c r="NN343" s="25">
        <v>589.16</v>
      </c>
      <c r="NO343" s="25">
        <v>589.16</v>
      </c>
      <c r="NP343" s="25">
        <v>589.16</v>
      </c>
      <c r="NQ343" s="25">
        <v>589.16</v>
      </c>
      <c r="NR343" s="25">
        <v>589.16</v>
      </c>
      <c r="NS343" s="25">
        <v>589.16</v>
      </c>
      <c r="NT343" s="25">
        <v>589.16</v>
      </c>
      <c r="NU343" s="25">
        <v>589.16</v>
      </c>
      <c r="NV343" s="25">
        <v>589.16</v>
      </c>
      <c r="NW343" s="25">
        <v>589.16</v>
      </c>
      <c r="NX343" s="25">
        <v>589.16</v>
      </c>
      <c r="NY343" s="25">
        <v>576.29999999999995</v>
      </c>
      <c r="NZ343" s="25">
        <v>576.29999999999995</v>
      </c>
      <c r="OA343" s="25">
        <v>576.29999999999995</v>
      </c>
      <c r="OB343" s="25">
        <v>576.29999999999995</v>
      </c>
      <c r="OC343" s="25">
        <v>576.29999999999995</v>
      </c>
      <c r="OD343" s="25">
        <v>576.29999999999995</v>
      </c>
      <c r="OE343" s="25">
        <v>576.29999999999995</v>
      </c>
    </row>
    <row r="344" spans="1:395" ht="13.8" customHeight="1" x14ac:dyDescent="0.3">
      <c r="D344" s="119"/>
      <c r="N344" s="25" t="s">
        <v>74</v>
      </c>
      <c r="O344" s="25"/>
      <c r="P344" s="27" t="s">
        <v>73</v>
      </c>
      <c r="Q344" s="25" cm="1">
        <f t="array" ref="Q344:OE344">LOOKUP(_xlfn.ANCHORARRAY(Q1)*E374,'Water Properties'!A:A,'Water Properties'!E:E)</f>
        <v>356.01</v>
      </c>
      <c r="R344" s="25">
        <v>356.01</v>
      </c>
      <c r="S344" s="25">
        <v>356.01</v>
      </c>
      <c r="T344" s="25">
        <v>356.01</v>
      </c>
      <c r="U344" s="25">
        <v>356.01</v>
      </c>
      <c r="V344" s="25">
        <v>356.01</v>
      </c>
      <c r="W344" s="25">
        <v>356.01</v>
      </c>
      <c r="X344" s="25">
        <v>356.01</v>
      </c>
      <c r="Y344" s="25">
        <v>356.01</v>
      </c>
      <c r="Z344" s="25">
        <v>356.01</v>
      </c>
      <c r="AA344" s="25">
        <v>356.01</v>
      </c>
      <c r="AB344" s="25">
        <v>356.01</v>
      </c>
      <c r="AC344" s="25">
        <v>356.01</v>
      </c>
      <c r="AD344" s="25">
        <v>356.01</v>
      </c>
      <c r="AE344" s="25">
        <v>356.01</v>
      </c>
      <c r="AF344" s="25">
        <v>356.01</v>
      </c>
      <c r="AG344" s="25">
        <v>356.01</v>
      </c>
      <c r="AH344" s="25">
        <v>356.01</v>
      </c>
      <c r="AI344" s="25">
        <v>356.01</v>
      </c>
      <c r="AJ344" s="25">
        <v>356.01</v>
      </c>
      <c r="AK344" s="25">
        <v>356.01</v>
      </c>
      <c r="AL344" s="25">
        <v>356.01</v>
      </c>
      <c r="AM344" s="25">
        <v>356.01</v>
      </c>
      <c r="AN344" s="25">
        <v>356.01</v>
      </c>
      <c r="AO344" s="25">
        <v>356.01</v>
      </c>
      <c r="AP344" s="25">
        <v>356.01</v>
      </c>
      <c r="AQ344" s="25">
        <v>356.01</v>
      </c>
      <c r="AR344" s="25">
        <v>356.01</v>
      </c>
      <c r="AS344" s="25">
        <v>356.01</v>
      </c>
      <c r="AT344" s="25">
        <v>356.01</v>
      </c>
      <c r="AU344" s="25">
        <v>356.01</v>
      </c>
      <c r="AV344" s="25">
        <v>356.01</v>
      </c>
      <c r="AW344" s="25">
        <v>356.01</v>
      </c>
      <c r="AX344" s="25">
        <v>356.01</v>
      </c>
      <c r="AY344" s="25">
        <v>356.01</v>
      </c>
      <c r="AZ344" s="25">
        <v>356.01</v>
      </c>
      <c r="BA344" s="25">
        <v>356.01</v>
      </c>
      <c r="BB344" s="25">
        <v>356.01</v>
      </c>
      <c r="BC344" s="25">
        <v>356.01</v>
      </c>
      <c r="BD344" s="25">
        <v>356.01</v>
      </c>
      <c r="BE344" s="25">
        <v>356.01</v>
      </c>
      <c r="BF344" s="25">
        <v>356.01</v>
      </c>
      <c r="BG344" s="25">
        <v>356.01</v>
      </c>
      <c r="BH344" s="25">
        <v>356.01</v>
      </c>
      <c r="BI344" s="25">
        <v>356.01</v>
      </c>
      <c r="BJ344" s="25">
        <v>356.01</v>
      </c>
      <c r="BK344" s="25">
        <v>356.01</v>
      </c>
      <c r="BL344" s="25">
        <v>356.01</v>
      </c>
      <c r="BM344" s="25">
        <v>356.01</v>
      </c>
      <c r="BN344" s="25">
        <v>356.01</v>
      </c>
      <c r="BO344" s="25">
        <v>356.01</v>
      </c>
      <c r="BP344" s="25">
        <v>356.01</v>
      </c>
      <c r="BQ344" s="25">
        <v>356.01</v>
      </c>
      <c r="BR344" s="25">
        <v>356.01</v>
      </c>
      <c r="BS344" s="25">
        <v>356.01</v>
      </c>
      <c r="BT344" s="25">
        <v>356.01</v>
      </c>
      <c r="BU344" s="25">
        <v>356.01</v>
      </c>
      <c r="BV344" s="25">
        <v>356.01</v>
      </c>
      <c r="BW344" s="25">
        <v>356.01</v>
      </c>
      <c r="BX344" s="25">
        <v>356.01</v>
      </c>
      <c r="BY344" s="25">
        <v>356.01</v>
      </c>
      <c r="BZ344" s="25">
        <v>356.01</v>
      </c>
      <c r="CA344" s="25">
        <v>356.01</v>
      </c>
      <c r="CB344" s="25">
        <v>356.01</v>
      </c>
      <c r="CC344" s="25">
        <v>356.01</v>
      </c>
      <c r="CD344" s="25">
        <v>356.01</v>
      </c>
      <c r="CE344" s="25">
        <v>356.01</v>
      </c>
      <c r="CF344" s="25">
        <v>356.01</v>
      </c>
      <c r="CG344" s="25">
        <v>356.01</v>
      </c>
      <c r="CH344" s="25">
        <v>356.01</v>
      </c>
      <c r="CI344" s="25">
        <v>356.01</v>
      </c>
      <c r="CJ344" s="25">
        <v>356.01</v>
      </c>
      <c r="CK344" s="25">
        <v>356.01</v>
      </c>
      <c r="CL344" s="25">
        <v>356.01</v>
      </c>
      <c r="CM344" s="25">
        <v>356.01</v>
      </c>
      <c r="CN344" s="25">
        <v>356.01</v>
      </c>
      <c r="CO344" s="25">
        <v>356.01</v>
      </c>
      <c r="CP344" s="25">
        <v>356.01</v>
      </c>
      <c r="CQ344" s="25">
        <v>356.01</v>
      </c>
      <c r="CR344" s="25">
        <v>356.01</v>
      </c>
      <c r="CS344" s="25">
        <v>356.01</v>
      </c>
      <c r="CT344" s="25">
        <v>356.01</v>
      </c>
      <c r="CU344" s="25">
        <v>356.01</v>
      </c>
      <c r="CV344" s="25">
        <v>356.01</v>
      </c>
      <c r="CW344" s="25">
        <v>356.01</v>
      </c>
      <c r="CX344" s="25">
        <v>356.01</v>
      </c>
      <c r="CY344" s="25">
        <v>356.01</v>
      </c>
      <c r="CZ344" s="25">
        <v>356.01</v>
      </c>
      <c r="DA344" s="25">
        <v>356.01</v>
      </c>
      <c r="DB344" s="25">
        <v>356.01</v>
      </c>
      <c r="DC344" s="25">
        <v>356.01</v>
      </c>
      <c r="DD344" s="25">
        <v>356.01</v>
      </c>
      <c r="DE344" s="25">
        <v>356.01</v>
      </c>
      <c r="DF344" s="25">
        <v>356.01</v>
      </c>
      <c r="DG344" s="25">
        <v>356.01</v>
      </c>
      <c r="DH344" s="25">
        <v>356.01</v>
      </c>
      <c r="DI344" s="25">
        <v>356.01</v>
      </c>
      <c r="DJ344" s="25">
        <v>356.01</v>
      </c>
      <c r="DK344" s="25">
        <v>356.01</v>
      </c>
      <c r="DL344" s="25">
        <v>356.01</v>
      </c>
      <c r="DM344" s="25">
        <v>356.01</v>
      </c>
      <c r="DN344" s="25">
        <v>356.01</v>
      </c>
      <c r="DO344" s="25">
        <v>356.01</v>
      </c>
      <c r="DP344" s="25">
        <v>356.01</v>
      </c>
      <c r="DQ344" s="25">
        <v>356.01</v>
      </c>
      <c r="DR344" s="25">
        <v>356.01</v>
      </c>
      <c r="DS344" s="25">
        <v>356.01</v>
      </c>
      <c r="DT344" s="25">
        <v>356.01</v>
      </c>
      <c r="DU344" s="25">
        <v>356.01</v>
      </c>
      <c r="DV344" s="25">
        <v>356.01</v>
      </c>
      <c r="DW344" s="25">
        <v>356.01</v>
      </c>
      <c r="DX344" s="25">
        <v>356.01</v>
      </c>
      <c r="DY344" s="25">
        <v>356.01</v>
      </c>
      <c r="DZ344" s="25">
        <v>356.01</v>
      </c>
      <c r="EA344" s="25">
        <v>356.01</v>
      </c>
      <c r="EB344" s="25">
        <v>356.01</v>
      </c>
      <c r="EC344" s="25">
        <v>356.01</v>
      </c>
      <c r="ED344" s="25">
        <v>356.01</v>
      </c>
      <c r="EE344" s="25">
        <v>356.01</v>
      </c>
      <c r="EF344" s="25">
        <v>356.01</v>
      </c>
      <c r="EG344" s="25">
        <v>356.01</v>
      </c>
      <c r="EH344" s="25">
        <v>356.01</v>
      </c>
      <c r="EI344" s="25">
        <v>356.01</v>
      </c>
      <c r="EJ344" s="25">
        <v>356.01</v>
      </c>
      <c r="EK344" s="25">
        <v>356.01</v>
      </c>
      <c r="EL344" s="25">
        <v>356.01</v>
      </c>
      <c r="EM344" s="25">
        <v>356.01</v>
      </c>
      <c r="EN344" s="25">
        <v>356.01</v>
      </c>
      <c r="EO344" s="25">
        <v>356.01</v>
      </c>
      <c r="EP344" s="25">
        <v>356.01</v>
      </c>
      <c r="EQ344" s="25">
        <v>356.01</v>
      </c>
      <c r="ER344" s="25">
        <v>356.01</v>
      </c>
      <c r="ES344" s="25">
        <v>356.01</v>
      </c>
      <c r="ET344" s="25">
        <v>356.01</v>
      </c>
      <c r="EU344" s="25">
        <v>356.01</v>
      </c>
      <c r="EV344" s="25">
        <v>356.01</v>
      </c>
      <c r="EW344" s="25">
        <v>356.01</v>
      </c>
      <c r="EX344" s="25">
        <v>356.01</v>
      </c>
      <c r="EY344" s="25">
        <v>356.01</v>
      </c>
      <c r="EZ344" s="25">
        <v>356.01</v>
      </c>
      <c r="FA344" s="25">
        <v>356.01</v>
      </c>
      <c r="FB344" s="25">
        <v>356.01</v>
      </c>
      <c r="FC344" s="25">
        <v>356.01</v>
      </c>
      <c r="FD344" s="25">
        <v>356.01</v>
      </c>
      <c r="FE344" s="25">
        <v>356.01</v>
      </c>
      <c r="FF344" s="25">
        <v>356.01</v>
      </c>
      <c r="FG344" s="25">
        <v>356.01</v>
      </c>
      <c r="FH344" s="25">
        <v>356.01</v>
      </c>
      <c r="FI344" s="25">
        <v>356.01</v>
      </c>
      <c r="FJ344" s="25">
        <v>356.01</v>
      </c>
      <c r="FK344" s="25">
        <v>356.01</v>
      </c>
      <c r="FL344" s="25">
        <v>356.01</v>
      </c>
      <c r="FM344" s="25">
        <v>356.01</v>
      </c>
      <c r="FN344" s="25">
        <v>356.01</v>
      </c>
      <c r="FO344" s="25">
        <v>356.01</v>
      </c>
      <c r="FP344" s="25">
        <v>356.01</v>
      </c>
      <c r="FQ344" s="25">
        <v>356.01</v>
      </c>
      <c r="FR344" s="25">
        <v>356.01</v>
      </c>
      <c r="FS344" s="25">
        <v>356.01</v>
      </c>
      <c r="FT344" s="25">
        <v>356.01</v>
      </c>
      <c r="FU344" s="25">
        <v>356.01</v>
      </c>
      <c r="FV344" s="25">
        <v>356.01</v>
      </c>
      <c r="FW344" s="25">
        <v>356.01</v>
      </c>
      <c r="FX344" s="25">
        <v>356.01</v>
      </c>
      <c r="FY344" s="25">
        <v>356.01</v>
      </c>
      <c r="FZ344" s="25">
        <v>356.01</v>
      </c>
      <c r="GA344" s="25">
        <v>356.01</v>
      </c>
      <c r="GB344" s="25">
        <v>356.01</v>
      </c>
      <c r="GC344" s="25">
        <v>356.01</v>
      </c>
      <c r="GD344" s="25">
        <v>356.01</v>
      </c>
      <c r="GE344" s="25">
        <v>356.01</v>
      </c>
      <c r="GF344" s="25">
        <v>356.01</v>
      </c>
      <c r="GG344" s="25">
        <v>356.01</v>
      </c>
      <c r="GH344" s="25">
        <v>356.01</v>
      </c>
      <c r="GI344" s="25">
        <v>356.01</v>
      </c>
      <c r="GJ344" s="25">
        <v>356.01</v>
      </c>
      <c r="GK344" s="25">
        <v>356.01</v>
      </c>
      <c r="GL344" s="25">
        <v>356.01</v>
      </c>
      <c r="GM344" s="25">
        <v>356.01</v>
      </c>
      <c r="GN344" s="25">
        <v>356.01</v>
      </c>
      <c r="GO344" s="25">
        <v>356.01</v>
      </c>
      <c r="GP344" s="25">
        <v>356.01</v>
      </c>
      <c r="GQ344" s="25">
        <v>356.01</v>
      </c>
      <c r="GR344" s="25">
        <v>356.01</v>
      </c>
      <c r="GS344" s="25">
        <v>356.01</v>
      </c>
      <c r="GT344" s="25">
        <v>356.01</v>
      </c>
      <c r="GU344" s="25">
        <v>356.01</v>
      </c>
      <c r="GV344" s="25">
        <v>356.01</v>
      </c>
      <c r="GW344" s="25">
        <v>356.01</v>
      </c>
      <c r="GX344" s="25">
        <v>356.01</v>
      </c>
      <c r="GY344" s="25">
        <v>356.01</v>
      </c>
      <c r="GZ344" s="25">
        <v>356.01</v>
      </c>
      <c r="HA344" s="25">
        <v>356.01</v>
      </c>
      <c r="HB344" s="25">
        <v>356.01</v>
      </c>
      <c r="HC344" s="25">
        <v>356.01</v>
      </c>
      <c r="HD344" s="25">
        <v>356.01</v>
      </c>
      <c r="HE344" s="25">
        <v>356.01</v>
      </c>
      <c r="HF344" s="25">
        <v>356.01</v>
      </c>
      <c r="HG344" s="25">
        <v>356.01</v>
      </c>
      <c r="HH344" s="25">
        <v>356.01</v>
      </c>
      <c r="HI344" s="25">
        <v>356.01</v>
      </c>
      <c r="HJ344" s="25">
        <v>356.01</v>
      </c>
      <c r="HK344" s="25">
        <v>356.01</v>
      </c>
      <c r="HL344" s="25">
        <v>356.01</v>
      </c>
      <c r="HM344" s="25">
        <v>356.01</v>
      </c>
      <c r="HN344" s="25">
        <v>356.01</v>
      </c>
      <c r="HO344" s="25">
        <v>356.01</v>
      </c>
      <c r="HP344" s="25">
        <v>356.01</v>
      </c>
      <c r="HQ344" s="25">
        <v>356.01</v>
      </c>
      <c r="HR344" s="25">
        <v>356.01</v>
      </c>
      <c r="HS344" s="25">
        <v>356.01</v>
      </c>
      <c r="HT344" s="25">
        <v>356.01</v>
      </c>
      <c r="HU344" s="25">
        <v>356.01</v>
      </c>
      <c r="HV344" s="25">
        <v>356.01</v>
      </c>
      <c r="HW344" s="25">
        <v>356.01</v>
      </c>
      <c r="HX344" s="25">
        <v>356.01</v>
      </c>
      <c r="HY344" s="25">
        <v>356.01</v>
      </c>
      <c r="HZ344" s="25">
        <v>356.01</v>
      </c>
      <c r="IA344" s="25">
        <v>356.01</v>
      </c>
      <c r="IB344" s="25">
        <v>356.01</v>
      </c>
      <c r="IC344" s="25">
        <v>356.01</v>
      </c>
      <c r="ID344" s="25">
        <v>356.01</v>
      </c>
      <c r="IE344" s="25">
        <v>356.01</v>
      </c>
      <c r="IF344" s="25">
        <v>356.01</v>
      </c>
      <c r="IG344" s="25">
        <v>356.01</v>
      </c>
      <c r="IH344" s="25">
        <v>356.01</v>
      </c>
      <c r="II344" s="25">
        <v>356.01</v>
      </c>
      <c r="IJ344" s="25">
        <v>356.01</v>
      </c>
      <c r="IK344" s="25">
        <v>356.01</v>
      </c>
      <c r="IL344" s="25">
        <v>356.01</v>
      </c>
      <c r="IM344" s="25">
        <v>356.01</v>
      </c>
      <c r="IN344" s="25">
        <v>356.01</v>
      </c>
      <c r="IO344" s="25">
        <v>356.01</v>
      </c>
      <c r="IP344" s="25">
        <v>356.01</v>
      </c>
      <c r="IQ344" s="25">
        <v>356.01</v>
      </c>
      <c r="IR344" s="25">
        <v>356.01</v>
      </c>
      <c r="IS344" s="25">
        <v>356.01</v>
      </c>
      <c r="IT344" s="25">
        <v>356.01</v>
      </c>
      <c r="IU344" s="25">
        <v>356.01</v>
      </c>
      <c r="IV344" s="25">
        <v>356.01</v>
      </c>
      <c r="IW344" s="25">
        <v>356.01</v>
      </c>
      <c r="IX344" s="25">
        <v>356.01</v>
      </c>
      <c r="IY344" s="25">
        <v>356.01</v>
      </c>
      <c r="IZ344" s="25">
        <v>356.01</v>
      </c>
      <c r="JA344" s="25">
        <v>356.01</v>
      </c>
      <c r="JB344" s="25">
        <v>356.01</v>
      </c>
      <c r="JC344" s="25">
        <v>356.01</v>
      </c>
      <c r="JD344" s="25">
        <v>356.01</v>
      </c>
      <c r="JE344" s="25">
        <v>356.01</v>
      </c>
      <c r="JF344" s="25">
        <v>356.01</v>
      </c>
      <c r="JG344" s="25">
        <v>356.01</v>
      </c>
      <c r="JH344" s="25">
        <v>356.01</v>
      </c>
      <c r="JI344" s="25">
        <v>356.01</v>
      </c>
      <c r="JJ344" s="25">
        <v>356.01</v>
      </c>
      <c r="JK344" s="25">
        <v>356.01</v>
      </c>
      <c r="JL344" s="25">
        <v>356.01</v>
      </c>
      <c r="JM344" s="25">
        <v>356.01</v>
      </c>
      <c r="JN344" s="25">
        <v>356.01</v>
      </c>
      <c r="JO344" s="25">
        <v>356.01</v>
      </c>
      <c r="JP344" s="25">
        <v>356.01</v>
      </c>
      <c r="JQ344" s="25">
        <v>356.01</v>
      </c>
      <c r="JR344" s="25">
        <v>356.01</v>
      </c>
      <c r="JS344" s="25">
        <v>356.01</v>
      </c>
      <c r="JT344" s="25">
        <v>356.01</v>
      </c>
      <c r="JU344" s="25">
        <v>356.01</v>
      </c>
      <c r="JV344" s="25">
        <v>356.01</v>
      </c>
      <c r="JW344" s="25">
        <v>356.01</v>
      </c>
      <c r="JX344" s="25">
        <v>356.01</v>
      </c>
      <c r="JY344" s="25">
        <v>356.01</v>
      </c>
      <c r="JZ344" s="25">
        <v>356.01</v>
      </c>
      <c r="KA344" s="25">
        <v>356.01</v>
      </c>
      <c r="KB344" s="25">
        <v>356.01</v>
      </c>
      <c r="KC344" s="25">
        <v>356.01</v>
      </c>
      <c r="KD344" s="25">
        <v>356.01</v>
      </c>
      <c r="KE344" s="25">
        <v>356.01</v>
      </c>
      <c r="KF344" s="25">
        <v>356.01</v>
      </c>
      <c r="KG344" s="25">
        <v>356.01</v>
      </c>
      <c r="KH344" s="25">
        <v>356.01</v>
      </c>
      <c r="KI344" s="25">
        <v>356.01</v>
      </c>
      <c r="KJ344" s="25">
        <v>356.01</v>
      </c>
      <c r="KK344" s="25">
        <v>356.01</v>
      </c>
      <c r="KL344" s="25">
        <v>356.01</v>
      </c>
      <c r="KM344" s="25">
        <v>356.01</v>
      </c>
      <c r="KN344" s="25">
        <v>356.01</v>
      </c>
      <c r="KO344" s="25">
        <v>356.01</v>
      </c>
      <c r="KP344" s="25">
        <v>356.01</v>
      </c>
      <c r="KQ344" s="25">
        <v>356.01</v>
      </c>
      <c r="KR344" s="25">
        <v>356.01</v>
      </c>
      <c r="KS344" s="25">
        <v>356.01</v>
      </c>
      <c r="KT344" s="25">
        <v>356.01</v>
      </c>
      <c r="KU344" s="25">
        <v>356.01</v>
      </c>
      <c r="KV344" s="25">
        <v>356.01</v>
      </c>
      <c r="KW344" s="25">
        <v>356.01</v>
      </c>
      <c r="KX344" s="25">
        <v>356.01</v>
      </c>
      <c r="KY344" s="25">
        <v>356.01</v>
      </c>
      <c r="KZ344" s="25">
        <v>356.01</v>
      </c>
      <c r="LA344" s="25">
        <v>356.01</v>
      </c>
      <c r="LB344" s="25">
        <v>356.01</v>
      </c>
      <c r="LC344" s="25">
        <v>356.01</v>
      </c>
      <c r="LD344" s="25">
        <v>356.01</v>
      </c>
      <c r="LE344" s="25">
        <v>356.01</v>
      </c>
      <c r="LF344" s="25">
        <v>356.01</v>
      </c>
      <c r="LG344" s="25">
        <v>356.01</v>
      </c>
      <c r="LH344" s="25">
        <v>356.01</v>
      </c>
      <c r="LI344" s="25">
        <v>356.01</v>
      </c>
      <c r="LJ344" s="25">
        <v>356.01</v>
      </c>
      <c r="LK344" s="25">
        <v>356.01</v>
      </c>
      <c r="LL344" s="25">
        <v>356.01</v>
      </c>
      <c r="LM344" s="25">
        <v>356.01</v>
      </c>
      <c r="LN344" s="25">
        <v>356.01</v>
      </c>
      <c r="LO344" s="25">
        <v>356.01</v>
      </c>
      <c r="LP344" s="25">
        <v>356.01</v>
      </c>
      <c r="LQ344" s="25">
        <v>356.01</v>
      </c>
      <c r="LR344" s="25">
        <v>356.01</v>
      </c>
      <c r="LS344" s="25">
        <v>356.01</v>
      </c>
      <c r="LT344" s="25">
        <v>356.01</v>
      </c>
      <c r="LU344" s="25">
        <v>356.01</v>
      </c>
      <c r="LV344" s="25">
        <v>356.01</v>
      </c>
      <c r="LW344" s="25">
        <v>356.01</v>
      </c>
      <c r="LX344" s="25">
        <v>356.01</v>
      </c>
      <c r="LY344" s="25">
        <v>356.01</v>
      </c>
      <c r="LZ344" s="25">
        <v>356.01</v>
      </c>
      <c r="MA344" s="25">
        <v>356.01</v>
      </c>
      <c r="MB344" s="25">
        <v>356.01</v>
      </c>
      <c r="MC344" s="25">
        <v>356.01</v>
      </c>
      <c r="MD344" s="25">
        <v>356.01</v>
      </c>
      <c r="ME344" s="25">
        <v>356.01</v>
      </c>
      <c r="MF344" s="25">
        <v>356.01</v>
      </c>
      <c r="MG344" s="25">
        <v>356.01</v>
      </c>
      <c r="MH344" s="25">
        <v>356.01</v>
      </c>
      <c r="MI344" s="25">
        <v>356.01</v>
      </c>
      <c r="MJ344" s="25">
        <v>356.01</v>
      </c>
      <c r="MK344" s="25">
        <v>356.01</v>
      </c>
      <c r="ML344" s="25">
        <v>356.01</v>
      </c>
      <c r="MM344" s="25">
        <v>356.01</v>
      </c>
      <c r="MN344" s="25">
        <v>356.01</v>
      </c>
      <c r="MO344" s="25">
        <v>356.01</v>
      </c>
      <c r="MP344" s="25">
        <v>356.01</v>
      </c>
      <c r="MQ344" s="25">
        <v>356.01</v>
      </c>
      <c r="MR344" s="25">
        <v>356.01</v>
      </c>
      <c r="MS344" s="25">
        <v>356.01</v>
      </c>
      <c r="MT344" s="25">
        <v>356.01</v>
      </c>
      <c r="MU344" s="25">
        <v>356.01</v>
      </c>
      <c r="MV344" s="25">
        <v>356.01</v>
      </c>
      <c r="MW344" s="25">
        <v>356.01</v>
      </c>
      <c r="MX344" s="25">
        <v>356.01</v>
      </c>
      <c r="MY344" s="25">
        <v>356.01</v>
      </c>
      <c r="MZ344" s="25">
        <v>356.01</v>
      </c>
      <c r="NA344" s="25">
        <v>356.01</v>
      </c>
      <c r="NB344" s="25">
        <v>356.01</v>
      </c>
      <c r="NC344" s="25">
        <v>356.01</v>
      </c>
      <c r="ND344" s="25">
        <v>356.01</v>
      </c>
      <c r="NE344" s="25">
        <v>356.01</v>
      </c>
      <c r="NF344" s="25">
        <v>356.01</v>
      </c>
      <c r="NG344" s="25">
        <v>356.01</v>
      </c>
      <c r="NH344" s="25">
        <v>356.01</v>
      </c>
      <c r="NI344" s="25">
        <v>356.01</v>
      </c>
      <c r="NJ344" s="25">
        <v>356.01</v>
      </c>
      <c r="NK344" s="25">
        <v>356.01</v>
      </c>
      <c r="NL344" s="25">
        <v>356.01</v>
      </c>
      <c r="NM344" s="25">
        <v>356.01</v>
      </c>
      <c r="NN344" s="25">
        <v>356.01</v>
      </c>
      <c r="NO344" s="25">
        <v>356.01</v>
      </c>
      <c r="NP344" s="25">
        <v>356.01</v>
      </c>
      <c r="NQ344" s="25">
        <v>356.01</v>
      </c>
      <c r="NR344" s="25">
        <v>356.01</v>
      </c>
      <c r="NS344" s="25">
        <v>356.01</v>
      </c>
      <c r="NT344" s="25">
        <v>356.01</v>
      </c>
      <c r="NU344" s="25">
        <v>356.01</v>
      </c>
      <c r="NV344" s="25">
        <v>356.01</v>
      </c>
      <c r="NW344" s="25">
        <v>356.01</v>
      </c>
      <c r="NX344" s="25">
        <v>356.01</v>
      </c>
      <c r="NY344" s="25">
        <v>356.01</v>
      </c>
      <c r="NZ344" s="25">
        <v>356.01</v>
      </c>
      <c r="OA344" s="25">
        <v>356.01</v>
      </c>
      <c r="OB344" s="25">
        <v>356.01</v>
      </c>
      <c r="OC344" s="25">
        <v>356.01</v>
      </c>
      <c r="OD344" s="25">
        <v>356.01</v>
      </c>
      <c r="OE344" s="25">
        <v>356.01</v>
      </c>
    </row>
    <row r="345" spans="1:395" ht="13.8" customHeight="1" x14ac:dyDescent="0.3">
      <c r="N345" s="25" t="s">
        <v>97</v>
      </c>
      <c r="O345" s="25"/>
      <c r="P345" s="27" t="s">
        <v>75</v>
      </c>
      <c r="Q345" s="25" cm="1">
        <f t="array" ref="Q345:OE345">_xlfn.ANCHORARRAY(Q1)*E363*E364/3.6</f>
        <v>277.77777777777777</v>
      </c>
      <c r="R345" s="25">
        <v>277.77777777777777</v>
      </c>
      <c r="S345" s="25">
        <v>277.77777777777777</v>
      </c>
      <c r="T345" s="25">
        <v>277.77777777777777</v>
      </c>
      <c r="U345" s="25">
        <v>277.77777777777777</v>
      </c>
      <c r="V345" s="25">
        <v>277.77777777777777</v>
      </c>
      <c r="W345" s="25">
        <v>277.77777777777777</v>
      </c>
      <c r="X345" s="25">
        <v>277.77777777777777</v>
      </c>
      <c r="Y345" s="25">
        <v>277.77777777777777</v>
      </c>
      <c r="Z345" s="25">
        <v>277.77777777777777</v>
      </c>
      <c r="AA345" s="25">
        <v>277.77777777777777</v>
      </c>
      <c r="AB345" s="25">
        <v>277.77777777777777</v>
      </c>
      <c r="AC345" s="25">
        <v>277.77777777777777</v>
      </c>
      <c r="AD345" s="25">
        <v>277.77777777777777</v>
      </c>
      <c r="AE345" s="25">
        <v>277.77777777777777</v>
      </c>
      <c r="AF345" s="25">
        <v>277.77777777777777</v>
      </c>
      <c r="AG345" s="25">
        <v>277.77777777777777</v>
      </c>
      <c r="AH345" s="25">
        <v>277.77777777777777</v>
      </c>
      <c r="AI345" s="25">
        <v>277.77777777777777</v>
      </c>
      <c r="AJ345" s="25">
        <v>277.77777777777777</v>
      </c>
      <c r="AK345" s="25">
        <v>277.77777777777777</v>
      </c>
      <c r="AL345" s="25">
        <v>277.77777777777777</v>
      </c>
      <c r="AM345" s="25">
        <v>277.77777777777777</v>
      </c>
      <c r="AN345" s="25">
        <v>277.77777777777777</v>
      </c>
      <c r="AO345" s="25">
        <v>277.77777777777777</v>
      </c>
      <c r="AP345" s="25">
        <v>277.77777777777777</v>
      </c>
      <c r="AQ345" s="25">
        <v>277.77777777777777</v>
      </c>
      <c r="AR345" s="25">
        <v>277.77777777777777</v>
      </c>
      <c r="AS345" s="25">
        <v>277.77777777777777</v>
      </c>
      <c r="AT345" s="25">
        <v>277.77777777777777</v>
      </c>
      <c r="AU345" s="25">
        <v>277.77777777777777</v>
      </c>
      <c r="AV345" s="25">
        <v>277.77777777777777</v>
      </c>
      <c r="AW345" s="25">
        <v>277.77777777777777</v>
      </c>
      <c r="AX345" s="25">
        <v>277.77777777777777</v>
      </c>
      <c r="AY345" s="25">
        <v>277.77777777777777</v>
      </c>
      <c r="AZ345" s="25">
        <v>277.77777777777777</v>
      </c>
      <c r="BA345" s="25">
        <v>277.77777777777777</v>
      </c>
      <c r="BB345" s="25">
        <v>277.77777777777777</v>
      </c>
      <c r="BC345" s="25">
        <v>277.77777777777777</v>
      </c>
      <c r="BD345" s="25">
        <v>277.77777777777777</v>
      </c>
      <c r="BE345" s="25">
        <v>277.77777777777777</v>
      </c>
      <c r="BF345" s="25">
        <v>277.77777777777777</v>
      </c>
      <c r="BG345" s="25">
        <v>277.77777777777777</v>
      </c>
      <c r="BH345" s="25">
        <v>277.77777777777777</v>
      </c>
      <c r="BI345" s="25">
        <v>277.77777777777777</v>
      </c>
      <c r="BJ345" s="25">
        <v>277.77777777777777</v>
      </c>
      <c r="BK345" s="25">
        <v>277.77777777777777</v>
      </c>
      <c r="BL345" s="25">
        <v>277.77777777777777</v>
      </c>
      <c r="BM345" s="25">
        <v>277.77777777777777</v>
      </c>
      <c r="BN345" s="25">
        <v>277.77777777777777</v>
      </c>
      <c r="BO345" s="25">
        <v>277.77777777777777</v>
      </c>
      <c r="BP345" s="25">
        <v>277.77777777777777</v>
      </c>
      <c r="BQ345" s="25">
        <v>277.77777777777777</v>
      </c>
      <c r="BR345" s="25">
        <v>277.77777777777777</v>
      </c>
      <c r="BS345" s="25">
        <v>277.77777777777777</v>
      </c>
      <c r="BT345" s="25">
        <v>277.77777777777777</v>
      </c>
      <c r="BU345" s="25">
        <v>277.77777777777777</v>
      </c>
      <c r="BV345" s="25">
        <v>277.77777777777777</v>
      </c>
      <c r="BW345" s="25">
        <v>277.77777777777777</v>
      </c>
      <c r="BX345" s="25">
        <v>277.77777777777777</v>
      </c>
      <c r="BY345" s="25">
        <v>277.77777777777777</v>
      </c>
      <c r="BZ345" s="25">
        <v>277.77777777777777</v>
      </c>
      <c r="CA345" s="25">
        <v>277.77777777777777</v>
      </c>
      <c r="CB345" s="25">
        <v>277.77777777777777</v>
      </c>
      <c r="CC345" s="25">
        <v>277.77777777777777</v>
      </c>
      <c r="CD345" s="25">
        <v>277.77777777777777</v>
      </c>
      <c r="CE345" s="25">
        <v>277.77777777777777</v>
      </c>
      <c r="CF345" s="25">
        <v>277.77777777777777</v>
      </c>
      <c r="CG345" s="25">
        <v>277.77777777777777</v>
      </c>
      <c r="CH345" s="25">
        <v>277.77777777777777</v>
      </c>
      <c r="CI345" s="25">
        <v>277.77777777777777</v>
      </c>
      <c r="CJ345" s="25">
        <v>277.77777777777777</v>
      </c>
      <c r="CK345" s="25">
        <v>277.77777777777777</v>
      </c>
      <c r="CL345" s="25">
        <v>277.77777777777777</v>
      </c>
      <c r="CM345" s="25">
        <v>277.77777777777777</v>
      </c>
      <c r="CN345" s="25">
        <v>277.77777777777777</v>
      </c>
      <c r="CO345" s="25">
        <v>277.77777777777777</v>
      </c>
      <c r="CP345" s="25">
        <v>277.77777777777777</v>
      </c>
      <c r="CQ345" s="25">
        <v>277.77777777777777</v>
      </c>
      <c r="CR345" s="25">
        <v>277.77777777777777</v>
      </c>
      <c r="CS345" s="25">
        <v>277.77777777777777</v>
      </c>
      <c r="CT345" s="25">
        <v>277.77777777777777</v>
      </c>
      <c r="CU345" s="25">
        <v>277.77777777777777</v>
      </c>
      <c r="CV345" s="25">
        <v>277.77777777777777</v>
      </c>
      <c r="CW345" s="25">
        <v>277.77777777777777</v>
      </c>
      <c r="CX345" s="25">
        <v>277.77777777777777</v>
      </c>
      <c r="CY345" s="25">
        <v>277.77777777777777</v>
      </c>
      <c r="CZ345" s="25">
        <v>277.77777777777777</v>
      </c>
      <c r="DA345" s="25">
        <v>277.77777777777777</v>
      </c>
      <c r="DB345" s="25">
        <v>277.77777777777777</v>
      </c>
      <c r="DC345" s="25">
        <v>277.77777777777777</v>
      </c>
      <c r="DD345" s="25">
        <v>277.77777777777777</v>
      </c>
      <c r="DE345" s="25">
        <v>277.77777777777777</v>
      </c>
      <c r="DF345" s="25">
        <v>277.77777777777777</v>
      </c>
      <c r="DG345" s="25">
        <v>277.77777777777777</v>
      </c>
      <c r="DH345" s="25">
        <v>277.77777777777777</v>
      </c>
      <c r="DI345" s="25">
        <v>277.77777777777777</v>
      </c>
      <c r="DJ345" s="25">
        <v>277.77777777777777</v>
      </c>
      <c r="DK345" s="25">
        <v>277.77777777777777</v>
      </c>
      <c r="DL345" s="25">
        <v>277.77777777777777</v>
      </c>
      <c r="DM345" s="25">
        <v>277.77777777777777</v>
      </c>
      <c r="DN345" s="25">
        <v>277.77777777777777</v>
      </c>
      <c r="DO345" s="25">
        <v>277.77777777777777</v>
      </c>
      <c r="DP345" s="25">
        <v>277.77777777777777</v>
      </c>
      <c r="DQ345" s="25">
        <v>277.77777777777777</v>
      </c>
      <c r="DR345" s="25">
        <v>277.77777777777777</v>
      </c>
      <c r="DS345" s="25">
        <v>277.77777777777777</v>
      </c>
      <c r="DT345" s="25">
        <v>277.77777777777777</v>
      </c>
      <c r="DU345" s="25">
        <v>277.77777777777777</v>
      </c>
      <c r="DV345" s="25">
        <v>277.77777777777777</v>
      </c>
      <c r="DW345" s="25">
        <v>277.77777777777777</v>
      </c>
      <c r="DX345" s="25">
        <v>277.77777777777777</v>
      </c>
      <c r="DY345" s="25">
        <v>277.77777777777777</v>
      </c>
      <c r="DZ345" s="25">
        <v>277.77777777777777</v>
      </c>
      <c r="EA345" s="25">
        <v>277.77777777777777</v>
      </c>
      <c r="EB345" s="25">
        <v>277.77777777777777</v>
      </c>
      <c r="EC345" s="25">
        <v>277.77777777777777</v>
      </c>
      <c r="ED345" s="25">
        <v>277.77777777777777</v>
      </c>
      <c r="EE345" s="25">
        <v>277.77777777777777</v>
      </c>
      <c r="EF345" s="25">
        <v>277.77777777777777</v>
      </c>
      <c r="EG345" s="25">
        <v>277.77777777777777</v>
      </c>
      <c r="EH345" s="25">
        <v>277.77777777777777</v>
      </c>
      <c r="EI345" s="25">
        <v>277.77777777777777</v>
      </c>
      <c r="EJ345" s="25">
        <v>277.77777777777777</v>
      </c>
      <c r="EK345" s="25">
        <v>277.77777777777777</v>
      </c>
      <c r="EL345" s="25">
        <v>277.77777777777777</v>
      </c>
      <c r="EM345" s="25">
        <v>277.77777777777777</v>
      </c>
      <c r="EN345" s="25">
        <v>277.77777777777777</v>
      </c>
      <c r="EO345" s="25">
        <v>277.77777777777777</v>
      </c>
      <c r="EP345" s="25">
        <v>277.77777777777777</v>
      </c>
      <c r="EQ345" s="25">
        <v>277.77777777777777</v>
      </c>
      <c r="ER345" s="25">
        <v>277.77777777777777</v>
      </c>
      <c r="ES345" s="25">
        <v>277.77777777777777</v>
      </c>
      <c r="ET345" s="25">
        <v>277.77777777777777</v>
      </c>
      <c r="EU345" s="25">
        <v>277.77777777777777</v>
      </c>
      <c r="EV345" s="25">
        <v>277.77777777777777</v>
      </c>
      <c r="EW345" s="25">
        <v>277.77777777777777</v>
      </c>
      <c r="EX345" s="25">
        <v>277.77777777777777</v>
      </c>
      <c r="EY345" s="25">
        <v>277.77777777777777</v>
      </c>
      <c r="EZ345" s="25">
        <v>277.77777777777777</v>
      </c>
      <c r="FA345" s="25">
        <v>277.77777777777777</v>
      </c>
      <c r="FB345" s="25">
        <v>277.77777777777777</v>
      </c>
      <c r="FC345" s="25">
        <v>277.77777777777777</v>
      </c>
      <c r="FD345" s="25">
        <v>277.77777777777777</v>
      </c>
      <c r="FE345" s="25">
        <v>277.77777777777777</v>
      </c>
      <c r="FF345" s="25">
        <v>277.77777777777777</v>
      </c>
      <c r="FG345" s="25">
        <v>277.77777777777777</v>
      </c>
      <c r="FH345" s="25">
        <v>277.77777777777777</v>
      </c>
      <c r="FI345" s="25">
        <v>277.77777777777777</v>
      </c>
      <c r="FJ345" s="25">
        <v>277.77777777777777</v>
      </c>
      <c r="FK345" s="25">
        <v>277.77777777777777</v>
      </c>
      <c r="FL345" s="25">
        <v>277.77777777777777</v>
      </c>
      <c r="FM345" s="25">
        <v>277.77777777777777</v>
      </c>
      <c r="FN345" s="25">
        <v>277.77777777777777</v>
      </c>
      <c r="FO345" s="25">
        <v>277.77777777777777</v>
      </c>
      <c r="FP345" s="25">
        <v>277.77777777777777</v>
      </c>
      <c r="FQ345" s="25">
        <v>277.77777777777777</v>
      </c>
      <c r="FR345" s="25">
        <v>277.77777777777777</v>
      </c>
      <c r="FS345" s="25">
        <v>277.77777777777777</v>
      </c>
      <c r="FT345" s="25">
        <v>277.77777777777777</v>
      </c>
      <c r="FU345" s="25">
        <v>277.77777777777777</v>
      </c>
      <c r="FV345" s="25">
        <v>277.77777777777777</v>
      </c>
      <c r="FW345" s="25">
        <v>277.77777777777777</v>
      </c>
      <c r="FX345" s="25">
        <v>277.77777777777777</v>
      </c>
      <c r="FY345" s="25">
        <v>277.77777777777777</v>
      </c>
      <c r="FZ345" s="25">
        <v>277.77777777777777</v>
      </c>
      <c r="GA345" s="25">
        <v>277.77777777777777</v>
      </c>
      <c r="GB345" s="25">
        <v>277.77777777777777</v>
      </c>
      <c r="GC345" s="25">
        <v>277.77777777777777</v>
      </c>
      <c r="GD345" s="25">
        <v>277.77777777777777</v>
      </c>
      <c r="GE345" s="25">
        <v>277.77777777777777</v>
      </c>
      <c r="GF345" s="25">
        <v>277.77777777777777</v>
      </c>
      <c r="GG345" s="25">
        <v>277.77777777777777</v>
      </c>
      <c r="GH345" s="25">
        <v>277.77777777777777</v>
      </c>
      <c r="GI345" s="25">
        <v>277.77777777777777</v>
      </c>
      <c r="GJ345" s="25">
        <v>277.77777777777777</v>
      </c>
      <c r="GK345" s="25">
        <v>277.77777777777777</v>
      </c>
      <c r="GL345" s="25">
        <v>277.77777777777777</v>
      </c>
      <c r="GM345" s="25">
        <v>277.77777777777777</v>
      </c>
      <c r="GN345" s="25">
        <v>277.77777777777777</v>
      </c>
      <c r="GO345" s="25">
        <v>277.77777777777777</v>
      </c>
      <c r="GP345" s="25">
        <v>277.77777777777777</v>
      </c>
      <c r="GQ345" s="25">
        <v>277.77777777777777</v>
      </c>
      <c r="GR345" s="25">
        <v>277.77777777777777</v>
      </c>
      <c r="GS345" s="25">
        <v>277.77777777777777</v>
      </c>
      <c r="GT345" s="25">
        <v>277.77777777777777</v>
      </c>
      <c r="GU345" s="25">
        <v>277.77777777777777</v>
      </c>
      <c r="GV345" s="25">
        <v>277.77777777777777</v>
      </c>
      <c r="GW345" s="25">
        <v>277.77777777777777</v>
      </c>
      <c r="GX345" s="25">
        <v>277.77777777777777</v>
      </c>
      <c r="GY345" s="25">
        <v>277.77777777777777</v>
      </c>
      <c r="GZ345" s="25">
        <v>277.77777777777777</v>
      </c>
      <c r="HA345" s="25">
        <v>277.77777777777777</v>
      </c>
      <c r="HB345" s="25">
        <v>277.77777777777777</v>
      </c>
      <c r="HC345" s="25">
        <v>277.77777777777777</v>
      </c>
      <c r="HD345" s="25">
        <v>277.77777777777777</v>
      </c>
      <c r="HE345" s="25">
        <v>277.77777777777777</v>
      </c>
      <c r="HF345" s="25">
        <v>277.77777777777777</v>
      </c>
      <c r="HG345" s="25">
        <v>277.77777777777777</v>
      </c>
      <c r="HH345" s="25">
        <v>277.77777777777777</v>
      </c>
      <c r="HI345" s="25">
        <v>277.77777777777777</v>
      </c>
      <c r="HJ345" s="25">
        <v>277.77777777777777</v>
      </c>
      <c r="HK345" s="25">
        <v>277.77777777777777</v>
      </c>
      <c r="HL345" s="25">
        <v>277.77777777777777</v>
      </c>
      <c r="HM345" s="25">
        <v>277.77777777777777</v>
      </c>
      <c r="HN345" s="25">
        <v>277.77777777777777</v>
      </c>
      <c r="HO345" s="25">
        <v>277.77777777777777</v>
      </c>
      <c r="HP345" s="25">
        <v>277.77777777777777</v>
      </c>
      <c r="HQ345" s="25">
        <v>277.77777777777777</v>
      </c>
      <c r="HR345" s="25">
        <v>277.77777777777777</v>
      </c>
      <c r="HS345" s="25">
        <v>277.77777777777777</v>
      </c>
      <c r="HT345" s="25">
        <v>277.77777777777777</v>
      </c>
      <c r="HU345" s="25">
        <v>277.77777777777777</v>
      </c>
      <c r="HV345" s="25">
        <v>277.77777777777777</v>
      </c>
      <c r="HW345" s="25">
        <v>277.77777777777777</v>
      </c>
      <c r="HX345" s="25">
        <v>277.77777777777777</v>
      </c>
      <c r="HY345" s="25">
        <v>277.77777777777777</v>
      </c>
      <c r="HZ345" s="25">
        <v>277.77777777777777</v>
      </c>
      <c r="IA345" s="25">
        <v>277.77777777777777</v>
      </c>
      <c r="IB345" s="25">
        <v>277.77777777777777</v>
      </c>
      <c r="IC345" s="25">
        <v>277.77777777777777</v>
      </c>
      <c r="ID345" s="25">
        <v>277.77777777777777</v>
      </c>
      <c r="IE345" s="25">
        <v>277.77777777777777</v>
      </c>
      <c r="IF345" s="25">
        <v>277.77777777777777</v>
      </c>
      <c r="IG345" s="25">
        <v>277.77777777777777</v>
      </c>
      <c r="IH345" s="25">
        <v>277.77777777777777</v>
      </c>
      <c r="II345" s="25">
        <v>277.77777777777777</v>
      </c>
      <c r="IJ345" s="25">
        <v>277.77777777777777</v>
      </c>
      <c r="IK345" s="25">
        <v>277.77777777777777</v>
      </c>
      <c r="IL345" s="25">
        <v>277.77777777777777</v>
      </c>
      <c r="IM345" s="25">
        <v>277.77777777777777</v>
      </c>
      <c r="IN345" s="25">
        <v>277.77777777777777</v>
      </c>
      <c r="IO345" s="25">
        <v>277.77777777777777</v>
      </c>
      <c r="IP345" s="25">
        <v>277.77777777777777</v>
      </c>
      <c r="IQ345" s="25">
        <v>277.77777777777777</v>
      </c>
      <c r="IR345" s="25">
        <v>277.77777777777777</v>
      </c>
      <c r="IS345" s="25">
        <v>277.77777777777777</v>
      </c>
      <c r="IT345" s="25">
        <v>277.77777777777777</v>
      </c>
      <c r="IU345" s="25">
        <v>277.77777777777777</v>
      </c>
      <c r="IV345" s="25">
        <v>277.77777777777777</v>
      </c>
      <c r="IW345" s="25">
        <v>277.77777777777777</v>
      </c>
      <c r="IX345" s="25">
        <v>277.77777777777777</v>
      </c>
      <c r="IY345" s="25">
        <v>277.77777777777777</v>
      </c>
      <c r="IZ345" s="25">
        <v>277.77777777777777</v>
      </c>
      <c r="JA345" s="25">
        <v>277.77777777777777</v>
      </c>
      <c r="JB345" s="25">
        <v>277.77777777777777</v>
      </c>
      <c r="JC345" s="25">
        <v>277.77777777777777</v>
      </c>
      <c r="JD345" s="25">
        <v>277.77777777777777</v>
      </c>
      <c r="JE345" s="25">
        <v>277.77777777777777</v>
      </c>
      <c r="JF345" s="25">
        <v>277.77777777777777</v>
      </c>
      <c r="JG345" s="25">
        <v>277.77777777777777</v>
      </c>
      <c r="JH345" s="25">
        <v>277.77777777777777</v>
      </c>
      <c r="JI345" s="25">
        <v>277.77777777777777</v>
      </c>
      <c r="JJ345" s="25">
        <v>277.77777777777777</v>
      </c>
      <c r="JK345" s="25">
        <v>277.77777777777777</v>
      </c>
      <c r="JL345" s="25">
        <v>277.77777777777777</v>
      </c>
      <c r="JM345" s="25">
        <v>277.77777777777777</v>
      </c>
      <c r="JN345" s="25">
        <v>277.77777777777777</v>
      </c>
      <c r="JO345" s="25">
        <v>277.77777777777777</v>
      </c>
      <c r="JP345" s="25">
        <v>277.77777777777777</v>
      </c>
      <c r="JQ345" s="25">
        <v>277.77777777777777</v>
      </c>
      <c r="JR345" s="25">
        <v>277.77777777777777</v>
      </c>
      <c r="JS345" s="25">
        <v>277.77777777777777</v>
      </c>
      <c r="JT345" s="25">
        <v>277.77777777777777</v>
      </c>
      <c r="JU345" s="25">
        <v>277.77777777777777</v>
      </c>
      <c r="JV345" s="25">
        <v>277.77777777777777</v>
      </c>
      <c r="JW345" s="25">
        <v>277.77777777777777</v>
      </c>
      <c r="JX345" s="25">
        <v>277.77777777777777</v>
      </c>
      <c r="JY345" s="25">
        <v>277.77777777777777</v>
      </c>
      <c r="JZ345" s="25">
        <v>277.77777777777777</v>
      </c>
      <c r="KA345" s="25">
        <v>277.77777777777777</v>
      </c>
      <c r="KB345" s="25">
        <v>277.77777777777777</v>
      </c>
      <c r="KC345" s="25">
        <v>277.77777777777777</v>
      </c>
      <c r="KD345" s="25">
        <v>277.77777777777777</v>
      </c>
      <c r="KE345" s="25">
        <v>277.77777777777777</v>
      </c>
      <c r="KF345" s="25">
        <v>277.77777777777777</v>
      </c>
      <c r="KG345" s="25">
        <v>277.77777777777777</v>
      </c>
      <c r="KH345" s="25">
        <v>277.77777777777777</v>
      </c>
      <c r="KI345" s="25">
        <v>277.77777777777777</v>
      </c>
      <c r="KJ345" s="25">
        <v>277.77777777777777</v>
      </c>
      <c r="KK345" s="25">
        <v>277.77777777777777</v>
      </c>
      <c r="KL345" s="25">
        <v>277.77777777777777</v>
      </c>
      <c r="KM345" s="25">
        <v>277.77777777777777</v>
      </c>
      <c r="KN345" s="25">
        <v>277.77777777777777</v>
      </c>
      <c r="KO345" s="25">
        <v>277.77777777777777</v>
      </c>
      <c r="KP345" s="25">
        <v>277.77777777777777</v>
      </c>
      <c r="KQ345" s="25">
        <v>277.77777777777777</v>
      </c>
      <c r="KR345" s="25">
        <v>277.77777777777777</v>
      </c>
      <c r="KS345" s="25">
        <v>277.77777777777777</v>
      </c>
      <c r="KT345" s="25">
        <v>277.77777777777777</v>
      </c>
      <c r="KU345" s="25">
        <v>277.77777777777777</v>
      </c>
      <c r="KV345" s="25">
        <v>277.77777777777777</v>
      </c>
      <c r="KW345" s="25">
        <v>277.77777777777777</v>
      </c>
      <c r="KX345" s="25">
        <v>277.77777777777777</v>
      </c>
      <c r="KY345" s="25">
        <v>277.77777777777777</v>
      </c>
      <c r="KZ345" s="25">
        <v>277.77777777777777</v>
      </c>
      <c r="LA345" s="25">
        <v>277.77777777777777</v>
      </c>
      <c r="LB345" s="25">
        <v>277.77777777777777</v>
      </c>
      <c r="LC345" s="25">
        <v>277.77777777777777</v>
      </c>
      <c r="LD345" s="25">
        <v>277.77777777777777</v>
      </c>
      <c r="LE345" s="25">
        <v>277.77777777777777</v>
      </c>
      <c r="LF345" s="25">
        <v>277.77777777777777</v>
      </c>
      <c r="LG345" s="25">
        <v>277.77777777777777</v>
      </c>
      <c r="LH345" s="25">
        <v>277.77777777777777</v>
      </c>
      <c r="LI345" s="25">
        <v>277.77777777777777</v>
      </c>
      <c r="LJ345" s="25">
        <v>277.77777777777777</v>
      </c>
      <c r="LK345" s="25">
        <v>277.77777777777777</v>
      </c>
      <c r="LL345" s="25">
        <v>277.77777777777777</v>
      </c>
      <c r="LM345" s="25">
        <v>277.77777777777777</v>
      </c>
      <c r="LN345" s="25">
        <v>277.77777777777777</v>
      </c>
      <c r="LO345" s="25">
        <v>277.77777777777777</v>
      </c>
      <c r="LP345" s="25">
        <v>277.77777777777777</v>
      </c>
      <c r="LQ345" s="25">
        <v>277.77777777777777</v>
      </c>
      <c r="LR345" s="25">
        <v>277.77777777777777</v>
      </c>
      <c r="LS345" s="25">
        <v>277.77777777777777</v>
      </c>
      <c r="LT345" s="25">
        <v>277.77777777777777</v>
      </c>
      <c r="LU345" s="25">
        <v>277.77777777777777</v>
      </c>
      <c r="LV345" s="25">
        <v>277.77777777777777</v>
      </c>
      <c r="LW345" s="25">
        <v>277.77777777777777</v>
      </c>
      <c r="LX345" s="25">
        <v>277.77777777777777</v>
      </c>
      <c r="LY345" s="25">
        <v>277.77777777777777</v>
      </c>
      <c r="LZ345" s="25">
        <v>277.77777777777777</v>
      </c>
      <c r="MA345" s="25">
        <v>277.77777777777777</v>
      </c>
      <c r="MB345" s="25">
        <v>277.77777777777777</v>
      </c>
      <c r="MC345" s="25">
        <v>277.77777777777777</v>
      </c>
      <c r="MD345" s="25">
        <v>277.77777777777777</v>
      </c>
      <c r="ME345" s="25">
        <v>277.77777777777777</v>
      </c>
      <c r="MF345" s="25">
        <v>277.77777777777777</v>
      </c>
      <c r="MG345" s="25">
        <v>277.77777777777777</v>
      </c>
      <c r="MH345" s="25">
        <v>277.77777777777777</v>
      </c>
      <c r="MI345" s="25">
        <v>277.77777777777777</v>
      </c>
      <c r="MJ345" s="25">
        <v>277.77777777777777</v>
      </c>
      <c r="MK345" s="25">
        <v>277.77777777777777</v>
      </c>
      <c r="ML345" s="25">
        <v>277.77777777777777</v>
      </c>
      <c r="MM345" s="25">
        <v>277.77777777777777</v>
      </c>
      <c r="MN345" s="25">
        <v>277.77777777777777</v>
      </c>
      <c r="MO345" s="25">
        <v>277.77777777777777</v>
      </c>
      <c r="MP345" s="25">
        <v>277.77777777777777</v>
      </c>
      <c r="MQ345" s="25">
        <v>277.77777777777777</v>
      </c>
      <c r="MR345" s="25">
        <v>277.77777777777777</v>
      </c>
      <c r="MS345" s="25">
        <v>277.77777777777777</v>
      </c>
      <c r="MT345" s="25">
        <v>277.77777777777777</v>
      </c>
      <c r="MU345" s="25">
        <v>277.77777777777777</v>
      </c>
      <c r="MV345" s="25">
        <v>277.77777777777777</v>
      </c>
      <c r="MW345" s="25">
        <v>277.77777777777777</v>
      </c>
      <c r="MX345" s="25">
        <v>277.77777777777777</v>
      </c>
      <c r="MY345" s="25">
        <v>277.77777777777777</v>
      </c>
      <c r="MZ345" s="25">
        <v>277.77777777777777</v>
      </c>
      <c r="NA345" s="25">
        <v>277.77777777777777</v>
      </c>
      <c r="NB345" s="25">
        <v>277.77777777777777</v>
      </c>
      <c r="NC345" s="25">
        <v>277.77777777777777</v>
      </c>
      <c r="ND345" s="25">
        <v>277.77777777777777</v>
      </c>
      <c r="NE345" s="25">
        <v>277.77777777777777</v>
      </c>
      <c r="NF345" s="25">
        <v>277.77777777777777</v>
      </c>
      <c r="NG345" s="25">
        <v>277.77777777777777</v>
      </c>
      <c r="NH345" s="25">
        <v>277.77777777777777</v>
      </c>
      <c r="NI345" s="25">
        <v>277.77777777777777</v>
      </c>
      <c r="NJ345" s="25">
        <v>277.77777777777777</v>
      </c>
      <c r="NK345" s="25">
        <v>277.77777777777777</v>
      </c>
      <c r="NL345" s="25">
        <v>277.77777777777777</v>
      </c>
      <c r="NM345" s="25">
        <v>277.77777777777777</v>
      </c>
      <c r="NN345" s="25">
        <v>277.77777777777777</v>
      </c>
      <c r="NO345" s="25">
        <v>277.77777777777777</v>
      </c>
      <c r="NP345" s="25">
        <v>277.77777777777777</v>
      </c>
      <c r="NQ345" s="25">
        <v>277.77777777777777</v>
      </c>
      <c r="NR345" s="25">
        <v>277.77777777777777</v>
      </c>
      <c r="NS345" s="25">
        <v>277.77777777777777</v>
      </c>
      <c r="NT345" s="25">
        <v>277.77777777777777</v>
      </c>
      <c r="NU345" s="25">
        <v>277.77777777777777</v>
      </c>
      <c r="NV345" s="25">
        <v>277.77777777777777</v>
      </c>
      <c r="NW345" s="25">
        <v>277.77777777777777</v>
      </c>
      <c r="NX345" s="25">
        <v>277.77777777777777</v>
      </c>
      <c r="NY345" s="25">
        <v>277.77777777777777</v>
      </c>
      <c r="NZ345" s="25">
        <v>277.77777777777777</v>
      </c>
      <c r="OA345" s="25">
        <v>277.77777777777777</v>
      </c>
      <c r="OB345" s="25">
        <v>277.77777777777777</v>
      </c>
      <c r="OC345" s="25">
        <v>277.77777777777777</v>
      </c>
      <c r="OD345" s="25">
        <v>277.77777777777777</v>
      </c>
      <c r="OE345" s="25">
        <v>277.77777777777777</v>
      </c>
    </row>
    <row r="346" spans="1:395" ht="13.8" customHeight="1" x14ac:dyDescent="0.3">
      <c r="N346" s="25" t="s">
        <v>82</v>
      </c>
      <c r="O346" s="25"/>
      <c r="P346" s="27" t="s">
        <v>78</v>
      </c>
      <c r="Q346" s="25" cm="1">
        <f t="array" ref="Q346:OE346">(_xlfn.ANCHORARRAY(Q343)-_xlfn.ANCHORARRAY(Q344))*_xlfn.ANCHORARRAY(Q345)/1000</f>
        <v>176.18055555555557</v>
      </c>
      <c r="R346" s="25">
        <v>176.18055555555557</v>
      </c>
      <c r="S346" s="25">
        <v>176.18055555555557</v>
      </c>
      <c r="T346" s="25">
        <v>176.18055555555557</v>
      </c>
      <c r="U346" s="25">
        <v>176.18055555555557</v>
      </c>
      <c r="V346" s="25">
        <v>176.18055555555557</v>
      </c>
      <c r="W346" s="25">
        <v>176.18055555555557</v>
      </c>
      <c r="X346" s="25">
        <v>176.18055555555557</v>
      </c>
      <c r="Y346" s="25">
        <v>176.18055555555557</v>
      </c>
      <c r="Z346" s="25">
        <v>176.18055555555557</v>
      </c>
      <c r="AA346" s="25">
        <v>176.18055555555557</v>
      </c>
      <c r="AB346" s="25">
        <v>176.18055555555557</v>
      </c>
      <c r="AC346" s="25">
        <v>172.27777777777777</v>
      </c>
      <c r="AD346" s="25">
        <v>172.27777777777777</v>
      </c>
      <c r="AE346" s="25">
        <v>172.27777777777777</v>
      </c>
      <c r="AF346" s="25">
        <v>172.27777777777777</v>
      </c>
      <c r="AG346" s="25">
        <v>172.27777777777777</v>
      </c>
      <c r="AH346" s="25">
        <v>172.27777777777777</v>
      </c>
      <c r="AI346" s="25">
        <v>172.27777777777777</v>
      </c>
      <c r="AJ346" s="25">
        <v>172.27777777777777</v>
      </c>
      <c r="AK346" s="25">
        <v>172.27777777777777</v>
      </c>
      <c r="AL346" s="25">
        <v>172.27777777777777</v>
      </c>
      <c r="AM346" s="25">
        <v>172.27777777777777</v>
      </c>
      <c r="AN346" s="25">
        <v>172.27777777777777</v>
      </c>
      <c r="AO346" s="25">
        <v>168.39166666666668</v>
      </c>
      <c r="AP346" s="25">
        <v>168.39166666666668</v>
      </c>
      <c r="AQ346" s="25">
        <v>168.39166666666668</v>
      </c>
      <c r="AR346" s="25">
        <v>168.39166666666668</v>
      </c>
      <c r="AS346" s="25">
        <v>168.39166666666668</v>
      </c>
      <c r="AT346" s="25">
        <v>168.39166666666668</v>
      </c>
      <c r="AU346" s="25">
        <v>168.39166666666668</v>
      </c>
      <c r="AV346" s="25">
        <v>168.39166666666668</v>
      </c>
      <c r="AW346" s="25">
        <v>168.39166666666668</v>
      </c>
      <c r="AX346" s="25">
        <v>168.39166666666668</v>
      </c>
      <c r="AY346" s="25">
        <v>168.39166666666668</v>
      </c>
      <c r="AZ346" s="25">
        <v>168.39166666666668</v>
      </c>
      <c r="BA346" s="25">
        <v>164.52500000000001</v>
      </c>
      <c r="BB346" s="25">
        <v>164.52500000000001</v>
      </c>
      <c r="BC346" s="25">
        <v>164.52500000000001</v>
      </c>
      <c r="BD346" s="25">
        <v>164.52500000000001</v>
      </c>
      <c r="BE346" s="25">
        <v>164.52500000000001</v>
      </c>
      <c r="BF346" s="25">
        <v>164.52500000000001</v>
      </c>
      <c r="BG346" s="25">
        <v>164.52500000000001</v>
      </c>
      <c r="BH346" s="25">
        <v>164.52500000000001</v>
      </c>
      <c r="BI346" s="25">
        <v>164.52500000000001</v>
      </c>
      <c r="BJ346" s="25">
        <v>164.52500000000001</v>
      </c>
      <c r="BK346" s="25">
        <v>164.52500000000001</v>
      </c>
      <c r="BL346" s="25">
        <v>164.52500000000001</v>
      </c>
      <c r="BM346" s="25">
        <v>160.67500000000001</v>
      </c>
      <c r="BN346" s="25">
        <v>160.67500000000001</v>
      </c>
      <c r="BO346" s="25">
        <v>160.67500000000001</v>
      </c>
      <c r="BP346" s="25">
        <v>160.67500000000001</v>
      </c>
      <c r="BQ346" s="25">
        <v>160.67500000000001</v>
      </c>
      <c r="BR346" s="25">
        <v>160.67500000000001</v>
      </c>
      <c r="BS346" s="25">
        <v>160.67500000000001</v>
      </c>
      <c r="BT346" s="25">
        <v>160.67500000000001</v>
      </c>
      <c r="BU346" s="25">
        <v>160.67500000000001</v>
      </c>
      <c r="BV346" s="25">
        <v>160.67500000000001</v>
      </c>
      <c r="BW346" s="25">
        <v>160.67500000000001</v>
      </c>
      <c r="BX346" s="25">
        <v>160.67500000000001</v>
      </c>
      <c r="BY346" s="25">
        <v>156.83888888888887</v>
      </c>
      <c r="BZ346" s="25">
        <v>156.83888888888887</v>
      </c>
      <c r="CA346" s="25">
        <v>156.83888888888887</v>
      </c>
      <c r="CB346" s="25">
        <v>156.83888888888887</v>
      </c>
      <c r="CC346" s="25">
        <v>156.83888888888887</v>
      </c>
      <c r="CD346" s="25">
        <v>156.83888888888887</v>
      </c>
      <c r="CE346" s="25">
        <v>156.83888888888887</v>
      </c>
      <c r="CF346" s="25">
        <v>156.83888888888887</v>
      </c>
      <c r="CG346" s="25">
        <v>156.83888888888887</v>
      </c>
      <c r="CH346" s="25">
        <v>156.83888888888887</v>
      </c>
      <c r="CI346" s="25">
        <v>156.83888888888887</v>
      </c>
      <c r="CJ346" s="25">
        <v>156.83888888888887</v>
      </c>
      <c r="CK346" s="25">
        <v>153.01666666666665</v>
      </c>
      <c r="CL346" s="25">
        <v>153.01666666666665</v>
      </c>
      <c r="CM346" s="25">
        <v>153.01666666666665</v>
      </c>
      <c r="CN346" s="25">
        <v>153.01666666666665</v>
      </c>
      <c r="CO346" s="25">
        <v>153.01666666666665</v>
      </c>
      <c r="CP346" s="25">
        <v>153.01666666666665</v>
      </c>
      <c r="CQ346" s="25">
        <v>153.01666666666665</v>
      </c>
      <c r="CR346" s="25">
        <v>153.01666666666665</v>
      </c>
      <c r="CS346" s="25">
        <v>153.01666666666665</v>
      </c>
      <c r="CT346" s="25">
        <v>153.01666666666665</v>
      </c>
      <c r="CU346" s="25">
        <v>153.01666666666665</v>
      </c>
      <c r="CV346" s="25">
        <v>153.01666666666665</v>
      </c>
      <c r="CW346" s="25">
        <v>149.21111111111111</v>
      </c>
      <c r="CX346" s="25">
        <v>149.21111111111111</v>
      </c>
      <c r="CY346" s="25">
        <v>149.21111111111111</v>
      </c>
      <c r="CZ346" s="25">
        <v>149.21111111111111</v>
      </c>
      <c r="DA346" s="25">
        <v>149.21111111111111</v>
      </c>
      <c r="DB346" s="25">
        <v>149.21111111111111</v>
      </c>
      <c r="DC346" s="25">
        <v>149.21111111111111</v>
      </c>
      <c r="DD346" s="25">
        <v>149.21111111111111</v>
      </c>
      <c r="DE346" s="25">
        <v>149.21111111111111</v>
      </c>
      <c r="DF346" s="25">
        <v>149.21111111111111</v>
      </c>
      <c r="DG346" s="25">
        <v>149.21111111111111</v>
      </c>
      <c r="DH346" s="25">
        <v>149.21111111111111</v>
      </c>
      <c r="DI346" s="25">
        <v>145.42222222222222</v>
      </c>
      <c r="DJ346" s="25">
        <v>145.42222222222222</v>
      </c>
      <c r="DK346" s="25">
        <v>145.42222222222222</v>
      </c>
      <c r="DL346" s="25">
        <v>145.42222222222222</v>
      </c>
      <c r="DM346" s="25">
        <v>145.42222222222222</v>
      </c>
      <c r="DN346" s="25">
        <v>145.42222222222222</v>
      </c>
      <c r="DO346" s="25">
        <v>145.42222222222222</v>
      </c>
      <c r="DP346" s="25">
        <v>145.42222222222222</v>
      </c>
      <c r="DQ346" s="25">
        <v>145.42222222222222</v>
      </c>
      <c r="DR346" s="25">
        <v>145.42222222222222</v>
      </c>
      <c r="DS346" s="25">
        <v>145.42222222222222</v>
      </c>
      <c r="DT346" s="25">
        <v>145.42222222222222</v>
      </c>
      <c r="DU346" s="25">
        <v>141.64166666666665</v>
      </c>
      <c r="DV346" s="25">
        <v>141.64166666666665</v>
      </c>
      <c r="DW346" s="25">
        <v>141.64166666666665</v>
      </c>
      <c r="DX346" s="25">
        <v>141.64166666666665</v>
      </c>
      <c r="DY346" s="25">
        <v>141.64166666666665</v>
      </c>
      <c r="DZ346" s="25">
        <v>141.64166666666665</v>
      </c>
      <c r="EA346" s="25">
        <v>141.64166666666665</v>
      </c>
      <c r="EB346" s="25">
        <v>141.64166666666665</v>
      </c>
      <c r="EC346" s="25">
        <v>141.64166666666665</v>
      </c>
      <c r="ED346" s="25">
        <v>141.64166666666665</v>
      </c>
      <c r="EE346" s="25">
        <v>141.64166666666665</v>
      </c>
      <c r="EF346" s="25">
        <v>141.64166666666665</v>
      </c>
      <c r="EG346" s="25">
        <v>137.85</v>
      </c>
      <c r="EH346" s="25">
        <v>137.85</v>
      </c>
      <c r="EI346" s="25">
        <v>137.85</v>
      </c>
      <c r="EJ346" s="25">
        <v>137.85</v>
      </c>
      <c r="EK346" s="25">
        <v>137.85</v>
      </c>
      <c r="EL346" s="25">
        <v>137.85</v>
      </c>
      <c r="EM346" s="25">
        <v>137.85</v>
      </c>
      <c r="EN346" s="25">
        <v>137.85</v>
      </c>
      <c r="EO346" s="25">
        <v>137.85</v>
      </c>
      <c r="EP346" s="25">
        <v>137.85</v>
      </c>
      <c r="EQ346" s="25">
        <v>137.85</v>
      </c>
      <c r="ER346" s="25">
        <v>137.85</v>
      </c>
      <c r="ES346" s="25">
        <v>134.1</v>
      </c>
      <c r="ET346" s="25">
        <v>134.1</v>
      </c>
      <c r="EU346" s="25">
        <v>134.1</v>
      </c>
      <c r="EV346" s="25">
        <v>134.1</v>
      </c>
      <c r="EW346" s="25">
        <v>134.1</v>
      </c>
      <c r="EX346" s="25">
        <v>134.1</v>
      </c>
      <c r="EY346" s="25">
        <v>134.1</v>
      </c>
      <c r="EZ346" s="25">
        <v>134.1</v>
      </c>
      <c r="FA346" s="25">
        <v>134.1</v>
      </c>
      <c r="FB346" s="25">
        <v>134.1</v>
      </c>
      <c r="FC346" s="25">
        <v>134.1</v>
      </c>
      <c r="FD346" s="25">
        <v>134.1</v>
      </c>
      <c r="FE346" s="25">
        <v>130.36111111111109</v>
      </c>
      <c r="FF346" s="25">
        <v>130.36111111111109</v>
      </c>
      <c r="FG346" s="25">
        <v>130.36111111111109</v>
      </c>
      <c r="FH346" s="25">
        <v>130.36111111111109</v>
      </c>
      <c r="FI346" s="25">
        <v>130.36111111111109</v>
      </c>
      <c r="FJ346" s="25">
        <v>130.36111111111109</v>
      </c>
      <c r="FK346" s="25">
        <v>130.36111111111109</v>
      </c>
      <c r="FL346" s="25">
        <v>130.36111111111109</v>
      </c>
      <c r="FM346" s="25">
        <v>130.36111111111109</v>
      </c>
      <c r="FN346" s="25">
        <v>130.36111111111109</v>
      </c>
      <c r="FO346" s="25">
        <v>130.36111111111109</v>
      </c>
      <c r="FP346" s="25">
        <v>130.36111111111109</v>
      </c>
      <c r="FQ346" s="25">
        <v>126.63333333333333</v>
      </c>
      <c r="FR346" s="25">
        <v>126.63333333333333</v>
      </c>
      <c r="FS346" s="25">
        <v>126.63333333333333</v>
      </c>
      <c r="FT346" s="25">
        <v>126.63333333333333</v>
      </c>
      <c r="FU346" s="25">
        <v>126.63333333333333</v>
      </c>
      <c r="FV346" s="25">
        <v>126.63333333333333</v>
      </c>
      <c r="FW346" s="25">
        <v>126.63333333333333</v>
      </c>
      <c r="FX346" s="25">
        <v>126.63333333333333</v>
      </c>
      <c r="FY346" s="25">
        <v>126.63333333333333</v>
      </c>
      <c r="FZ346" s="25">
        <v>126.63333333333333</v>
      </c>
      <c r="GA346" s="25">
        <v>126.63333333333333</v>
      </c>
      <c r="GB346" s="25">
        <v>126.63333333333333</v>
      </c>
      <c r="GC346" s="25">
        <v>122.91944444444444</v>
      </c>
      <c r="GD346" s="25">
        <v>122.91944444444444</v>
      </c>
      <c r="GE346" s="25">
        <v>122.91944444444444</v>
      </c>
      <c r="GF346" s="25">
        <v>122.91944444444444</v>
      </c>
      <c r="GG346" s="25">
        <v>122.91944444444444</v>
      </c>
      <c r="GH346" s="25">
        <v>122.91944444444444</v>
      </c>
      <c r="GI346" s="25">
        <v>122.91944444444444</v>
      </c>
      <c r="GJ346" s="25">
        <v>122.91944444444444</v>
      </c>
      <c r="GK346" s="25">
        <v>122.91944444444444</v>
      </c>
      <c r="GL346" s="25">
        <v>122.91944444444444</v>
      </c>
      <c r="GM346" s="25">
        <v>122.91944444444444</v>
      </c>
      <c r="GN346" s="25">
        <v>122.91944444444444</v>
      </c>
      <c r="GO346" s="25">
        <v>119.21666666666668</v>
      </c>
      <c r="GP346" s="25">
        <v>119.21666666666668</v>
      </c>
      <c r="GQ346" s="25">
        <v>119.21666666666668</v>
      </c>
      <c r="GR346" s="25">
        <v>119.21666666666668</v>
      </c>
      <c r="GS346" s="25">
        <v>119.21666666666668</v>
      </c>
      <c r="GT346" s="25">
        <v>119.21666666666668</v>
      </c>
      <c r="GU346" s="25">
        <v>119.21666666666668</v>
      </c>
      <c r="GV346" s="25">
        <v>119.21666666666668</v>
      </c>
      <c r="GW346" s="25">
        <v>119.21666666666668</v>
      </c>
      <c r="GX346" s="25">
        <v>119.21666666666668</v>
      </c>
      <c r="GY346" s="25">
        <v>119.21666666666668</v>
      </c>
      <c r="GZ346" s="25">
        <v>119.21666666666668</v>
      </c>
      <c r="HA346" s="25">
        <v>115.52500000000001</v>
      </c>
      <c r="HB346" s="25">
        <v>115.52500000000001</v>
      </c>
      <c r="HC346" s="25">
        <v>115.52500000000001</v>
      </c>
      <c r="HD346" s="25">
        <v>115.52500000000001</v>
      </c>
      <c r="HE346" s="25">
        <v>115.52500000000001</v>
      </c>
      <c r="HF346" s="25">
        <v>115.52500000000001</v>
      </c>
      <c r="HG346" s="25">
        <v>115.52500000000001</v>
      </c>
      <c r="HH346" s="25">
        <v>115.52500000000001</v>
      </c>
      <c r="HI346" s="25">
        <v>115.52500000000001</v>
      </c>
      <c r="HJ346" s="25">
        <v>115.52500000000001</v>
      </c>
      <c r="HK346" s="25">
        <v>115.52500000000001</v>
      </c>
      <c r="HL346" s="25">
        <v>115.52500000000001</v>
      </c>
      <c r="HM346" s="25">
        <v>111.84166666666665</v>
      </c>
      <c r="HN346" s="25">
        <v>111.84166666666665</v>
      </c>
      <c r="HO346" s="25">
        <v>111.84166666666665</v>
      </c>
      <c r="HP346" s="25">
        <v>111.84166666666665</v>
      </c>
      <c r="HQ346" s="25">
        <v>111.84166666666665</v>
      </c>
      <c r="HR346" s="25">
        <v>111.84166666666665</v>
      </c>
      <c r="HS346" s="25">
        <v>111.84166666666665</v>
      </c>
      <c r="HT346" s="25">
        <v>111.84166666666665</v>
      </c>
      <c r="HU346" s="25">
        <v>111.84166666666665</v>
      </c>
      <c r="HV346" s="25">
        <v>111.84166666666665</v>
      </c>
      <c r="HW346" s="25">
        <v>111.84166666666665</v>
      </c>
      <c r="HX346" s="25">
        <v>111.84166666666665</v>
      </c>
      <c r="HY346" s="25">
        <v>108.16944444444444</v>
      </c>
      <c r="HZ346" s="25">
        <v>108.16944444444444</v>
      </c>
      <c r="IA346" s="25">
        <v>108.16944444444444</v>
      </c>
      <c r="IB346" s="25">
        <v>108.16944444444444</v>
      </c>
      <c r="IC346" s="25">
        <v>108.16944444444444</v>
      </c>
      <c r="ID346" s="25">
        <v>108.16944444444444</v>
      </c>
      <c r="IE346" s="25">
        <v>108.16944444444444</v>
      </c>
      <c r="IF346" s="25">
        <v>108.16944444444444</v>
      </c>
      <c r="IG346" s="25">
        <v>108.16944444444444</v>
      </c>
      <c r="IH346" s="25">
        <v>108.16944444444444</v>
      </c>
      <c r="II346" s="25">
        <v>108.16944444444444</v>
      </c>
      <c r="IJ346" s="25">
        <v>108.16944444444444</v>
      </c>
      <c r="IK346" s="25">
        <v>104.50555555555556</v>
      </c>
      <c r="IL346" s="25">
        <v>104.50555555555556</v>
      </c>
      <c r="IM346" s="25">
        <v>104.50555555555556</v>
      </c>
      <c r="IN346" s="25">
        <v>104.50555555555556</v>
      </c>
      <c r="IO346" s="25">
        <v>104.50555555555556</v>
      </c>
      <c r="IP346" s="25">
        <v>104.50555555555556</v>
      </c>
      <c r="IQ346" s="25">
        <v>104.50555555555556</v>
      </c>
      <c r="IR346" s="25">
        <v>104.50555555555556</v>
      </c>
      <c r="IS346" s="25">
        <v>104.50555555555556</v>
      </c>
      <c r="IT346" s="25">
        <v>104.50555555555556</v>
      </c>
      <c r="IU346" s="25">
        <v>104.50555555555556</v>
      </c>
      <c r="IV346" s="25">
        <v>104.50555555555556</v>
      </c>
      <c r="IW346" s="25">
        <v>100.85277777777779</v>
      </c>
      <c r="IX346" s="25">
        <v>100.85277777777779</v>
      </c>
      <c r="IY346" s="25">
        <v>100.85277777777779</v>
      </c>
      <c r="IZ346" s="25">
        <v>100.85277777777779</v>
      </c>
      <c r="JA346" s="25">
        <v>100.85277777777779</v>
      </c>
      <c r="JB346" s="25">
        <v>100.85277777777779</v>
      </c>
      <c r="JC346" s="25">
        <v>100.85277777777779</v>
      </c>
      <c r="JD346" s="25">
        <v>100.85277777777779</v>
      </c>
      <c r="JE346" s="25">
        <v>100.85277777777779</v>
      </c>
      <c r="JF346" s="25">
        <v>100.85277777777779</v>
      </c>
      <c r="JG346" s="25">
        <v>100.85277777777779</v>
      </c>
      <c r="JH346" s="25">
        <v>100.85277777777779</v>
      </c>
      <c r="JI346" s="25">
        <v>97.208333333333343</v>
      </c>
      <c r="JJ346" s="25">
        <v>97.208333333333343</v>
      </c>
      <c r="JK346" s="25">
        <v>97.208333333333343</v>
      </c>
      <c r="JL346" s="25">
        <v>97.208333333333343</v>
      </c>
      <c r="JM346" s="25">
        <v>97.208333333333343</v>
      </c>
      <c r="JN346" s="25">
        <v>97.208333333333343</v>
      </c>
      <c r="JO346" s="25">
        <v>97.208333333333343</v>
      </c>
      <c r="JP346" s="25">
        <v>97.208333333333343</v>
      </c>
      <c r="JQ346" s="25">
        <v>97.208333333333343</v>
      </c>
      <c r="JR346" s="25">
        <v>97.208333333333343</v>
      </c>
      <c r="JS346" s="25">
        <v>97.208333333333343</v>
      </c>
      <c r="JT346" s="25">
        <v>97.208333333333343</v>
      </c>
      <c r="JU346" s="25">
        <v>93.575000000000003</v>
      </c>
      <c r="JV346" s="25">
        <v>93.575000000000003</v>
      </c>
      <c r="JW346" s="25">
        <v>93.575000000000003</v>
      </c>
      <c r="JX346" s="25">
        <v>93.575000000000003</v>
      </c>
      <c r="JY346" s="25">
        <v>93.575000000000003</v>
      </c>
      <c r="JZ346" s="25">
        <v>93.575000000000003</v>
      </c>
      <c r="KA346" s="25">
        <v>93.575000000000003</v>
      </c>
      <c r="KB346" s="25">
        <v>93.575000000000003</v>
      </c>
      <c r="KC346" s="25">
        <v>93.575000000000003</v>
      </c>
      <c r="KD346" s="25">
        <v>93.575000000000003</v>
      </c>
      <c r="KE346" s="25">
        <v>93.575000000000003</v>
      </c>
      <c r="KF346" s="25">
        <v>93.575000000000003</v>
      </c>
      <c r="KG346" s="25">
        <v>89.947222222222237</v>
      </c>
      <c r="KH346" s="25">
        <v>89.947222222222237</v>
      </c>
      <c r="KI346" s="25">
        <v>89.947222222222237</v>
      </c>
      <c r="KJ346" s="25">
        <v>89.947222222222237</v>
      </c>
      <c r="KK346" s="25">
        <v>89.947222222222237</v>
      </c>
      <c r="KL346" s="25">
        <v>89.947222222222237</v>
      </c>
      <c r="KM346" s="25">
        <v>89.947222222222237</v>
      </c>
      <c r="KN346" s="25">
        <v>89.947222222222237</v>
      </c>
      <c r="KO346" s="25">
        <v>89.947222222222237</v>
      </c>
      <c r="KP346" s="25">
        <v>89.947222222222237</v>
      </c>
      <c r="KQ346" s="25">
        <v>89.947222222222237</v>
      </c>
      <c r="KR346" s="25">
        <v>89.947222222222237</v>
      </c>
      <c r="KS346" s="25">
        <v>86.327777777777769</v>
      </c>
      <c r="KT346" s="25">
        <v>86.327777777777769</v>
      </c>
      <c r="KU346" s="25">
        <v>86.327777777777769</v>
      </c>
      <c r="KV346" s="25">
        <v>86.327777777777769</v>
      </c>
      <c r="KW346" s="25">
        <v>86.327777777777769</v>
      </c>
      <c r="KX346" s="25">
        <v>86.327777777777769</v>
      </c>
      <c r="KY346" s="25">
        <v>86.327777777777769</v>
      </c>
      <c r="KZ346" s="25">
        <v>86.327777777777769</v>
      </c>
      <c r="LA346" s="25">
        <v>86.327777777777769</v>
      </c>
      <c r="LB346" s="25">
        <v>86.327777777777769</v>
      </c>
      <c r="LC346" s="25">
        <v>86.327777777777769</v>
      </c>
      <c r="LD346" s="25">
        <v>86.327777777777769</v>
      </c>
      <c r="LE346" s="25">
        <v>82.716666666666654</v>
      </c>
      <c r="LF346" s="25">
        <v>82.716666666666654</v>
      </c>
      <c r="LG346" s="25">
        <v>82.716666666666654</v>
      </c>
      <c r="LH346" s="25">
        <v>82.716666666666654</v>
      </c>
      <c r="LI346" s="25">
        <v>82.716666666666654</v>
      </c>
      <c r="LJ346" s="25">
        <v>82.716666666666654</v>
      </c>
      <c r="LK346" s="25">
        <v>82.716666666666654</v>
      </c>
      <c r="LL346" s="25">
        <v>82.716666666666654</v>
      </c>
      <c r="LM346" s="25">
        <v>82.716666666666654</v>
      </c>
      <c r="LN346" s="25">
        <v>82.716666666666654</v>
      </c>
      <c r="LO346" s="25">
        <v>82.716666666666654</v>
      </c>
      <c r="LP346" s="25">
        <v>82.716666666666654</v>
      </c>
      <c r="LQ346" s="25">
        <v>79.1111111111111</v>
      </c>
      <c r="LR346" s="25">
        <v>79.1111111111111</v>
      </c>
      <c r="LS346" s="25">
        <v>79.1111111111111</v>
      </c>
      <c r="LT346" s="25">
        <v>79.1111111111111</v>
      </c>
      <c r="LU346" s="25">
        <v>79.1111111111111</v>
      </c>
      <c r="LV346" s="25">
        <v>79.1111111111111</v>
      </c>
      <c r="LW346" s="25">
        <v>79.1111111111111</v>
      </c>
      <c r="LX346" s="25">
        <v>79.1111111111111</v>
      </c>
      <c r="LY346" s="25">
        <v>79.1111111111111</v>
      </c>
      <c r="LZ346" s="25">
        <v>79.1111111111111</v>
      </c>
      <c r="MA346" s="25">
        <v>79.1111111111111</v>
      </c>
      <c r="MB346" s="25">
        <v>79.1111111111111</v>
      </c>
      <c r="MC346" s="25">
        <v>75.516666666666666</v>
      </c>
      <c r="MD346" s="25">
        <v>75.516666666666666</v>
      </c>
      <c r="ME346" s="25">
        <v>75.516666666666666</v>
      </c>
      <c r="MF346" s="25">
        <v>75.516666666666666</v>
      </c>
      <c r="MG346" s="25">
        <v>75.516666666666666</v>
      </c>
      <c r="MH346" s="25">
        <v>75.516666666666666</v>
      </c>
      <c r="MI346" s="25">
        <v>75.516666666666666</v>
      </c>
      <c r="MJ346" s="25">
        <v>75.516666666666666</v>
      </c>
      <c r="MK346" s="25">
        <v>75.516666666666666</v>
      </c>
      <c r="ML346" s="25">
        <v>75.516666666666666</v>
      </c>
      <c r="MM346" s="25">
        <v>75.516666666666666</v>
      </c>
      <c r="MN346" s="25">
        <v>75.516666666666666</v>
      </c>
      <c r="MO346" s="25">
        <v>71.925000000000011</v>
      </c>
      <c r="MP346" s="25">
        <v>71.925000000000011</v>
      </c>
      <c r="MQ346" s="25">
        <v>71.925000000000011</v>
      </c>
      <c r="MR346" s="25">
        <v>71.925000000000011</v>
      </c>
      <c r="MS346" s="25">
        <v>71.925000000000011</v>
      </c>
      <c r="MT346" s="25">
        <v>71.925000000000011</v>
      </c>
      <c r="MU346" s="25">
        <v>71.925000000000011</v>
      </c>
      <c r="MV346" s="25">
        <v>71.925000000000011</v>
      </c>
      <c r="MW346" s="25">
        <v>71.925000000000011</v>
      </c>
      <c r="MX346" s="25">
        <v>71.925000000000011</v>
      </c>
      <c r="MY346" s="25">
        <v>71.925000000000011</v>
      </c>
      <c r="MZ346" s="25">
        <v>71.925000000000011</v>
      </c>
      <c r="NA346" s="25">
        <v>68.341666666666654</v>
      </c>
      <c r="NB346" s="25">
        <v>68.341666666666654</v>
      </c>
      <c r="NC346" s="25">
        <v>68.341666666666654</v>
      </c>
      <c r="ND346" s="25">
        <v>68.341666666666654</v>
      </c>
      <c r="NE346" s="25">
        <v>68.341666666666654</v>
      </c>
      <c r="NF346" s="25">
        <v>68.341666666666654</v>
      </c>
      <c r="NG346" s="25">
        <v>68.341666666666654</v>
      </c>
      <c r="NH346" s="25">
        <v>68.341666666666654</v>
      </c>
      <c r="NI346" s="25">
        <v>68.341666666666654</v>
      </c>
      <c r="NJ346" s="25">
        <v>68.341666666666654</v>
      </c>
      <c r="NK346" s="25">
        <v>68.341666666666654</v>
      </c>
      <c r="NL346" s="25">
        <v>68.341666666666654</v>
      </c>
      <c r="NM346" s="25">
        <v>64.763888888888886</v>
      </c>
      <c r="NN346" s="25">
        <v>64.763888888888886</v>
      </c>
      <c r="NO346" s="25">
        <v>64.763888888888886</v>
      </c>
      <c r="NP346" s="25">
        <v>64.763888888888886</v>
      </c>
      <c r="NQ346" s="25">
        <v>64.763888888888886</v>
      </c>
      <c r="NR346" s="25">
        <v>64.763888888888886</v>
      </c>
      <c r="NS346" s="25">
        <v>64.763888888888886</v>
      </c>
      <c r="NT346" s="25">
        <v>64.763888888888886</v>
      </c>
      <c r="NU346" s="25">
        <v>64.763888888888886</v>
      </c>
      <c r="NV346" s="25">
        <v>64.763888888888886</v>
      </c>
      <c r="NW346" s="25">
        <v>64.763888888888886</v>
      </c>
      <c r="NX346" s="25">
        <v>64.763888888888886</v>
      </c>
      <c r="NY346" s="25">
        <v>61.191666666666656</v>
      </c>
      <c r="NZ346" s="25">
        <v>61.191666666666656</v>
      </c>
      <c r="OA346" s="25">
        <v>61.191666666666656</v>
      </c>
      <c r="OB346" s="25">
        <v>61.191666666666656</v>
      </c>
      <c r="OC346" s="25">
        <v>61.191666666666656</v>
      </c>
      <c r="OD346" s="25">
        <v>61.191666666666656</v>
      </c>
      <c r="OE346" s="25">
        <v>61.191666666666656</v>
      </c>
    </row>
    <row r="347" spans="1:395" ht="13.8" customHeight="1" x14ac:dyDescent="0.3">
      <c r="N347" s="25" t="s">
        <v>68</v>
      </c>
      <c r="O347" s="25"/>
      <c r="P347" s="27" t="s">
        <v>31</v>
      </c>
      <c r="Q347" s="25" cm="1">
        <f t="array" ref="Q347:OE347">_xlfn.ANCHORARRAY(Q1)*E378</f>
        <v>0.17499999999999999</v>
      </c>
      <c r="R347" s="25">
        <v>0.17499999999999999</v>
      </c>
      <c r="S347" s="25">
        <v>0.17499999999999999</v>
      </c>
      <c r="T347" s="25">
        <v>0.17499999999999999</v>
      </c>
      <c r="U347" s="25">
        <v>0.17499999999999999</v>
      </c>
      <c r="V347" s="25">
        <v>0.17499999999999999</v>
      </c>
      <c r="W347" s="25">
        <v>0.17499999999999999</v>
      </c>
      <c r="X347" s="25">
        <v>0.17499999999999999</v>
      </c>
      <c r="Y347" s="25">
        <v>0.17499999999999999</v>
      </c>
      <c r="Z347" s="25">
        <v>0.17499999999999999</v>
      </c>
      <c r="AA347" s="25">
        <v>0.17499999999999999</v>
      </c>
      <c r="AB347" s="25">
        <v>0.17499999999999999</v>
      </c>
      <c r="AC347" s="25">
        <v>0.17499999999999999</v>
      </c>
      <c r="AD347" s="25">
        <v>0.17499999999999999</v>
      </c>
      <c r="AE347" s="25">
        <v>0.17499999999999999</v>
      </c>
      <c r="AF347" s="25">
        <v>0.17499999999999999</v>
      </c>
      <c r="AG347" s="25">
        <v>0.17499999999999999</v>
      </c>
      <c r="AH347" s="25">
        <v>0.17499999999999999</v>
      </c>
      <c r="AI347" s="25">
        <v>0.17499999999999999</v>
      </c>
      <c r="AJ347" s="25">
        <v>0.17499999999999999</v>
      </c>
      <c r="AK347" s="25">
        <v>0.17499999999999999</v>
      </c>
      <c r="AL347" s="25">
        <v>0.17499999999999999</v>
      </c>
      <c r="AM347" s="25">
        <v>0.17499999999999999</v>
      </c>
      <c r="AN347" s="25">
        <v>0.17499999999999999</v>
      </c>
      <c r="AO347" s="25">
        <v>0.17499999999999999</v>
      </c>
      <c r="AP347" s="25">
        <v>0.17499999999999999</v>
      </c>
      <c r="AQ347" s="25">
        <v>0.17499999999999999</v>
      </c>
      <c r="AR347" s="25">
        <v>0.17499999999999999</v>
      </c>
      <c r="AS347" s="25">
        <v>0.17499999999999999</v>
      </c>
      <c r="AT347" s="25">
        <v>0.17499999999999999</v>
      </c>
      <c r="AU347" s="25">
        <v>0.17499999999999999</v>
      </c>
      <c r="AV347" s="25">
        <v>0.17499999999999999</v>
      </c>
      <c r="AW347" s="25">
        <v>0.17499999999999999</v>
      </c>
      <c r="AX347" s="25">
        <v>0.17499999999999999</v>
      </c>
      <c r="AY347" s="25">
        <v>0.17499999999999999</v>
      </c>
      <c r="AZ347" s="25">
        <v>0.17499999999999999</v>
      </c>
      <c r="BA347" s="25">
        <v>0.17499999999999999</v>
      </c>
      <c r="BB347" s="25">
        <v>0.17499999999999999</v>
      </c>
      <c r="BC347" s="25">
        <v>0.17499999999999999</v>
      </c>
      <c r="BD347" s="25">
        <v>0.17499999999999999</v>
      </c>
      <c r="BE347" s="25">
        <v>0.17499999999999999</v>
      </c>
      <c r="BF347" s="25">
        <v>0.17499999999999999</v>
      </c>
      <c r="BG347" s="25">
        <v>0.17499999999999999</v>
      </c>
      <c r="BH347" s="25">
        <v>0.17499999999999999</v>
      </c>
      <c r="BI347" s="25">
        <v>0.17499999999999999</v>
      </c>
      <c r="BJ347" s="25">
        <v>0.17499999999999999</v>
      </c>
      <c r="BK347" s="25">
        <v>0.17499999999999999</v>
      </c>
      <c r="BL347" s="25">
        <v>0.17499999999999999</v>
      </c>
      <c r="BM347" s="25">
        <v>0.17499999999999999</v>
      </c>
      <c r="BN347" s="25">
        <v>0.17499999999999999</v>
      </c>
      <c r="BO347" s="25">
        <v>0.17499999999999999</v>
      </c>
      <c r="BP347" s="25">
        <v>0.17499999999999999</v>
      </c>
      <c r="BQ347" s="25">
        <v>0.17499999999999999</v>
      </c>
      <c r="BR347" s="25">
        <v>0.17499999999999999</v>
      </c>
      <c r="BS347" s="25">
        <v>0.17499999999999999</v>
      </c>
      <c r="BT347" s="25">
        <v>0.17499999999999999</v>
      </c>
      <c r="BU347" s="25">
        <v>0.17499999999999999</v>
      </c>
      <c r="BV347" s="25">
        <v>0.17499999999999999</v>
      </c>
      <c r="BW347" s="25">
        <v>0.17499999999999999</v>
      </c>
      <c r="BX347" s="25">
        <v>0.17499999999999999</v>
      </c>
      <c r="BY347" s="25">
        <v>0.17499999999999999</v>
      </c>
      <c r="BZ347" s="25">
        <v>0.17499999999999999</v>
      </c>
      <c r="CA347" s="25">
        <v>0.17499999999999999</v>
      </c>
      <c r="CB347" s="25">
        <v>0.17499999999999999</v>
      </c>
      <c r="CC347" s="25">
        <v>0.17499999999999999</v>
      </c>
      <c r="CD347" s="25">
        <v>0.17499999999999999</v>
      </c>
      <c r="CE347" s="25">
        <v>0.17499999999999999</v>
      </c>
      <c r="CF347" s="25">
        <v>0.17499999999999999</v>
      </c>
      <c r="CG347" s="25">
        <v>0.17499999999999999</v>
      </c>
      <c r="CH347" s="25">
        <v>0.17499999999999999</v>
      </c>
      <c r="CI347" s="25">
        <v>0.17499999999999999</v>
      </c>
      <c r="CJ347" s="25">
        <v>0.17499999999999999</v>
      </c>
      <c r="CK347" s="25">
        <v>0.17499999999999999</v>
      </c>
      <c r="CL347" s="25">
        <v>0.17499999999999999</v>
      </c>
      <c r="CM347" s="25">
        <v>0.17499999999999999</v>
      </c>
      <c r="CN347" s="25">
        <v>0.17499999999999999</v>
      </c>
      <c r="CO347" s="25">
        <v>0.17499999999999999</v>
      </c>
      <c r="CP347" s="25">
        <v>0.17499999999999999</v>
      </c>
      <c r="CQ347" s="25">
        <v>0.17499999999999999</v>
      </c>
      <c r="CR347" s="25">
        <v>0.17499999999999999</v>
      </c>
      <c r="CS347" s="25">
        <v>0.17499999999999999</v>
      </c>
      <c r="CT347" s="25">
        <v>0.17499999999999999</v>
      </c>
      <c r="CU347" s="25">
        <v>0.17499999999999999</v>
      </c>
      <c r="CV347" s="25">
        <v>0.17499999999999999</v>
      </c>
      <c r="CW347" s="25">
        <v>0.17499999999999999</v>
      </c>
      <c r="CX347" s="25">
        <v>0.17499999999999999</v>
      </c>
      <c r="CY347" s="25">
        <v>0.17499999999999999</v>
      </c>
      <c r="CZ347" s="25">
        <v>0.17499999999999999</v>
      </c>
      <c r="DA347" s="25">
        <v>0.17499999999999999</v>
      </c>
      <c r="DB347" s="25">
        <v>0.17499999999999999</v>
      </c>
      <c r="DC347" s="25">
        <v>0.17499999999999999</v>
      </c>
      <c r="DD347" s="25">
        <v>0.17499999999999999</v>
      </c>
      <c r="DE347" s="25">
        <v>0.17499999999999999</v>
      </c>
      <c r="DF347" s="25">
        <v>0.17499999999999999</v>
      </c>
      <c r="DG347" s="25">
        <v>0.17499999999999999</v>
      </c>
      <c r="DH347" s="25">
        <v>0.17499999999999999</v>
      </c>
      <c r="DI347" s="25">
        <v>0.17499999999999999</v>
      </c>
      <c r="DJ347" s="25">
        <v>0.17499999999999999</v>
      </c>
      <c r="DK347" s="25">
        <v>0.17499999999999999</v>
      </c>
      <c r="DL347" s="25">
        <v>0.17499999999999999</v>
      </c>
      <c r="DM347" s="25">
        <v>0.17499999999999999</v>
      </c>
      <c r="DN347" s="25">
        <v>0.17499999999999999</v>
      </c>
      <c r="DO347" s="25">
        <v>0.17499999999999999</v>
      </c>
      <c r="DP347" s="25">
        <v>0.17499999999999999</v>
      </c>
      <c r="DQ347" s="25">
        <v>0.17499999999999999</v>
      </c>
      <c r="DR347" s="25">
        <v>0.17499999999999999</v>
      </c>
      <c r="DS347" s="25">
        <v>0.17499999999999999</v>
      </c>
      <c r="DT347" s="25">
        <v>0.17499999999999999</v>
      </c>
      <c r="DU347" s="25">
        <v>0.17499999999999999</v>
      </c>
      <c r="DV347" s="25">
        <v>0.17499999999999999</v>
      </c>
      <c r="DW347" s="25">
        <v>0.17499999999999999</v>
      </c>
      <c r="DX347" s="25">
        <v>0.17499999999999999</v>
      </c>
      <c r="DY347" s="25">
        <v>0.17499999999999999</v>
      </c>
      <c r="DZ347" s="25">
        <v>0.17499999999999999</v>
      </c>
      <c r="EA347" s="25">
        <v>0.17499999999999999</v>
      </c>
      <c r="EB347" s="25">
        <v>0.17499999999999999</v>
      </c>
      <c r="EC347" s="25">
        <v>0.17499999999999999</v>
      </c>
      <c r="ED347" s="25">
        <v>0.17499999999999999</v>
      </c>
      <c r="EE347" s="25">
        <v>0.17499999999999999</v>
      </c>
      <c r="EF347" s="25">
        <v>0.17499999999999999</v>
      </c>
      <c r="EG347" s="25">
        <v>0.17499999999999999</v>
      </c>
      <c r="EH347" s="25">
        <v>0.17499999999999999</v>
      </c>
      <c r="EI347" s="25">
        <v>0.17499999999999999</v>
      </c>
      <c r="EJ347" s="25">
        <v>0.17499999999999999</v>
      </c>
      <c r="EK347" s="25">
        <v>0.17499999999999999</v>
      </c>
      <c r="EL347" s="25">
        <v>0.17499999999999999</v>
      </c>
      <c r="EM347" s="25">
        <v>0.17499999999999999</v>
      </c>
      <c r="EN347" s="25">
        <v>0.17499999999999999</v>
      </c>
      <c r="EO347" s="25">
        <v>0.17499999999999999</v>
      </c>
      <c r="EP347" s="25">
        <v>0.17499999999999999</v>
      </c>
      <c r="EQ347" s="25">
        <v>0.17499999999999999</v>
      </c>
      <c r="ER347" s="25">
        <v>0.17499999999999999</v>
      </c>
      <c r="ES347" s="25">
        <v>0.17499999999999999</v>
      </c>
      <c r="ET347" s="25">
        <v>0.17499999999999999</v>
      </c>
      <c r="EU347" s="25">
        <v>0.17499999999999999</v>
      </c>
      <c r="EV347" s="25">
        <v>0.17499999999999999</v>
      </c>
      <c r="EW347" s="25">
        <v>0.17499999999999999</v>
      </c>
      <c r="EX347" s="25">
        <v>0.17499999999999999</v>
      </c>
      <c r="EY347" s="25">
        <v>0.17499999999999999</v>
      </c>
      <c r="EZ347" s="25">
        <v>0.17499999999999999</v>
      </c>
      <c r="FA347" s="25">
        <v>0.17499999999999999</v>
      </c>
      <c r="FB347" s="25">
        <v>0.17499999999999999</v>
      </c>
      <c r="FC347" s="25">
        <v>0.17499999999999999</v>
      </c>
      <c r="FD347" s="25">
        <v>0.17499999999999999</v>
      </c>
      <c r="FE347" s="25">
        <v>0.17499999999999999</v>
      </c>
      <c r="FF347" s="25">
        <v>0.17499999999999999</v>
      </c>
      <c r="FG347" s="25">
        <v>0.17499999999999999</v>
      </c>
      <c r="FH347" s="25">
        <v>0.17499999999999999</v>
      </c>
      <c r="FI347" s="25">
        <v>0.17499999999999999</v>
      </c>
      <c r="FJ347" s="25">
        <v>0.17499999999999999</v>
      </c>
      <c r="FK347" s="25">
        <v>0.17499999999999999</v>
      </c>
      <c r="FL347" s="25">
        <v>0.17499999999999999</v>
      </c>
      <c r="FM347" s="25">
        <v>0.17499999999999999</v>
      </c>
      <c r="FN347" s="25">
        <v>0.17499999999999999</v>
      </c>
      <c r="FO347" s="25">
        <v>0.17499999999999999</v>
      </c>
      <c r="FP347" s="25">
        <v>0.17499999999999999</v>
      </c>
      <c r="FQ347" s="25">
        <v>0.17499999999999999</v>
      </c>
      <c r="FR347" s="25">
        <v>0.17499999999999999</v>
      </c>
      <c r="FS347" s="25">
        <v>0.17499999999999999</v>
      </c>
      <c r="FT347" s="25">
        <v>0.17499999999999999</v>
      </c>
      <c r="FU347" s="25">
        <v>0.17499999999999999</v>
      </c>
      <c r="FV347" s="25">
        <v>0.17499999999999999</v>
      </c>
      <c r="FW347" s="25">
        <v>0.17499999999999999</v>
      </c>
      <c r="FX347" s="25">
        <v>0.17499999999999999</v>
      </c>
      <c r="FY347" s="25">
        <v>0.17499999999999999</v>
      </c>
      <c r="FZ347" s="25">
        <v>0.17499999999999999</v>
      </c>
      <c r="GA347" s="25">
        <v>0.17499999999999999</v>
      </c>
      <c r="GB347" s="25">
        <v>0.17499999999999999</v>
      </c>
      <c r="GC347" s="25">
        <v>0.17499999999999999</v>
      </c>
      <c r="GD347" s="25">
        <v>0.17499999999999999</v>
      </c>
      <c r="GE347" s="25">
        <v>0.17499999999999999</v>
      </c>
      <c r="GF347" s="25">
        <v>0.17499999999999999</v>
      </c>
      <c r="GG347" s="25">
        <v>0.17499999999999999</v>
      </c>
      <c r="GH347" s="25">
        <v>0.17499999999999999</v>
      </c>
      <c r="GI347" s="25">
        <v>0.17499999999999999</v>
      </c>
      <c r="GJ347" s="25">
        <v>0.17499999999999999</v>
      </c>
      <c r="GK347" s="25">
        <v>0.17499999999999999</v>
      </c>
      <c r="GL347" s="25">
        <v>0.17499999999999999</v>
      </c>
      <c r="GM347" s="25">
        <v>0.17499999999999999</v>
      </c>
      <c r="GN347" s="25">
        <v>0.17499999999999999</v>
      </c>
      <c r="GO347" s="25">
        <v>0.17499999999999999</v>
      </c>
      <c r="GP347" s="25">
        <v>0.17499999999999999</v>
      </c>
      <c r="GQ347" s="25">
        <v>0.17499999999999999</v>
      </c>
      <c r="GR347" s="25">
        <v>0.17499999999999999</v>
      </c>
      <c r="GS347" s="25">
        <v>0.17499999999999999</v>
      </c>
      <c r="GT347" s="25">
        <v>0.17499999999999999</v>
      </c>
      <c r="GU347" s="25">
        <v>0.17499999999999999</v>
      </c>
      <c r="GV347" s="25">
        <v>0.17499999999999999</v>
      </c>
      <c r="GW347" s="25">
        <v>0.17499999999999999</v>
      </c>
      <c r="GX347" s="25">
        <v>0.17499999999999999</v>
      </c>
      <c r="GY347" s="25">
        <v>0.17499999999999999</v>
      </c>
      <c r="GZ347" s="25">
        <v>0.17499999999999999</v>
      </c>
      <c r="HA347" s="25">
        <v>0.17499999999999999</v>
      </c>
      <c r="HB347" s="25">
        <v>0.17499999999999999</v>
      </c>
      <c r="HC347" s="25">
        <v>0.17499999999999999</v>
      </c>
      <c r="HD347" s="25">
        <v>0.17499999999999999</v>
      </c>
      <c r="HE347" s="25">
        <v>0.17499999999999999</v>
      </c>
      <c r="HF347" s="25">
        <v>0.17499999999999999</v>
      </c>
      <c r="HG347" s="25">
        <v>0.17499999999999999</v>
      </c>
      <c r="HH347" s="25">
        <v>0.17499999999999999</v>
      </c>
      <c r="HI347" s="25">
        <v>0.17499999999999999</v>
      </c>
      <c r="HJ347" s="25">
        <v>0.17499999999999999</v>
      </c>
      <c r="HK347" s="25">
        <v>0.17499999999999999</v>
      </c>
      <c r="HL347" s="25">
        <v>0.17499999999999999</v>
      </c>
      <c r="HM347" s="25">
        <v>0.17499999999999999</v>
      </c>
      <c r="HN347" s="25">
        <v>0.17499999999999999</v>
      </c>
      <c r="HO347" s="25">
        <v>0.17499999999999999</v>
      </c>
      <c r="HP347" s="25">
        <v>0.17499999999999999</v>
      </c>
      <c r="HQ347" s="25">
        <v>0.17499999999999999</v>
      </c>
      <c r="HR347" s="25">
        <v>0.17499999999999999</v>
      </c>
      <c r="HS347" s="25">
        <v>0.17499999999999999</v>
      </c>
      <c r="HT347" s="25">
        <v>0.17499999999999999</v>
      </c>
      <c r="HU347" s="25">
        <v>0.17499999999999999</v>
      </c>
      <c r="HV347" s="25">
        <v>0.17499999999999999</v>
      </c>
      <c r="HW347" s="25">
        <v>0.17499999999999999</v>
      </c>
      <c r="HX347" s="25">
        <v>0.17499999999999999</v>
      </c>
      <c r="HY347" s="25">
        <v>0.17499999999999999</v>
      </c>
      <c r="HZ347" s="25">
        <v>0.17499999999999999</v>
      </c>
      <c r="IA347" s="25">
        <v>0.17499999999999999</v>
      </c>
      <c r="IB347" s="25">
        <v>0.17499999999999999</v>
      </c>
      <c r="IC347" s="25">
        <v>0.17499999999999999</v>
      </c>
      <c r="ID347" s="25">
        <v>0.17499999999999999</v>
      </c>
      <c r="IE347" s="25">
        <v>0.17499999999999999</v>
      </c>
      <c r="IF347" s="25">
        <v>0.17499999999999999</v>
      </c>
      <c r="IG347" s="25">
        <v>0.17499999999999999</v>
      </c>
      <c r="IH347" s="25">
        <v>0.17499999999999999</v>
      </c>
      <c r="II347" s="25">
        <v>0.17499999999999999</v>
      </c>
      <c r="IJ347" s="25">
        <v>0.17499999999999999</v>
      </c>
      <c r="IK347" s="25">
        <v>0.17499999999999999</v>
      </c>
      <c r="IL347" s="25">
        <v>0.17499999999999999</v>
      </c>
      <c r="IM347" s="25">
        <v>0.17499999999999999</v>
      </c>
      <c r="IN347" s="25">
        <v>0.17499999999999999</v>
      </c>
      <c r="IO347" s="25">
        <v>0.17499999999999999</v>
      </c>
      <c r="IP347" s="25">
        <v>0.17499999999999999</v>
      </c>
      <c r="IQ347" s="25">
        <v>0.17499999999999999</v>
      </c>
      <c r="IR347" s="25">
        <v>0.17499999999999999</v>
      </c>
      <c r="IS347" s="25">
        <v>0.17499999999999999</v>
      </c>
      <c r="IT347" s="25">
        <v>0.17499999999999999</v>
      </c>
      <c r="IU347" s="25">
        <v>0.17499999999999999</v>
      </c>
      <c r="IV347" s="25">
        <v>0.17499999999999999</v>
      </c>
      <c r="IW347" s="25">
        <v>0.17499999999999999</v>
      </c>
      <c r="IX347" s="25">
        <v>0.17499999999999999</v>
      </c>
      <c r="IY347" s="25">
        <v>0.17499999999999999</v>
      </c>
      <c r="IZ347" s="25">
        <v>0.17499999999999999</v>
      </c>
      <c r="JA347" s="25">
        <v>0.17499999999999999</v>
      </c>
      <c r="JB347" s="25">
        <v>0.17499999999999999</v>
      </c>
      <c r="JC347" s="25">
        <v>0.17499999999999999</v>
      </c>
      <c r="JD347" s="25">
        <v>0.17499999999999999</v>
      </c>
      <c r="JE347" s="25">
        <v>0.17499999999999999</v>
      </c>
      <c r="JF347" s="25">
        <v>0.17499999999999999</v>
      </c>
      <c r="JG347" s="25">
        <v>0.17499999999999999</v>
      </c>
      <c r="JH347" s="25">
        <v>0.17499999999999999</v>
      </c>
      <c r="JI347" s="25">
        <v>0.17499999999999999</v>
      </c>
      <c r="JJ347" s="25">
        <v>0.17499999999999999</v>
      </c>
      <c r="JK347" s="25">
        <v>0.17499999999999999</v>
      </c>
      <c r="JL347" s="25">
        <v>0.17499999999999999</v>
      </c>
      <c r="JM347" s="25">
        <v>0.17499999999999999</v>
      </c>
      <c r="JN347" s="25">
        <v>0.17499999999999999</v>
      </c>
      <c r="JO347" s="25">
        <v>0.17499999999999999</v>
      </c>
      <c r="JP347" s="25">
        <v>0.17499999999999999</v>
      </c>
      <c r="JQ347" s="25">
        <v>0.17499999999999999</v>
      </c>
      <c r="JR347" s="25">
        <v>0.17499999999999999</v>
      </c>
      <c r="JS347" s="25">
        <v>0.17499999999999999</v>
      </c>
      <c r="JT347" s="25">
        <v>0.17499999999999999</v>
      </c>
      <c r="JU347" s="25">
        <v>0.17499999999999999</v>
      </c>
      <c r="JV347" s="25">
        <v>0.17499999999999999</v>
      </c>
      <c r="JW347" s="25">
        <v>0.17499999999999999</v>
      </c>
      <c r="JX347" s="25">
        <v>0.17499999999999999</v>
      </c>
      <c r="JY347" s="25">
        <v>0.17499999999999999</v>
      </c>
      <c r="JZ347" s="25">
        <v>0.17499999999999999</v>
      </c>
      <c r="KA347" s="25">
        <v>0.17499999999999999</v>
      </c>
      <c r="KB347" s="25">
        <v>0.17499999999999999</v>
      </c>
      <c r="KC347" s="25">
        <v>0.17499999999999999</v>
      </c>
      <c r="KD347" s="25">
        <v>0.17499999999999999</v>
      </c>
      <c r="KE347" s="25">
        <v>0.17499999999999999</v>
      </c>
      <c r="KF347" s="25">
        <v>0.17499999999999999</v>
      </c>
      <c r="KG347" s="25">
        <v>0.17499999999999999</v>
      </c>
      <c r="KH347" s="25">
        <v>0.17499999999999999</v>
      </c>
      <c r="KI347" s="25">
        <v>0.17499999999999999</v>
      </c>
      <c r="KJ347" s="25">
        <v>0.17499999999999999</v>
      </c>
      <c r="KK347" s="25">
        <v>0.17499999999999999</v>
      </c>
      <c r="KL347" s="25">
        <v>0.17499999999999999</v>
      </c>
      <c r="KM347" s="25">
        <v>0.17499999999999999</v>
      </c>
      <c r="KN347" s="25">
        <v>0.17499999999999999</v>
      </c>
      <c r="KO347" s="25">
        <v>0.17499999999999999</v>
      </c>
      <c r="KP347" s="25">
        <v>0.17499999999999999</v>
      </c>
      <c r="KQ347" s="25">
        <v>0.17499999999999999</v>
      </c>
      <c r="KR347" s="25">
        <v>0.17499999999999999</v>
      </c>
      <c r="KS347" s="25">
        <v>0.17499999999999999</v>
      </c>
      <c r="KT347" s="25">
        <v>0.17499999999999999</v>
      </c>
      <c r="KU347" s="25">
        <v>0.17499999999999999</v>
      </c>
      <c r="KV347" s="25">
        <v>0.17499999999999999</v>
      </c>
      <c r="KW347" s="25">
        <v>0.17499999999999999</v>
      </c>
      <c r="KX347" s="25">
        <v>0.17499999999999999</v>
      </c>
      <c r="KY347" s="25">
        <v>0.17499999999999999</v>
      </c>
      <c r="KZ347" s="25">
        <v>0.17499999999999999</v>
      </c>
      <c r="LA347" s="25">
        <v>0.17499999999999999</v>
      </c>
      <c r="LB347" s="25">
        <v>0.17499999999999999</v>
      </c>
      <c r="LC347" s="25">
        <v>0.17499999999999999</v>
      </c>
      <c r="LD347" s="25">
        <v>0.17499999999999999</v>
      </c>
      <c r="LE347" s="25">
        <v>0.17499999999999999</v>
      </c>
      <c r="LF347" s="25">
        <v>0.17499999999999999</v>
      </c>
      <c r="LG347" s="25">
        <v>0.17499999999999999</v>
      </c>
      <c r="LH347" s="25">
        <v>0.17499999999999999</v>
      </c>
      <c r="LI347" s="25">
        <v>0.17499999999999999</v>
      </c>
      <c r="LJ347" s="25">
        <v>0.17499999999999999</v>
      </c>
      <c r="LK347" s="25">
        <v>0.17499999999999999</v>
      </c>
      <c r="LL347" s="25">
        <v>0.17499999999999999</v>
      </c>
      <c r="LM347" s="25">
        <v>0.17499999999999999</v>
      </c>
      <c r="LN347" s="25">
        <v>0.17499999999999999</v>
      </c>
      <c r="LO347" s="25">
        <v>0.17499999999999999</v>
      </c>
      <c r="LP347" s="25">
        <v>0.17499999999999999</v>
      </c>
      <c r="LQ347" s="25">
        <v>0.17499999999999999</v>
      </c>
      <c r="LR347" s="25">
        <v>0.17499999999999999</v>
      </c>
      <c r="LS347" s="25">
        <v>0.17499999999999999</v>
      </c>
      <c r="LT347" s="25">
        <v>0.17499999999999999</v>
      </c>
      <c r="LU347" s="25">
        <v>0.17499999999999999</v>
      </c>
      <c r="LV347" s="25">
        <v>0.17499999999999999</v>
      </c>
      <c r="LW347" s="25">
        <v>0.17499999999999999</v>
      </c>
      <c r="LX347" s="25">
        <v>0.17499999999999999</v>
      </c>
      <c r="LY347" s="25">
        <v>0.17499999999999999</v>
      </c>
      <c r="LZ347" s="25">
        <v>0.17499999999999999</v>
      </c>
      <c r="MA347" s="25">
        <v>0.17499999999999999</v>
      </c>
      <c r="MB347" s="25">
        <v>0.17499999999999999</v>
      </c>
      <c r="MC347" s="25">
        <v>0.17499999999999999</v>
      </c>
      <c r="MD347" s="25">
        <v>0.17499999999999999</v>
      </c>
      <c r="ME347" s="25">
        <v>0.17499999999999999</v>
      </c>
      <c r="MF347" s="25">
        <v>0.17499999999999999</v>
      </c>
      <c r="MG347" s="25">
        <v>0.17499999999999999</v>
      </c>
      <c r="MH347" s="25">
        <v>0.17499999999999999</v>
      </c>
      <c r="MI347" s="25">
        <v>0.17499999999999999</v>
      </c>
      <c r="MJ347" s="25">
        <v>0.17499999999999999</v>
      </c>
      <c r="MK347" s="25">
        <v>0.17499999999999999</v>
      </c>
      <c r="ML347" s="25">
        <v>0.17499999999999999</v>
      </c>
      <c r="MM347" s="25">
        <v>0.17499999999999999</v>
      </c>
      <c r="MN347" s="25">
        <v>0.17499999999999999</v>
      </c>
      <c r="MO347" s="25">
        <v>0.17499999999999999</v>
      </c>
      <c r="MP347" s="25">
        <v>0.17499999999999999</v>
      </c>
      <c r="MQ347" s="25">
        <v>0.17499999999999999</v>
      </c>
      <c r="MR347" s="25">
        <v>0.17499999999999999</v>
      </c>
      <c r="MS347" s="25">
        <v>0.17499999999999999</v>
      </c>
      <c r="MT347" s="25">
        <v>0.17499999999999999</v>
      </c>
      <c r="MU347" s="25">
        <v>0.17499999999999999</v>
      </c>
      <c r="MV347" s="25">
        <v>0.17499999999999999</v>
      </c>
      <c r="MW347" s="25">
        <v>0.17499999999999999</v>
      </c>
      <c r="MX347" s="25">
        <v>0.17499999999999999</v>
      </c>
      <c r="MY347" s="25">
        <v>0.17499999999999999</v>
      </c>
      <c r="MZ347" s="25">
        <v>0.17499999999999999</v>
      </c>
      <c r="NA347" s="25">
        <v>0.17499999999999999</v>
      </c>
      <c r="NB347" s="25">
        <v>0.17499999999999999</v>
      </c>
      <c r="NC347" s="25">
        <v>0.17499999999999999</v>
      </c>
      <c r="ND347" s="25">
        <v>0.17499999999999999</v>
      </c>
      <c r="NE347" s="25">
        <v>0.17499999999999999</v>
      </c>
      <c r="NF347" s="25">
        <v>0.17499999999999999</v>
      </c>
      <c r="NG347" s="25">
        <v>0.17499999999999999</v>
      </c>
      <c r="NH347" s="25">
        <v>0.17499999999999999</v>
      </c>
      <c r="NI347" s="25">
        <v>0.17499999999999999</v>
      </c>
      <c r="NJ347" s="25">
        <v>0.17499999999999999</v>
      </c>
      <c r="NK347" s="25">
        <v>0.17499999999999999</v>
      </c>
      <c r="NL347" s="25">
        <v>0.17499999999999999</v>
      </c>
      <c r="NM347" s="25">
        <v>0.17499999999999999</v>
      </c>
      <c r="NN347" s="25">
        <v>0.17499999999999999</v>
      </c>
      <c r="NO347" s="25">
        <v>0.17499999999999999</v>
      </c>
      <c r="NP347" s="25">
        <v>0.17499999999999999</v>
      </c>
      <c r="NQ347" s="25">
        <v>0.17499999999999999</v>
      </c>
      <c r="NR347" s="25">
        <v>0.17499999999999999</v>
      </c>
      <c r="NS347" s="25">
        <v>0.17499999999999999</v>
      </c>
      <c r="NT347" s="25">
        <v>0.17499999999999999</v>
      </c>
      <c r="NU347" s="25">
        <v>0.17499999999999999</v>
      </c>
      <c r="NV347" s="25">
        <v>0.17499999999999999</v>
      </c>
      <c r="NW347" s="25">
        <v>0.17499999999999999</v>
      </c>
      <c r="NX347" s="25">
        <v>0.17499999999999999</v>
      </c>
      <c r="NY347" s="25">
        <v>0.17499999999999999</v>
      </c>
      <c r="NZ347" s="25">
        <v>0.17499999999999999</v>
      </c>
      <c r="OA347" s="25">
        <v>0.17499999999999999</v>
      </c>
      <c r="OB347" s="25">
        <v>0.17499999999999999</v>
      </c>
      <c r="OC347" s="25">
        <v>0.17499999999999999</v>
      </c>
      <c r="OD347" s="25">
        <v>0.17499999999999999</v>
      </c>
      <c r="OE347" s="25">
        <v>0.17499999999999999</v>
      </c>
    </row>
    <row r="348" spans="1:395" ht="13.8" customHeight="1" x14ac:dyDescent="0.3">
      <c r="N348" s="25" t="s">
        <v>98</v>
      </c>
      <c r="O348" s="25"/>
      <c r="P348" s="27" t="s">
        <v>29</v>
      </c>
      <c r="Q348" s="25" cm="1">
        <f t="array" ref="Q348:OE348">_xlfn.ANCHORARRAY(Q346)*_xlfn.ANCHORARRAY(Q347)</f>
        <v>30.831597222222221</v>
      </c>
      <c r="R348" s="25">
        <v>30.831597222222221</v>
      </c>
      <c r="S348" s="25">
        <v>30.831597222222221</v>
      </c>
      <c r="T348" s="25">
        <v>30.831597222222221</v>
      </c>
      <c r="U348" s="25">
        <v>30.831597222222221</v>
      </c>
      <c r="V348" s="25">
        <v>30.831597222222221</v>
      </c>
      <c r="W348" s="25">
        <v>30.831597222222221</v>
      </c>
      <c r="X348" s="25">
        <v>30.831597222222221</v>
      </c>
      <c r="Y348" s="25">
        <v>30.831597222222221</v>
      </c>
      <c r="Z348" s="25">
        <v>30.831597222222221</v>
      </c>
      <c r="AA348" s="25">
        <v>30.831597222222221</v>
      </c>
      <c r="AB348" s="25">
        <v>30.831597222222221</v>
      </c>
      <c r="AC348" s="25">
        <v>30.148611111111109</v>
      </c>
      <c r="AD348" s="25">
        <v>30.148611111111109</v>
      </c>
      <c r="AE348" s="25">
        <v>30.148611111111109</v>
      </c>
      <c r="AF348" s="25">
        <v>30.148611111111109</v>
      </c>
      <c r="AG348" s="25">
        <v>30.148611111111109</v>
      </c>
      <c r="AH348" s="25">
        <v>30.148611111111109</v>
      </c>
      <c r="AI348" s="25">
        <v>30.148611111111109</v>
      </c>
      <c r="AJ348" s="25">
        <v>30.148611111111109</v>
      </c>
      <c r="AK348" s="25">
        <v>30.148611111111109</v>
      </c>
      <c r="AL348" s="25">
        <v>30.148611111111109</v>
      </c>
      <c r="AM348" s="25">
        <v>30.148611111111109</v>
      </c>
      <c r="AN348" s="25">
        <v>30.148611111111109</v>
      </c>
      <c r="AO348" s="25">
        <v>29.468541666666667</v>
      </c>
      <c r="AP348" s="25">
        <v>29.468541666666667</v>
      </c>
      <c r="AQ348" s="25">
        <v>29.468541666666667</v>
      </c>
      <c r="AR348" s="25">
        <v>29.468541666666667</v>
      </c>
      <c r="AS348" s="25">
        <v>29.468541666666667</v>
      </c>
      <c r="AT348" s="25">
        <v>29.468541666666667</v>
      </c>
      <c r="AU348" s="25">
        <v>29.468541666666667</v>
      </c>
      <c r="AV348" s="25">
        <v>29.468541666666667</v>
      </c>
      <c r="AW348" s="25">
        <v>29.468541666666667</v>
      </c>
      <c r="AX348" s="25">
        <v>29.468541666666667</v>
      </c>
      <c r="AY348" s="25">
        <v>29.468541666666667</v>
      </c>
      <c r="AZ348" s="25">
        <v>29.468541666666667</v>
      </c>
      <c r="BA348" s="25">
        <v>28.791874999999997</v>
      </c>
      <c r="BB348" s="25">
        <v>28.791874999999997</v>
      </c>
      <c r="BC348" s="25">
        <v>28.791874999999997</v>
      </c>
      <c r="BD348" s="25">
        <v>28.791874999999997</v>
      </c>
      <c r="BE348" s="25">
        <v>28.791874999999997</v>
      </c>
      <c r="BF348" s="25">
        <v>28.791874999999997</v>
      </c>
      <c r="BG348" s="25">
        <v>28.791874999999997</v>
      </c>
      <c r="BH348" s="25">
        <v>28.791874999999997</v>
      </c>
      <c r="BI348" s="25">
        <v>28.791874999999997</v>
      </c>
      <c r="BJ348" s="25">
        <v>28.791874999999997</v>
      </c>
      <c r="BK348" s="25">
        <v>28.791874999999997</v>
      </c>
      <c r="BL348" s="25">
        <v>28.791874999999997</v>
      </c>
      <c r="BM348" s="25">
        <v>28.118124999999999</v>
      </c>
      <c r="BN348" s="25">
        <v>28.118124999999999</v>
      </c>
      <c r="BO348" s="25">
        <v>28.118124999999999</v>
      </c>
      <c r="BP348" s="25">
        <v>28.118124999999999</v>
      </c>
      <c r="BQ348" s="25">
        <v>28.118124999999999</v>
      </c>
      <c r="BR348" s="25">
        <v>28.118124999999999</v>
      </c>
      <c r="BS348" s="25">
        <v>28.118124999999999</v>
      </c>
      <c r="BT348" s="25">
        <v>28.118124999999999</v>
      </c>
      <c r="BU348" s="25">
        <v>28.118124999999999</v>
      </c>
      <c r="BV348" s="25">
        <v>28.118124999999999</v>
      </c>
      <c r="BW348" s="25">
        <v>28.118124999999999</v>
      </c>
      <c r="BX348" s="25">
        <v>28.118124999999999</v>
      </c>
      <c r="BY348" s="25">
        <v>27.446805555555553</v>
      </c>
      <c r="BZ348" s="25">
        <v>27.446805555555553</v>
      </c>
      <c r="CA348" s="25">
        <v>27.446805555555553</v>
      </c>
      <c r="CB348" s="25">
        <v>27.446805555555553</v>
      </c>
      <c r="CC348" s="25">
        <v>27.446805555555553</v>
      </c>
      <c r="CD348" s="25">
        <v>27.446805555555553</v>
      </c>
      <c r="CE348" s="25">
        <v>27.446805555555553</v>
      </c>
      <c r="CF348" s="25">
        <v>27.446805555555553</v>
      </c>
      <c r="CG348" s="25">
        <v>27.446805555555553</v>
      </c>
      <c r="CH348" s="25">
        <v>27.446805555555553</v>
      </c>
      <c r="CI348" s="25">
        <v>27.446805555555553</v>
      </c>
      <c r="CJ348" s="25">
        <v>27.446805555555553</v>
      </c>
      <c r="CK348" s="25">
        <v>26.777916666666663</v>
      </c>
      <c r="CL348" s="25">
        <v>26.777916666666663</v>
      </c>
      <c r="CM348" s="25">
        <v>26.777916666666663</v>
      </c>
      <c r="CN348" s="25">
        <v>26.777916666666663</v>
      </c>
      <c r="CO348" s="25">
        <v>26.777916666666663</v>
      </c>
      <c r="CP348" s="25">
        <v>26.777916666666663</v>
      </c>
      <c r="CQ348" s="25">
        <v>26.777916666666663</v>
      </c>
      <c r="CR348" s="25">
        <v>26.777916666666663</v>
      </c>
      <c r="CS348" s="25">
        <v>26.777916666666663</v>
      </c>
      <c r="CT348" s="25">
        <v>26.777916666666663</v>
      </c>
      <c r="CU348" s="25">
        <v>26.777916666666663</v>
      </c>
      <c r="CV348" s="25">
        <v>26.777916666666663</v>
      </c>
      <c r="CW348" s="25">
        <v>26.111944444444443</v>
      </c>
      <c r="CX348" s="25">
        <v>26.111944444444443</v>
      </c>
      <c r="CY348" s="25">
        <v>26.111944444444443</v>
      </c>
      <c r="CZ348" s="25">
        <v>26.111944444444443</v>
      </c>
      <c r="DA348" s="25">
        <v>26.111944444444443</v>
      </c>
      <c r="DB348" s="25">
        <v>26.111944444444443</v>
      </c>
      <c r="DC348" s="25">
        <v>26.111944444444443</v>
      </c>
      <c r="DD348" s="25">
        <v>26.111944444444443</v>
      </c>
      <c r="DE348" s="25">
        <v>26.111944444444443</v>
      </c>
      <c r="DF348" s="25">
        <v>26.111944444444443</v>
      </c>
      <c r="DG348" s="25">
        <v>26.111944444444443</v>
      </c>
      <c r="DH348" s="25">
        <v>26.111944444444443</v>
      </c>
      <c r="DI348" s="25">
        <v>25.448888888888888</v>
      </c>
      <c r="DJ348" s="25">
        <v>25.448888888888888</v>
      </c>
      <c r="DK348" s="25">
        <v>25.448888888888888</v>
      </c>
      <c r="DL348" s="25">
        <v>25.448888888888888</v>
      </c>
      <c r="DM348" s="25">
        <v>25.448888888888888</v>
      </c>
      <c r="DN348" s="25">
        <v>25.448888888888888</v>
      </c>
      <c r="DO348" s="25">
        <v>25.448888888888888</v>
      </c>
      <c r="DP348" s="25">
        <v>25.448888888888888</v>
      </c>
      <c r="DQ348" s="25">
        <v>25.448888888888888</v>
      </c>
      <c r="DR348" s="25">
        <v>25.448888888888888</v>
      </c>
      <c r="DS348" s="25">
        <v>25.448888888888888</v>
      </c>
      <c r="DT348" s="25">
        <v>25.448888888888888</v>
      </c>
      <c r="DU348" s="25">
        <v>24.787291666666661</v>
      </c>
      <c r="DV348" s="25">
        <v>24.787291666666661</v>
      </c>
      <c r="DW348" s="25">
        <v>24.787291666666661</v>
      </c>
      <c r="DX348" s="25">
        <v>24.787291666666661</v>
      </c>
      <c r="DY348" s="25">
        <v>24.787291666666661</v>
      </c>
      <c r="DZ348" s="25">
        <v>24.787291666666661</v>
      </c>
      <c r="EA348" s="25">
        <v>24.787291666666661</v>
      </c>
      <c r="EB348" s="25">
        <v>24.787291666666661</v>
      </c>
      <c r="EC348" s="25">
        <v>24.787291666666661</v>
      </c>
      <c r="ED348" s="25">
        <v>24.787291666666661</v>
      </c>
      <c r="EE348" s="25">
        <v>24.787291666666661</v>
      </c>
      <c r="EF348" s="25">
        <v>24.787291666666661</v>
      </c>
      <c r="EG348" s="25">
        <v>24.123749999999998</v>
      </c>
      <c r="EH348" s="25">
        <v>24.123749999999998</v>
      </c>
      <c r="EI348" s="25">
        <v>24.123749999999998</v>
      </c>
      <c r="EJ348" s="25">
        <v>24.123749999999998</v>
      </c>
      <c r="EK348" s="25">
        <v>24.123749999999998</v>
      </c>
      <c r="EL348" s="25">
        <v>24.123749999999998</v>
      </c>
      <c r="EM348" s="25">
        <v>24.123749999999998</v>
      </c>
      <c r="EN348" s="25">
        <v>24.123749999999998</v>
      </c>
      <c r="EO348" s="25">
        <v>24.123749999999998</v>
      </c>
      <c r="EP348" s="25">
        <v>24.123749999999998</v>
      </c>
      <c r="EQ348" s="25">
        <v>24.123749999999998</v>
      </c>
      <c r="ER348" s="25">
        <v>24.123749999999998</v>
      </c>
      <c r="ES348" s="25">
        <v>23.467499999999998</v>
      </c>
      <c r="ET348" s="25">
        <v>23.467499999999998</v>
      </c>
      <c r="EU348" s="25">
        <v>23.467499999999998</v>
      </c>
      <c r="EV348" s="25">
        <v>23.467499999999998</v>
      </c>
      <c r="EW348" s="25">
        <v>23.467499999999998</v>
      </c>
      <c r="EX348" s="25">
        <v>23.467499999999998</v>
      </c>
      <c r="EY348" s="25">
        <v>23.467499999999998</v>
      </c>
      <c r="EZ348" s="25">
        <v>23.467499999999998</v>
      </c>
      <c r="FA348" s="25">
        <v>23.467499999999998</v>
      </c>
      <c r="FB348" s="25">
        <v>23.467499999999998</v>
      </c>
      <c r="FC348" s="25">
        <v>23.467499999999998</v>
      </c>
      <c r="FD348" s="25">
        <v>23.467499999999998</v>
      </c>
      <c r="FE348" s="25">
        <v>22.813194444444438</v>
      </c>
      <c r="FF348" s="25">
        <v>22.813194444444438</v>
      </c>
      <c r="FG348" s="25">
        <v>22.813194444444438</v>
      </c>
      <c r="FH348" s="25">
        <v>22.813194444444438</v>
      </c>
      <c r="FI348" s="25">
        <v>22.813194444444438</v>
      </c>
      <c r="FJ348" s="25">
        <v>22.813194444444438</v>
      </c>
      <c r="FK348" s="25">
        <v>22.813194444444438</v>
      </c>
      <c r="FL348" s="25">
        <v>22.813194444444438</v>
      </c>
      <c r="FM348" s="25">
        <v>22.813194444444438</v>
      </c>
      <c r="FN348" s="25">
        <v>22.813194444444438</v>
      </c>
      <c r="FO348" s="25">
        <v>22.813194444444438</v>
      </c>
      <c r="FP348" s="25">
        <v>22.813194444444438</v>
      </c>
      <c r="FQ348" s="25">
        <v>22.160833333333329</v>
      </c>
      <c r="FR348" s="25">
        <v>22.160833333333329</v>
      </c>
      <c r="FS348" s="25">
        <v>22.160833333333329</v>
      </c>
      <c r="FT348" s="25">
        <v>22.160833333333329</v>
      </c>
      <c r="FU348" s="25">
        <v>22.160833333333329</v>
      </c>
      <c r="FV348" s="25">
        <v>22.160833333333329</v>
      </c>
      <c r="FW348" s="25">
        <v>22.160833333333329</v>
      </c>
      <c r="FX348" s="25">
        <v>22.160833333333329</v>
      </c>
      <c r="FY348" s="25">
        <v>22.160833333333329</v>
      </c>
      <c r="FZ348" s="25">
        <v>22.160833333333329</v>
      </c>
      <c r="GA348" s="25">
        <v>22.160833333333329</v>
      </c>
      <c r="GB348" s="25">
        <v>22.160833333333329</v>
      </c>
      <c r="GC348" s="25">
        <v>21.510902777777776</v>
      </c>
      <c r="GD348" s="25">
        <v>21.510902777777776</v>
      </c>
      <c r="GE348" s="25">
        <v>21.510902777777776</v>
      </c>
      <c r="GF348" s="25">
        <v>21.510902777777776</v>
      </c>
      <c r="GG348" s="25">
        <v>21.510902777777776</v>
      </c>
      <c r="GH348" s="25">
        <v>21.510902777777776</v>
      </c>
      <c r="GI348" s="25">
        <v>21.510902777777776</v>
      </c>
      <c r="GJ348" s="25">
        <v>21.510902777777776</v>
      </c>
      <c r="GK348" s="25">
        <v>21.510902777777776</v>
      </c>
      <c r="GL348" s="25">
        <v>21.510902777777776</v>
      </c>
      <c r="GM348" s="25">
        <v>21.510902777777776</v>
      </c>
      <c r="GN348" s="25">
        <v>21.510902777777776</v>
      </c>
      <c r="GO348" s="25">
        <v>20.862916666666667</v>
      </c>
      <c r="GP348" s="25">
        <v>20.862916666666667</v>
      </c>
      <c r="GQ348" s="25">
        <v>20.862916666666667</v>
      </c>
      <c r="GR348" s="25">
        <v>20.862916666666667</v>
      </c>
      <c r="GS348" s="25">
        <v>20.862916666666667</v>
      </c>
      <c r="GT348" s="25">
        <v>20.862916666666667</v>
      </c>
      <c r="GU348" s="25">
        <v>20.862916666666667</v>
      </c>
      <c r="GV348" s="25">
        <v>20.862916666666667</v>
      </c>
      <c r="GW348" s="25">
        <v>20.862916666666667</v>
      </c>
      <c r="GX348" s="25">
        <v>20.862916666666667</v>
      </c>
      <c r="GY348" s="25">
        <v>20.862916666666667</v>
      </c>
      <c r="GZ348" s="25">
        <v>20.862916666666667</v>
      </c>
      <c r="HA348" s="25">
        <v>20.216874999999998</v>
      </c>
      <c r="HB348" s="25">
        <v>20.216874999999998</v>
      </c>
      <c r="HC348" s="25">
        <v>20.216874999999998</v>
      </c>
      <c r="HD348" s="25">
        <v>20.216874999999998</v>
      </c>
      <c r="HE348" s="25">
        <v>20.216874999999998</v>
      </c>
      <c r="HF348" s="25">
        <v>20.216874999999998</v>
      </c>
      <c r="HG348" s="25">
        <v>20.216874999999998</v>
      </c>
      <c r="HH348" s="25">
        <v>20.216874999999998</v>
      </c>
      <c r="HI348" s="25">
        <v>20.216874999999998</v>
      </c>
      <c r="HJ348" s="25">
        <v>20.216874999999998</v>
      </c>
      <c r="HK348" s="25">
        <v>20.216874999999998</v>
      </c>
      <c r="HL348" s="25">
        <v>20.216874999999998</v>
      </c>
      <c r="HM348" s="25">
        <v>19.572291666666665</v>
      </c>
      <c r="HN348" s="25">
        <v>19.572291666666665</v>
      </c>
      <c r="HO348" s="25">
        <v>19.572291666666665</v>
      </c>
      <c r="HP348" s="25">
        <v>19.572291666666665</v>
      </c>
      <c r="HQ348" s="25">
        <v>19.572291666666665</v>
      </c>
      <c r="HR348" s="25">
        <v>19.572291666666665</v>
      </c>
      <c r="HS348" s="25">
        <v>19.572291666666665</v>
      </c>
      <c r="HT348" s="25">
        <v>19.572291666666665</v>
      </c>
      <c r="HU348" s="25">
        <v>19.572291666666665</v>
      </c>
      <c r="HV348" s="25">
        <v>19.572291666666665</v>
      </c>
      <c r="HW348" s="25">
        <v>19.572291666666665</v>
      </c>
      <c r="HX348" s="25">
        <v>19.572291666666665</v>
      </c>
      <c r="HY348" s="25">
        <v>18.929652777777775</v>
      </c>
      <c r="HZ348" s="25">
        <v>18.929652777777775</v>
      </c>
      <c r="IA348" s="25">
        <v>18.929652777777775</v>
      </c>
      <c r="IB348" s="25">
        <v>18.929652777777775</v>
      </c>
      <c r="IC348" s="25">
        <v>18.929652777777775</v>
      </c>
      <c r="ID348" s="25">
        <v>18.929652777777775</v>
      </c>
      <c r="IE348" s="25">
        <v>18.929652777777775</v>
      </c>
      <c r="IF348" s="25">
        <v>18.929652777777775</v>
      </c>
      <c r="IG348" s="25">
        <v>18.929652777777775</v>
      </c>
      <c r="IH348" s="25">
        <v>18.929652777777775</v>
      </c>
      <c r="II348" s="25">
        <v>18.929652777777775</v>
      </c>
      <c r="IJ348" s="25">
        <v>18.929652777777775</v>
      </c>
      <c r="IK348" s="25">
        <v>18.288472222222222</v>
      </c>
      <c r="IL348" s="25">
        <v>18.288472222222222</v>
      </c>
      <c r="IM348" s="25">
        <v>18.288472222222222</v>
      </c>
      <c r="IN348" s="25">
        <v>18.288472222222222</v>
      </c>
      <c r="IO348" s="25">
        <v>18.288472222222222</v>
      </c>
      <c r="IP348" s="25">
        <v>18.288472222222222</v>
      </c>
      <c r="IQ348" s="25">
        <v>18.288472222222222</v>
      </c>
      <c r="IR348" s="25">
        <v>18.288472222222222</v>
      </c>
      <c r="IS348" s="25">
        <v>18.288472222222222</v>
      </c>
      <c r="IT348" s="25">
        <v>18.288472222222222</v>
      </c>
      <c r="IU348" s="25">
        <v>18.288472222222222</v>
      </c>
      <c r="IV348" s="25">
        <v>18.288472222222222</v>
      </c>
      <c r="IW348" s="25">
        <v>17.649236111111112</v>
      </c>
      <c r="IX348" s="25">
        <v>17.649236111111112</v>
      </c>
      <c r="IY348" s="25">
        <v>17.649236111111112</v>
      </c>
      <c r="IZ348" s="25">
        <v>17.649236111111112</v>
      </c>
      <c r="JA348" s="25">
        <v>17.649236111111112</v>
      </c>
      <c r="JB348" s="25">
        <v>17.649236111111112</v>
      </c>
      <c r="JC348" s="25">
        <v>17.649236111111112</v>
      </c>
      <c r="JD348" s="25">
        <v>17.649236111111112</v>
      </c>
      <c r="JE348" s="25">
        <v>17.649236111111112</v>
      </c>
      <c r="JF348" s="25">
        <v>17.649236111111112</v>
      </c>
      <c r="JG348" s="25">
        <v>17.649236111111112</v>
      </c>
      <c r="JH348" s="25">
        <v>17.649236111111112</v>
      </c>
      <c r="JI348" s="25">
        <v>17.011458333333334</v>
      </c>
      <c r="JJ348" s="25">
        <v>17.011458333333334</v>
      </c>
      <c r="JK348" s="25">
        <v>17.011458333333334</v>
      </c>
      <c r="JL348" s="25">
        <v>17.011458333333334</v>
      </c>
      <c r="JM348" s="25">
        <v>17.011458333333334</v>
      </c>
      <c r="JN348" s="25">
        <v>17.011458333333334</v>
      </c>
      <c r="JO348" s="25">
        <v>17.011458333333334</v>
      </c>
      <c r="JP348" s="25">
        <v>17.011458333333334</v>
      </c>
      <c r="JQ348" s="25">
        <v>17.011458333333334</v>
      </c>
      <c r="JR348" s="25">
        <v>17.011458333333334</v>
      </c>
      <c r="JS348" s="25">
        <v>17.011458333333334</v>
      </c>
      <c r="JT348" s="25">
        <v>17.011458333333334</v>
      </c>
      <c r="JU348" s="25">
        <v>16.375624999999999</v>
      </c>
      <c r="JV348" s="25">
        <v>16.375624999999999</v>
      </c>
      <c r="JW348" s="25">
        <v>16.375624999999999</v>
      </c>
      <c r="JX348" s="25">
        <v>16.375624999999999</v>
      </c>
      <c r="JY348" s="25">
        <v>16.375624999999999</v>
      </c>
      <c r="JZ348" s="25">
        <v>16.375624999999999</v>
      </c>
      <c r="KA348" s="25">
        <v>16.375624999999999</v>
      </c>
      <c r="KB348" s="25">
        <v>16.375624999999999</v>
      </c>
      <c r="KC348" s="25">
        <v>16.375624999999999</v>
      </c>
      <c r="KD348" s="25">
        <v>16.375624999999999</v>
      </c>
      <c r="KE348" s="25">
        <v>16.375624999999999</v>
      </c>
      <c r="KF348" s="25">
        <v>16.375624999999999</v>
      </c>
      <c r="KG348" s="25">
        <v>15.740763888888891</v>
      </c>
      <c r="KH348" s="25">
        <v>15.740763888888891</v>
      </c>
      <c r="KI348" s="25">
        <v>15.740763888888891</v>
      </c>
      <c r="KJ348" s="25">
        <v>15.740763888888891</v>
      </c>
      <c r="KK348" s="25">
        <v>15.740763888888891</v>
      </c>
      <c r="KL348" s="25">
        <v>15.740763888888891</v>
      </c>
      <c r="KM348" s="25">
        <v>15.740763888888891</v>
      </c>
      <c r="KN348" s="25">
        <v>15.740763888888891</v>
      </c>
      <c r="KO348" s="25">
        <v>15.740763888888891</v>
      </c>
      <c r="KP348" s="25">
        <v>15.740763888888891</v>
      </c>
      <c r="KQ348" s="25">
        <v>15.740763888888891</v>
      </c>
      <c r="KR348" s="25">
        <v>15.740763888888891</v>
      </c>
      <c r="KS348" s="25">
        <v>15.107361111111109</v>
      </c>
      <c r="KT348" s="25">
        <v>15.107361111111109</v>
      </c>
      <c r="KU348" s="25">
        <v>15.107361111111109</v>
      </c>
      <c r="KV348" s="25">
        <v>15.107361111111109</v>
      </c>
      <c r="KW348" s="25">
        <v>15.107361111111109</v>
      </c>
      <c r="KX348" s="25">
        <v>15.107361111111109</v>
      </c>
      <c r="KY348" s="25">
        <v>15.107361111111109</v>
      </c>
      <c r="KZ348" s="25">
        <v>15.107361111111109</v>
      </c>
      <c r="LA348" s="25">
        <v>15.107361111111109</v>
      </c>
      <c r="LB348" s="25">
        <v>15.107361111111109</v>
      </c>
      <c r="LC348" s="25">
        <v>15.107361111111109</v>
      </c>
      <c r="LD348" s="25">
        <v>15.107361111111109</v>
      </c>
      <c r="LE348" s="25">
        <v>14.475416666666664</v>
      </c>
      <c r="LF348" s="25">
        <v>14.475416666666664</v>
      </c>
      <c r="LG348" s="25">
        <v>14.475416666666664</v>
      </c>
      <c r="LH348" s="25">
        <v>14.475416666666664</v>
      </c>
      <c r="LI348" s="25">
        <v>14.475416666666664</v>
      </c>
      <c r="LJ348" s="25">
        <v>14.475416666666664</v>
      </c>
      <c r="LK348" s="25">
        <v>14.475416666666664</v>
      </c>
      <c r="LL348" s="25">
        <v>14.475416666666664</v>
      </c>
      <c r="LM348" s="25">
        <v>14.475416666666664</v>
      </c>
      <c r="LN348" s="25">
        <v>14.475416666666664</v>
      </c>
      <c r="LO348" s="25">
        <v>14.475416666666664</v>
      </c>
      <c r="LP348" s="25">
        <v>14.475416666666664</v>
      </c>
      <c r="LQ348" s="25">
        <v>13.844444444444441</v>
      </c>
      <c r="LR348" s="25">
        <v>13.844444444444441</v>
      </c>
      <c r="LS348" s="25">
        <v>13.844444444444441</v>
      </c>
      <c r="LT348" s="25">
        <v>13.844444444444441</v>
      </c>
      <c r="LU348" s="25">
        <v>13.844444444444441</v>
      </c>
      <c r="LV348" s="25">
        <v>13.844444444444441</v>
      </c>
      <c r="LW348" s="25">
        <v>13.844444444444441</v>
      </c>
      <c r="LX348" s="25">
        <v>13.844444444444441</v>
      </c>
      <c r="LY348" s="25">
        <v>13.844444444444441</v>
      </c>
      <c r="LZ348" s="25">
        <v>13.844444444444441</v>
      </c>
      <c r="MA348" s="25">
        <v>13.844444444444441</v>
      </c>
      <c r="MB348" s="25">
        <v>13.844444444444441</v>
      </c>
      <c r="MC348" s="25">
        <v>13.215416666666666</v>
      </c>
      <c r="MD348" s="25">
        <v>13.215416666666666</v>
      </c>
      <c r="ME348" s="25">
        <v>13.215416666666666</v>
      </c>
      <c r="MF348" s="25">
        <v>13.215416666666666</v>
      </c>
      <c r="MG348" s="25">
        <v>13.215416666666666</v>
      </c>
      <c r="MH348" s="25">
        <v>13.215416666666666</v>
      </c>
      <c r="MI348" s="25">
        <v>13.215416666666666</v>
      </c>
      <c r="MJ348" s="25">
        <v>13.215416666666666</v>
      </c>
      <c r="MK348" s="25">
        <v>13.215416666666666</v>
      </c>
      <c r="ML348" s="25">
        <v>13.215416666666666</v>
      </c>
      <c r="MM348" s="25">
        <v>13.215416666666666</v>
      </c>
      <c r="MN348" s="25">
        <v>13.215416666666666</v>
      </c>
      <c r="MO348" s="25">
        <v>12.586875000000001</v>
      </c>
      <c r="MP348" s="25">
        <v>12.586875000000001</v>
      </c>
      <c r="MQ348" s="25">
        <v>12.586875000000001</v>
      </c>
      <c r="MR348" s="25">
        <v>12.586875000000001</v>
      </c>
      <c r="MS348" s="25">
        <v>12.586875000000001</v>
      </c>
      <c r="MT348" s="25">
        <v>12.586875000000001</v>
      </c>
      <c r="MU348" s="25">
        <v>12.586875000000001</v>
      </c>
      <c r="MV348" s="25">
        <v>12.586875000000001</v>
      </c>
      <c r="MW348" s="25">
        <v>12.586875000000001</v>
      </c>
      <c r="MX348" s="25">
        <v>12.586875000000001</v>
      </c>
      <c r="MY348" s="25">
        <v>12.586875000000001</v>
      </c>
      <c r="MZ348" s="25">
        <v>12.586875000000001</v>
      </c>
      <c r="NA348" s="25">
        <v>11.959791666666664</v>
      </c>
      <c r="NB348" s="25">
        <v>11.959791666666664</v>
      </c>
      <c r="NC348" s="25">
        <v>11.959791666666664</v>
      </c>
      <c r="ND348" s="25">
        <v>11.959791666666664</v>
      </c>
      <c r="NE348" s="25">
        <v>11.959791666666664</v>
      </c>
      <c r="NF348" s="25">
        <v>11.959791666666664</v>
      </c>
      <c r="NG348" s="25">
        <v>11.959791666666664</v>
      </c>
      <c r="NH348" s="25">
        <v>11.959791666666664</v>
      </c>
      <c r="NI348" s="25">
        <v>11.959791666666664</v>
      </c>
      <c r="NJ348" s="25">
        <v>11.959791666666664</v>
      </c>
      <c r="NK348" s="25">
        <v>11.959791666666664</v>
      </c>
      <c r="NL348" s="25">
        <v>11.959791666666664</v>
      </c>
      <c r="NM348" s="25">
        <v>11.333680555555555</v>
      </c>
      <c r="NN348" s="25">
        <v>11.333680555555555</v>
      </c>
      <c r="NO348" s="25">
        <v>11.333680555555555</v>
      </c>
      <c r="NP348" s="25">
        <v>11.333680555555555</v>
      </c>
      <c r="NQ348" s="25">
        <v>11.333680555555555</v>
      </c>
      <c r="NR348" s="25">
        <v>11.333680555555555</v>
      </c>
      <c r="NS348" s="25">
        <v>11.333680555555555</v>
      </c>
      <c r="NT348" s="25">
        <v>11.333680555555555</v>
      </c>
      <c r="NU348" s="25">
        <v>11.333680555555555</v>
      </c>
      <c r="NV348" s="25">
        <v>11.333680555555555</v>
      </c>
      <c r="NW348" s="25">
        <v>11.333680555555555</v>
      </c>
      <c r="NX348" s="25">
        <v>11.333680555555555</v>
      </c>
      <c r="NY348" s="25">
        <v>10.708541666666664</v>
      </c>
      <c r="NZ348" s="25">
        <v>10.708541666666664</v>
      </c>
      <c r="OA348" s="25">
        <v>10.708541666666664</v>
      </c>
      <c r="OB348" s="25">
        <v>10.708541666666664</v>
      </c>
      <c r="OC348" s="25">
        <v>10.708541666666664</v>
      </c>
      <c r="OD348" s="25">
        <v>10.708541666666664</v>
      </c>
      <c r="OE348" s="25">
        <v>10.708541666666664</v>
      </c>
    </row>
    <row r="349" spans="1:395" s="261" customFormat="1" ht="13.8" customHeight="1" x14ac:dyDescent="0.3">
      <c r="A349" s="114"/>
      <c r="B349" s="114"/>
      <c r="C349" s="114"/>
      <c r="D349" s="119"/>
      <c r="E349"/>
      <c r="F349"/>
      <c r="G349"/>
      <c r="H349"/>
      <c r="I349"/>
      <c r="J349"/>
      <c r="K349"/>
      <c r="L349"/>
      <c r="M349"/>
      <c r="N349" s="25" t="s">
        <v>69</v>
      </c>
      <c r="O349" s="25"/>
      <c r="P349" s="27" t="s">
        <v>31</v>
      </c>
      <c r="Q349" s="25" cm="1">
        <f t="array" ref="Q349:OE349">E379 * (1-E380)^(_xlfn.ANCHORARRAY(Q4)-1)</f>
        <v>0.15</v>
      </c>
      <c r="R349" s="25">
        <v>0.15</v>
      </c>
      <c r="S349" s="25">
        <v>0.15</v>
      </c>
      <c r="T349" s="25">
        <v>0.15</v>
      </c>
      <c r="U349" s="25">
        <v>0.15</v>
      </c>
      <c r="V349" s="25">
        <v>0.15</v>
      </c>
      <c r="W349" s="25">
        <v>0.15</v>
      </c>
      <c r="X349" s="25">
        <v>0.15</v>
      </c>
      <c r="Y349" s="25">
        <v>0.15</v>
      </c>
      <c r="Z349" s="25">
        <v>0.15</v>
      </c>
      <c r="AA349" s="25">
        <v>0.15</v>
      </c>
      <c r="AB349" s="25">
        <v>0.15</v>
      </c>
      <c r="AC349" s="25">
        <v>0.14924999999999999</v>
      </c>
      <c r="AD349" s="25">
        <v>0.14924999999999999</v>
      </c>
      <c r="AE349" s="25">
        <v>0.14924999999999999</v>
      </c>
      <c r="AF349" s="25">
        <v>0.14924999999999999</v>
      </c>
      <c r="AG349" s="25">
        <v>0.14924999999999999</v>
      </c>
      <c r="AH349" s="25">
        <v>0.14924999999999999</v>
      </c>
      <c r="AI349" s="25">
        <v>0.14924999999999999</v>
      </c>
      <c r="AJ349" s="25">
        <v>0.14924999999999999</v>
      </c>
      <c r="AK349" s="25">
        <v>0.14924999999999999</v>
      </c>
      <c r="AL349" s="25">
        <v>0.14924999999999999</v>
      </c>
      <c r="AM349" s="25">
        <v>0.14924999999999999</v>
      </c>
      <c r="AN349" s="25">
        <v>0.14924999999999999</v>
      </c>
      <c r="AO349" s="25">
        <v>0.14850374999999999</v>
      </c>
      <c r="AP349" s="25">
        <v>0.14850374999999999</v>
      </c>
      <c r="AQ349" s="25">
        <v>0.14850374999999999</v>
      </c>
      <c r="AR349" s="25">
        <v>0.14850374999999999</v>
      </c>
      <c r="AS349" s="25">
        <v>0.14850374999999999</v>
      </c>
      <c r="AT349" s="25">
        <v>0.14850374999999999</v>
      </c>
      <c r="AU349" s="25">
        <v>0.14850374999999999</v>
      </c>
      <c r="AV349" s="25">
        <v>0.14850374999999999</v>
      </c>
      <c r="AW349" s="25">
        <v>0.14850374999999999</v>
      </c>
      <c r="AX349" s="25">
        <v>0.14850374999999999</v>
      </c>
      <c r="AY349" s="25">
        <v>0.14850374999999999</v>
      </c>
      <c r="AZ349" s="25">
        <v>0.14850374999999999</v>
      </c>
      <c r="BA349" s="25">
        <v>0.14776123124999999</v>
      </c>
      <c r="BB349" s="25">
        <v>0.14776123124999999</v>
      </c>
      <c r="BC349" s="25">
        <v>0.14776123124999999</v>
      </c>
      <c r="BD349" s="25">
        <v>0.14776123124999999</v>
      </c>
      <c r="BE349" s="25">
        <v>0.14776123124999999</v>
      </c>
      <c r="BF349" s="25">
        <v>0.14776123124999999</v>
      </c>
      <c r="BG349" s="25">
        <v>0.14776123124999999</v>
      </c>
      <c r="BH349" s="25">
        <v>0.14776123124999999</v>
      </c>
      <c r="BI349" s="25">
        <v>0.14776123124999999</v>
      </c>
      <c r="BJ349" s="25">
        <v>0.14776123124999999</v>
      </c>
      <c r="BK349" s="25">
        <v>0.14776123124999999</v>
      </c>
      <c r="BL349" s="25">
        <v>0.14776123124999999</v>
      </c>
      <c r="BM349" s="25">
        <v>0.14702242509374999</v>
      </c>
      <c r="BN349" s="25">
        <v>0.14702242509374999</v>
      </c>
      <c r="BO349" s="25">
        <v>0.14702242509374999</v>
      </c>
      <c r="BP349" s="25">
        <v>0.14702242509374999</v>
      </c>
      <c r="BQ349" s="25">
        <v>0.14702242509374999</v>
      </c>
      <c r="BR349" s="25">
        <v>0.14702242509374999</v>
      </c>
      <c r="BS349" s="25">
        <v>0.14702242509374999</v>
      </c>
      <c r="BT349" s="25">
        <v>0.14702242509374999</v>
      </c>
      <c r="BU349" s="25">
        <v>0.14702242509374999</v>
      </c>
      <c r="BV349" s="25">
        <v>0.14702242509374999</v>
      </c>
      <c r="BW349" s="25">
        <v>0.14702242509374999</v>
      </c>
      <c r="BX349" s="25">
        <v>0.14702242509374999</v>
      </c>
      <c r="BY349" s="25">
        <v>0.14628731296828126</v>
      </c>
      <c r="BZ349" s="25">
        <v>0.14628731296828126</v>
      </c>
      <c r="CA349" s="25">
        <v>0.14628731296828126</v>
      </c>
      <c r="CB349" s="25">
        <v>0.14628731296828126</v>
      </c>
      <c r="CC349" s="25">
        <v>0.14628731296828126</v>
      </c>
      <c r="CD349" s="25">
        <v>0.14628731296828126</v>
      </c>
      <c r="CE349" s="25">
        <v>0.14628731296828126</v>
      </c>
      <c r="CF349" s="25">
        <v>0.14628731296828126</v>
      </c>
      <c r="CG349" s="25">
        <v>0.14628731296828126</v>
      </c>
      <c r="CH349" s="25">
        <v>0.14628731296828126</v>
      </c>
      <c r="CI349" s="25">
        <v>0.14628731296828126</v>
      </c>
      <c r="CJ349" s="25">
        <v>0.14628731296828126</v>
      </c>
      <c r="CK349" s="25">
        <v>0.14555587640343987</v>
      </c>
      <c r="CL349" s="25">
        <v>0.14555587640343987</v>
      </c>
      <c r="CM349" s="25">
        <v>0.14555587640343987</v>
      </c>
      <c r="CN349" s="25">
        <v>0.14555587640343987</v>
      </c>
      <c r="CO349" s="25">
        <v>0.14555587640343987</v>
      </c>
      <c r="CP349" s="25">
        <v>0.14555587640343987</v>
      </c>
      <c r="CQ349" s="25">
        <v>0.14555587640343987</v>
      </c>
      <c r="CR349" s="25">
        <v>0.14555587640343987</v>
      </c>
      <c r="CS349" s="25">
        <v>0.14555587640343987</v>
      </c>
      <c r="CT349" s="25">
        <v>0.14555587640343987</v>
      </c>
      <c r="CU349" s="25">
        <v>0.14555587640343987</v>
      </c>
      <c r="CV349" s="25">
        <v>0.14555587640343987</v>
      </c>
      <c r="CW349" s="25">
        <v>0.14482809702142266</v>
      </c>
      <c r="CX349" s="25">
        <v>0.14482809702142266</v>
      </c>
      <c r="CY349" s="25">
        <v>0.14482809702142266</v>
      </c>
      <c r="CZ349" s="25">
        <v>0.14482809702142266</v>
      </c>
      <c r="DA349" s="25">
        <v>0.14482809702142266</v>
      </c>
      <c r="DB349" s="25">
        <v>0.14482809702142266</v>
      </c>
      <c r="DC349" s="25">
        <v>0.14482809702142266</v>
      </c>
      <c r="DD349" s="25">
        <v>0.14482809702142266</v>
      </c>
      <c r="DE349" s="25">
        <v>0.14482809702142266</v>
      </c>
      <c r="DF349" s="25">
        <v>0.14482809702142266</v>
      </c>
      <c r="DG349" s="25">
        <v>0.14482809702142266</v>
      </c>
      <c r="DH349" s="25">
        <v>0.14482809702142266</v>
      </c>
      <c r="DI349" s="25">
        <v>0.14410395653631553</v>
      </c>
      <c r="DJ349" s="25">
        <v>0.14410395653631553</v>
      </c>
      <c r="DK349" s="25">
        <v>0.14410395653631553</v>
      </c>
      <c r="DL349" s="25">
        <v>0.14410395653631553</v>
      </c>
      <c r="DM349" s="25">
        <v>0.14410395653631553</v>
      </c>
      <c r="DN349" s="25">
        <v>0.14410395653631553</v>
      </c>
      <c r="DO349" s="25">
        <v>0.14410395653631553</v>
      </c>
      <c r="DP349" s="25">
        <v>0.14410395653631553</v>
      </c>
      <c r="DQ349" s="25">
        <v>0.14410395653631553</v>
      </c>
      <c r="DR349" s="25">
        <v>0.14410395653631553</v>
      </c>
      <c r="DS349" s="25">
        <v>0.14410395653631553</v>
      </c>
      <c r="DT349" s="25">
        <v>0.14410395653631553</v>
      </c>
      <c r="DU349" s="25">
        <v>0.14338343675363396</v>
      </c>
      <c r="DV349" s="25">
        <v>0.14338343675363396</v>
      </c>
      <c r="DW349" s="25">
        <v>0.14338343675363396</v>
      </c>
      <c r="DX349" s="25">
        <v>0.14338343675363396</v>
      </c>
      <c r="DY349" s="25">
        <v>0.14338343675363396</v>
      </c>
      <c r="DZ349" s="25">
        <v>0.14338343675363396</v>
      </c>
      <c r="EA349" s="25">
        <v>0.14338343675363396</v>
      </c>
      <c r="EB349" s="25">
        <v>0.14338343675363396</v>
      </c>
      <c r="EC349" s="25">
        <v>0.14338343675363396</v>
      </c>
      <c r="ED349" s="25">
        <v>0.14338343675363396</v>
      </c>
      <c r="EE349" s="25">
        <v>0.14338343675363396</v>
      </c>
      <c r="EF349" s="25">
        <v>0.14338343675363396</v>
      </c>
      <c r="EG349" s="25">
        <v>0.14266651956986579</v>
      </c>
      <c r="EH349" s="25">
        <v>0.14266651956986579</v>
      </c>
      <c r="EI349" s="25">
        <v>0.14266651956986579</v>
      </c>
      <c r="EJ349" s="25">
        <v>0.14266651956986579</v>
      </c>
      <c r="EK349" s="25">
        <v>0.14266651956986579</v>
      </c>
      <c r="EL349" s="25">
        <v>0.14266651956986579</v>
      </c>
      <c r="EM349" s="25">
        <v>0.14266651956986579</v>
      </c>
      <c r="EN349" s="25">
        <v>0.14266651956986579</v>
      </c>
      <c r="EO349" s="25">
        <v>0.14266651956986579</v>
      </c>
      <c r="EP349" s="25">
        <v>0.14266651956986579</v>
      </c>
      <c r="EQ349" s="25">
        <v>0.14266651956986579</v>
      </c>
      <c r="ER349" s="25">
        <v>0.14266651956986579</v>
      </c>
      <c r="ES349" s="25">
        <v>0.14195318697201645</v>
      </c>
      <c r="ET349" s="25">
        <v>0.14195318697201645</v>
      </c>
      <c r="EU349" s="25">
        <v>0.14195318697201645</v>
      </c>
      <c r="EV349" s="25">
        <v>0.14195318697201645</v>
      </c>
      <c r="EW349" s="25">
        <v>0.14195318697201645</v>
      </c>
      <c r="EX349" s="25">
        <v>0.14195318697201645</v>
      </c>
      <c r="EY349" s="25">
        <v>0.14195318697201645</v>
      </c>
      <c r="EZ349" s="25">
        <v>0.14195318697201645</v>
      </c>
      <c r="FA349" s="25">
        <v>0.14195318697201645</v>
      </c>
      <c r="FB349" s="25">
        <v>0.14195318697201645</v>
      </c>
      <c r="FC349" s="25">
        <v>0.14195318697201645</v>
      </c>
      <c r="FD349" s="25">
        <v>0.14195318697201645</v>
      </c>
      <c r="FE349" s="25">
        <v>0.1412434210371564</v>
      </c>
      <c r="FF349" s="25">
        <v>0.1412434210371564</v>
      </c>
      <c r="FG349" s="25">
        <v>0.1412434210371564</v>
      </c>
      <c r="FH349" s="25">
        <v>0.1412434210371564</v>
      </c>
      <c r="FI349" s="25">
        <v>0.1412434210371564</v>
      </c>
      <c r="FJ349" s="25">
        <v>0.1412434210371564</v>
      </c>
      <c r="FK349" s="25">
        <v>0.1412434210371564</v>
      </c>
      <c r="FL349" s="25">
        <v>0.1412434210371564</v>
      </c>
      <c r="FM349" s="25">
        <v>0.1412434210371564</v>
      </c>
      <c r="FN349" s="25">
        <v>0.1412434210371564</v>
      </c>
      <c r="FO349" s="25">
        <v>0.1412434210371564</v>
      </c>
      <c r="FP349" s="25">
        <v>0.1412434210371564</v>
      </c>
      <c r="FQ349" s="25">
        <v>0.14053720393197061</v>
      </c>
      <c r="FR349" s="25">
        <v>0.14053720393197061</v>
      </c>
      <c r="FS349" s="25">
        <v>0.14053720393197061</v>
      </c>
      <c r="FT349" s="25">
        <v>0.14053720393197061</v>
      </c>
      <c r="FU349" s="25">
        <v>0.14053720393197061</v>
      </c>
      <c r="FV349" s="25">
        <v>0.14053720393197061</v>
      </c>
      <c r="FW349" s="25">
        <v>0.14053720393197061</v>
      </c>
      <c r="FX349" s="25">
        <v>0.14053720393197061</v>
      </c>
      <c r="FY349" s="25">
        <v>0.14053720393197061</v>
      </c>
      <c r="FZ349" s="25">
        <v>0.14053720393197061</v>
      </c>
      <c r="GA349" s="25">
        <v>0.14053720393197061</v>
      </c>
      <c r="GB349" s="25">
        <v>0.14053720393197061</v>
      </c>
      <c r="GC349" s="25">
        <v>0.13983451791231077</v>
      </c>
      <c r="GD349" s="25">
        <v>0.13983451791231077</v>
      </c>
      <c r="GE349" s="25">
        <v>0.13983451791231077</v>
      </c>
      <c r="GF349" s="25">
        <v>0.13983451791231077</v>
      </c>
      <c r="GG349" s="25">
        <v>0.13983451791231077</v>
      </c>
      <c r="GH349" s="25">
        <v>0.13983451791231077</v>
      </c>
      <c r="GI349" s="25">
        <v>0.13983451791231077</v>
      </c>
      <c r="GJ349" s="25">
        <v>0.13983451791231077</v>
      </c>
      <c r="GK349" s="25">
        <v>0.13983451791231077</v>
      </c>
      <c r="GL349" s="25">
        <v>0.13983451791231077</v>
      </c>
      <c r="GM349" s="25">
        <v>0.13983451791231077</v>
      </c>
      <c r="GN349" s="25">
        <v>0.13983451791231077</v>
      </c>
      <c r="GO349" s="25">
        <v>0.13913534532274921</v>
      </c>
      <c r="GP349" s="25">
        <v>0.13913534532274921</v>
      </c>
      <c r="GQ349" s="25">
        <v>0.13913534532274921</v>
      </c>
      <c r="GR349" s="25">
        <v>0.13913534532274921</v>
      </c>
      <c r="GS349" s="25">
        <v>0.13913534532274921</v>
      </c>
      <c r="GT349" s="25">
        <v>0.13913534532274921</v>
      </c>
      <c r="GU349" s="25">
        <v>0.13913534532274921</v>
      </c>
      <c r="GV349" s="25">
        <v>0.13913534532274921</v>
      </c>
      <c r="GW349" s="25">
        <v>0.13913534532274921</v>
      </c>
      <c r="GX349" s="25">
        <v>0.13913534532274921</v>
      </c>
      <c r="GY349" s="25">
        <v>0.13913534532274921</v>
      </c>
      <c r="GZ349" s="25">
        <v>0.13913534532274921</v>
      </c>
      <c r="HA349" s="25">
        <v>0.13843966859613546</v>
      </c>
      <c r="HB349" s="25">
        <v>0.13843966859613546</v>
      </c>
      <c r="HC349" s="25">
        <v>0.13843966859613546</v>
      </c>
      <c r="HD349" s="25">
        <v>0.13843966859613546</v>
      </c>
      <c r="HE349" s="25">
        <v>0.13843966859613546</v>
      </c>
      <c r="HF349" s="25">
        <v>0.13843966859613546</v>
      </c>
      <c r="HG349" s="25">
        <v>0.13843966859613546</v>
      </c>
      <c r="HH349" s="25">
        <v>0.13843966859613546</v>
      </c>
      <c r="HI349" s="25">
        <v>0.13843966859613546</v>
      </c>
      <c r="HJ349" s="25">
        <v>0.13843966859613546</v>
      </c>
      <c r="HK349" s="25">
        <v>0.13843966859613546</v>
      </c>
      <c r="HL349" s="25">
        <v>0.13843966859613546</v>
      </c>
      <c r="HM349" s="25">
        <v>0.13774747025315479</v>
      </c>
      <c r="HN349" s="25">
        <v>0.13774747025315479</v>
      </c>
      <c r="HO349" s="25">
        <v>0.13774747025315479</v>
      </c>
      <c r="HP349" s="25">
        <v>0.13774747025315479</v>
      </c>
      <c r="HQ349" s="25">
        <v>0.13774747025315479</v>
      </c>
      <c r="HR349" s="25">
        <v>0.13774747025315479</v>
      </c>
      <c r="HS349" s="25">
        <v>0.13774747025315479</v>
      </c>
      <c r="HT349" s="25">
        <v>0.13774747025315479</v>
      </c>
      <c r="HU349" s="25">
        <v>0.13774747025315479</v>
      </c>
      <c r="HV349" s="25">
        <v>0.13774747025315479</v>
      </c>
      <c r="HW349" s="25">
        <v>0.13774747025315479</v>
      </c>
      <c r="HX349" s="25">
        <v>0.13774747025315479</v>
      </c>
      <c r="HY349" s="25">
        <v>0.137058732901889</v>
      </c>
      <c r="HZ349" s="25">
        <v>0.137058732901889</v>
      </c>
      <c r="IA349" s="25">
        <v>0.137058732901889</v>
      </c>
      <c r="IB349" s="25">
        <v>0.137058732901889</v>
      </c>
      <c r="IC349" s="25">
        <v>0.137058732901889</v>
      </c>
      <c r="ID349" s="25">
        <v>0.137058732901889</v>
      </c>
      <c r="IE349" s="25">
        <v>0.137058732901889</v>
      </c>
      <c r="IF349" s="25">
        <v>0.137058732901889</v>
      </c>
      <c r="IG349" s="25">
        <v>0.137058732901889</v>
      </c>
      <c r="IH349" s="25">
        <v>0.137058732901889</v>
      </c>
      <c r="II349" s="25">
        <v>0.137058732901889</v>
      </c>
      <c r="IJ349" s="25">
        <v>0.137058732901889</v>
      </c>
      <c r="IK349" s="25">
        <v>0.13637343923737955</v>
      </c>
      <c r="IL349" s="25">
        <v>0.13637343923737955</v>
      </c>
      <c r="IM349" s="25">
        <v>0.13637343923737955</v>
      </c>
      <c r="IN349" s="25">
        <v>0.13637343923737955</v>
      </c>
      <c r="IO349" s="25">
        <v>0.13637343923737955</v>
      </c>
      <c r="IP349" s="25">
        <v>0.13637343923737955</v>
      </c>
      <c r="IQ349" s="25">
        <v>0.13637343923737955</v>
      </c>
      <c r="IR349" s="25">
        <v>0.13637343923737955</v>
      </c>
      <c r="IS349" s="25">
        <v>0.13637343923737955</v>
      </c>
      <c r="IT349" s="25">
        <v>0.13637343923737955</v>
      </c>
      <c r="IU349" s="25">
        <v>0.13637343923737955</v>
      </c>
      <c r="IV349" s="25">
        <v>0.13637343923737955</v>
      </c>
      <c r="IW349" s="25">
        <v>0.13569157204119267</v>
      </c>
      <c r="IX349" s="25">
        <v>0.13569157204119267</v>
      </c>
      <c r="IY349" s="25">
        <v>0.13569157204119267</v>
      </c>
      <c r="IZ349" s="25">
        <v>0.13569157204119267</v>
      </c>
      <c r="JA349" s="25">
        <v>0.13569157204119267</v>
      </c>
      <c r="JB349" s="25">
        <v>0.13569157204119267</v>
      </c>
      <c r="JC349" s="25">
        <v>0.13569157204119267</v>
      </c>
      <c r="JD349" s="25">
        <v>0.13569157204119267</v>
      </c>
      <c r="JE349" s="25">
        <v>0.13569157204119267</v>
      </c>
      <c r="JF349" s="25">
        <v>0.13569157204119267</v>
      </c>
      <c r="JG349" s="25">
        <v>0.13569157204119267</v>
      </c>
      <c r="JH349" s="25">
        <v>0.13569157204119267</v>
      </c>
      <c r="JI349" s="25">
        <v>0.13501311418098669</v>
      </c>
      <c r="JJ349" s="25">
        <v>0.13501311418098669</v>
      </c>
      <c r="JK349" s="25">
        <v>0.13501311418098669</v>
      </c>
      <c r="JL349" s="25">
        <v>0.13501311418098669</v>
      </c>
      <c r="JM349" s="25">
        <v>0.13501311418098669</v>
      </c>
      <c r="JN349" s="25">
        <v>0.13501311418098669</v>
      </c>
      <c r="JO349" s="25">
        <v>0.13501311418098669</v>
      </c>
      <c r="JP349" s="25">
        <v>0.13501311418098669</v>
      </c>
      <c r="JQ349" s="25">
        <v>0.13501311418098669</v>
      </c>
      <c r="JR349" s="25">
        <v>0.13501311418098669</v>
      </c>
      <c r="JS349" s="25">
        <v>0.13501311418098669</v>
      </c>
      <c r="JT349" s="25">
        <v>0.13501311418098669</v>
      </c>
      <c r="JU349" s="25">
        <v>0.13433804861008178</v>
      </c>
      <c r="JV349" s="25">
        <v>0.13433804861008178</v>
      </c>
      <c r="JW349" s="25">
        <v>0.13433804861008178</v>
      </c>
      <c r="JX349" s="25">
        <v>0.13433804861008178</v>
      </c>
      <c r="JY349" s="25">
        <v>0.13433804861008178</v>
      </c>
      <c r="JZ349" s="25">
        <v>0.13433804861008178</v>
      </c>
      <c r="KA349" s="25">
        <v>0.13433804861008178</v>
      </c>
      <c r="KB349" s="25">
        <v>0.13433804861008178</v>
      </c>
      <c r="KC349" s="25">
        <v>0.13433804861008178</v>
      </c>
      <c r="KD349" s="25">
        <v>0.13433804861008178</v>
      </c>
      <c r="KE349" s="25">
        <v>0.13433804861008178</v>
      </c>
      <c r="KF349" s="25">
        <v>0.13433804861008178</v>
      </c>
      <c r="KG349" s="25">
        <v>0.13366635836703136</v>
      </c>
      <c r="KH349" s="25">
        <v>0.13366635836703136</v>
      </c>
      <c r="KI349" s="25">
        <v>0.13366635836703136</v>
      </c>
      <c r="KJ349" s="25">
        <v>0.13366635836703136</v>
      </c>
      <c r="KK349" s="25">
        <v>0.13366635836703136</v>
      </c>
      <c r="KL349" s="25">
        <v>0.13366635836703136</v>
      </c>
      <c r="KM349" s="25">
        <v>0.13366635836703136</v>
      </c>
      <c r="KN349" s="25">
        <v>0.13366635836703136</v>
      </c>
      <c r="KO349" s="25">
        <v>0.13366635836703136</v>
      </c>
      <c r="KP349" s="25">
        <v>0.13366635836703136</v>
      </c>
      <c r="KQ349" s="25">
        <v>0.13366635836703136</v>
      </c>
      <c r="KR349" s="25">
        <v>0.13366635836703136</v>
      </c>
      <c r="KS349" s="25">
        <v>0.13299802657519619</v>
      </c>
      <c r="KT349" s="25">
        <v>0.13299802657519619</v>
      </c>
      <c r="KU349" s="25">
        <v>0.13299802657519619</v>
      </c>
      <c r="KV349" s="25">
        <v>0.13299802657519619</v>
      </c>
      <c r="KW349" s="25">
        <v>0.13299802657519619</v>
      </c>
      <c r="KX349" s="25">
        <v>0.13299802657519619</v>
      </c>
      <c r="KY349" s="25">
        <v>0.13299802657519619</v>
      </c>
      <c r="KZ349" s="25">
        <v>0.13299802657519619</v>
      </c>
      <c r="LA349" s="25">
        <v>0.13299802657519619</v>
      </c>
      <c r="LB349" s="25">
        <v>0.13299802657519619</v>
      </c>
      <c r="LC349" s="25">
        <v>0.13299802657519619</v>
      </c>
      <c r="LD349" s="25">
        <v>0.13299802657519619</v>
      </c>
      <c r="LE349" s="25">
        <v>0.13233303644232022</v>
      </c>
      <c r="LF349" s="25">
        <v>0.13233303644232022</v>
      </c>
      <c r="LG349" s="25">
        <v>0.13233303644232022</v>
      </c>
      <c r="LH349" s="25">
        <v>0.13233303644232022</v>
      </c>
      <c r="LI349" s="25">
        <v>0.13233303644232022</v>
      </c>
      <c r="LJ349" s="25">
        <v>0.13233303644232022</v>
      </c>
      <c r="LK349" s="25">
        <v>0.13233303644232022</v>
      </c>
      <c r="LL349" s="25">
        <v>0.13233303644232022</v>
      </c>
      <c r="LM349" s="25">
        <v>0.13233303644232022</v>
      </c>
      <c r="LN349" s="25">
        <v>0.13233303644232022</v>
      </c>
      <c r="LO349" s="25">
        <v>0.13233303644232022</v>
      </c>
      <c r="LP349" s="25">
        <v>0.13233303644232022</v>
      </c>
      <c r="LQ349" s="25">
        <v>0.13167137126010864</v>
      </c>
      <c r="LR349" s="25">
        <v>0.13167137126010864</v>
      </c>
      <c r="LS349" s="25">
        <v>0.13167137126010864</v>
      </c>
      <c r="LT349" s="25">
        <v>0.13167137126010864</v>
      </c>
      <c r="LU349" s="25">
        <v>0.13167137126010864</v>
      </c>
      <c r="LV349" s="25">
        <v>0.13167137126010864</v>
      </c>
      <c r="LW349" s="25">
        <v>0.13167137126010864</v>
      </c>
      <c r="LX349" s="25">
        <v>0.13167137126010864</v>
      </c>
      <c r="LY349" s="25">
        <v>0.13167137126010864</v>
      </c>
      <c r="LZ349" s="25">
        <v>0.13167137126010864</v>
      </c>
      <c r="MA349" s="25">
        <v>0.13167137126010864</v>
      </c>
      <c r="MB349" s="25">
        <v>0.13167137126010864</v>
      </c>
      <c r="MC349" s="25">
        <v>0.13101301440380808</v>
      </c>
      <c r="MD349" s="25">
        <v>0.13101301440380808</v>
      </c>
      <c r="ME349" s="25">
        <v>0.13101301440380808</v>
      </c>
      <c r="MF349" s="25">
        <v>0.13101301440380808</v>
      </c>
      <c r="MG349" s="25">
        <v>0.13101301440380808</v>
      </c>
      <c r="MH349" s="25">
        <v>0.13101301440380808</v>
      </c>
      <c r="MI349" s="25">
        <v>0.13101301440380808</v>
      </c>
      <c r="MJ349" s="25">
        <v>0.13101301440380808</v>
      </c>
      <c r="MK349" s="25">
        <v>0.13101301440380808</v>
      </c>
      <c r="ML349" s="25">
        <v>0.13101301440380808</v>
      </c>
      <c r="MM349" s="25">
        <v>0.13101301440380808</v>
      </c>
      <c r="MN349" s="25">
        <v>0.13101301440380808</v>
      </c>
      <c r="MO349" s="25">
        <v>0.13035794933178904</v>
      </c>
      <c r="MP349" s="25">
        <v>0.13035794933178904</v>
      </c>
      <c r="MQ349" s="25">
        <v>0.13035794933178904</v>
      </c>
      <c r="MR349" s="25">
        <v>0.13035794933178904</v>
      </c>
      <c r="MS349" s="25">
        <v>0.13035794933178904</v>
      </c>
      <c r="MT349" s="25">
        <v>0.13035794933178904</v>
      </c>
      <c r="MU349" s="25">
        <v>0.13035794933178904</v>
      </c>
      <c r="MV349" s="25">
        <v>0.13035794933178904</v>
      </c>
      <c r="MW349" s="25">
        <v>0.13035794933178904</v>
      </c>
      <c r="MX349" s="25">
        <v>0.13035794933178904</v>
      </c>
      <c r="MY349" s="25">
        <v>0.13035794933178904</v>
      </c>
      <c r="MZ349" s="25">
        <v>0.13035794933178904</v>
      </c>
      <c r="NA349" s="25">
        <v>0.12970615958513013</v>
      </c>
      <c r="NB349" s="25">
        <v>0.12970615958513013</v>
      </c>
      <c r="NC349" s="25">
        <v>0.12970615958513013</v>
      </c>
      <c r="ND349" s="25">
        <v>0.12970615958513013</v>
      </c>
      <c r="NE349" s="25">
        <v>0.12970615958513013</v>
      </c>
      <c r="NF349" s="25">
        <v>0.12970615958513013</v>
      </c>
      <c r="NG349" s="25">
        <v>0.12970615958513013</v>
      </c>
      <c r="NH349" s="25">
        <v>0.12970615958513013</v>
      </c>
      <c r="NI349" s="25">
        <v>0.12970615958513013</v>
      </c>
      <c r="NJ349" s="25">
        <v>0.12970615958513013</v>
      </c>
      <c r="NK349" s="25">
        <v>0.12970615958513013</v>
      </c>
      <c r="NL349" s="25">
        <v>0.12970615958513013</v>
      </c>
      <c r="NM349" s="25">
        <v>0.12905762878720445</v>
      </c>
      <c r="NN349" s="25">
        <v>0.12905762878720445</v>
      </c>
      <c r="NO349" s="25">
        <v>0.12905762878720445</v>
      </c>
      <c r="NP349" s="25">
        <v>0.12905762878720445</v>
      </c>
      <c r="NQ349" s="25">
        <v>0.12905762878720445</v>
      </c>
      <c r="NR349" s="25">
        <v>0.12905762878720445</v>
      </c>
      <c r="NS349" s="25">
        <v>0.12905762878720445</v>
      </c>
      <c r="NT349" s="25">
        <v>0.12905762878720445</v>
      </c>
      <c r="NU349" s="25">
        <v>0.12905762878720445</v>
      </c>
      <c r="NV349" s="25">
        <v>0.12905762878720445</v>
      </c>
      <c r="NW349" s="25">
        <v>0.12905762878720445</v>
      </c>
      <c r="NX349" s="25">
        <v>0.12905762878720445</v>
      </c>
      <c r="NY349" s="25">
        <v>0.12841234064326842</v>
      </c>
      <c r="NZ349" s="25">
        <v>0.12841234064326842</v>
      </c>
      <c r="OA349" s="25">
        <v>0.12841234064326842</v>
      </c>
      <c r="OB349" s="25">
        <v>0.12841234064326842</v>
      </c>
      <c r="OC349" s="25">
        <v>0.12841234064326842</v>
      </c>
      <c r="OD349" s="25">
        <v>0.12841234064326842</v>
      </c>
      <c r="OE349" s="25">
        <v>0.12841234064326842</v>
      </c>
    </row>
    <row r="350" spans="1:395" s="261" customFormat="1" ht="13.8" customHeight="1" x14ac:dyDescent="0.3">
      <c r="A350" s="114"/>
      <c r="B350" s="114"/>
      <c r="C350" s="114"/>
      <c r="D350" s="119"/>
      <c r="E350"/>
      <c r="F350"/>
      <c r="G350"/>
      <c r="H350"/>
      <c r="I350"/>
      <c r="J350"/>
      <c r="K350"/>
      <c r="L350"/>
      <c r="M350"/>
      <c r="N350" s="25" t="s">
        <v>99</v>
      </c>
      <c r="O350" s="25"/>
      <c r="P350" s="27" t="s">
        <v>26</v>
      </c>
      <c r="Q350" s="25" cm="1">
        <f t="array" ref="Q350:OE350">_xlfn.ANCHORARRAY(Q348)*(1-_xlfn.ANCHORARRAY(Q349))</f>
        <v>26.206857638888888</v>
      </c>
      <c r="R350" s="25">
        <v>26.206857638888888</v>
      </c>
      <c r="S350" s="25">
        <v>26.206857638888888</v>
      </c>
      <c r="T350" s="25">
        <v>26.206857638888888</v>
      </c>
      <c r="U350" s="25">
        <v>26.206857638888888</v>
      </c>
      <c r="V350" s="25">
        <v>26.206857638888888</v>
      </c>
      <c r="W350" s="25">
        <v>26.206857638888888</v>
      </c>
      <c r="X350" s="25">
        <v>26.206857638888888</v>
      </c>
      <c r="Y350" s="25">
        <v>26.206857638888888</v>
      </c>
      <c r="Z350" s="25">
        <v>26.206857638888888</v>
      </c>
      <c r="AA350" s="25">
        <v>26.206857638888888</v>
      </c>
      <c r="AB350" s="25">
        <v>26.206857638888888</v>
      </c>
      <c r="AC350" s="25">
        <v>25.648930902777774</v>
      </c>
      <c r="AD350" s="25">
        <v>25.648930902777774</v>
      </c>
      <c r="AE350" s="25">
        <v>25.648930902777774</v>
      </c>
      <c r="AF350" s="25">
        <v>25.648930902777774</v>
      </c>
      <c r="AG350" s="25">
        <v>25.648930902777774</v>
      </c>
      <c r="AH350" s="25">
        <v>25.648930902777774</v>
      </c>
      <c r="AI350" s="25">
        <v>25.648930902777774</v>
      </c>
      <c r="AJ350" s="25">
        <v>25.648930902777774</v>
      </c>
      <c r="AK350" s="25">
        <v>25.648930902777774</v>
      </c>
      <c r="AL350" s="25">
        <v>25.648930902777774</v>
      </c>
      <c r="AM350" s="25">
        <v>25.648930902777774</v>
      </c>
      <c r="AN350" s="25">
        <v>25.648930902777774</v>
      </c>
      <c r="AO350" s="25">
        <v>25.09235272213542</v>
      </c>
      <c r="AP350" s="25">
        <v>25.09235272213542</v>
      </c>
      <c r="AQ350" s="25">
        <v>25.09235272213542</v>
      </c>
      <c r="AR350" s="25">
        <v>25.09235272213542</v>
      </c>
      <c r="AS350" s="25">
        <v>25.09235272213542</v>
      </c>
      <c r="AT350" s="25">
        <v>25.09235272213542</v>
      </c>
      <c r="AU350" s="25">
        <v>25.09235272213542</v>
      </c>
      <c r="AV350" s="25">
        <v>25.09235272213542</v>
      </c>
      <c r="AW350" s="25">
        <v>25.09235272213542</v>
      </c>
      <c r="AX350" s="25">
        <v>25.09235272213542</v>
      </c>
      <c r="AY350" s="25">
        <v>25.09235272213542</v>
      </c>
      <c r="AZ350" s="25">
        <v>25.09235272213542</v>
      </c>
      <c r="BA350" s="25">
        <v>24.537552100003904</v>
      </c>
      <c r="BB350" s="25">
        <v>24.537552100003904</v>
      </c>
      <c r="BC350" s="25">
        <v>24.537552100003904</v>
      </c>
      <c r="BD350" s="25">
        <v>24.537552100003904</v>
      </c>
      <c r="BE350" s="25">
        <v>24.537552100003904</v>
      </c>
      <c r="BF350" s="25">
        <v>24.537552100003904</v>
      </c>
      <c r="BG350" s="25">
        <v>24.537552100003904</v>
      </c>
      <c r="BH350" s="25">
        <v>24.537552100003904</v>
      </c>
      <c r="BI350" s="25">
        <v>24.537552100003904</v>
      </c>
      <c r="BJ350" s="25">
        <v>24.537552100003904</v>
      </c>
      <c r="BK350" s="25">
        <v>24.537552100003904</v>
      </c>
      <c r="BL350" s="25">
        <v>24.537552100003904</v>
      </c>
      <c r="BM350" s="25">
        <v>23.9841300734108</v>
      </c>
      <c r="BN350" s="25">
        <v>23.9841300734108</v>
      </c>
      <c r="BO350" s="25">
        <v>23.9841300734108</v>
      </c>
      <c r="BP350" s="25">
        <v>23.9841300734108</v>
      </c>
      <c r="BQ350" s="25">
        <v>23.9841300734108</v>
      </c>
      <c r="BR350" s="25">
        <v>23.9841300734108</v>
      </c>
      <c r="BS350" s="25">
        <v>23.9841300734108</v>
      </c>
      <c r="BT350" s="25">
        <v>23.9841300734108</v>
      </c>
      <c r="BU350" s="25">
        <v>23.9841300734108</v>
      </c>
      <c r="BV350" s="25">
        <v>23.9841300734108</v>
      </c>
      <c r="BW350" s="25">
        <v>23.9841300734108</v>
      </c>
      <c r="BX350" s="25">
        <v>23.9841300734108</v>
      </c>
      <c r="BY350" s="25">
        <v>23.431686121270438</v>
      </c>
      <c r="BZ350" s="25">
        <v>23.431686121270438</v>
      </c>
      <c r="CA350" s="25">
        <v>23.431686121270438</v>
      </c>
      <c r="CB350" s="25">
        <v>23.431686121270438</v>
      </c>
      <c r="CC350" s="25">
        <v>23.431686121270438</v>
      </c>
      <c r="CD350" s="25">
        <v>23.431686121270438</v>
      </c>
      <c r="CE350" s="25">
        <v>23.431686121270438</v>
      </c>
      <c r="CF350" s="25">
        <v>23.431686121270438</v>
      </c>
      <c r="CG350" s="25">
        <v>23.431686121270438</v>
      </c>
      <c r="CH350" s="25">
        <v>23.431686121270438</v>
      </c>
      <c r="CI350" s="25">
        <v>23.431686121270438</v>
      </c>
      <c r="CJ350" s="25">
        <v>23.431686121270438</v>
      </c>
      <c r="CK350" s="25">
        <v>22.880233537991717</v>
      </c>
      <c r="CL350" s="25">
        <v>22.880233537991717</v>
      </c>
      <c r="CM350" s="25">
        <v>22.880233537991717</v>
      </c>
      <c r="CN350" s="25">
        <v>22.880233537991717</v>
      </c>
      <c r="CO350" s="25">
        <v>22.880233537991717</v>
      </c>
      <c r="CP350" s="25">
        <v>22.880233537991717</v>
      </c>
      <c r="CQ350" s="25">
        <v>22.880233537991717</v>
      </c>
      <c r="CR350" s="25">
        <v>22.880233537991717</v>
      </c>
      <c r="CS350" s="25">
        <v>22.880233537991717</v>
      </c>
      <c r="CT350" s="25">
        <v>22.880233537991717</v>
      </c>
      <c r="CU350" s="25">
        <v>22.880233537991717</v>
      </c>
      <c r="CV350" s="25">
        <v>22.880233537991717</v>
      </c>
      <c r="CW350" s="25">
        <v>22.330201221026446</v>
      </c>
      <c r="CX350" s="25">
        <v>22.330201221026446</v>
      </c>
      <c r="CY350" s="25">
        <v>22.330201221026446</v>
      </c>
      <c r="CZ350" s="25">
        <v>22.330201221026446</v>
      </c>
      <c r="DA350" s="25">
        <v>22.330201221026446</v>
      </c>
      <c r="DB350" s="25">
        <v>22.330201221026446</v>
      </c>
      <c r="DC350" s="25">
        <v>22.330201221026446</v>
      </c>
      <c r="DD350" s="25">
        <v>22.330201221026446</v>
      </c>
      <c r="DE350" s="25">
        <v>22.330201221026446</v>
      </c>
      <c r="DF350" s="25">
        <v>22.330201221026446</v>
      </c>
      <c r="DG350" s="25">
        <v>22.330201221026446</v>
      </c>
      <c r="DH350" s="25">
        <v>22.330201221026446</v>
      </c>
      <c r="DI350" s="25">
        <v>21.78160331054692</v>
      </c>
      <c r="DJ350" s="25">
        <v>21.78160331054692</v>
      </c>
      <c r="DK350" s="25">
        <v>21.78160331054692</v>
      </c>
      <c r="DL350" s="25">
        <v>21.78160331054692</v>
      </c>
      <c r="DM350" s="25">
        <v>21.78160331054692</v>
      </c>
      <c r="DN350" s="25">
        <v>21.78160331054692</v>
      </c>
      <c r="DO350" s="25">
        <v>21.78160331054692</v>
      </c>
      <c r="DP350" s="25">
        <v>21.78160331054692</v>
      </c>
      <c r="DQ350" s="25">
        <v>21.78160331054692</v>
      </c>
      <c r="DR350" s="25">
        <v>21.78160331054692</v>
      </c>
      <c r="DS350" s="25">
        <v>21.78160331054692</v>
      </c>
      <c r="DT350" s="25">
        <v>21.78160331054692</v>
      </c>
      <c r="DU350" s="25">
        <v>21.233204599685283</v>
      </c>
      <c r="DV350" s="25">
        <v>21.233204599685283</v>
      </c>
      <c r="DW350" s="25">
        <v>21.233204599685283</v>
      </c>
      <c r="DX350" s="25">
        <v>21.233204599685283</v>
      </c>
      <c r="DY350" s="25">
        <v>21.233204599685283</v>
      </c>
      <c r="DZ350" s="25">
        <v>21.233204599685283</v>
      </c>
      <c r="EA350" s="25">
        <v>21.233204599685283</v>
      </c>
      <c r="EB350" s="25">
        <v>21.233204599685283</v>
      </c>
      <c r="EC350" s="25">
        <v>21.233204599685283</v>
      </c>
      <c r="ED350" s="25">
        <v>21.233204599685283</v>
      </c>
      <c r="EE350" s="25">
        <v>21.233204599685283</v>
      </c>
      <c r="EF350" s="25">
        <v>21.233204599685283</v>
      </c>
      <c r="EG350" s="25">
        <v>20.682098548526447</v>
      </c>
      <c r="EH350" s="25">
        <v>20.682098548526447</v>
      </c>
      <c r="EI350" s="25">
        <v>20.682098548526447</v>
      </c>
      <c r="EJ350" s="25">
        <v>20.682098548526447</v>
      </c>
      <c r="EK350" s="25">
        <v>20.682098548526447</v>
      </c>
      <c r="EL350" s="25">
        <v>20.682098548526447</v>
      </c>
      <c r="EM350" s="25">
        <v>20.682098548526447</v>
      </c>
      <c r="EN350" s="25">
        <v>20.682098548526447</v>
      </c>
      <c r="EO350" s="25">
        <v>20.682098548526447</v>
      </c>
      <c r="EP350" s="25">
        <v>20.682098548526447</v>
      </c>
      <c r="EQ350" s="25">
        <v>20.682098548526447</v>
      </c>
      <c r="ER350" s="25">
        <v>20.682098548526447</v>
      </c>
      <c r="ES350" s="25">
        <v>20.136213584734204</v>
      </c>
      <c r="ET350" s="25">
        <v>20.136213584734204</v>
      </c>
      <c r="EU350" s="25">
        <v>20.136213584734204</v>
      </c>
      <c r="EV350" s="25">
        <v>20.136213584734204</v>
      </c>
      <c r="EW350" s="25">
        <v>20.136213584734204</v>
      </c>
      <c r="EX350" s="25">
        <v>20.136213584734204</v>
      </c>
      <c r="EY350" s="25">
        <v>20.136213584734204</v>
      </c>
      <c r="EZ350" s="25">
        <v>20.136213584734204</v>
      </c>
      <c r="FA350" s="25">
        <v>20.136213584734204</v>
      </c>
      <c r="FB350" s="25">
        <v>20.136213584734204</v>
      </c>
      <c r="FC350" s="25">
        <v>20.136213584734204</v>
      </c>
      <c r="FD350" s="25">
        <v>20.136213584734204</v>
      </c>
      <c r="FE350" s="25">
        <v>19.590980816325256</v>
      </c>
      <c r="FF350" s="25">
        <v>19.590980816325256</v>
      </c>
      <c r="FG350" s="25">
        <v>19.590980816325256</v>
      </c>
      <c r="FH350" s="25">
        <v>19.590980816325256</v>
      </c>
      <c r="FI350" s="25">
        <v>19.590980816325256</v>
      </c>
      <c r="FJ350" s="25">
        <v>19.590980816325256</v>
      </c>
      <c r="FK350" s="25">
        <v>19.590980816325256</v>
      </c>
      <c r="FL350" s="25">
        <v>19.590980816325256</v>
      </c>
      <c r="FM350" s="25">
        <v>19.590980816325256</v>
      </c>
      <c r="FN350" s="25">
        <v>19.590980816325256</v>
      </c>
      <c r="FO350" s="25">
        <v>19.590980816325256</v>
      </c>
      <c r="FP350" s="25">
        <v>19.590980816325256</v>
      </c>
      <c r="FQ350" s="25">
        <v>19.04641177986425</v>
      </c>
      <c r="FR350" s="25">
        <v>19.04641177986425</v>
      </c>
      <c r="FS350" s="25">
        <v>19.04641177986425</v>
      </c>
      <c r="FT350" s="25">
        <v>19.04641177986425</v>
      </c>
      <c r="FU350" s="25">
        <v>19.04641177986425</v>
      </c>
      <c r="FV350" s="25">
        <v>19.04641177986425</v>
      </c>
      <c r="FW350" s="25">
        <v>19.04641177986425</v>
      </c>
      <c r="FX350" s="25">
        <v>19.04641177986425</v>
      </c>
      <c r="FY350" s="25">
        <v>19.04641177986425</v>
      </c>
      <c r="FZ350" s="25">
        <v>19.04641177986425</v>
      </c>
      <c r="GA350" s="25">
        <v>19.04641177986425</v>
      </c>
      <c r="GB350" s="25">
        <v>19.04641177986425</v>
      </c>
      <c r="GC350" s="25">
        <v>18.502936057988634</v>
      </c>
      <c r="GD350" s="25">
        <v>18.502936057988634</v>
      </c>
      <c r="GE350" s="25">
        <v>18.502936057988634</v>
      </c>
      <c r="GF350" s="25">
        <v>18.502936057988634</v>
      </c>
      <c r="GG350" s="25">
        <v>18.502936057988634</v>
      </c>
      <c r="GH350" s="25">
        <v>18.502936057988634</v>
      </c>
      <c r="GI350" s="25">
        <v>18.502936057988634</v>
      </c>
      <c r="GJ350" s="25">
        <v>18.502936057988634</v>
      </c>
      <c r="GK350" s="25">
        <v>18.502936057988634</v>
      </c>
      <c r="GL350" s="25">
        <v>18.502936057988634</v>
      </c>
      <c r="GM350" s="25">
        <v>18.502936057988634</v>
      </c>
      <c r="GN350" s="25">
        <v>18.502936057988634</v>
      </c>
      <c r="GO350" s="25">
        <v>17.960147551810262</v>
      </c>
      <c r="GP350" s="25">
        <v>17.960147551810262</v>
      </c>
      <c r="GQ350" s="25">
        <v>17.960147551810262</v>
      </c>
      <c r="GR350" s="25">
        <v>17.960147551810262</v>
      </c>
      <c r="GS350" s="25">
        <v>17.960147551810262</v>
      </c>
      <c r="GT350" s="25">
        <v>17.960147551810262</v>
      </c>
      <c r="GU350" s="25">
        <v>17.960147551810262</v>
      </c>
      <c r="GV350" s="25">
        <v>17.960147551810262</v>
      </c>
      <c r="GW350" s="25">
        <v>17.960147551810262</v>
      </c>
      <c r="GX350" s="25">
        <v>17.960147551810262</v>
      </c>
      <c r="GY350" s="25">
        <v>17.960147551810262</v>
      </c>
      <c r="GZ350" s="25">
        <v>17.960147551810262</v>
      </c>
      <c r="HA350" s="25">
        <v>17.418057524950502</v>
      </c>
      <c r="HB350" s="25">
        <v>17.418057524950502</v>
      </c>
      <c r="HC350" s="25">
        <v>17.418057524950502</v>
      </c>
      <c r="HD350" s="25">
        <v>17.418057524950502</v>
      </c>
      <c r="HE350" s="25">
        <v>17.418057524950502</v>
      </c>
      <c r="HF350" s="25">
        <v>17.418057524950502</v>
      </c>
      <c r="HG350" s="25">
        <v>17.418057524950502</v>
      </c>
      <c r="HH350" s="25">
        <v>17.418057524950502</v>
      </c>
      <c r="HI350" s="25">
        <v>17.418057524950502</v>
      </c>
      <c r="HJ350" s="25">
        <v>17.418057524950502</v>
      </c>
      <c r="HK350" s="25">
        <v>17.418057524950502</v>
      </c>
      <c r="HL350" s="25">
        <v>17.418057524950502</v>
      </c>
      <c r="HM350" s="25">
        <v>16.876258002526427</v>
      </c>
      <c r="HN350" s="25">
        <v>16.876258002526427</v>
      </c>
      <c r="HO350" s="25">
        <v>16.876258002526427</v>
      </c>
      <c r="HP350" s="25">
        <v>16.876258002526427</v>
      </c>
      <c r="HQ350" s="25">
        <v>16.876258002526427</v>
      </c>
      <c r="HR350" s="25">
        <v>16.876258002526427</v>
      </c>
      <c r="HS350" s="25">
        <v>16.876258002526427</v>
      </c>
      <c r="HT350" s="25">
        <v>16.876258002526427</v>
      </c>
      <c r="HU350" s="25">
        <v>16.876258002526427</v>
      </c>
      <c r="HV350" s="25">
        <v>16.876258002526427</v>
      </c>
      <c r="HW350" s="25">
        <v>16.876258002526427</v>
      </c>
      <c r="HX350" s="25">
        <v>16.876258002526427</v>
      </c>
      <c r="HY350" s="25">
        <v>16.335178553782832</v>
      </c>
      <c r="HZ350" s="25">
        <v>16.335178553782832</v>
      </c>
      <c r="IA350" s="25">
        <v>16.335178553782832</v>
      </c>
      <c r="IB350" s="25">
        <v>16.335178553782832</v>
      </c>
      <c r="IC350" s="25">
        <v>16.335178553782832</v>
      </c>
      <c r="ID350" s="25">
        <v>16.335178553782832</v>
      </c>
      <c r="IE350" s="25">
        <v>16.335178553782832</v>
      </c>
      <c r="IF350" s="25">
        <v>16.335178553782832</v>
      </c>
      <c r="IG350" s="25">
        <v>16.335178553782832</v>
      </c>
      <c r="IH350" s="25">
        <v>16.335178553782832</v>
      </c>
      <c r="II350" s="25">
        <v>16.335178553782832</v>
      </c>
      <c r="IJ350" s="25">
        <v>16.335178553782832</v>
      </c>
      <c r="IK350" s="25">
        <v>15.794410366880495</v>
      </c>
      <c r="IL350" s="25">
        <v>15.794410366880495</v>
      </c>
      <c r="IM350" s="25">
        <v>15.794410366880495</v>
      </c>
      <c r="IN350" s="25">
        <v>15.794410366880495</v>
      </c>
      <c r="IO350" s="25">
        <v>15.794410366880495</v>
      </c>
      <c r="IP350" s="25">
        <v>15.794410366880495</v>
      </c>
      <c r="IQ350" s="25">
        <v>15.794410366880495</v>
      </c>
      <c r="IR350" s="25">
        <v>15.794410366880495</v>
      </c>
      <c r="IS350" s="25">
        <v>15.794410366880495</v>
      </c>
      <c r="IT350" s="25">
        <v>15.794410366880495</v>
      </c>
      <c r="IU350" s="25">
        <v>15.794410366880495</v>
      </c>
      <c r="IV350" s="25">
        <v>15.794410366880495</v>
      </c>
      <c r="IW350" s="25">
        <v>15.254383517868259</v>
      </c>
      <c r="IX350" s="25">
        <v>15.254383517868259</v>
      </c>
      <c r="IY350" s="25">
        <v>15.254383517868259</v>
      </c>
      <c r="IZ350" s="25">
        <v>15.254383517868259</v>
      </c>
      <c r="JA350" s="25">
        <v>15.254383517868259</v>
      </c>
      <c r="JB350" s="25">
        <v>15.254383517868259</v>
      </c>
      <c r="JC350" s="25">
        <v>15.254383517868259</v>
      </c>
      <c r="JD350" s="25">
        <v>15.254383517868259</v>
      </c>
      <c r="JE350" s="25">
        <v>15.254383517868259</v>
      </c>
      <c r="JF350" s="25">
        <v>15.254383517868259</v>
      </c>
      <c r="JG350" s="25">
        <v>15.254383517868259</v>
      </c>
      <c r="JH350" s="25">
        <v>15.254383517868259</v>
      </c>
      <c r="JI350" s="25">
        <v>14.714688366989902</v>
      </c>
      <c r="JJ350" s="25">
        <v>14.714688366989902</v>
      </c>
      <c r="JK350" s="25">
        <v>14.714688366989902</v>
      </c>
      <c r="JL350" s="25">
        <v>14.714688366989902</v>
      </c>
      <c r="JM350" s="25">
        <v>14.714688366989902</v>
      </c>
      <c r="JN350" s="25">
        <v>14.714688366989902</v>
      </c>
      <c r="JO350" s="25">
        <v>14.714688366989902</v>
      </c>
      <c r="JP350" s="25">
        <v>14.714688366989902</v>
      </c>
      <c r="JQ350" s="25">
        <v>14.714688366989902</v>
      </c>
      <c r="JR350" s="25">
        <v>14.714688366989902</v>
      </c>
      <c r="JS350" s="25">
        <v>14.714688366989902</v>
      </c>
      <c r="JT350" s="25">
        <v>14.714688366989902</v>
      </c>
      <c r="JU350" s="25">
        <v>14.175755492729529</v>
      </c>
      <c r="JV350" s="25">
        <v>14.175755492729529</v>
      </c>
      <c r="JW350" s="25">
        <v>14.175755492729529</v>
      </c>
      <c r="JX350" s="25">
        <v>14.175755492729529</v>
      </c>
      <c r="JY350" s="25">
        <v>14.175755492729529</v>
      </c>
      <c r="JZ350" s="25">
        <v>14.175755492729529</v>
      </c>
      <c r="KA350" s="25">
        <v>14.175755492729529</v>
      </c>
      <c r="KB350" s="25">
        <v>14.175755492729529</v>
      </c>
      <c r="KC350" s="25">
        <v>14.175755492729529</v>
      </c>
      <c r="KD350" s="25">
        <v>14.175755492729529</v>
      </c>
      <c r="KE350" s="25">
        <v>14.175755492729529</v>
      </c>
      <c r="KF350" s="25">
        <v>14.175755492729529</v>
      </c>
      <c r="KG350" s="25">
        <v>13.636753301945843</v>
      </c>
      <c r="KH350" s="25">
        <v>13.636753301945843</v>
      </c>
      <c r="KI350" s="25">
        <v>13.636753301945843</v>
      </c>
      <c r="KJ350" s="25">
        <v>13.636753301945843</v>
      </c>
      <c r="KK350" s="25">
        <v>13.636753301945843</v>
      </c>
      <c r="KL350" s="25">
        <v>13.636753301945843</v>
      </c>
      <c r="KM350" s="25">
        <v>13.636753301945843</v>
      </c>
      <c r="KN350" s="25">
        <v>13.636753301945843</v>
      </c>
      <c r="KO350" s="25">
        <v>13.636753301945843</v>
      </c>
      <c r="KP350" s="25">
        <v>13.636753301945843</v>
      </c>
      <c r="KQ350" s="25">
        <v>13.636753301945843</v>
      </c>
      <c r="KR350" s="25">
        <v>13.636753301945843</v>
      </c>
      <c r="KS350" s="25">
        <v>13.098111896574467</v>
      </c>
      <c r="KT350" s="25">
        <v>13.098111896574467</v>
      </c>
      <c r="KU350" s="25">
        <v>13.098111896574467</v>
      </c>
      <c r="KV350" s="25">
        <v>13.098111896574467</v>
      </c>
      <c r="KW350" s="25">
        <v>13.098111896574467</v>
      </c>
      <c r="KX350" s="25">
        <v>13.098111896574467</v>
      </c>
      <c r="KY350" s="25">
        <v>13.098111896574467</v>
      </c>
      <c r="KZ350" s="25">
        <v>13.098111896574467</v>
      </c>
      <c r="LA350" s="25">
        <v>13.098111896574467</v>
      </c>
      <c r="LB350" s="25">
        <v>13.098111896574467</v>
      </c>
      <c r="LC350" s="25">
        <v>13.098111896574467</v>
      </c>
      <c r="LD350" s="25">
        <v>13.098111896574467</v>
      </c>
      <c r="LE350" s="25">
        <v>12.559840825398895</v>
      </c>
      <c r="LF350" s="25">
        <v>12.559840825398895</v>
      </c>
      <c r="LG350" s="25">
        <v>12.559840825398895</v>
      </c>
      <c r="LH350" s="25">
        <v>12.559840825398895</v>
      </c>
      <c r="LI350" s="25">
        <v>12.559840825398895</v>
      </c>
      <c r="LJ350" s="25">
        <v>12.559840825398895</v>
      </c>
      <c r="LK350" s="25">
        <v>12.559840825398895</v>
      </c>
      <c r="LL350" s="25">
        <v>12.559840825398895</v>
      </c>
      <c r="LM350" s="25">
        <v>12.559840825398895</v>
      </c>
      <c r="LN350" s="25">
        <v>12.559840825398895</v>
      </c>
      <c r="LO350" s="25">
        <v>12.559840825398895</v>
      </c>
      <c r="LP350" s="25">
        <v>12.559840825398895</v>
      </c>
      <c r="LQ350" s="25">
        <v>12.021527460110049</v>
      </c>
      <c r="LR350" s="25">
        <v>12.021527460110049</v>
      </c>
      <c r="LS350" s="25">
        <v>12.021527460110049</v>
      </c>
      <c r="LT350" s="25">
        <v>12.021527460110049</v>
      </c>
      <c r="LU350" s="25">
        <v>12.021527460110049</v>
      </c>
      <c r="LV350" s="25">
        <v>12.021527460110049</v>
      </c>
      <c r="LW350" s="25">
        <v>12.021527460110049</v>
      </c>
      <c r="LX350" s="25">
        <v>12.021527460110049</v>
      </c>
      <c r="LY350" s="25">
        <v>12.021527460110049</v>
      </c>
      <c r="LZ350" s="25">
        <v>12.021527460110049</v>
      </c>
      <c r="MA350" s="25">
        <v>12.021527460110049</v>
      </c>
      <c r="MB350" s="25">
        <v>12.021527460110049</v>
      </c>
      <c r="MC350" s="25">
        <v>11.484025092564341</v>
      </c>
      <c r="MD350" s="25">
        <v>11.484025092564341</v>
      </c>
      <c r="ME350" s="25">
        <v>11.484025092564341</v>
      </c>
      <c r="MF350" s="25">
        <v>11.484025092564341</v>
      </c>
      <c r="MG350" s="25">
        <v>11.484025092564341</v>
      </c>
      <c r="MH350" s="25">
        <v>11.484025092564341</v>
      </c>
      <c r="MI350" s="25">
        <v>11.484025092564341</v>
      </c>
      <c r="MJ350" s="25">
        <v>11.484025092564341</v>
      </c>
      <c r="MK350" s="25">
        <v>11.484025092564341</v>
      </c>
      <c r="ML350" s="25">
        <v>11.484025092564341</v>
      </c>
      <c r="MM350" s="25">
        <v>11.484025092564341</v>
      </c>
      <c r="MN350" s="25">
        <v>11.484025092564341</v>
      </c>
      <c r="MO350" s="25">
        <v>10.946075786504439</v>
      </c>
      <c r="MP350" s="25">
        <v>10.946075786504439</v>
      </c>
      <c r="MQ350" s="25">
        <v>10.946075786504439</v>
      </c>
      <c r="MR350" s="25">
        <v>10.946075786504439</v>
      </c>
      <c r="MS350" s="25">
        <v>10.946075786504439</v>
      </c>
      <c r="MT350" s="25">
        <v>10.946075786504439</v>
      </c>
      <c r="MU350" s="25">
        <v>10.946075786504439</v>
      </c>
      <c r="MV350" s="25">
        <v>10.946075786504439</v>
      </c>
      <c r="MW350" s="25">
        <v>10.946075786504439</v>
      </c>
      <c r="MX350" s="25">
        <v>10.946075786504439</v>
      </c>
      <c r="MY350" s="25">
        <v>10.946075786504439</v>
      </c>
      <c r="MZ350" s="25">
        <v>10.946075786504439</v>
      </c>
      <c r="NA350" s="25">
        <v>10.408533020145089</v>
      </c>
      <c r="NB350" s="25">
        <v>10.408533020145089</v>
      </c>
      <c r="NC350" s="25">
        <v>10.408533020145089</v>
      </c>
      <c r="ND350" s="25">
        <v>10.408533020145089</v>
      </c>
      <c r="NE350" s="25">
        <v>10.408533020145089</v>
      </c>
      <c r="NF350" s="25">
        <v>10.408533020145089</v>
      </c>
      <c r="NG350" s="25">
        <v>10.408533020145089</v>
      </c>
      <c r="NH350" s="25">
        <v>10.408533020145089</v>
      </c>
      <c r="NI350" s="25">
        <v>10.408533020145089</v>
      </c>
      <c r="NJ350" s="25">
        <v>10.408533020145089</v>
      </c>
      <c r="NK350" s="25">
        <v>10.408533020145089</v>
      </c>
      <c r="NL350" s="25">
        <v>10.408533020145089</v>
      </c>
      <c r="NM350" s="25">
        <v>9.8709826176239091</v>
      </c>
      <c r="NN350" s="25">
        <v>9.8709826176239091</v>
      </c>
      <c r="NO350" s="25">
        <v>9.8709826176239091</v>
      </c>
      <c r="NP350" s="25">
        <v>9.8709826176239091</v>
      </c>
      <c r="NQ350" s="25">
        <v>9.8709826176239091</v>
      </c>
      <c r="NR350" s="25">
        <v>9.8709826176239091</v>
      </c>
      <c r="NS350" s="25">
        <v>9.8709826176239091</v>
      </c>
      <c r="NT350" s="25">
        <v>9.8709826176239091</v>
      </c>
      <c r="NU350" s="25">
        <v>9.8709826176239091</v>
      </c>
      <c r="NV350" s="25">
        <v>9.8709826176239091</v>
      </c>
      <c r="NW350" s="25">
        <v>9.8709826176239091</v>
      </c>
      <c r="NX350" s="25">
        <v>9.8709826176239091</v>
      </c>
      <c r="NY350" s="25">
        <v>9.3334327663740311</v>
      </c>
      <c r="NZ350" s="25">
        <v>9.3334327663740311</v>
      </c>
      <c r="OA350" s="25">
        <v>9.3334327663740311</v>
      </c>
      <c r="OB350" s="25">
        <v>9.3334327663740311</v>
      </c>
      <c r="OC350" s="25">
        <v>9.3334327663740311</v>
      </c>
      <c r="OD350" s="25">
        <v>9.3334327663740311</v>
      </c>
      <c r="OE350" s="25">
        <v>9.3334327663740311</v>
      </c>
    </row>
    <row r="351" spans="1:395" ht="13.8" customHeight="1" outlineLevel="1" x14ac:dyDescent="0.3">
      <c r="D351" s="119"/>
      <c r="N351" s="25" t="s">
        <v>77</v>
      </c>
      <c r="O351" s="25"/>
      <c r="P351" s="27" t="s">
        <v>31</v>
      </c>
      <c r="Q351" s="25" cm="1">
        <f t="array" ref="Q351:OE351">_xlfn.ANCHORARRAY(Q1)*E381/8760</f>
        <v>0.9817351598173516</v>
      </c>
      <c r="R351" s="25">
        <v>0.9817351598173516</v>
      </c>
      <c r="S351" s="25">
        <v>0.9817351598173516</v>
      </c>
      <c r="T351" s="25">
        <v>0.9817351598173516</v>
      </c>
      <c r="U351" s="25">
        <v>0.9817351598173516</v>
      </c>
      <c r="V351" s="25">
        <v>0.9817351598173516</v>
      </c>
      <c r="W351" s="25">
        <v>0.9817351598173516</v>
      </c>
      <c r="X351" s="25">
        <v>0.9817351598173516</v>
      </c>
      <c r="Y351" s="25">
        <v>0.9817351598173516</v>
      </c>
      <c r="Z351" s="25">
        <v>0.9817351598173516</v>
      </c>
      <c r="AA351" s="25">
        <v>0.9817351598173516</v>
      </c>
      <c r="AB351" s="25">
        <v>0.9817351598173516</v>
      </c>
      <c r="AC351" s="25">
        <v>0.9817351598173516</v>
      </c>
      <c r="AD351" s="25">
        <v>0.9817351598173516</v>
      </c>
      <c r="AE351" s="25">
        <v>0.9817351598173516</v>
      </c>
      <c r="AF351" s="25">
        <v>0.9817351598173516</v>
      </c>
      <c r="AG351" s="25">
        <v>0.9817351598173516</v>
      </c>
      <c r="AH351" s="25">
        <v>0.9817351598173516</v>
      </c>
      <c r="AI351" s="25">
        <v>0.9817351598173516</v>
      </c>
      <c r="AJ351" s="25">
        <v>0.9817351598173516</v>
      </c>
      <c r="AK351" s="25">
        <v>0.9817351598173516</v>
      </c>
      <c r="AL351" s="25">
        <v>0.9817351598173516</v>
      </c>
      <c r="AM351" s="25">
        <v>0.9817351598173516</v>
      </c>
      <c r="AN351" s="25">
        <v>0.9817351598173516</v>
      </c>
      <c r="AO351" s="25">
        <v>0.9817351598173516</v>
      </c>
      <c r="AP351" s="25">
        <v>0.9817351598173516</v>
      </c>
      <c r="AQ351" s="25">
        <v>0.9817351598173516</v>
      </c>
      <c r="AR351" s="25">
        <v>0.9817351598173516</v>
      </c>
      <c r="AS351" s="25">
        <v>0.9817351598173516</v>
      </c>
      <c r="AT351" s="25">
        <v>0.9817351598173516</v>
      </c>
      <c r="AU351" s="25">
        <v>0.9817351598173516</v>
      </c>
      <c r="AV351" s="25">
        <v>0.9817351598173516</v>
      </c>
      <c r="AW351" s="25">
        <v>0.9817351598173516</v>
      </c>
      <c r="AX351" s="25">
        <v>0.9817351598173516</v>
      </c>
      <c r="AY351" s="25">
        <v>0.9817351598173516</v>
      </c>
      <c r="AZ351" s="25">
        <v>0.9817351598173516</v>
      </c>
      <c r="BA351" s="25">
        <v>0.9817351598173516</v>
      </c>
      <c r="BB351" s="25">
        <v>0.9817351598173516</v>
      </c>
      <c r="BC351" s="25">
        <v>0.9817351598173516</v>
      </c>
      <c r="BD351" s="25">
        <v>0.9817351598173516</v>
      </c>
      <c r="BE351" s="25">
        <v>0.9817351598173516</v>
      </c>
      <c r="BF351" s="25">
        <v>0.9817351598173516</v>
      </c>
      <c r="BG351" s="25">
        <v>0.9817351598173516</v>
      </c>
      <c r="BH351" s="25">
        <v>0.9817351598173516</v>
      </c>
      <c r="BI351" s="25">
        <v>0.9817351598173516</v>
      </c>
      <c r="BJ351" s="25">
        <v>0.9817351598173516</v>
      </c>
      <c r="BK351" s="25">
        <v>0.9817351598173516</v>
      </c>
      <c r="BL351" s="25">
        <v>0.9817351598173516</v>
      </c>
      <c r="BM351" s="25">
        <v>0.9817351598173516</v>
      </c>
      <c r="BN351" s="25">
        <v>0.9817351598173516</v>
      </c>
      <c r="BO351" s="25">
        <v>0.9817351598173516</v>
      </c>
      <c r="BP351" s="25">
        <v>0.9817351598173516</v>
      </c>
      <c r="BQ351" s="25">
        <v>0.9817351598173516</v>
      </c>
      <c r="BR351" s="25">
        <v>0.9817351598173516</v>
      </c>
      <c r="BS351" s="25">
        <v>0.9817351598173516</v>
      </c>
      <c r="BT351" s="25">
        <v>0.9817351598173516</v>
      </c>
      <c r="BU351" s="25">
        <v>0.9817351598173516</v>
      </c>
      <c r="BV351" s="25">
        <v>0.9817351598173516</v>
      </c>
      <c r="BW351" s="25">
        <v>0.9817351598173516</v>
      </c>
      <c r="BX351" s="25">
        <v>0.9817351598173516</v>
      </c>
      <c r="BY351" s="25">
        <v>0.9817351598173516</v>
      </c>
      <c r="BZ351" s="25">
        <v>0.9817351598173516</v>
      </c>
      <c r="CA351" s="25">
        <v>0.9817351598173516</v>
      </c>
      <c r="CB351" s="25">
        <v>0.9817351598173516</v>
      </c>
      <c r="CC351" s="25">
        <v>0.9817351598173516</v>
      </c>
      <c r="CD351" s="25">
        <v>0.9817351598173516</v>
      </c>
      <c r="CE351" s="25">
        <v>0.9817351598173516</v>
      </c>
      <c r="CF351" s="25">
        <v>0.9817351598173516</v>
      </c>
      <c r="CG351" s="25">
        <v>0.9817351598173516</v>
      </c>
      <c r="CH351" s="25">
        <v>0.9817351598173516</v>
      </c>
      <c r="CI351" s="25">
        <v>0.9817351598173516</v>
      </c>
      <c r="CJ351" s="25">
        <v>0.9817351598173516</v>
      </c>
      <c r="CK351" s="25">
        <v>0.9817351598173516</v>
      </c>
      <c r="CL351" s="25">
        <v>0.9817351598173516</v>
      </c>
      <c r="CM351" s="25">
        <v>0.9817351598173516</v>
      </c>
      <c r="CN351" s="25">
        <v>0.9817351598173516</v>
      </c>
      <c r="CO351" s="25">
        <v>0.9817351598173516</v>
      </c>
      <c r="CP351" s="25">
        <v>0.9817351598173516</v>
      </c>
      <c r="CQ351" s="25">
        <v>0.9817351598173516</v>
      </c>
      <c r="CR351" s="25">
        <v>0.9817351598173516</v>
      </c>
      <c r="CS351" s="25">
        <v>0.9817351598173516</v>
      </c>
      <c r="CT351" s="25">
        <v>0.9817351598173516</v>
      </c>
      <c r="CU351" s="25">
        <v>0.9817351598173516</v>
      </c>
      <c r="CV351" s="25">
        <v>0.9817351598173516</v>
      </c>
      <c r="CW351" s="25">
        <v>0.9817351598173516</v>
      </c>
      <c r="CX351" s="25">
        <v>0.9817351598173516</v>
      </c>
      <c r="CY351" s="25">
        <v>0.9817351598173516</v>
      </c>
      <c r="CZ351" s="25">
        <v>0.9817351598173516</v>
      </c>
      <c r="DA351" s="25">
        <v>0.9817351598173516</v>
      </c>
      <c r="DB351" s="25">
        <v>0.9817351598173516</v>
      </c>
      <c r="DC351" s="25">
        <v>0.9817351598173516</v>
      </c>
      <c r="DD351" s="25">
        <v>0.9817351598173516</v>
      </c>
      <c r="DE351" s="25">
        <v>0.9817351598173516</v>
      </c>
      <c r="DF351" s="25">
        <v>0.9817351598173516</v>
      </c>
      <c r="DG351" s="25">
        <v>0.9817351598173516</v>
      </c>
      <c r="DH351" s="25">
        <v>0.9817351598173516</v>
      </c>
      <c r="DI351" s="25">
        <v>0.9817351598173516</v>
      </c>
      <c r="DJ351" s="25">
        <v>0.9817351598173516</v>
      </c>
      <c r="DK351" s="25">
        <v>0.9817351598173516</v>
      </c>
      <c r="DL351" s="25">
        <v>0.9817351598173516</v>
      </c>
      <c r="DM351" s="25">
        <v>0.9817351598173516</v>
      </c>
      <c r="DN351" s="25">
        <v>0.9817351598173516</v>
      </c>
      <c r="DO351" s="25">
        <v>0.9817351598173516</v>
      </c>
      <c r="DP351" s="25">
        <v>0.9817351598173516</v>
      </c>
      <c r="DQ351" s="25">
        <v>0.9817351598173516</v>
      </c>
      <c r="DR351" s="25">
        <v>0.9817351598173516</v>
      </c>
      <c r="DS351" s="25">
        <v>0.9817351598173516</v>
      </c>
      <c r="DT351" s="25">
        <v>0.9817351598173516</v>
      </c>
      <c r="DU351" s="25">
        <v>0.9817351598173516</v>
      </c>
      <c r="DV351" s="25">
        <v>0.9817351598173516</v>
      </c>
      <c r="DW351" s="25">
        <v>0.9817351598173516</v>
      </c>
      <c r="DX351" s="25">
        <v>0.9817351598173516</v>
      </c>
      <c r="DY351" s="25">
        <v>0.9817351598173516</v>
      </c>
      <c r="DZ351" s="25">
        <v>0.9817351598173516</v>
      </c>
      <c r="EA351" s="25">
        <v>0.9817351598173516</v>
      </c>
      <c r="EB351" s="25">
        <v>0.9817351598173516</v>
      </c>
      <c r="EC351" s="25">
        <v>0.9817351598173516</v>
      </c>
      <c r="ED351" s="25">
        <v>0.9817351598173516</v>
      </c>
      <c r="EE351" s="25">
        <v>0.9817351598173516</v>
      </c>
      <c r="EF351" s="25">
        <v>0.9817351598173516</v>
      </c>
      <c r="EG351" s="25">
        <v>0.9817351598173516</v>
      </c>
      <c r="EH351" s="25">
        <v>0.9817351598173516</v>
      </c>
      <c r="EI351" s="25">
        <v>0.9817351598173516</v>
      </c>
      <c r="EJ351" s="25">
        <v>0.9817351598173516</v>
      </c>
      <c r="EK351" s="25">
        <v>0.9817351598173516</v>
      </c>
      <c r="EL351" s="25">
        <v>0.9817351598173516</v>
      </c>
      <c r="EM351" s="25">
        <v>0.9817351598173516</v>
      </c>
      <c r="EN351" s="25">
        <v>0.9817351598173516</v>
      </c>
      <c r="EO351" s="25">
        <v>0.9817351598173516</v>
      </c>
      <c r="EP351" s="25">
        <v>0.9817351598173516</v>
      </c>
      <c r="EQ351" s="25">
        <v>0.9817351598173516</v>
      </c>
      <c r="ER351" s="25">
        <v>0.9817351598173516</v>
      </c>
      <c r="ES351" s="25">
        <v>0.9817351598173516</v>
      </c>
      <c r="ET351" s="25">
        <v>0.9817351598173516</v>
      </c>
      <c r="EU351" s="25">
        <v>0.9817351598173516</v>
      </c>
      <c r="EV351" s="25">
        <v>0.9817351598173516</v>
      </c>
      <c r="EW351" s="25">
        <v>0.9817351598173516</v>
      </c>
      <c r="EX351" s="25">
        <v>0.9817351598173516</v>
      </c>
      <c r="EY351" s="25">
        <v>0.9817351598173516</v>
      </c>
      <c r="EZ351" s="25">
        <v>0.9817351598173516</v>
      </c>
      <c r="FA351" s="25">
        <v>0.9817351598173516</v>
      </c>
      <c r="FB351" s="25">
        <v>0.9817351598173516</v>
      </c>
      <c r="FC351" s="25">
        <v>0.9817351598173516</v>
      </c>
      <c r="FD351" s="25">
        <v>0.9817351598173516</v>
      </c>
      <c r="FE351" s="25">
        <v>0.9817351598173516</v>
      </c>
      <c r="FF351" s="25">
        <v>0.9817351598173516</v>
      </c>
      <c r="FG351" s="25">
        <v>0.9817351598173516</v>
      </c>
      <c r="FH351" s="25">
        <v>0.9817351598173516</v>
      </c>
      <c r="FI351" s="25">
        <v>0.9817351598173516</v>
      </c>
      <c r="FJ351" s="25">
        <v>0.9817351598173516</v>
      </c>
      <c r="FK351" s="25">
        <v>0.9817351598173516</v>
      </c>
      <c r="FL351" s="25">
        <v>0.9817351598173516</v>
      </c>
      <c r="FM351" s="25">
        <v>0.9817351598173516</v>
      </c>
      <c r="FN351" s="25">
        <v>0.9817351598173516</v>
      </c>
      <c r="FO351" s="25">
        <v>0.9817351598173516</v>
      </c>
      <c r="FP351" s="25">
        <v>0.9817351598173516</v>
      </c>
      <c r="FQ351" s="25">
        <v>0.9817351598173516</v>
      </c>
      <c r="FR351" s="25">
        <v>0.9817351598173516</v>
      </c>
      <c r="FS351" s="25">
        <v>0.9817351598173516</v>
      </c>
      <c r="FT351" s="25">
        <v>0.9817351598173516</v>
      </c>
      <c r="FU351" s="25">
        <v>0.9817351598173516</v>
      </c>
      <c r="FV351" s="25">
        <v>0.9817351598173516</v>
      </c>
      <c r="FW351" s="25">
        <v>0.9817351598173516</v>
      </c>
      <c r="FX351" s="25">
        <v>0.9817351598173516</v>
      </c>
      <c r="FY351" s="25">
        <v>0.9817351598173516</v>
      </c>
      <c r="FZ351" s="25">
        <v>0.9817351598173516</v>
      </c>
      <c r="GA351" s="25">
        <v>0.9817351598173516</v>
      </c>
      <c r="GB351" s="25">
        <v>0.9817351598173516</v>
      </c>
      <c r="GC351" s="25">
        <v>0.9817351598173516</v>
      </c>
      <c r="GD351" s="25">
        <v>0.9817351598173516</v>
      </c>
      <c r="GE351" s="25">
        <v>0.9817351598173516</v>
      </c>
      <c r="GF351" s="25">
        <v>0.9817351598173516</v>
      </c>
      <c r="GG351" s="25">
        <v>0.9817351598173516</v>
      </c>
      <c r="GH351" s="25">
        <v>0.9817351598173516</v>
      </c>
      <c r="GI351" s="25">
        <v>0.9817351598173516</v>
      </c>
      <c r="GJ351" s="25">
        <v>0.9817351598173516</v>
      </c>
      <c r="GK351" s="25">
        <v>0.9817351598173516</v>
      </c>
      <c r="GL351" s="25">
        <v>0.9817351598173516</v>
      </c>
      <c r="GM351" s="25">
        <v>0.9817351598173516</v>
      </c>
      <c r="GN351" s="25">
        <v>0.9817351598173516</v>
      </c>
      <c r="GO351" s="25">
        <v>0.9817351598173516</v>
      </c>
      <c r="GP351" s="25">
        <v>0.9817351598173516</v>
      </c>
      <c r="GQ351" s="25">
        <v>0.9817351598173516</v>
      </c>
      <c r="GR351" s="25">
        <v>0.9817351598173516</v>
      </c>
      <c r="GS351" s="25">
        <v>0.9817351598173516</v>
      </c>
      <c r="GT351" s="25">
        <v>0.9817351598173516</v>
      </c>
      <c r="GU351" s="25">
        <v>0.9817351598173516</v>
      </c>
      <c r="GV351" s="25">
        <v>0.9817351598173516</v>
      </c>
      <c r="GW351" s="25">
        <v>0.9817351598173516</v>
      </c>
      <c r="GX351" s="25">
        <v>0.9817351598173516</v>
      </c>
      <c r="GY351" s="25">
        <v>0.9817351598173516</v>
      </c>
      <c r="GZ351" s="25">
        <v>0.9817351598173516</v>
      </c>
      <c r="HA351" s="25">
        <v>0.9817351598173516</v>
      </c>
      <c r="HB351" s="25">
        <v>0.9817351598173516</v>
      </c>
      <c r="HC351" s="25">
        <v>0.9817351598173516</v>
      </c>
      <c r="HD351" s="25">
        <v>0.9817351598173516</v>
      </c>
      <c r="HE351" s="25">
        <v>0.9817351598173516</v>
      </c>
      <c r="HF351" s="25">
        <v>0.9817351598173516</v>
      </c>
      <c r="HG351" s="25">
        <v>0.9817351598173516</v>
      </c>
      <c r="HH351" s="25">
        <v>0.9817351598173516</v>
      </c>
      <c r="HI351" s="25">
        <v>0.9817351598173516</v>
      </c>
      <c r="HJ351" s="25">
        <v>0.9817351598173516</v>
      </c>
      <c r="HK351" s="25">
        <v>0.9817351598173516</v>
      </c>
      <c r="HL351" s="25">
        <v>0.9817351598173516</v>
      </c>
      <c r="HM351" s="25">
        <v>0.9817351598173516</v>
      </c>
      <c r="HN351" s="25">
        <v>0.9817351598173516</v>
      </c>
      <c r="HO351" s="25">
        <v>0.9817351598173516</v>
      </c>
      <c r="HP351" s="25">
        <v>0.9817351598173516</v>
      </c>
      <c r="HQ351" s="25">
        <v>0.9817351598173516</v>
      </c>
      <c r="HR351" s="25">
        <v>0.9817351598173516</v>
      </c>
      <c r="HS351" s="25">
        <v>0.9817351598173516</v>
      </c>
      <c r="HT351" s="25">
        <v>0.9817351598173516</v>
      </c>
      <c r="HU351" s="25">
        <v>0.9817351598173516</v>
      </c>
      <c r="HV351" s="25">
        <v>0.9817351598173516</v>
      </c>
      <c r="HW351" s="25">
        <v>0.9817351598173516</v>
      </c>
      <c r="HX351" s="25">
        <v>0.9817351598173516</v>
      </c>
      <c r="HY351" s="25">
        <v>0.9817351598173516</v>
      </c>
      <c r="HZ351" s="25">
        <v>0.9817351598173516</v>
      </c>
      <c r="IA351" s="25">
        <v>0.9817351598173516</v>
      </c>
      <c r="IB351" s="25">
        <v>0.9817351598173516</v>
      </c>
      <c r="IC351" s="25">
        <v>0.9817351598173516</v>
      </c>
      <c r="ID351" s="25">
        <v>0.9817351598173516</v>
      </c>
      <c r="IE351" s="25">
        <v>0.9817351598173516</v>
      </c>
      <c r="IF351" s="25">
        <v>0.9817351598173516</v>
      </c>
      <c r="IG351" s="25">
        <v>0.9817351598173516</v>
      </c>
      <c r="IH351" s="25">
        <v>0.9817351598173516</v>
      </c>
      <c r="II351" s="25">
        <v>0.9817351598173516</v>
      </c>
      <c r="IJ351" s="25">
        <v>0.9817351598173516</v>
      </c>
      <c r="IK351" s="25">
        <v>0.9817351598173516</v>
      </c>
      <c r="IL351" s="25">
        <v>0.9817351598173516</v>
      </c>
      <c r="IM351" s="25">
        <v>0.9817351598173516</v>
      </c>
      <c r="IN351" s="25">
        <v>0.9817351598173516</v>
      </c>
      <c r="IO351" s="25">
        <v>0.9817351598173516</v>
      </c>
      <c r="IP351" s="25">
        <v>0.9817351598173516</v>
      </c>
      <c r="IQ351" s="25">
        <v>0.9817351598173516</v>
      </c>
      <c r="IR351" s="25">
        <v>0.9817351598173516</v>
      </c>
      <c r="IS351" s="25">
        <v>0.9817351598173516</v>
      </c>
      <c r="IT351" s="25">
        <v>0.9817351598173516</v>
      </c>
      <c r="IU351" s="25">
        <v>0.9817351598173516</v>
      </c>
      <c r="IV351" s="25">
        <v>0.9817351598173516</v>
      </c>
      <c r="IW351" s="25">
        <v>0.9817351598173516</v>
      </c>
      <c r="IX351" s="25">
        <v>0.9817351598173516</v>
      </c>
      <c r="IY351" s="25">
        <v>0.9817351598173516</v>
      </c>
      <c r="IZ351" s="25">
        <v>0.9817351598173516</v>
      </c>
      <c r="JA351" s="25">
        <v>0.9817351598173516</v>
      </c>
      <c r="JB351" s="25">
        <v>0.9817351598173516</v>
      </c>
      <c r="JC351" s="25">
        <v>0.9817351598173516</v>
      </c>
      <c r="JD351" s="25">
        <v>0.9817351598173516</v>
      </c>
      <c r="JE351" s="25">
        <v>0.9817351598173516</v>
      </c>
      <c r="JF351" s="25">
        <v>0.9817351598173516</v>
      </c>
      <c r="JG351" s="25">
        <v>0.9817351598173516</v>
      </c>
      <c r="JH351" s="25">
        <v>0.9817351598173516</v>
      </c>
      <c r="JI351" s="25">
        <v>0.9817351598173516</v>
      </c>
      <c r="JJ351" s="25">
        <v>0.9817351598173516</v>
      </c>
      <c r="JK351" s="25">
        <v>0.9817351598173516</v>
      </c>
      <c r="JL351" s="25">
        <v>0.9817351598173516</v>
      </c>
      <c r="JM351" s="25">
        <v>0.9817351598173516</v>
      </c>
      <c r="JN351" s="25">
        <v>0.9817351598173516</v>
      </c>
      <c r="JO351" s="25">
        <v>0.9817351598173516</v>
      </c>
      <c r="JP351" s="25">
        <v>0.9817351598173516</v>
      </c>
      <c r="JQ351" s="25">
        <v>0.9817351598173516</v>
      </c>
      <c r="JR351" s="25">
        <v>0.9817351598173516</v>
      </c>
      <c r="JS351" s="25">
        <v>0.9817351598173516</v>
      </c>
      <c r="JT351" s="25">
        <v>0.9817351598173516</v>
      </c>
      <c r="JU351" s="25">
        <v>0.9817351598173516</v>
      </c>
      <c r="JV351" s="25">
        <v>0.9817351598173516</v>
      </c>
      <c r="JW351" s="25">
        <v>0.9817351598173516</v>
      </c>
      <c r="JX351" s="25">
        <v>0.9817351598173516</v>
      </c>
      <c r="JY351" s="25">
        <v>0.9817351598173516</v>
      </c>
      <c r="JZ351" s="25">
        <v>0.9817351598173516</v>
      </c>
      <c r="KA351" s="25">
        <v>0.9817351598173516</v>
      </c>
      <c r="KB351" s="25">
        <v>0.9817351598173516</v>
      </c>
      <c r="KC351" s="25">
        <v>0.9817351598173516</v>
      </c>
      <c r="KD351" s="25">
        <v>0.9817351598173516</v>
      </c>
      <c r="KE351" s="25">
        <v>0.9817351598173516</v>
      </c>
      <c r="KF351" s="25">
        <v>0.9817351598173516</v>
      </c>
      <c r="KG351" s="25">
        <v>0.9817351598173516</v>
      </c>
      <c r="KH351" s="25">
        <v>0.9817351598173516</v>
      </c>
      <c r="KI351" s="25">
        <v>0.9817351598173516</v>
      </c>
      <c r="KJ351" s="25">
        <v>0.9817351598173516</v>
      </c>
      <c r="KK351" s="25">
        <v>0.9817351598173516</v>
      </c>
      <c r="KL351" s="25">
        <v>0.9817351598173516</v>
      </c>
      <c r="KM351" s="25">
        <v>0.9817351598173516</v>
      </c>
      <c r="KN351" s="25">
        <v>0.9817351598173516</v>
      </c>
      <c r="KO351" s="25">
        <v>0.9817351598173516</v>
      </c>
      <c r="KP351" s="25">
        <v>0.9817351598173516</v>
      </c>
      <c r="KQ351" s="25">
        <v>0.9817351598173516</v>
      </c>
      <c r="KR351" s="25">
        <v>0.9817351598173516</v>
      </c>
      <c r="KS351" s="25">
        <v>0.9817351598173516</v>
      </c>
      <c r="KT351" s="25">
        <v>0.9817351598173516</v>
      </c>
      <c r="KU351" s="25">
        <v>0.9817351598173516</v>
      </c>
      <c r="KV351" s="25">
        <v>0.9817351598173516</v>
      </c>
      <c r="KW351" s="25">
        <v>0.9817351598173516</v>
      </c>
      <c r="KX351" s="25">
        <v>0.9817351598173516</v>
      </c>
      <c r="KY351" s="25">
        <v>0.9817351598173516</v>
      </c>
      <c r="KZ351" s="25">
        <v>0.9817351598173516</v>
      </c>
      <c r="LA351" s="25">
        <v>0.9817351598173516</v>
      </c>
      <c r="LB351" s="25">
        <v>0.9817351598173516</v>
      </c>
      <c r="LC351" s="25">
        <v>0.9817351598173516</v>
      </c>
      <c r="LD351" s="25">
        <v>0.9817351598173516</v>
      </c>
      <c r="LE351" s="25">
        <v>0.9817351598173516</v>
      </c>
      <c r="LF351" s="25">
        <v>0.9817351598173516</v>
      </c>
      <c r="LG351" s="25">
        <v>0.9817351598173516</v>
      </c>
      <c r="LH351" s="25">
        <v>0.9817351598173516</v>
      </c>
      <c r="LI351" s="25">
        <v>0.9817351598173516</v>
      </c>
      <c r="LJ351" s="25">
        <v>0.9817351598173516</v>
      </c>
      <c r="LK351" s="25">
        <v>0.9817351598173516</v>
      </c>
      <c r="LL351" s="25">
        <v>0.9817351598173516</v>
      </c>
      <c r="LM351" s="25">
        <v>0.9817351598173516</v>
      </c>
      <c r="LN351" s="25">
        <v>0.9817351598173516</v>
      </c>
      <c r="LO351" s="25">
        <v>0.9817351598173516</v>
      </c>
      <c r="LP351" s="25">
        <v>0.9817351598173516</v>
      </c>
      <c r="LQ351" s="25">
        <v>0.9817351598173516</v>
      </c>
      <c r="LR351" s="25">
        <v>0.9817351598173516</v>
      </c>
      <c r="LS351" s="25">
        <v>0.9817351598173516</v>
      </c>
      <c r="LT351" s="25">
        <v>0.9817351598173516</v>
      </c>
      <c r="LU351" s="25">
        <v>0.9817351598173516</v>
      </c>
      <c r="LV351" s="25">
        <v>0.9817351598173516</v>
      </c>
      <c r="LW351" s="25">
        <v>0.9817351598173516</v>
      </c>
      <c r="LX351" s="25">
        <v>0.9817351598173516</v>
      </c>
      <c r="LY351" s="25">
        <v>0.9817351598173516</v>
      </c>
      <c r="LZ351" s="25">
        <v>0.9817351598173516</v>
      </c>
      <c r="MA351" s="25">
        <v>0.9817351598173516</v>
      </c>
      <c r="MB351" s="25">
        <v>0.9817351598173516</v>
      </c>
      <c r="MC351" s="25">
        <v>0.9817351598173516</v>
      </c>
      <c r="MD351" s="25">
        <v>0.9817351598173516</v>
      </c>
      <c r="ME351" s="25">
        <v>0.9817351598173516</v>
      </c>
      <c r="MF351" s="25">
        <v>0.9817351598173516</v>
      </c>
      <c r="MG351" s="25">
        <v>0.9817351598173516</v>
      </c>
      <c r="MH351" s="25">
        <v>0.9817351598173516</v>
      </c>
      <c r="MI351" s="25">
        <v>0.9817351598173516</v>
      </c>
      <c r="MJ351" s="25">
        <v>0.9817351598173516</v>
      </c>
      <c r="MK351" s="25">
        <v>0.9817351598173516</v>
      </c>
      <c r="ML351" s="25">
        <v>0.9817351598173516</v>
      </c>
      <c r="MM351" s="25">
        <v>0.9817351598173516</v>
      </c>
      <c r="MN351" s="25">
        <v>0.9817351598173516</v>
      </c>
      <c r="MO351" s="25">
        <v>0.9817351598173516</v>
      </c>
      <c r="MP351" s="25">
        <v>0.9817351598173516</v>
      </c>
      <c r="MQ351" s="25">
        <v>0.9817351598173516</v>
      </c>
      <c r="MR351" s="25">
        <v>0.9817351598173516</v>
      </c>
      <c r="MS351" s="25">
        <v>0.9817351598173516</v>
      </c>
      <c r="MT351" s="25">
        <v>0.9817351598173516</v>
      </c>
      <c r="MU351" s="25">
        <v>0.9817351598173516</v>
      </c>
      <c r="MV351" s="25">
        <v>0.9817351598173516</v>
      </c>
      <c r="MW351" s="25">
        <v>0.9817351598173516</v>
      </c>
      <c r="MX351" s="25">
        <v>0.9817351598173516</v>
      </c>
      <c r="MY351" s="25">
        <v>0.9817351598173516</v>
      </c>
      <c r="MZ351" s="25">
        <v>0.9817351598173516</v>
      </c>
      <c r="NA351" s="25">
        <v>0.9817351598173516</v>
      </c>
      <c r="NB351" s="25">
        <v>0.9817351598173516</v>
      </c>
      <c r="NC351" s="25">
        <v>0.9817351598173516</v>
      </c>
      <c r="ND351" s="25">
        <v>0.9817351598173516</v>
      </c>
      <c r="NE351" s="25">
        <v>0.9817351598173516</v>
      </c>
      <c r="NF351" s="25">
        <v>0.9817351598173516</v>
      </c>
      <c r="NG351" s="25">
        <v>0.9817351598173516</v>
      </c>
      <c r="NH351" s="25">
        <v>0.9817351598173516</v>
      </c>
      <c r="NI351" s="25">
        <v>0.9817351598173516</v>
      </c>
      <c r="NJ351" s="25">
        <v>0.9817351598173516</v>
      </c>
      <c r="NK351" s="25">
        <v>0.9817351598173516</v>
      </c>
      <c r="NL351" s="25">
        <v>0.9817351598173516</v>
      </c>
      <c r="NM351" s="25">
        <v>0.9817351598173516</v>
      </c>
      <c r="NN351" s="25">
        <v>0.9817351598173516</v>
      </c>
      <c r="NO351" s="25">
        <v>0.9817351598173516</v>
      </c>
      <c r="NP351" s="25">
        <v>0.9817351598173516</v>
      </c>
      <c r="NQ351" s="25">
        <v>0.9817351598173516</v>
      </c>
      <c r="NR351" s="25">
        <v>0.9817351598173516</v>
      </c>
      <c r="NS351" s="25">
        <v>0.9817351598173516</v>
      </c>
      <c r="NT351" s="25">
        <v>0.9817351598173516</v>
      </c>
      <c r="NU351" s="25">
        <v>0.9817351598173516</v>
      </c>
      <c r="NV351" s="25">
        <v>0.9817351598173516</v>
      </c>
      <c r="NW351" s="25">
        <v>0.9817351598173516</v>
      </c>
      <c r="NX351" s="25">
        <v>0.9817351598173516</v>
      </c>
      <c r="NY351" s="25">
        <v>0.9817351598173516</v>
      </c>
      <c r="NZ351" s="25">
        <v>0.9817351598173516</v>
      </c>
      <c r="OA351" s="25">
        <v>0.9817351598173516</v>
      </c>
      <c r="OB351" s="25">
        <v>0.9817351598173516</v>
      </c>
      <c r="OC351" s="25">
        <v>0.9817351598173516</v>
      </c>
      <c r="OD351" s="25">
        <v>0.9817351598173516</v>
      </c>
      <c r="OE351" s="25">
        <v>0.9817351598173516</v>
      </c>
    </row>
    <row r="352" spans="1:395" ht="13.8" customHeight="1" outlineLevel="1" x14ac:dyDescent="0.3">
      <c r="D352" s="119"/>
      <c r="N352" s="292" t="s">
        <v>76</v>
      </c>
      <c r="O352" s="292"/>
      <c r="P352" s="293" t="s">
        <v>14</v>
      </c>
      <c r="Q352" s="292" cm="1">
        <f t="array" ref="Q352:OE352">_xlfn.ANCHORARRAY(Q350)*_xlfn.MAP(_xlfn.ANCHORARRAY(Q2), _xlfn.LAMBDA(_xlpm.t, 24*DAY(EOMONTH(_xlpm.t,0))))*_xlfn.ANCHORARRAY(Q351)</f>
        <v>18524.299372146117</v>
      </c>
      <c r="R352" s="292">
        <v>19141.776017884324</v>
      </c>
      <c r="S352" s="292">
        <v>19141.776017884324</v>
      </c>
      <c r="T352" s="292">
        <v>18524.299372146117</v>
      </c>
      <c r="U352" s="292">
        <v>19141.776017884324</v>
      </c>
      <c r="V352" s="292">
        <v>18524.299372146117</v>
      </c>
      <c r="W352" s="292">
        <v>19141.776017884324</v>
      </c>
      <c r="X352" s="292">
        <v>19141.776017884324</v>
      </c>
      <c r="Y352" s="292">
        <v>17289.346080669708</v>
      </c>
      <c r="Z352" s="292">
        <v>19141.776017884324</v>
      </c>
      <c r="AA352" s="292">
        <v>18524.299372146117</v>
      </c>
      <c r="AB352" s="292">
        <v>19141.776017884324</v>
      </c>
      <c r="AC352" s="292">
        <v>18129.929240867576</v>
      </c>
      <c r="AD352" s="292">
        <v>18734.260215563161</v>
      </c>
      <c r="AE352" s="292">
        <v>18734.260215563161</v>
      </c>
      <c r="AF352" s="292">
        <v>18129.929240867576</v>
      </c>
      <c r="AG352" s="292">
        <v>18734.260215563161</v>
      </c>
      <c r="AH352" s="292">
        <v>18129.929240867576</v>
      </c>
      <c r="AI352" s="292">
        <v>18734.260215563161</v>
      </c>
      <c r="AJ352" s="292">
        <v>18734.260215563161</v>
      </c>
      <c r="AK352" s="292">
        <v>17525.59826617199</v>
      </c>
      <c r="AL352" s="292">
        <v>18734.260215563161</v>
      </c>
      <c r="AM352" s="292">
        <v>18129.929240867576</v>
      </c>
      <c r="AN352" s="292">
        <v>18734.260215563161</v>
      </c>
      <c r="AO352" s="292">
        <v>17736.512335098461</v>
      </c>
      <c r="AP352" s="292">
        <v>18327.729412935078</v>
      </c>
      <c r="AQ352" s="292">
        <v>18327.729412935078</v>
      </c>
      <c r="AR352" s="292">
        <v>17736.512335098461</v>
      </c>
      <c r="AS352" s="292">
        <v>18327.729412935078</v>
      </c>
      <c r="AT352" s="292">
        <v>17736.512335098461</v>
      </c>
      <c r="AU352" s="292">
        <v>18327.729412935078</v>
      </c>
      <c r="AV352" s="292">
        <v>18327.729412935078</v>
      </c>
      <c r="AW352" s="292">
        <v>16554.078179425233</v>
      </c>
      <c r="AX352" s="292">
        <v>18327.729412935078</v>
      </c>
      <c r="AY352" s="292">
        <v>17736.512335098461</v>
      </c>
      <c r="AZ352" s="292">
        <v>18327.729412935078</v>
      </c>
      <c r="BA352" s="292">
        <v>17344.351895345226</v>
      </c>
      <c r="BB352" s="292">
        <v>17922.496958523399</v>
      </c>
      <c r="BC352" s="292">
        <v>17922.496958523399</v>
      </c>
      <c r="BD352" s="292">
        <v>17344.351895345226</v>
      </c>
      <c r="BE352" s="292">
        <v>17922.496958523399</v>
      </c>
      <c r="BF352" s="292">
        <v>17344.351895345226</v>
      </c>
      <c r="BG352" s="292">
        <v>17922.496958523399</v>
      </c>
      <c r="BH352" s="292">
        <v>17922.496958523399</v>
      </c>
      <c r="BI352" s="292">
        <v>16188.061768988875</v>
      </c>
      <c r="BJ352" s="292">
        <v>17922.496958523399</v>
      </c>
      <c r="BK352" s="292">
        <v>17344.351895345226</v>
      </c>
      <c r="BL352" s="292">
        <v>17922.496958523399</v>
      </c>
      <c r="BM352" s="292">
        <v>16953.165914904072</v>
      </c>
      <c r="BN352" s="292">
        <v>17518.271445400875</v>
      </c>
      <c r="BO352" s="292">
        <v>17518.271445400875</v>
      </c>
      <c r="BP352" s="292">
        <v>16953.165914904072</v>
      </c>
      <c r="BQ352" s="292">
        <v>17518.271445400875</v>
      </c>
      <c r="BR352" s="292">
        <v>16953.165914904072</v>
      </c>
      <c r="BS352" s="292">
        <v>17518.271445400875</v>
      </c>
      <c r="BT352" s="292">
        <v>17518.271445400875</v>
      </c>
      <c r="BU352" s="292">
        <v>15822.954853910467</v>
      </c>
      <c r="BV352" s="292">
        <v>17518.271445400875</v>
      </c>
      <c r="BW352" s="292">
        <v>16953.165914904072</v>
      </c>
      <c r="BX352" s="292">
        <v>17518.271445400875</v>
      </c>
      <c r="BY352" s="292">
        <v>16562.671285719927</v>
      </c>
      <c r="BZ352" s="292">
        <v>17114.760328577257</v>
      </c>
      <c r="CA352" s="292">
        <v>17114.760328577257</v>
      </c>
      <c r="CB352" s="292">
        <v>16562.671285719927</v>
      </c>
      <c r="CC352" s="292">
        <v>17114.760328577257</v>
      </c>
      <c r="CD352" s="292">
        <v>16562.671285719927</v>
      </c>
      <c r="CE352" s="292">
        <v>17114.760328577257</v>
      </c>
      <c r="CF352" s="292">
        <v>17114.760328577257</v>
      </c>
      <c r="CG352" s="292">
        <v>16010.582242862596</v>
      </c>
      <c r="CH352" s="292">
        <v>17114.760328577257</v>
      </c>
      <c r="CI352" s="292">
        <v>16562.671285719927</v>
      </c>
      <c r="CJ352" s="292">
        <v>17114.760328577257</v>
      </c>
      <c r="CK352" s="292">
        <v>16172.877404936611</v>
      </c>
      <c r="CL352" s="292">
        <v>16711.973318434499</v>
      </c>
      <c r="CM352" s="292">
        <v>16711.973318434499</v>
      </c>
      <c r="CN352" s="292">
        <v>16172.877404936611</v>
      </c>
      <c r="CO352" s="292">
        <v>16711.973318434499</v>
      </c>
      <c r="CP352" s="292">
        <v>16172.877404936611</v>
      </c>
      <c r="CQ352" s="292">
        <v>16711.973318434499</v>
      </c>
      <c r="CR352" s="292">
        <v>16711.973318434499</v>
      </c>
      <c r="CS352" s="292">
        <v>15094.685577940838</v>
      </c>
      <c r="CT352" s="292">
        <v>16711.973318434499</v>
      </c>
      <c r="CU352" s="292">
        <v>16172.877404936611</v>
      </c>
      <c r="CV352" s="292">
        <v>16711.973318434499</v>
      </c>
      <c r="CW352" s="292">
        <v>15784.087438424172</v>
      </c>
      <c r="CX352" s="292">
        <v>16310.223686371644</v>
      </c>
      <c r="CY352" s="292">
        <v>16310.223686371644</v>
      </c>
      <c r="CZ352" s="292">
        <v>15784.087438424172</v>
      </c>
      <c r="DA352" s="292">
        <v>16310.223686371644</v>
      </c>
      <c r="DB352" s="292">
        <v>15784.087438424172</v>
      </c>
      <c r="DC352" s="292">
        <v>16310.223686371644</v>
      </c>
      <c r="DD352" s="292">
        <v>16310.223686371644</v>
      </c>
      <c r="DE352" s="292">
        <v>14731.814942529229</v>
      </c>
      <c r="DF352" s="292">
        <v>16310.223686371644</v>
      </c>
      <c r="DG352" s="292">
        <v>15784.087438424172</v>
      </c>
      <c r="DH352" s="292">
        <v>16310.223686371644</v>
      </c>
      <c r="DI352" s="292">
        <v>15396.311381153713</v>
      </c>
      <c r="DJ352" s="292">
        <v>15909.521760525504</v>
      </c>
      <c r="DK352" s="292">
        <v>15909.521760525504</v>
      </c>
      <c r="DL352" s="292">
        <v>15396.311381153713</v>
      </c>
      <c r="DM352" s="292">
        <v>15909.521760525504</v>
      </c>
      <c r="DN352" s="292">
        <v>15396.311381153713</v>
      </c>
      <c r="DO352" s="292">
        <v>15909.521760525504</v>
      </c>
      <c r="DP352" s="292">
        <v>15909.521760525504</v>
      </c>
      <c r="DQ352" s="292">
        <v>14369.890622410132</v>
      </c>
      <c r="DR352" s="292">
        <v>15909.521760525504</v>
      </c>
      <c r="DS352" s="292">
        <v>15396.311381153713</v>
      </c>
      <c r="DT352" s="292">
        <v>15909.521760525504</v>
      </c>
      <c r="DU352" s="292">
        <v>15008.676127996721</v>
      </c>
      <c r="DV352" s="292">
        <v>15508.965332263278</v>
      </c>
      <c r="DW352" s="292">
        <v>15508.965332263278</v>
      </c>
      <c r="DX352" s="292">
        <v>15008.676127996721</v>
      </c>
      <c r="DY352" s="292">
        <v>15508.965332263278</v>
      </c>
      <c r="DZ352" s="292">
        <v>15008.676127996721</v>
      </c>
      <c r="EA352" s="292">
        <v>15508.965332263278</v>
      </c>
      <c r="EB352" s="292">
        <v>15508.965332263278</v>
      </c>
      <c r="EC352" s="292">
        <v>14508.386923730164</v>
      </c>
      <c r="ED352" s="292">
        <v>15508.965332263278</v>
      </c>
      <c r="EE352" s="292">
        <v>15008.676127996721</v>
      </c>
      <c r="EF352" s="292">
        <v>15508.965332263278</v>
      </c>
      <c r="EG352" s="292">
        <v>14619.127193204995</v>
      </c>
      <c r="EH352" s="292">
        <v>15106.431432978494</v>
      </c>
      <c r="EI352" s="292">
        <v>15106.431432978494</v>
      </c>
      <c r="EJ352" s="292">
        <v>14619.127193204995</v>
      </c>
      <c r="EK352" s="292">
        <v>15106.431432978494</v>
      </c>
      <c r="EL352" s="292">
        <v>14619.127193204995</v>
      </c>
      <c r="EM352" s="292">
        <v>15106.431432978494</v>
      </c>
      <c r="EN352" s="292">
        <v>15106.431432978494</v>
      </c>
      <c r="EO352" s="292">
        <v>13644.518713657995</v>
      </c>
      <c r="EP352" s="292">
        <v>15106.431432978494</v>
      </c>
      <c r="EQ352" s="292">
        <v>14619.127193204995</v>
      </c>
      <c r="ER352" s="292">
        <v>15106.431432978494</v>
      </c>
      <c r="ES352" s="292">
        <v>14233.268780442259</v>
      </c>
      <c r="ET352" s="292">
        <v>14707.711073123668</v>
      </c>
      <c r="EU352" s="292">
        <v>14707.711073123668</v>
      </c>
      <c r="EV352" s="292">
        <v>14233.268780442259</v>
      </c>
      <c r="EW352" s="292">
        <v>14707.711073123668</v>
      </c>
      <c r="EX352" s="292">
        <v>14233.268780442259</v>
      </c>
      <c r="EY352" s="292">
        <v>14707.711073123668</v>
      </c>
      <c r="EZ352" s="292">
        <v>14707.711073123668</v>
      </c>
      <c r="FA352" s="292">
        <v>13284.384195079443</v>
      </c>
      <c r="FB352" s="292">
        <v>14707.711073123668</v>
      </c>
      <c r="FC352" s="292">
        <v>14233.268780442259</v>
      </c>
      <c r="FD352" s="292">
        <v>14707.711073123668</v>
      </c>
      <c r="FE352" s="292">
        <v>13847.871371539497</v>
      </c>
      <c r="FF352" s="292">
        <v>14309.467083924146</v>
      </c>
      <c r="FG352" s="292">
        <v>14309.467083924146</v>
      </c>
      <c r="FH352" s="292">
        <v>13847.871371539497</v>
      </c>
      <c r="FI352" s="292">
        <v>14309.467083924146</v>
      </c>
      <c r="FJ352" s="292">
        <v>13847.871371539497</v>
      </c>
      <c r="FK352" s="292">
        <v>14309.467083924146</v>
      </c>
      <c r="FL352" s="292">
        <v>14309.467083924146</v>
      </c>
      <c r="FM352" s="292">
        <v>12924.679946770197</v>
      </c>
      <c r="FN352" s="292">
        <v>14309.467083924146</v>
      </c>
      <c r="FO352" s="292">
        <v>13847.871371539497</v>
      </c>
      <c r="FP352" s="292">
        <v>14309.467083924146</v>
      </c>
      <c r="FQ352" s="292">
        <v>13462.943121109523</v>
      </c>
      <c r="FR352" s="292">
        <v>13911.707891813176</v>
      </c>
      <c r="FS352" s="292">
        <v>13911.707891813176</v>
      </c>
      <c r="FT352" s="292">
        <v>13462.943121109523</v>
      </c>
      <c r="FU352" s="292">
        <v>13911.707891813176</v>
      </c>
      <c r="FV352" s="292">
        <v>13462.943121109523</v>
      </c>
      <c r="FW352" s="292">
        <v>13911.707891813176</v>
      </c>
      <c r="FX352" s="292">
        <v>13911.707891813176</v>
      </c>
      <c r="FY352" s="292">
        <v>13014.178350405873</v>
      </c>
      <c r="FZ352" s="292">
        <v>13911.707891813176</v>
      </c>
      <c r="GA352" s="292">
        <v>13462.943121109523</v>
      </c>
      <c r="GB352" s="292">
        <v>13911.707891813176</v>
      </c>
      <c r="GC352" s="292">
        <v>13078.787679345391</v>
      </c>
      <c r="GD352" s="292">
        <v>13514.747268656904</v>
      </c>
      <c r="GE352" s="292">
        <v>13514.747268656904</v>
      </c>
      <c r="GF352" s="292">
        <v>13078.787679345391</v>
      </c>
      <c r="GG352" s="292">
        <v>13514.747268656904</v>
      </c>
      <c r="GH352" s="292">
        <v>13078.787679345391</v>
      </c>
      <c r="GI352" s="292">
        <v>13514.747268656904</v>
      </c>
      <c r="GJ352" s="292">
        <v>13514.747268656904</v>
      </c>
      <c r="GK352" s="292">
        <v>12206.868500722365</v>
      </c>
      <c r="GL352" s="292">
        <v>13514.747268656904</v>
      </c>
      <c r="GM352" s="292">
        <v>13078.787679345391</v>
      </c>
      <c r="GN352" s="292">
        <v>13514.747268656904</v>
      </c>
      <c r="GO352" s="292">
        <v>12695.117995526158</v>
      </c>
      <c r="GP352" s="292">
        <v>13118.288595377029</v>
      </c>
      <c r="GQ352" s="292">
        <v>13118.288595377029</v>
      </c>
      <c r="GR352" s="292">
        <v>12695.117995526158</v>
      </c>
      <c r="GS352" s="292">
        <v>13118.288595377029</v>
      </c>
      <c r="GT352" s="292">
        <v>12695.117995526158</v>
      </c>
      <c r="GU352" s="292">
        <v>13118.288595377029</v>
      </c>
      <c r="GV352" s="292">
        <v>13118.288595377029</v>
      </c>
      <c r="GW352" s="292">
        <v>11848.776795824413</v>
      </c>
      <c r="GX352" s="292">
        <v>13118.288595377029</v>
      </c>
      <c r="GY352" s="292">
        <v>12695.117995526158</v>
      </c>
      <c r="GZ352" s="292">
        <v>13118.288595377029</v>
      </c>
      <c r="HA352" s="292">
        <v>12311.942031334876</v>
      </c>
      <c r="HB352" s="292">
        <v>12722.34009904604</v>
      </c>
      <c r="HC352" s="292">
        <v>12722.34009904604</v>
      </c>
      <c r="HD352" s="292">
        <v>12311.942031334876</v>
      </c>
      <c r="HE352" s="292">
        <v>12722.34009904604</v>
      </c>
      <c r="HF352" s="292">
        <v>12311.942031334876</v>
      </c>
      <c r="HG352" s="292">
        <v>12722.34009904604</v>
      </c>
      <c r="HH352" s="292">
        <v>12722.34009904604</v>
      </c>
      <c r="HI352" s="292">
        <v>11491.14589591255</v>
      </c>
      <c r="HJ352" s="292">
        <v>12722.34009904604</v>
      </c>
      <c r="HK352" s="292">
        <v>12311.942031334876</v>
      </c>
      <c r="HL352" s="292">
        <v>12722.34009904604</v>
      </c>
      <c r="HM352" s="292">
        <v>11928.97141000498</v>
      </c>
      <c r="HN352" s="292">
        <v>12326.60379033848</v>
      </c>
      <c r="HO352" s="292">
        <v>12326.60379033848</v>
      </c>
      <c r="HP352" s="292">
        <v>11928.97141000498</v>
      </c>
      <c r="HQ352" s="292">
        <v>12326.60379033848</v>
      </c>
      <c r="HR352" s="292">
        <v>11928.97141000498</v>
      </c>
      <c r="HS352" s="292">
        <v>12326.60379033848</v>
      </c>
      <c r="HT352" s="292">
        <v>12326.60379033848</v>
      </c>
      <c r="HU352" s="292">
        <v>11531.339029671482</v>
      </c>
      <c r="HV352" s="292">
        <v>12326.60379033848</v>
      </c>
      <c r="HW352" s="292">
        <v>11928.97141000498</v>
      </c>
      <c r="HX352" s="292">
        <v>12326.60379033848</v>
      </c>
      <c r="HY352" s="292">
        <v>11546.509772262933</v>
      </c>
      <c r="HZ352" s="292">
        <v>11931.393431338365</v>
      </c>
      <c r="IA352" s="292">
        <v>11931.393431338365</v>
      </c>
      <c r="IB352" s="292">
        <v>11546.509772262933</v>
      </c>
      <c r="IC352" s="292">
        <v>11931.393431338365</v>
      </c>
      <c r="ID352" s="292">
        <v>11546.509772262933</v>
      </c>
      <c r="IE352" s="292">
        <v>11931.393431338365</v>
      </c>
      <c r="IF352" s="292">
        <v>11931.393431338365</v>
      </c>
      <c r="IG352" s="292">
        <v>10776.742454112071</v>
      </c>
      <c r="IH352" s="292">
        <v>11931.393431338365</v>
      </c>
      <c r="II352" s="292">
        <v>11546.509772262933</v>
      </c>
      <c r="IJ352" s="292">
        <v>11931.393431338365</v>
      </c>
      <c r="IK352" s="292">
        <v>11164.268149740186</v>
      </c>
      <c r="IL352" s="292">
        <v>11536.410421398192</v>
      </c>
      <c r="IM352" s="292">
        <v>11536.410421398192</v>
      </c>
      <c r="IN352" s="292">
        <v>11164.268149740186</v>
      </c>
      <c r="IO352" s="292">
        <v>11536.410421398192</v>
      </c>
      <c r="IP352" s="292">
        <v>11164.268149740186</v>
      </c>
      <c r="IQ352" s="292">
        <v>11536.410421398192</v>
      </c>
      <c r="IR352" s="292">
        <v>11536.410421398192</v>
      </c>
      <c r="IS352" s="292">
        <v>10419.983606424174</v>
      </c>
      <c r="IT352" s="292">
        <v>11536.410421398192</v>
      </c>
      <c r="IU352" s="292">
        <v>11164.268149740186</v>
      </c>
      <c r="IV352" s="292">
        <v>11536.410421398192</v>
      </c>
      <c r="IW352" s="292">
        <v>10782.55054139729</v>
      </c>
      <c r="IX352" s="292">
        <v>11141.9688927772</v>
      </c>
      <c r="IY352" s="292">
        <v>11141.9688927772</v>
      </c>
      <c r="IZ352" s="292">
        <v>10782.55054139729</v>
      </c>
      <c r="JA352" s="292">
        <v>11141.9688927772</v>
      </c>
      <c r="JB352" s="292">
        <v>10782.55054139729</v>
      </c>
      <c r="JC352" s="292">
        <v>11141.9688927772</v>
      </c>
      <c r="JD352" s="292">
        <v>11141.9688927772</v>
      </c>
      <c r="JE352" s="292">
        <v>10063.71383863747</v>
      </c>
      <c r="JF352" s="292">
        <v>11141.9688927772</v>
      </c>
      <c r="JG352" s="292">
        <v>10782.55054139729</v>
      </c>
      <c r="JH352" s="292">
        <v>11141.9688927772</v>
      </c>
      <c r="JI352" s="292">
        <v>10401.067393653137</v>
      </c>
      <c r="JJ352" s="292">
        <v>10747.769640108241</v>
      </c>
      <c r="JK352" s="292">
        <v>10747.769640108241</v>
      </c>
      <c r="JL352" s="292">
        <v>10401.067393653137</v>
      </c>
      <c r="JM352" s="292">
        <v>10747.769640108241</v>
      </c>
      <c r="JN352" s="292">
        <v>10401.067393653137</v>
      </c>
      <c r="JO352" s="292">
        <v>10747.769640108241</v>
      </c>
      <c r="JP352" s="292">
        <v>10747.769640108241</v>
      </c>
      <c r="JQ352" s="292">
        <v>10054.365147198032</v>
      </c>
      <c r="JR352" s="292">
        <v>10747.769640108241</v>
      </c>
      <c r="JS352" s="292">
        <v>10401.067393653137</v>
      </c>
      <c r="JT352" s="292">
        <v>10747.769640108241</v>
      </c>
      <c r="JU352" s="292">
        <v>10020.123060614296</v>
      </c>
      <c r="JV352" s="292">
        <v>10354.127162634775</v>
      </c>
      <c r="JW352" s="292">
        <v>10354.127162634775</v>
      </c>
      <c r="JX352" s="292">
        <v>10020.123060614296</v>
      </c>
      <c r="JY352" s="292">
        <v>10354.127162634775</v>
      </c>
      <c r="JZ352" s="292">
        <v>10020.123060614296</v>
      </c>
      <c r="KA352" s="292">
        <v>10354.127162634775</v>
      </c>
      <c r="KB352" s="292">
        <v>10354.127162634775</v>
      </c>
      <c r="KC352" s="292">
        <v>9352.1148565733438</v>
      </c>
      <c r="KD352" s="292">
        <v>10354.127162634775</v>
      </c>
      <c r="KE352" s="292">
        <v>10020.123060614296</v>
      </c>
      <c r="KF352" s="292">
        <v>10354.127162634775</v>
      </c>
      <c r="KG352" s="292">
        <v>9639.1297312384322</v>
      </c>
      <c r="KH352" s="292">
        <v>9960.4340556130464</v>
      </c>
      <c r="KI352" s="292">
        <v>9960.4340556130464</v>
      </c>
      <c r="KJ352" s="292">
        <v>9639.1297312384322</v>
      </c>
      <c r="KK352" s="292">
        <v>9960.4340556130464</v>
      </c>
      <c r="KL352" s="292">
        <v>9639.1297312384322</v>
      </c>
      <c r="KM352" s="292">
        <v>9960.4340556130464</v>
      </c>
      <c r="KN352" s="292">
        <v>9960.4340556130464</v>
      </c>
      <c r="KO352" s="292">
        <v>8996.5210824892038</v>
      </c>
      <c r="KP352" s="292">
        <v>9960.4340556130464</v>
      </c>
      <c r="KQ352" s="292">
        <v>9639.1297312384322</v>
      </c>
      <c r="KR352" s="292">
        <v>9960.4340556130464</v>
      </c>
      <c r="KS352" s="292">
        <v>9258.3914227841433</v>
      </c>
      <c r="KT352" s="292">
        <v>9567.0044702102823</v>
      </c>
      <c r="KU352" s="292">
        <v>9567.0044702102823</v>
      </c>
      <c r="KV352" s="292">
        <v>9258.3914227841433</v>
      </c>
      <c r="KW352" s="292">
        <v>9567.0044702102823</v>
      </c>
      <c r="KX352" s="292">
        <v>9258.3914227841433</v>
      </c>
      <c r="KY352" s="292">
        <v>9567.0044702102823</v>
      </c>
      <c r="KZ352" s="292">
        <v>9567.0044702102823</v>
      </c>
      <c r="LA352" s="292">
        <v>8641.1653279318671</v>
      </c>
      <c r="LB352" s="292">
        <v>9567.0044702102823</v>
      </c>
      <c r="LC352" s="292">
        <v>9258.3914227841433</v>
      </c>
      <c r="LD352" s="292">
        <v>9567.0044702102823</v>
      </c>
      <c r="LE352" s="292">
        <v>8877.914884802507</v>
      </c>
      <c r="LF352" s="292">
        <v>9173.8453809625898</v>
      </c>
      <c r="LG352" s="292">
        <v>9173.8453809625898</v>
      </c>
      <c r="LH352" s="292">
        <v>8877.914884802507</v>
      </c>
      <c r="LI352" s="292">
        <v>9173.8453809625898</v>
      </c>
      <c r="LJ352" s="292">
        <v>8877.914884802507</v>
      </c>
      <c r="LK352" s="292">
        <v>9173.8453809625898</v>
      </c>
      <c r="LL352" s="292">
        <v>9173.8453809625898</v>
      </c>
      <c r="LM352" s="292">
        <v>8581.9843886424242</v>
      </c>
      <c r="LN352" s="292">
        <v>9173.8453809625898</v>
      </c>
      <c r="LO352" s="292">
        <v>8877.914884802507</v>
      </c>
      <c r="LP352" s="292">
        <v>9173.8453809625898</v>
      </c>
      <c r="LQ352" s="292">
        <v>8497.4084512558711</v>
      </c>
      <c r="LR352" s="292">
        <v>8780.6553996310649</v>
      </c>
      <c r="LS352" s="292">
        <v>8780.6553996310649</v>
      </c>
      <c r="LT352" s="292">
        <v>8497.4084512558711</v>
      </c>
      <c r="LU352" s="292">
        <v>8780.6553996310649</v>
      </c>
      <c r="LV352" s="292">
        <v>8497.4084512558711</v>
      </c>
      <c r="LW352" s="292">
        <v>8780.6553996310649</v>
      </c>
      <c r="LX352" s="292">
        <v>8780.6553996310649</v>
      </c>
      <c r="LY352" s="292">
        <v>7930.9145545054789</v>
      </c>
      <c r="LZ352" s="292">
        <v>8780.6553996310649</v>
      </c>
      <c r="MA352" s="292">
        <v>8497.4084512558711</v>
      </c>
      <c r="MB352" s="292">
        <v>8780.6553996310649</v>
      </c>
      <c r="MC352" s="292">
        <v>8117.4752709084933</v>
      </c>
      <c r="MD352" s="292">
        <v>8388.0577799387756</v>
      </c>
      <c r="ME352" s="292">
        <v>8388.0577799387756</v>
      </c>
      <c r="MF352" s="292">
        <v>8117.4752709084933</v>
      </c>
      <c r="MG352" s="292">
        <v>8388.0577799387756</v>
      </c>
      <c r="MH352" s="292">
        <v>8117.4752709084933</v>
      </c>
      <c r="MI352" s="292">
        <v>8388.0577799387756</v>
      </c>
      <c r="MJ352" s="292">
        <v>8388.0577799387756</v>
      </c>
      <c r="MK352" s="292">
        <v>7576.3102528479276</v>
      </c>
      <c r="ML352" s="292">
        <v>8388.0577799387756</v>
      </c>
      <c r="MM352" s="292">
        <v>8117.4752709084933</v>
      </c>
      <c r="MN352" s="292">
        <v>8388.0577799387756</v>
      </c>
      <c r="MO352" s="292">
        <v>7737.2261723784804</v>
      </c>
      <c r="MP352" s="292">
        <v>7995.1337114577627</v>
      </c>
      <c r="MQ352" s="292">
        <v>7995.1337114577627</v>
      </c>
      <c r="MR352" s="292">
        <v>7737.2261723784804</v>
      </c>
      <c r="MS352" s="292">
        <v>7995.1337114577627</v>
      </c>
      <c r="MT352" s="292">
        <v>7737.2261723784804</v>
      </c>
      <c r="MU352" s="292">
        <v>7995.1337114577627</v>
      </c>
      <c r="MV352" s="292">
        <v>7995.1337114577627</v>
      </c>
      <c r="MW352" s="292">
        <v>7221.411094219915</v>
      </c>
      <c r="MX352" s="292">
        <v>7995.1337114577627</v>
      </c>
      <c r="MY352" s="292">
        <v>7737.2261723784804</v>
      </c>
      <c r="MZ352" s="292">
        <v>7995.1337114577627</v>
      </c>
      <c r="NA352" s="292">
        <v>7357.2644361573502</v>
      </c>
      <c r="NB352" s="292">
        <v>7602.5065840292627</v>
      </c>
      <c r="NC352" s="292">
        <v>7602.5065840292627</v>
      </c>
      <c r="ND352" s="292">
        <v>7357.2644361573502</v>
      </c>
      <c r="NE352" s="292">
        <v>7602.5065840292627</v>
      </c>
      <c r="NF352" s="292">
        <v>7357.2644361573502</v>
      </c>
      <c r="NG352" s="292">
        <v>7602.5065840292627</v>
      </c>
      <c r="NH352" s="292">
        <v>7602.5065840292627</v>
      </c>
      <c r="NI352" s="292">
        <v>7112.0222882854396</v>
      </c>
      <c r="NJ352" s="292">
        <v>7602.5065840292627</v>
      </c>
      <c r="NK352" s="292">
        <v>7357.2644361573502</v>
      </c>
      <c r="NL352" s="292">
        <v>7602.5065840292627</v>
      </c>
      <c r="NM352" s="292">
        <v>6977.2973023204613</v>
      </c>
      <c r="NN352" s="292">
        <v>7209.8738790644775</v>
      </c>
      <c r="NO352" s="292">
        <v>7209.8738790644775</v>
      </c>
      <c r="NP352" s="292">
        <v>6977.2973023204613</v>
      </c>
      <c r="NQ352" s="292">
        <v>7209.8738790644775</v>
      </c>
      <c r="NR352" s="292">
        <v>6977.2973023204613</v>
      </c>
      <c r="NS352" s="292">
        <v>7209.8738790644775</v>
      </c>
      <c r="NT352" s="292">
        <v>7209.8738790644775</v>
      </c>
      <c r="NU352" s="292">
        <v>6512.1441488324308</v>
      </c>
      <c r="NV352" s="292">
        <v>7209.8738790644775</v>
      </c>
      <c r="NW352" s="292">
        <v>6977.2973023204613</v>
      </c>
      <c r="NX352" s="292">
        <v>7209.8738790644775</v>
      </c>
      <c r="NY352" s="292">
        <v>6597.330558149315</v>
      </c>
      <c r="NZ352" s="292">
        <v>6817.2415767542925</v>
      </c>
      <c r="OA352" s="292">
        <v>6817.2415767542925</v>
      </c>
      <c r="OB352" s="292">
        <v>6597.330558149315</v>
      </c>
      <c r="OC352" s="292">
        <v>6817.2415767542925</v>
      </c>
      <c r="OD352" s="292">
        <v>6597.330558149315</v>
      </c>
      <c r="OE352" s="292">
        <v>6817.2415767542925</v>
      </c>
    </row>
    <row r="353" spans="2:395" ht="13.8" customHeight="1" outlineLevel="1" x14ac:dyDescent="0.3">
      <c r="B353" s="114" t="s">
        <v>48</v>
      </c>
      <c r="D353" s="119"/>
      <c r="E353" s="270"/>
      <c r="F353" s="256"/>
      <c r="N353" s="25" t="s">
        <v>3</v>
      </c>
      <c r="P353" s="27" t="s">
        <v>15</v>
      </c>
    </row>
    <row r="354" spans="2:395" ht="13.8" customHeight="1" outlineLevel="1" x14ac:dyDescent="0.3">
      <c r="D354" s="119" t="s">
        <v>27</v>
      </c>
      <c r="E354" s="10">
        <f>(LOOKUP(E368,'Water Properties'!A:A,'Water Properties'!E:E)-LOOKUP(E374,'Water Properties'!A:A,'Water Properties'!E:E))*E363*E364/3.6*E378/1000</f>
        <v>30.831597222222221</v>
      </c>
      <c r="F354" s="259" t="s">
        <v>78</v>
      </c>
      <c r="N354" s="25" t="s">
        <v>79</v>
      </c>
      <c r="P354" s="27" t="s">
        <v>15</v>
      </c>
      <c r="Q354" cm="1">
        <f t="array" ref="Q354:OE354">EDATE(_xlfn.ANCHORARRAY(Q2)-1,0)</f>
        <v>46173</v>
      </c>
      <c r="R354">
        <v>46203</v>
      </c>
      <c r="S354">
        <v>46234</v>
      </c>
      <c r="T354">
        <v>46265</v>
      </c>
      <c r="U354">
        <v>46295</v>
      </c>
      <c r="V354">
        <v>46326</v>
      </c>
      <c r="W354">
        <v>46356</v>
      </c>
      <c r="X354">
        <v>46387</v>
      </c>
      <c r="Y354">
        <v>46418</v>
      </c>
      <c r="Z354">
        <v>46446</v>
      </c>
      <c r="AA354">
        <v>46477</v>
      </c>
      <c r="AB354">
        <v>46507</v>
      </c>
      <c r="AC354">
        <v>46538</v>
      </c>
      <c r="AD354">
        <v>46568</v>
      </c>
      <c r="AE354">
        <v>46599</v>
      </c>
      <c r="AF354">
        <v>46630</v>
      </c>
      <c r="AG354">
        <v>46660</v>
      </c>
      <c r="AH354">
        <v>46691</v>
      </c>
      <c r="AI354">
        <v>46721</v>
      </c>
      <c r="AJ354">
        <v>46752</v>
      </c>
      <c r="AK354">
        <v>46783</v>
      </c>
      <c r="AL354">
        <v>46812</v>
      </c>
      <c r="AM354">
        <v>46843</v>
      </c>
      <c r="AN354">
        <v>46873</v>
      </c>
      <c r="AO354">
        <v>46904</v>
      </c>
      <c r="AP354">
        <v>46934</v>
      </c>
      <c r="AQ354">
        <v>46965</v>
      </c>
      <c r="AR354">
        <v>46996</v>
      </c>
      <c r="AS354">
        <v>47026</v>
      </c>
      <c r="AT354">
        <v>47057</v>
      </c>
      <c r="AU354">
        <v>47087</v>
      </c>
      <c r="AV354">
        <v>47118</v>
      </c>
      <c r="AW354">
        <v>47149</v>
      </c>
      <c r="AX354">
        <v>47177</v>
      </c>
      <c r="AY354">
        <v>47208</v>
      </c>
      <c r="AZ354">
        <v>47238</v>
      </c>
      <c r="BA354">
        <v>47269</v>
      </c>
      <c r="BB354">
        <v>47299</v>
      </c>
      <c r="BC354">
        <v>47330</v>
      </c>
      <c r="BD354">
        <v>47361</v>
      </c>
      <c r="BE354">
        <v>47391</v>
      </c>
      <c r="BF354">
        <v>47422</v>
      </c>
      <c r="BG354">
        <v>47452</v>
      </c>
      <c r="BH354">
        <v>47483</v>
      </c>
      <c r="BI354">
        <v>47514</v>
      </c>
      <c r="BJ354">
        <v>47542</v>
      </c>
      <c r="BK354">
        <v>47573</v>
      </c>
      <c r="BL354">
        <v>47603</v>
      </c>
      <c r="BM354">
        <v>47634</v>
      </c>
      <c r="BN354">
        <v>47664</v>
      </c>
      <c r="BO354">
        <v>47695</v>
      </c>
      <c r="BP354">
        <v>47726</v>
      </c>
      <c r="BQ354">
        <v>47756</v>
      </c>
      <c r="BR354">
        <v>47787</v>
      </c>
      <c r="BS354">
        <v>47817</v>
      </c>
      <c r="BT354">
        <v>47848</v>
      </c>
      <c r="BU354">
        <v>47879</v>
      </c>
      <c r="BV354">
        <v>47907</v>
      </c>
      <c r="BW354">
        <v>47938</v>
      </c>
      <c r="BX354">
        <v>47968</v>
      </c>
      <c r="BY354">
        <v>47999</v>
      </c>
      <c r="BZ354">
        <v>48029</v>
      </c>
      <c r="CA354">
        <v>48060</v>
      </c>
      <c r="CB354">
        <v>48091</v>
      </c>
      <c r="CC354">
        <v>48121</v>
      </c>
      <c r="CD354">
        <v>48152</v>
      </c>
      <c r="CE354">
        <v>48182</v>
      </c>
      <c r="CF354">
        <v>48213</v>
      </c>
      <c r="CG354">
        <v>48244</v>
      </c>
      <c r="CH354">
        <v>48273</v>
      </c>
      <c r="CI354">
        <v>48304</v>
      </c>
      <c r="CJ354">
        <v>48334</v>
      </c>
      <c r="CK354">
        <v>48365</v>
      </c>
      <c r="CL354">
        <v>48395</v>
      </c>
      <c r="CM354">
        <v>48426</v>
      </c>
      <c r="CN354">
        <v>48457</v>
      </c>
      <c r="CO354">
        <v>48487</v>
      </c>
      <c r="CP354">
        <v>48518</v>
      </c>
      <c r="CQ354">
        <v>48548</v>
      </c>
      <c r="CR354">
        <v>48579</v>
      </c>
      <c r="CS354">
        <v>48610</v>
      </c>
      <c r="CT354">
        <v>48638</v>
      </c>
      <c r="CU354">
        <v>48669</v>
      </c>
      <c r="CV354">
        <v>48699</v>
      </c>
      <c r="CW354">
        <v>48730</v>
      </c>
      <c r="CX354">
        <v>48760</v>
      </c>
      <c r="CY354">
        <v>48791</v>
      </c>
      <c r="CZ354">
        <v>48822</v>
      </c>
      <c r="DA354">
        <v>48852</v>
      </c>
      <c r="DB354">
        <v>48883</v>
      </c>
      <c r="DC354">
        <v>48913</v>
      </c>
      <c r="DD354">
        <v>48944</v>
      </c>
      <c r="DE354">
        <v>48975</v>
      </c>
      <c r="DF354">
        <v>49003</v>
      </c>
      <c r="DG354">
        <v>49034</v>
      </c>
      <c r="DH354">
        <v>49064</v>
      </c>
      <c r="DI354">
        <v>49095</v>
      </c>
      <c r="DJ354">
        <v>49125</v>
      </c>
      <c r="DK354">
        <v>49156</v>
      </c>
      <c r="DL354">
        <v>49187</v>
      </c>
      <c r="DM354">
        <v>49217</v>
      </c>
      <c r="DN354">
        <v>49248</v>
      </c>
      <c r="DO354">
        <v>49278</v>
      </c>
      <c r="DP354">
        <v>49309</v>
      </c>
      <c r="DQ354">
        <v>49340</v>
      </c>
      <c r="DR354">
        <v>49368</v>
      </c>
      <c r="DS354">
        <v>49399</v>
      </c>
      <c r="DT354">
        <v>49429</v>
      </c>
      <c r="DU354">
        <v>49460</v>
      </c>
      <c r="DV354">
        <v>49490</v>
      </c>
      <c r="DW354">
        <v>49521</v>
      </c>
      <c r="DX354">
        <v>49552</v>
      </c>
      <c r="DY354">
        <v>49582</v>
      </c>
      <c r="DZ354">
        <v>49613</v>
      </c>
      <c r="EA354">
        <v>49643</v>
      </c>
      <c r="EB354">
        <v>49674</v>
      </c>
      <c r="EC354">
        <v>49705</v>
      </c>
      <c r="ED354">
        <v>49734</v>
      </c>
      <c r="EE354">
        <v>49765</v>
      </c>
      <c r="EF354">
        <v>49795</v>
      </c>
      <c r="EG354">
        <v>49826</v>
      </c>
      <c r="EH354">
        <v>49856</v>
      </c>
      <c r="EI354">
        <v>49887</v>
      </c>
      <c r="EJ354">
        <v>49918</v>
      </c>
      <c r="EK354">
        <v>49948</v>
      </c>
      <c r="EL354">
        <v>49979</v>
      </c>
      <c r="EM354">
        <v>50009</v>
      </c>
      <c r="EN354">
        <v>50040</v>
      </c>
      <c r="EO354">
        <v>50071</v>
      </c>
      <c r="EP354">
        <v>50099</v>
      </c>
      <c r="EQ354">
        <v>50130</v>
      </c>
      <c r="ER354">
        <v>50160</v>
      </c>
      <c r="ES354">
        <v>50191</v>
      </c>
      <c r="ET354">
        <v>50221</v>
      </c>
      <c r="EU354">
        <v>50252</v>
      </c>
      <c r="EV354">
        <v>50283</v>
      </c>
      <c r="EW354">
        <v>50313</v>
      </c>
      <c r="EX354">
        <v>50344</v>
      </c>
      <c r="EY354">
        <v>50374</v>
      </c>
      <c r="EZ354">
        <v>50405</v>
      </c>
      <c r="FA354">
        <v>50436</v>
      </c>
      <c r="FB354">
        <v>50464</v>
      </c>
      <c r="FC354">
        <v>50495</v>
      </c>
      <c r="FD354">
        <v>50525</v>
      </c>
      <c r="FE354">
        <v>50556</v>
      </c>
      <c r="FF354">
        <v>50586</v>
      </c>
      <c r="FG354">
        <v>50617</v>
      </c>
      <c r="FH354">
        <v>50648</v>
      </c>
      <c r="FI354">
        <v>50678</v>
      </c>
      <c r="FJ354">
        <v>50709</v>
      </c>
      <c r="FK354">
        <v>50739</v>
      </c>
      <c r="FL354">
        <v>50770</v>
      </c>
      <c r="FM354">
        <v>50801</v>
      </c>
      <c r="FN354">
        <v>50829</v>
      </c>
      <c r="FO354">
        <v>50860</v>
      </c>
      <c r="FP354">
        <v>50890</v>
      </c>
      <c r="FQ354">
        <v>50921</v>
      </c>
      <c r="FR354">
        <v>50951</v>
      </c>
      <c r="FS354">
        <v>50982</v>
      </c>
      <c r="FT354">
        <v>51013</v>
      </c>
      <c r="FU354">
        <v>51043</v>
      </c>
      <c r="FV354">
        <v>51074</v>
      </c>
      <c r="FW354">
        <v>51104</v>
      </c>
      <c r="FX354">
        <v>51135</v>
      </c>
      <c r="FY354">
        <v>51166</v>
      </c>
      <c r="FZ354">
        <v>51195</v>
      </c>
      <c r="GA354">
        <v>51226</v>
      </c>
      <c r="GB354">
        <v>51256</v>
      </c>
      <c r="GC354">
        <v>51287</v>
      </c>
      <c r="GD354">
        <v>51317</v>
      </c>
      <c r="GE354">
        <v>51348</v>
      </c>
      <c r="GF354">
        <v>51379</v>
      </c>
      <c r="GG354">
        <v>51409</v>
      </c>
      <c r="GH354">
        <v>51440</v>
      </c>
      <c r="GI354">
        <v>51470</v>
      </c>
      <c r="GJ354">
        <v>51501</v>
      </c>
      <c r="GK354">
        <v>51532</v>
      </c>
      <c r="GL354">
        <v>51560</v>
      </c>
      <c r="GM354">
        <v>51591</v>
      </c>
      <c r="GN354">
        <v>51621</v>
      </c>
      <c r="GO354">
        <v>51652</v>
      </c>
      <c r="GP354">
        <v>51682</v>
      </c>
      <c r="GQ354">
        <v>51713</v>
      </c>
      <c r="GR354">
        <v>51744</v>
      </c>
      <c r="GS354">
        <v>51774</v>
      </c>
      <c r="GT354">
        <v>51805</v>
      </c>
      <c r="GU354">
        <v>51835</v>
      </c>
      <c r="GV354">
        <v>51866</v>
      </c>
      <c r="GW354">
        <v>51897</v>
      </c>
      <c r="GX354">
        <v>51925</v>
      </c>
      <c r="GY354">
        <v>51956</v>
      </c>
      <c r="GZ354">
        <v>51986</v>
      </c>
      <c r="HA354">
        <v>52017</v>
      </c>
      <c r="HB354">
        <v>52047</v>
      </c>
      <c r="HC354">
        <v>52078</v>
      </c>
      <c r="HD354">
        <v>52109</v>
      </c>
      <c r="HE354">
        <v>52139</v>
      </c>
      <c r="HF354">
        <v>52170</v>
      </c>
      <c r="HG354">
        <v>52200</v>
      </c>
      <c r="HH354">
        <v>52231</v>
      </c>
      <c r="HI354">
        <v>52262</v>
      </c>
      <c r="HJ354">
        <v>52290</v>
      </c>
      <c r="HK354">
        <v>52321</v>
      </c>
      <c r="HL354">
        <v>52351</v>
      </c>
      <c r="HM354">
        <v>52382</v>
      </c>
      <c r="HN354">
        <v>52412</v>
      </c>
      <c r="HO354">
        <v>52443</v>
      </c>
      <c r="HP354">
        <v>52474</v>
      </c>
      <c r="HQ354">
        <v>52504</v>
      </c>
      <c r="HR354">
        <v>52535</v>
      </c>
      <c r="HS354">
        <v>52565</v>
      </c>
      <c r="HT354">
        <v>52596</v>
      </c>
      <c r="HU354">
        <v>52627</v>
      </c>
      <c r="HV354">
        <v>52656</v>
      </c>
      <c r="HW354">
        <v>52687</v>
      </c>
      <c r="HX354">
        <v>52717</v>
      </c>
      <c r="HY354">
        <v>52748</v>
      </c>
      <c r="HZ354">
        <v>52778</v>
      </c>
      <c r="IA354">
        <v>52809</v>
      </c>
      <c r="IB354">
        <v>52840</v>
      </c>
      <c r="IC354">
        <v>52870</v>
      </c>
      <c r="ID354">
        <v>52901</v>
      </c>
      <c r="IE354">
        <v>52931</v>
      </c>
      <c r="IF354">
        <v>52962</v>
      </c>
      <c r="IG354">
        <v>52993</v>
      </c>
      <c r="IH354">
        <v>53021</v>
      </c>
      <c r="II354">
        <v>53052</v>
      </c>
      <c r="IJ354">
        <v>53082</v>
      </c>
      <c r="IK354">
        <v>53113</v>
      </c>
      <c r="IL354">
        <v>53143</v>
      </c>
      <c r="IM354">
        <v>53174</v>
      </c>
      <c r="IN354">
        <v>53205</v>
      </c>
      <c r="IO354">
        <v>53235</v>
      </c>
      <c r="IP354">
        <v>53266</v>
      </c>
      <c r="IQ354">
        <v>53296</v>
      </c>
      <c r="IR354">
        <v>53327</v>
      </c>
      <c r="IS354">
        <v>53358</v>
      </c>
      <c r="IT354">
        <v>53386</v>
      </c>
      <c r="IU354">
        <v>53417</v>
      </c>
      <c r="IV354">
        <v>53447</v>
      </c>
      <c r="IW354">
        <v>53478</v>
      </c>
      <c r="IX354">
        <v>53508</v>
      </c>
      <c r="IY354">
        <v>53539</v>
      </c>
      <c r="IZ354">
        <v>53570</v>
      </c>
      <c r="JA354">
        <v>53600</v>
      </c>
      <c r="JB354">
        <v>53631</v>
      </c>
      <c r="JC354">
        <v>53661</v>
      </c>
      <c r="JD354">
        <v>53692</v>
      </c>
      <c r="JE354">
        <v>53723</v>
      </c>
      <c r="JF354">
        <v>53751</v>
      </c>
      <c r="JG354">
        <v>53782</v>
      </c>
      <c r="JH354">
        <v>53812</v>
      </c>
      <c r="JI354">
        <v>53843</v>
      </c>
      <c r="JJ354">
        <v>53873</v>
      </c>
      <c r="JK354">
        <v>53904</v>
      </c>
      <c r="JL354">
        <v>53935</v>
      </c>
      <c r="JM354">
        <v>53965</v>
      </c>
      <c r="JN354">
        <v>53996</v>
      </c>
      <c r="JO354">
        <v>54026</v>
      </c>
      <c r="JP354">
        <v>54057</v>
      </c>
      <c r="JQ354">
        <v>54088</v>
      </c>
      <c r="JR354">
        <v>54117</v>
      </c>
      <c r="JS354">
        <v>54148</v>
      </c>
      <c r="JT354">
        <v>54178</v>
      </c>
      <c r="JU354">
        <v>54209</v>
      </c>
      <c r="JV354">
        <v>54239</v>
      </c>
      <c r="JW354">
        <v>54270</v>
      </c>
      <c r="JX354">
        <v>54301</v>
      </c>
      <c r="JY354">
        <v>54331</v>
      </c>
      <c r="JZ354">
        <v>54362</v>
      </c>
      <c r="KA354">
        <v>54392</v>
      </c>
      <c r="KB354">
        <v>54423</v>
      </c>
      <c r="KC354">
        <v>54454</v>
      </c>
      <c r="KD354">
        <v>54482</v>
      </c>
      <c r="KE354">
        <v>54513</v>
      </c>
      <c r="KF354">
        <v>54543</v>
      </c>
      <c r="KG354">
        <v>54574</v>
      </c>
      <c r="KH354">
        <v>54604</v>
      </c>
      <c r="KI354">
        <v>54635</v>
      </c>
      <c r="KJ354">
        <v>54666</v>
      </c>
      <c r="KK354">
        <v>54696</v>
      </c>
      <c r="KL354">
        <v>54727</v>
      </c>
      <c r="KM354">
        <v>54757</v>
      </c>
      <c r="KN354">
        <v>54788</v>
      </c>
      <c r="KO354">
        <v>54819</v>
      </c>
      <c r="KP354">
        <v>54847</v>
      </c>
      <c r="KQ354">
        <v>54878</v>
      </c>
      <c r="KR354">
        <v>54908</v>
      </c>
      <c r="KS354">
        <v>54939</v>
      </c>
      <c r="KT354">
        <v>54969</v>
      </c>
      <c r="KU354">
        <v>55000</v>
      </c>
      <c r="KV354">
        <v>55031</v>
      </c>
      <c r="KW354">
        <v>55061</v>
      </c>
      <c r="KX354">
        <v>55092</v>
      </c>
      <c r="KY354">
        <v>55122</v>
      </c>
      <c r="KZ354">
        <v>55153</v>
      </c>
      <c r="LA354">
        <v>55184</v>
      </c>
      <c r="LB354">
        <v>55212</v>
      </c>
      <c r="LC354">
        <v>55243</v>
      </c>
      <c r="LD354">
        <v>55273</v>
      </c>
      <c r="LE354">
        <v>55304</v>
      </c>
      <c r="LF354">
        <v>55334</v>
      </c>
      <c r="LG354">
        <v>55365</v>
      </c>
      <c r="LH354">
        <v>55396</v>
      </c>
      <c r="LI354">
        <v>55426</v>
      </c>
      <c r="LJ354">
        <v>55457</v>
      </c>
      <c r="LK354">
        <v>55487</v>
      </c>
      <c r="LL354">
        <v>55518</v>
      </c>
      <c r="LM354">
        <v>55549</v>
      </c>
      <c r="LN354">
        <v>55578</v>
      </c>
      <c r="LO354">
        <v>55609</v>
      </c>
      <c r="LP354">
        <v>55639</v>
      </c>
      <c r="LQ354">
        <v>55670</v>
      </c>
      <c r="LR354">
        <v>55700</v>
      </c>
      <c r="LS354">
        <v>55731</v>
      </c>
      <c r="LT354">
        <v>55762</v>
      </c>
      <c r="LU354">
        <v>55792</v>
      </c>
      <c r="LV354">
        <v>55823</v>
      </c>
      <c r="LW354">
        <v>55853</v>
      </c>
      <c r="LX354">
        <v>55884</v>
      </c>
      <c r="LY354">
        <v>55915</v>
      </c>
      <c r="LZ354">
        <v>55943</v>
      </c>
      <c r="MA354">
        <v>55974</v>
      </c>
      <c r="MB354">
        <v>56004</v>
      </c>
      <c r="MC354">
        <v>56035</v>
      </c>
      <c r="MD354">
        <v>56065</v>
      </c>
      <c r="ME354">
        <v>56096</v>
      </c>
      <c r="MF354">
        <v>56127</v>
      </c>
      <c r="MG354">
        <v>56157</v>
      </c>
      <c r="MH354">
        <v>56188</v>
      </c>
      <c r="MI354">
        <v>56218</v>
      </c>
      <c r="MJ354">
        <v>56249</v>
      </c>
      <c r="MK354">
        <v>56280</v>
      </c>
      <c r="ML354">
        <v>56308</v>
      </c>
      <c r="MM354">
        <v>56339</v>
      </c>
      <c r="MN354">
        <v>56369</v>
      </c>
      <c r="MO354">
        <v>56400</v>
      </c>
      <c r="MP354">
        <v>56430</v>
      </c>
      <c r="MQ354">
        <v>56461</v>
      </c>
      <c r="MR354">
        <v>56492</v>
      </c>
      <c r="MS354">
        <v>56522</v>
      </c>
      <c r="MT354">
        <v>56553</v>
      </c>
      <c r="MU354">
        <v>56583</v>
      </c>
      <c r="MV354">
        <v>56614</v>
      </c>
      <c r="MW354">
        <v>56645</v>
      </c>
      <c r="MX354">
        <v>56673</v>
      </c>
      <c r="MY354">
        <v>56704</v>
      </c>
      <c r="MZ354">
        <v>56734</v>
      </c>
      <c r="NA354">
        <v>56765</v>
      </c>
      <c r="NB354">
        <v>56795</v>
      </c>
      <c r="NC354">
        <v>56826</v>
      </c>
      <c r="ND354">
        <v>56857</v>
      </c>
      <c r="NE354">
        <v>56887</v>
      </c>
      <c r="NF354">
        <v>56918</v>
      </c>
      <c r="NG354">
        <v>56948</v>
      </c>
      <c r="NH354">
        <v>56979</v>
      </c>
      <c r="NI354">
        <v>57010</v>
      </c>
      <c r="NJ354">
        <v>57039</v>
      </c>
      <c r="NK354">
        <v>57070</v>
      </c>
      <c r="NL354">
        <v>57100</v>
      </c>
      <c r="NM354">
        <v>57131</v>
      </c>
      <c r="NN354">
        <v>57161</v>
      </c>
      <c r="NO354">
        <v>57192</v>
      </c>
      <c r="NP354">
        <v>57223</v>
      </c>
      <c r="NQ354">
        <v>57253</v>
      </c>
      <c r="NR354">
        <v>57284</v>
      </c>
      <c r="NS354">
        <v>57314</v>
      </c>
      <c r="NT354">
        <v>57345</v>
      </c>
      <c r="NU354">
        <v>57376</v>
      </c>
      <c r="NV354">
        <v>57404</v>
      </c>
      <c r="NW354">
        <v>57435</v>
      </c>
      <c r="NX354">
        <v>57465</v>
      </c>
      <c r="NY354">
        <v>57496</v>
      </c>
      <c r="NZ354">
        <v>57526</v>
      </c>
      <c r="OA354">
        <v>57557</v>
      </c>
      <c r="OB354">
        <v>57588</v>
      </c>
      <c r="OC354">
        <v>57618</v>
      </c>
      <c r="OD354">
        <v>57649</v>
      </c>
      <c r="OE354">
        <v>57679</v>
      </c>
    </row>
    <row r="355" spans="2:395" ht="13.8" customHeight="1" outlineLevel="1" x14ac:dyDescent="0.3">
      <c r="D355" s="119" t="s">
        <v>28</v>
      </c>
      <c r="E355" s="10">
        <f>E354*(1-E379)</f>
        <v>26.206857638888888</v>
      </c>
      <c r="F355" s="259" t="s">
        <v>26</v>
      </c>
      <c r="N355" s="5" t="s">
        <v>80</v>
      </c>
      <c r="O355" s="5"/>
      <c r="P355" s="28" t="s">
        <v>15</v>
      </c>
      <c r="Q355" s="5"/>
      <c r="R355" s="5"/>
      <c r="S355" s="5"/>
      <c r="T355" s="5"/>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c r="BP355" s="5"/>
      <c r="BQ355" s="5"/>
      <c r="BR355" s="5"/>
      <c r="BS355" s="5"/>
      <c r="BT355" s="5"/>
      <c r="BU355" s="5"/>
      <c r="BV355" s="5"/>
      <c r="BW355" s="5"/>
      <c r="BX355" s="5"/>
      <c r="BY355" s="5"/>
      <c r="BZ355" s="5"/>
      <c r="CA355" s="5"/>
      <c r="CB355" s="5"/>
      <c r="CC355" s="5"/>
      <c r="CD355" s="5"/>
      <c r="CE355" s="5"/>
      <c r="CF355" s="5"/>
      <c r="CG355" s="5"/>
      <c r="CH355" s="5"/>
      <c r="CI355" s="5"/>
      <c r="CJ355" s="5"/>
      <c r="CK355" s="5"/>
      <c r="CL355" s="5"/>
      <c r="CM355" s="5"/>
      <c r="CN355" s="5"/>
      <c r="CO355" s="5"/>
      <c r="CP355" s="5"/>
      <c r="CQ355" s="5"/>
      <c r="CR355" s="5"/>
      <c r="CS355" s="5"/>
      <c r="CT355" s="5"/>
      <c r="CU355" s="5"/>
      <c r="CV355" s="5"/>
      <c r="CW355" s="5"/>
      <c r="CX355" s="5"/>
      <c r="CY355" s="5"/>
      <c r="CZ355" s="5"/>
      <c r="DA355" s="5"/>
      <c r="DB355" s="5"/>
      <c r="DC355" s="5"/>
      <c r="DD355" s="5"/>
      <c r="DE355" s="5"/>
      <c r="DF355" s="5"/>
      <c r="DG355" s="5"/>
      <c r="DH355" s="5"/>
      <c r="DI355" s="5"/>
      <c r="DJ355" s="5"/>
      <c r="DK355" s="5"/>
      <c r="DL355" s="5"/>
      <c r="DM355" s="5"/>
      <c r="DN355" s="5"/>
      <c r="DO355" s="5"/>
      <c r="DP355" s="5"/>
      <c r="DQ355" s="5"/>
      <c r="DR355" s="5"/>
      <c r="DS355" s="5"/>
      <c r="DT355" s="5"/>
      <c r="DU355" s="5"/>
      <c r="DV355" s="5"/>
      <c r="DW355" s="5"/>
      <c r="DX355" s="5"/>
      <c r="DY355" s="5"/>
      <c r="DZ355" s="5"/>
      <c r="EA355" s="5"/>
      <c r="EB355" s="5"/>
      <c r="EC355" s="5"/>
      <c r="ED355" s="5"/>
      <c r="EE355" s="5"/>
      <c r="EF355" s="5"/>
      <c r="EG355" s="5"/>
      <c r="EH355" s="5"/>
      <c r="EI355" s="5"/>
      <c r="EJ355" s="5"/>
      <c r="EK355" s="5"/>
      <c r="EL355" s="5"/>
      <c r="EM355" s="5"/>
      <c r="EN355" s="5"/>
      <c r="EO355" s="5"/>
      <c r="EP355" s="5"/>
      <c r="EQ355" s="5"/>
      <c r="ER355" s="5"/>
      <c r="ES355" s="5"/>
      <c r="ET355" s="5"/>
      <c r="EU355" s="5"/>
      <c r="EV355" s="5"/>
      <c r="EW355" s="5"/>
      <c r="EX355" s="5"/>
      <c r="EY355" s="5"/>
      <c r="EZ355" s="5"/>
      <c r="FA355" s="5"/>
      <c r="FB355" s="5"/>
      <c r="FC355" s="5"/>
      <c r="FD355" s="5"/>
      <c r="FE355" s="5"/>
      <c r="FF355" s="5"/>
      <c r="FG355" s="5"/>
      <c r="FH355" s="5"/>
      <c r="FI355" s="5"/>
      <c r="FJ355" s="5"/>
      <c r="FK355" s="5"/>
      <c r="FL355" s="5"/>
      <c r="FM355" s="5"/>
      <c r="FN355" s="5"/>
      <c r="FO355" s="5"/>
      <c r="FP355" s="5"/>
      <c r="FQ355" s="5"/>
      <c r="FR355" s="5"/>
      <c r="FS355" s="5"/>
      <c r="FT355" s="5"/>
      <c r="FU355" s="5"/>
      <c r="FV355" s="5"/>
      <c r="FW355" s="5"/>
      <c r="FX355" s="5"/>
      <c r="FY355" s="5"/>
      <c r="FZ355" s="5"/>
      <c r="GA355" s="5"/>
      <c r="GB355" s="5"/>
      <c r="GC355" s="5"/>
      <c r="GD355" s="5"/>
      <c r="GE355" s="5"/>
      <c r="GF355" s="5"/>
      <c r="GG355" s="5"/>
      <c r="GH355" s="5"/>
      <c r="GI355" s="5"/>
      <c r="GJ355" s="5"/>
      <c r="GK355" s="5"/>
      <c r="GL355" s="5"/>
      <c r="GM355" s="5"/>
      <c r="GN355" s="5"/>
      <c r="GO355" s="5"/>
      <c r="GP355" s="5"/>
      <c r="GQ355" s="5"/>
      <c r="GR355" s="5"/>
      <c r="GS355" s="5"/>
      <c r="GT355" s="5"/>
      <c r="GU355" s="5"/>
      <c r="GV355" s="5"/>
      <c r="GW355" s="5"/>
      <c r="GX355" s="5"/>
      <c r="GY355" s="5"/>
      <c r="GZ355" s="5"/>
      <c r="HA355" s="5"/>
      <c r="HB355" s="5"/>
      <c r="HC355" s="5"/>
      <c r="HD355" s="5"/>
      <c r="HE355" s="5"/>
      <c r="HF355" s="5"/>
      <c r="HG355" s="5"/>
      <c r="HH355" s="5"/>
      <c r="HI355" s="5"/>
      <c r="HJ355" s="5"/>
      <c r="HK355" s="5"/>
      <c r="HL355" s="5"/>
      <c r="HM355" s="5"/>
      <c r="HN355" s="5"/>
      <c r="HO355" s="5"/>
      <c r="HP355" s="5"/>
      <c r="HQ355" s="5"/>
      <c r="HR355" s="5"/>
      <c r="HS355" s="5"/>
      <c r="HT355" s="5"/>
      <c r="HU355" s="5"/>
      <c r="HV355" s="5"/>
      <c r="HW355" s="5"/>
      <c r="HX355" s="5"/>
      <c r="HY355" s="5"/>
      <c r="HZ355" s="5"/>
      <c r="IA355" s="5"/>
      <c r="IB355" s="5"/>
      <c r="IC355" s="5"/>
      <c r="ID355" s="5"/>
      <c r="IE355" s="5"/>
      <c r="IF355" s="5"/>
      <c r="IG355" s="5"/>
      <c r="IH355" s="5"/>
      <c r="II355" s="5"/>
      <c r="IJ355" s="5"/>
      <c r="IK355" s="5"/>
      <c r="IL355" s="5"/>
      <c r="IM355" s="5"/>
      <c r="IN355" s="5"/>
      <c r="IO355" s="5"/>
      <c r="IP355" s="5"/>
      <c r="IQ355" s="5"/>
      <c r="IR355" s="5"/>
      <c r="IS355" s="5"/>
      <c r="IT355" s="5"/>
      <c r="IU355" s="5"/>
      <c r="IV355" s="5"/>
      <c r="IW355" s="5"/>
      <c r="IX355" s="5"/>
      <c r="IY355" s="5"/>
      <c r="IZ355" s="5"/>
      <c r="JA355" s="5"/>
      <c r="JB355" s="5"/>
      <c r="JC355" s="5"/>
      <c r="JD355" s="5"/>
      <c r="JE355" s="5"/>
      <c r="JF355" s="5"/>
      <c r="JG355" s="5"/>
      <c r="JH355" s="5"/>
      <c r="JI355" s="5"/>
      <c r="JJ355" s="5"/>
      <c r="JK355" s="5"/>
      <c r="JL355" s="5"/>
      <c r="JM355" s="5"/>
      <c r="JN355" s="5"/>
      <c r="JO355" s="5"/>
      <c r="JP355" s="5"/>
      <c r="JQ355" s="5"/>
      <c r="JR355" s="5"/>
      <c r="JS355" s="5"/>
      <c r="JT355" s="5"/>
      <c r="JU355" s="5"/>
      <c r="JV355" s="5"/>
      <c r="JW355" s="5"/>
      <c r="JX355" s="5"/>
      <c r="JY355" s="5"/>
      <c r="JZ355" s="5"/>
      <c r="KA355" s="5"/>
      <c r="KB355" s="5"/>
      <c r="KC355" s="5"/>
      <c r="KD355" s="5"/>
      <c r="KE355" s="5"/>
      <c r="KF355" s="5"/>
      <c r="KG355" s="5"/>
      <c r="KH355" s="5"/>
      <c r="KI355" s="5"/>
      <c r="KJ355" s="5"/>
      <c r="KK355" s="5"/>
      <c r="KL355" s="5"/>
      <c r="KM355" s="5"/>
      <c r="KN355" s="5"/>
      <c r="KO355" s="5"/>
      <c r="KP355" s="5"/>
      <c r="KQ355" s="5"/>
      <c r="KR355" s="5"/>
      <c r="KS355" s="5"/>
      <c r="KT355" s="5"/>
      <c r="KU355" s="5"/>
      <c r="KV355" s="5"/>
      <c r="KW355" s="5"/>
      <c r="KX355" s="5"/>
      <c r="KY355" s="5"/>
      <c r="KZ355" s="5"/>
      <c r="LA355" s="5"/>
      <c r="LB355" s="5"/>
      <c r="LC355" s="5"/>
      <c r="LD355" s="5"/>
      <c r="LE355" s="5"/>
      <c r="LF355" s="5"/>
      <c r="LG355" s="5"/>
      <c r="LH355" s="5"/>
      <c r="LI355" s="5"/>
      <c r="LJ355" s="5"/>
      <c r="LK355" s="5"/>
      <c r="LL355" s="5"/>
      <c r="LM355" s="5"/>
      <c r="LN355" s="5"/>
      <c r="LO355" s="5"/>
      <c r="LP355" s="5"/>
      <c r="LQ355" s="5"/>
      <c r="LR355" s="5"/>
      <c r="LS355" s="5"/>
      <c r="LT355" s="5"/>
      <c r="LU355" s="5"/>
      <c r="LV355" s="5"/>
      <c r="LW355" s="5"/>
      <c r="LX355" s="5"/>
      <c r="LY355" s="5"/>
      <c r="LZ355" s="5"/>
      <c r="MA355" s="5"/>
      <c r="MB355" s="5"/>
      <c r="MC355" s="5"/>
      <c r="MD355" s="5"/>
      <c r="ME355" s="5"/>
      <c r="MF355" s="5"/>
      <c r="MG355" s="5"/>
      <c r="MH355" s="5"/>
      <c r="MI355" s="5"/>
      <c r="MJ355" s="5"/>
      <c r="MK355" s="5"/>
      <c r="ML355" s="5"/>
      <c r="MM355" s="5"/>
      <c r="MN355" s="5"/>
      <c r="MO355" s="5"/>
      <c r="MP355" s="5"/>
      <c r="MQ355" s="5"/>
      <c r="MR355" s="5"/>
      <c r="MS355" s="5"/>
      <c r="MT355" s="5"/>
      <c r="MU355" s="5"/>
      <c r="MV355" s="5"/>
      <c r="MW355" s="5"/>
      <c r="MX355" s="5"/>
      <c r="MY355" s="5"/>
      <c r="MZ355" s="5"/>
      <c r="NA355" s="5"/>
      <c r="NB355" s="5"/>
      <c r="NC355" s="5"/>
      <c r="ND355" s="5"/>
      <c r="NE355" s="5"/>
      <c r="NF355" s="5"/>
      <c r="NG355" s="5"/>
      <c r="NH355" s="5"/>
      <c r="NI355" s="5"/>
      <c r="NJ355" s="5"/>
      <c r="NK355" s="5"/>
      <c r="NL355" s="5"/>
      <c r="NM355" s="5"/>
      <c r="NN355" s="5"/>
      <c r="NO355" s="5"/>
      <c r="NP355" s="5"/>
      <c r="NQ355" s="5"/>
      <c r="NR355" s="5"/>
      <c r="NS355" s="5"/>
      <c r="NT355" s="5"/>
      <c r="NU355" s="5"/>
      <c r="NV355" s="5"/>
      <c r="NW355" s="5"/>
      <c r="NX355" s="5"/>
      <c r="NY355" s="5"/>
      <c r="NZ355" s="5"/>
      <c r="OA355" s="5"/>
      <c r="OB355" s="5"/>
      <c r="OC355" s="5"/>
      <c r="OD355" s="5"/>
      <c r="OE355" s="5"/>
    </row>
    <row r="356" spans="2:395" ht="13.8" customHeight="1" outlineLevel="1" x14ac:dyDescent="0.3">
      <c r="D356" s="119" t="s">
        <v>49</v>
      </c>
      <c r="E356" s="10">
        <f>E355*E381</f>
        <v>225378.97569444444</v>
      </c>
      <c r="F356" s="259" t="s">
        <v>14</v>
      </c>
      <c r="N356" s="29" t="s">
        <v>4</v>
      </c>
      <c r="O356" s="278"/>
      <c r="P356" s="30" t="s">
        <v>81</v>
      </c>
      <c r="Q356" s="278"/>
      <c r="R356" s="278"/>
      <c r="S356" s="278"/>
      <c r="T356" s="278"/>
      <c r="U356" s="278"/>
      <c r="V356" s="278"/>
      <c r="W356" s="278"/>
      <c r="X356" s="278"/>
      <c r="Y356" s="278"/>
      <c r="Z356" s="278"/>
      <c r="AA356" s="278"/>
      <c r="AB356" s="278"/>
      <c r="AC356" s="278"/>
      <c r="AD356" s="278"/>
      <c r="AE356" s="278"/>
      <c r="AF356" s="278"/>
      <c r="AG356" s="278"/>
      <c r="AH356" s="278"/>
      <c r="AI356" s="278"/>
      <c r="AJ356" s="278"/>
      <c r="AK356" s="278"/>
      <c r="AL356" s="278"/>
      <c r="AM356" s="278"/>
      <c r="AN356" s="278"/>
      <c r="AO356" s="278"/>
      <c r="AP356" s="278"/>
      <c r="AQ356" s="278"/>
      <c r="AR356" s="278"/>
      <c r="AS356" s="278"/>
      <c r="AT356" s="278"/>
      <c r="AU356" s="278"/>
      <c r="AV356" s="278"/>
      <c r="AW356" s="278"/>
      <c r="AX356" s="278"/>
      <c r="AY356" s="278"/>
      <c r="AZ356" s="278"/>
      <c r="BA356" s="278"/>
      <c r="BB356" s="278"/>
      <c r="BC356" s="278"/>
      <c r="BD356" s="278"/>
      <c r="BE356" s="278"/>
      <c r="BF356" s="278"/>
      <c r="BG356" s="278"/>
      <c r="BH356" s="278"/>
      <c r="BI356" s="278"/>
      <c r="BJ356" s="278"/>
      <c r="BK356" s="278"/>
      <c r="BL356" s="278"/>
      <c r="BM356" s="278"/>
      <c r="BN356" s="278"/>
      <c r="BO356" s="278"/>
      <c r="BP356" s="278"/>
      <c r="BQ356" s="278"/>
      <c r="BR356" s="278"/>
      <c r="BS356" s="278"/>
      <c r="BT356" s="278"/>
      <c r="BU356" s="278"/>
      <c r="BV356" s="278"/>
      <c r="BW356" s="278"/>
      <c r="BX356" s="278"/>
      <c r="BY356" s="278"/>
      <c r="BZ356" s="278"/>
      <c r="CA356" s="278"/>
      <c r="CB356" s="278"/>
      <c r="CC356" s="278"/>
      <c r="CD356" s="278"/>
      <c r="CE356" s="278"/>
      <c r="CF356" s="278"/>
      <c r="CG356" s="278"/>
      <c r="CH356" s="278"/>
      <c r="CI356" s="278"/>
      <c r="CJ356" s="278"/>
      <c r="CK356" s="278"/>
      <c r="CL356" s="278"/>
      <c r="CM356" s="278"/>
      <c r="CN356" s="278"/>
      <c r="CO356" s="278"/>
      <c r="CP356" s="278"/>
      <c r="CQ356" s="278"/>
      <c r="CR356" s="278"/>
      <c r="CS356" s="278"/>
      <c r="CT356" s="278"/>
      <c r="CU356" s="278"/>
      <c r="CV356" s="278"/>
      <c r="CW356" s="278"/>
      <c r="CX356" s="278"/>
      <c r="CY356" s="278"/>
      <c r="CZ356" s="278"/>
      <c r="DA356" s="278"/>
      <c r="DB356" s="278"/>
      <c r="DC356" s="278"/>
      <c r="DD356" s="278"/>
      <c r="DE356" s="278"/>
      <c r="DF356" s="278"/>
      <c r="DG356" s="278"/>
      <c r="DH356" s="278"/>
      <c r="DI356" s="278"/>
      <c r="DJ356" s="278"/>
      <c r="DK356" s="278"/>
      <c r="DL356" s="278"/>
      <c r="DM356" s="278"/>
      <c r="DN356" s="278"/>
      <c r="DO356" s="278"/>
      <c r="DP356" s="278"/>
      <c r="DQ356" s="278"/>
      <c r="DR356" s="278"/>
      <c r="DS356" s="278"/>
      <c r="DT356" s="278"/>
      <c r="DU356" s="278"/>
      <c r="DV356" s="278"/>
      <c r="DW356" s="278"/>
      <c r="DX356" s="278"/>
      <c r="DY356" s="278"/>
      <c r="DZ356" s="278"/>
      <c r="EA356" s="278"/>
      <c r="EB356" s="278"/>
      <c r="EC356" s="278"/>
      <c r="ED356" s="278"/>
      <c r="EE356" s="278"/>
      <c r="EF356" s="278"/>
      <c r="EG356" s="278"/>
      <c r="EH356" s="278"/>
      <c r="EI356" s="278"/>
      <c r="EJ356" s="278"/>
      <c r="EK356" s="278"/>
      <c r="EL356" s="278"/>
      <c r="EM356" s="278"/>
      <c r="EN356" s="278"/>
      <c r="EO356" s="278"/>
      <c r="EP356" s="278"/>
      <c r="EQ356" s="278"/>
      <c r="ER356" s="278"/>
      <c r="ES356" s="278"/>
      <c r="ET356" s="278"/>
      <c r="EU356" s="278"/>
      <c r="EV356" s="278"/>
      <c r="EW356" s="278"/>
      <c r="EX356" s="278"/>
      <c r="EY356" s="278"/>
      <c r="EZ356" s="278"/>
      <c r="FA356" s="278"/>
      <c r="FB356" s="278"/>
      <c r="FC356" s="278"/>
      <c r="FD356" s="278"/>
      <c r="FE356" s="278"/>
      <c r="FF356" s="278"/>
      <c r="FG356" s="278"/>
      <c r="FH356" s="278"/>
      <c r="FI356" s="278"/>
      <c r="FJ356" s="278"/>
      <c r="FK356" s="278"/>
      <c r="FL356" s="278"/>
      <c r="FM356" s="278"/>
      <c r="FN356" s="278"/>
      <c r="FO356" s="278"/>
      <c r="FP356" s="278"/>
      <c r="FQ356" s="278"/>
      <c r="FR356" s="278"/>
      <c r="FS356" s="278"/>
      <c r="FT356" s="278"/>
      <c r="FU356" s="278"/>
      <c r="FV356" s="278"/>
      <c r="FW356" s="278"/>
      <c r="FX356" s="278"/>
      <c r="FY356" s="278"/>
      <c r="FZ356" s="278"/>
      <c r="GA356" s="278"/>
      <c r="GB356" s="278"/>
      <c r="GC356" s="278"/>
      <c r="GD356" s="278"/>
      <c r="GE356" s="278"/>
      <c r="GF356" s="278"/>
      <c r="GG356" s="278"/>
      <c r="GH356" s="278"/>
      <c r="GI356" s="278"/>
      <c r="GJ356" s="278"/>
      <c r="GK356" s="278"/>
      <c r="GL356" s="278"/>
      <c r="GM356" s="278"/>
      <c r="GN356" s="278"/>
      <c r="GO356" s="278"/>
      <c r="GP356" s="278"/>
      <c r="GQ356" s="278"/>
      <c r="GR356" s="278"/>
      <c r="GS356" s="278"/>
      <c r="GT356" s="278"/>
      <c r="GU356" s="278"/>
      <c r="GV356" s="278"/>
      <c r="GW356" s="278"/>
      <c r="GX356" s="278"/>
      <c r="GY356" s="278"/>
      <c r="GZ356" s="278"/>
      <c r="HA356" s="278"/>
      <c r="HB356" s="278"/>
      <c r="HC356" s="278"/>
      <c r="HD356" s="278"/>
      <c r="HE356" s="278"/>
      <c r="HF356" s="278"/>
      <c r="HG356" s="278"/>
      <c r="HH356" s="278"/>
      <c r="HI356" s="278"/>
      <c r="HJ356" s="278"/>
      <c r="HK356" s="278"/>
      <c r="HL356" s="278"/>
      <c r="HM356" s="278"/>
      <c r="HN356" s="278"/>
      <c r="HO356" s="278"/>
      <c r="HP356" s="278"/>
      <c r="HQ356" s="278"/>
      <c r="HR356" s="278"/>
      <c r="HS356" s="278"/>
      <c r="HT356" s="278"/>
      <c r="HU356" s="278"/>
      <c r="HV356" s="278"/>
      <c r="HW356" s="278"/>
      <c r="HX356" s="278"/>
      <c r="HY356" s="278"/>
      <c r="HZ356" s="278"/>
      <c r="IA356" s="278"/>
      <c r="IB356" s="278"/>
      <c r="IC356" s="278"/>
      <c r="ID356" s="278"/>
      <c r="IE356" s="278"/>
      <c r="IF356" s="278"/>
      <c r="IG356" s="278"/>
      <c r="IH356" s="278"/>
      <c r="II356" s="278"/>
      <c r="IJ356" s="278"/>
      <c r="IK356" s="278"/>
      <c r="IL356" s="278"/>
      <c r="IM356" s="278"/>
      <c r="IN356" s="278"/>
      <c r="IO356" s="278"/>
      <c r="IP356" s="278"/>
      <c r="IQ356" s="278"/>
      <c r="IR356" s="278"/>
      <c r="IS356" s="278"/>
      <c r="IT356" s="278"/>
      <c r="IU356" s="278"/>
      <c r="IV356" s="278"/>
      <c r="IW356" s="278"/>
      <c r="IX356" s="278"/>
      <c r="IY356" s="278"/>
      <c r="IZ356" s="278"/>
      <c r="JA356" s="278"/>
      <c r="JB356" s="278"/>
      <c r="JC356" s="278"/>
      <c r="JD356" s="278"/>
      <c r="JE356" s="278"/>
      <c r="JF356" s="278"/>
      <c r="JG356" s="278"/>
      <c r="JH356" s="278"/>
      <c r="JI356" s="278"/>
      <c r="JJ356" s="278"/>
      <c r="JK356" s="278"/>
      <c r="JL356" s="278"/>
      <c r="JM356" s="278"/>
      <c r="JN356" s="278"/>
      <c r="JO356" s="278"/>
      <c r="JP356" s="278"/>
      <c r="JQ356" s="278"/>
      <c r="JR356" s="278"/>
      <c r="JS356" s="278"/>
      <c r="JT356" s="278"/>
      <c r="JU356" s="278"/>
      <c r="JV356" s="278"/>
      <c r="JW356" s="278"/>
      <c r="JX356" s="278"/>
      <c r="JY356" s="278"/>
      <c r="JZ356" s="278"/>
      <c r="KA356" s="278"/>
      <c r="KB356" s="278"/>
      <c r="KC356" s="278"/>
      <c r="KD356" s="278"/>
      <c r="KE356" s="278"/>
      <c r="KF356" s="278"/>
      <c r="KG356" s="278"/>
      <c r="KH356" s="278"/>
      <c r="KI356" s="278"/>
      <c r="KJ356" s="278"/>
      <c r="KK356" s="278"/>
      <c r="KL356" s="278"/>
      <c r="KM356" s="278"/>
      <c r="KN356" s="278"/>
      <c r="KO356" s="278"/>
      <c r="KP356" s="278"/>
      <c r="KQ356" s="278"/>
      <c r="KR356" s="278"/>
      <c r="KS356" s="278"/>
      <c r="KT356" s="278"/>
      <c r="KU356" s="278"/>
      <c r="KV356" s="278"/>
      <c r="KW356" s="278"/>
      <c r="KX356" s="278"/>
      <c r="KY356" s="278"/>
      <c r="KZ356" s="278"/>
      <c r="LA356" s="278"/>
      <c r="LB356" s="278"/>
      <c r="LC356" s="278"/>
      <c r="LD356" s="278"/>
      <c r="LE356" s="278"/>
      <c r="LF356" s="278"/>
      <c r="LG356" s="278"/>
      <c r="LH356" s="278"/>
      <c r="LI356" s="278"/>
      <c r="LJ356" s="278"/>
      <c r="LK356" s="278"/>
      <c r="LL356" s="278"/>
      <c r="LM356" s="278"/>
      <c r="LN356" s="278"/>
      <c r="LO356" s="278"/>
      <c r="LP356" s="278"/>
      <c r="LQ356" s="278"/>
      <c r="LR356" s="278"/>
      <c r="LS356" s="278"/>
      <c r="LT356" s="278"/>
      <c r="LU356" s="278"/>
      <c r="LV356" s="278"/>
      <c r="LW356" s="278"/>
      <c r="LX356" s="278"/>
      <c r="LY356" s="278"/>
      <c r="LZ356" s="278"/>
      <c r="MA356" s="278"/>
      <c r="MB356" s="278"/>
      <c r="MC356" s="278"/>
      <c r="MD356" s="278"/>
      <c r="ME356" s="278"/>
      <c r="MF356" s="278"/>
      <c r="MG356" s="278"/>
      <c r="MH356" s="278"/>
      <c r="MI356" s="278"/>
      <c r="MJ356" s="278"/>
      <c r="MK356" s="278"/>
      <c r="ML356" s="278"/>
      <c r="MM356" s="278"/>
      <c r="MN356" s="278"/>
      <c r="MO356" s="278"/>
      <c r="MP356" s="278"/>
      <c r="MQ356" s="278"/>
      <c r="MR356" s="278"/>
      <c r="MS356" s="278"/>
      <c r="MT356" s="278"/>
      <c r="MU356" s="278"/>
      <c r="MV356" s="278"/>
      <c r="MW356" s="278"/>
      <c r="MX356" s="278"/>
      <c r="MY356" s="278"/>
      <c r="MZ356" s="278"/>
      <c r="NA356" s="278"/>
      <c r="NB356" s="278"/>
      <c r="NC356" s="278"/>
      <c r="ND356" s="278"/>
      <c r="NE356" s="278"/>
      <c r="NF356" s="278"/>
      <c r="NG356" s="278"/>
      <c r="NH356" s="278"/>
      <c r="NI356" s="278"/>
      <c r="NJ356" s="278"/>
      <c r="NK356" s="278"/>
      <c r="NL356" s="278"/>
      <c r="NM356" s="278"/>
      <c r="NN356" s="278"/>
      <c r="NO356" s="278"/>
      <c r="NP356" s="278"/>
      <c r="NQ356" s="278"/>
      <c r="NR356" s="278"/>
      <c r="NS356" s="278"/>
      <c r="NT356" s="278"/>
      <c r="NU356" s="278"/>
      <c r="NV356" s="278"/>
      <c r="NW356" s="278"/>
      <c r="NX356" s="278"/>
      <c r="NY356" s="278"/>
      <c r="NZ356" s="278"/>
      <c r="OA356" s="278"/>
      <c r="OB356" s="278"/>
      <c r="OC356" s="278"/>
      <c r="OD356" s="278"/>
      <c r="OE356" s="278"/>
    </row>
    <row r="357" spans="2:395" ht="13.8" customHeight="1" outlineLevel="1" x14ac:dyDescent="0.3">
      <c r="D357" s="119"/>
    </row>
    <row r="358" spans="2:395" ht="13.8" customHeight="1" outlineLevel="1" x14ac:dyDescent="0.3">
      <c r="D358" s="119"/>
    </row>
    <row r="359" spans="2:395" ht="13.8" customHeight="1" outlineLevel="1" x14ac:dyDescent="0.3">
      <c r="D359" s="119"/>
    </row>
    <row r="360" spans="2:395" ht="13.8" customHeight="1" outlineLevel="1" x14ac:dyDescent="0.3">
      <c r="D360" s="119"/>
      <c r="N360" s="294" t="s">
        <v>0</v>
      </c>
      <c r="O360" s="73"/>
      <c r="P360" s="74"/>
      <c r="Q360" s="73"/>
      <c r="R360" s="73"/>
      <c r="S360" s="73"/>
      <c r="T360" s="73"/>
      <c r="U360" s="73"/>
      <c r="V360" s="73"/>
      <c r="W360" s="73"/>
      <c r="X360" s="73"/>
      <c r="Y360" s="73"/>
      <c r="Z360" s="73"/>
      <c r="AA360" s="73"/>
      <c r="AB360" s="73"/>
      <c r="AC360" s="73"/>
      <c r="AD360" s="73"/>
      <c r="AE360" s="73"/>
      <c r="AF360" s="73"/>
      <c r="AG360" s="73"/>
      <c r="AH360" s="73"/>
      <c r="AI360" s="73"/>
      <c r="AJ360" s="73"/>
      <c r="AK360" s="73"/>
      <c r="AL360" s="73"/>
      <c r="AM360" s="73"/>
      <c r="AN360" s="73"/>
      <c r="AO360" s="73"/>
      <c r="AP360" s="73"/>
      <c r="AQ360" s="73"/>
      <c r="AR360" s="73"/>
      <c r="AS360" s="73"/>
      <c r="AT360" s="73"/>
      <c r="AU360" s="73"/>
      <c r="AV360" s="73"/>
      <c r="AW360" s="73"/>
      <c r="AX360" s="73"/>
      <c r="AY360" s="73"/>
      <c r="AZ360" s="73"/>
      <c r="BA360" s="73"/>
      <c r="BB360" s="73"/>
      <c r="BC360" s="73"/>
      <c r="BD360" s="73"/>
      <c r="BE360" s="73"/>
      <c r="BF360" s="73"/>
      <c r="BG360" s="73"/>
      <c r="BH360" s="73"/>
      <c r="BI360" s="73"/>
      <c r="BJ360" s="73"/>
      <c r="BK360" s="73"/>
      <c r="BL360" s="73"/>
      <c r="BM360" s="73"/>
      <c r="BN360" s="73"/>
      <c r="BO360" s="73"/>
      <c r="BP360" s="73"/>
      <c r="BQ360" s="73"/>
      <c r="BR360" s="73"/>
      <c r="BS360" s="73"/>
      <c r="BT360" s="73"/>
      <c r="BU360" s="73"/>
      <c r="BV360" s="73"/>
      <c r="BW360" s="73"/>
      <c r="BX360" s="73"/>
      <c r="BY360" s="73"/>
      <c r="BZ360" s="73"/>
      <c r="CA360" s="73"/>
      <c r="CB360" s="73"/>
      <c r="CC360" s="73"/>
      <c r="CD360" s="73"/>
      <c r="CE360" s="73"/>
      <c r="CF360" s="73"/>
      <c r="CG360" s="73"/>
      <c r="CH360" s="73"/>
      <c r="CI360" s="73"/>
      <c r="CJ360" s="73"/>
      <c r="CK360" s="73"/>
      <c r="CL360" s="73"/>
      <c r="CM360" s="73"/>
      <c r="CN360" s="73"/>
      <c r="CO360" s="73"/>
      <c r="CP360" s="73"/>
      <c r="CQ360" s="73"/>
      <c r="CR360" s="73"/>
      <c r="CS360" s="73"/>
      <c r="CT360" s="73"/>
      <c r="CU360" s="73"/>
      <c r="CV360" s="73"/>
      <c r="CW360" s="73"/>
      <c r="CX360" s="73"/>
      <c r="CY360" s="73"/>
      <c r="CZ360" s="73"/>
      <c r="DA360" s="73"/>
      <c r="DB360" s="73"/>
      <c r="DC360" s="73"/>
      <c r="DD360" s="73"/>
      <c r="DE360" s="73"/>
      <c r="DF360" s="73"/>
      <c r="DG360" s="73"/>
      <c r="DH360" s="73"/>
      <c r="DI360" s="73"/>
      <c r="DJ360" s="73"/>
      <c r="DK360" s="73"/>
      <c r="DL360" s="73"/>
      <c r="DM360" s="73"/>
      <c r="DN360" s="73"/>
      <c r="DO360" s="73"/>
      <c r="DP360" s="73"/>
      <c r="DQ360" s="73"/>
      <c r="DR360" s="73"/>
      <c r="DS360" s="73"/>
      <c r="DT360" s="73"/>
      <c r="DU360" s="73"/>
      <c r="DV360" s="73"/>
      <c r="DW360" s="73"/>
      <c r="DX360" s="73"/>
      <c r="DY360" s="73"/>
      <c r="DZ360" s="73"/>
      <c r="EA360" s="73"/>
      <c r="EB360" s="73"/>
      <c r="EC360" s="73"/>
      <c r="ED360" s="73"/>
      <c r="EE360" s="73"/>
      <c r="EF360" s="73"/>
      <c r="EG360" s="73"/>
      <c r="EH360" s="73"/>
      <c r="EI360" s="73"/>
      <c r="EJ360" s="73"/>
      <c r="EK360" s="73"/>
      <c r="EL360" s="73"/>
      <c r="EM360" s="73"/>
      <c r="EN360" s="73"/>
      <c r="EO360" s="73"/>
      <c r="EP360" s="73"/>
      <c r="EQ360" s="73"/>
      <c r="ER360" s="73"/>
      <c r="ES360" s="73"/>
      <c r="ET360" s="73"/>
      <c r="EU360" s="73"/>
      <c r="EV360" s="73"/>
      <c r="EW360" s="73"/>
      <c r="EX360" s="73"/>
      <c r="EY360" s="73"/>
      <c r="EZ360" s="73"/>
      <c r="FA360" s="73"/>
      <c r="FB360" s="73"/>
      <c r="FC360" s="73"/>
      <c r="FD360" s="73"/>
      <c r="FE360" s="73"/>
      <c r="FF360" s="73"/>
      <c r="FG360" s="73"/>
      <c r="FH360" s="73"/>
      <c r="FI360" s="73"/>
      <c r="FJ360" s="73"/>
      <c r="FK360" s="73"/>
      <c r="FL360" s="73"/>
      <c r="FM360" s="73"/>
      <c r="FN360" s="73"/>
      <c r="FO360" s="73"/>
      <c r="FP360" s="73"/>
      <c r="FQ360" s="73"/>
      <c r="FR360" s="73"/>
      <c r="FS360" s="73"/>
      <c r="FT360" s="73"/>
      <c r="FU360" s="73"/>
      <c r="FV360" s="73"/>
      <c r="FW360" s="73"/>
      <c r="FX360" s="73"/>
      <c r="FY360" s="73"/>
      <c r="FZ360" s="73"/>
      <c r="GA360" s="73"/>
      <c r="GB360" s="73"/>
      <c r="GC360" s="73"/>
      <c r="GD360" s="73"/>
      <c r="GE360" s="73"/>
      <c r="GF360" s="73"/>
      <c r="GG360" s="73"/>
      <c r="GH360" s="73"/>
      <c r="GI360" s="73"/>
      <c r="GJ360" s="73"/>
      <c r="GK360" s="73"/>
      <c r="GL360" s="73"/>
      <c r="GM360" s="73"/>
      <c r="GN360" s="73"/>
      <c r="GO360" s="73"/>
      <c r="GP360" s="73"/>
      <c r="GQ360" s="73"/>
      <c r="GR360" s="73"/>
      <c r="GS360" s="73"/>
      <c r="GT360" s="73"/>
      <c r="GU360" s="73"/>
      <c r="GV360" s="73"/>
      <c r="GW360" s="73"/>
      <c r="GX360" s="73"/>
      <c r="GY360" s="73"/>
      <c r="GZ360" s="73"/>
      <c r="HA360" s="73"/>
      <c r="HB360" s="73"/>
      <c r="HC360" s="73"/>
      <c r="HD360" s="73"/>
      <c r="HE360" s="73"/>
      <c r="HF360" s="73"/>
      <c r="HG360" s="73"/>
      <c r="HH360" s="73"/>
      <c r="HI360" s="73"/>
      <c r="HJ360" s="73"/>
      <c r="HK360" s="73"/>
      <c r="HL360" s="73"/>
      <c r="HM360" s="73"/>
      <c r="HN360" s="73"/>
      <c r="HO360" s="73"/>
      <c r="HP360" s="73"/>
      <c r="HQ360" s="73"/>
      <c r="HR360" s="73"/>
      <c r="HS360" s="73"/>
      <c r="HT360" s="73"/>
      <c r="HU360" s="73"/>
      <c r="HV360" s="73"/>
      <c r="HW360" s="73"/>
      <c r="HX360" s="73"/>
      <c r="HY360" s="73"/>
      <c r="HZ360" s="73"/>
      <c r="IA360" s="73"/>
      <c r="IB360" s="73"/>
      <c r="IC360" s="73"/>
      <c r="ID360" s="73"/>
      <c r="IE360" s="73"/>
      <c r="IF360" s="73"/>
      <c r="IG360" s="73"/>
      <c r="IH360" s="73"/>
      <c r="II360" s="73"/>
      <c r="IJ360" s="73"/>
      <c r="IK360" s="73"/>
      <c r="IL360" s="73"/>
      <c r="IM360" s="73"/>
      <c r="IN360" s="73"/>
      <c r="IO360" s="73"/>
      <c r="IP360" s="73"/>
      <c r="IQ360" s="73"/>
      <c r="IR360" s="73"/>
      <c r="IS360" s="73"/>
      <c r="IT360" s="73"/>
      <c r="IU360" s="73"/>
      <c r="IV360" s="73"/>
      <c r="IW360" s="73"/>
      <c r="IX360" s="73"/>
      <c r="IY360" s="73"/>
      <c r="IZ360" s="73"/>
      <c r="JA360" s="73"/>
      <c r="JB360" s="73"/>
      <c r="JC360" s="73"/>
      <c r="JD360" s="73"/>
      <c r="JE360" s="73"/>
      <c r="JF360" s="73"/>
      <c r="JG360" s="73"/>
      <c r="JH360" s="73"/>
      <c r="JI360" s="73"/>
      <c r="JJ360" s="73"/>
      <c r="JK360" s="73"/>
      <c r="JL360" s="73"/>
      <c r="JM360" s="73"/>
      <c r="JN360" s="73"/>
      <c r="JO360" s="73"/>
      <c r="JP360" s="73"/>
      <c r="JQ360" s="73"/>
      <c r="JR360" s="73"/>
      <c r="JS360" s="73"/>
      <c r="JT360" s="73"/>
      <c r="JU360" s="73"/>
      <c r="JV360" s="73"/>
      <c r="JW360" s="73"/>
      <c r="JX360" s="73"/>
      <c r="JY360" s="73"/>
      <c r="JZ360" s="73"/>
      <c r="KA360" s="73"/>
      <c r="KB360" s="73"/>
      <c r="KC360" s="73"/>
      <c r="KD360" s="73"/>
      <c r="KE360" s="73"/>
      <c r="KF360" s="73"/>
      <c r="KG360" s="73"/>
      <c r="KH360" s="73"/>
      <c r="KI360" s="73"/>
      <c r="KJ360" s="73"/>
      <c r="KK360" s="73"/>
      <c r="KL360" s="73"/>
      <c r="KM360" s="73"/>
      <c r="KN360" s="73"/>
      <c r="KO360" s="73"/>
      <c r="KP360" s="73"/>
      <c r="KQ360" s="73"/>
      <c r="KR360" s="73"/>
      <c r="KS360" s="73"/>
      <c r="KT360" s="73"/>
      <c r="KU360" s="73"/>
      <c r="KV360" s="73"/>
      <c r="KW360" s="73"/>
      <c r="KX360" s="73"/>
      <c r="KY360" s="73"/>
      <c r="KZ360" s="73"/>
      <c r="LA360" s="73"/>
      <c r="LB360" s="73"/>
      <c r="LC360" s="73"/>
      <c r="LD360" s="73"/>
      <c r="LE360" s="73"/>
      <c r="LF360" s="73"/>
      <c r="LG360" s="73"/>
      <c r="LH360" s="73"/>
      <c r="LI360" s="73"/>
      <c r="LJ360" s="73"/>
      <c r="LK360" s="73"/>
      <c r="LL360" s="73"/>
      <c r="LM360" s="73"/>
      <c r="LN360" s="73"/>
      <c r="LO360" s="73"/>
      <c r="LP360" s="73"/>
      <c r="LQ360" s="73"/>
      <c r="LR360" s="73"/>
      <c r="LS360" s="73"/>
      <c r="LT360" s="73"/>
      <c r="LU360" s="73"/>
      <c r="LV360" s="73"/>
      <c r="LW360" s="73"/>
      <c r="LX360" s="73"/>
      <c r="LY360" s="73"/>
      <c r="LZ360" s="73"/>
      <c r="MA360" s="73"/>
      <c r="MB360" s="73"/>
      <c r="MC360" s="73"/>
      <c r="MD360" s="73"/>
      <c r="ME360" s="73"/>
      <c r="MF360" s="73"/>
      <c r="MG360" s="73"/>
      <c r="MH360" s="73"/>
      <c r="MI360" s="73"/>
      <c r="MJ360" s="73"/>
      <c r="MK360" s="73"/>
      <c r="ML360" s="73"/>
      <c r="MM360" s="73"/>
      <c r="MN360" s="73"/>
      <c r="MO360" s="73"/>
      <c r="MP360" s="73"/>
      <c r="MQ360" s="73"/>
      <c r="MR360" s="73"/>
      <c r="MS360" s="73"/>
      <c r="MT360" s="73"/>
      <c r="MU360" s="73"/>
      <c r="MV360" s="73"/>
      <c r="MW360" s="73"/>
      <c r="MX360" s="73"/>
      <c r="MY360" s="73"/>
      <c r="MZ360" s="73"/>
      <c r="NA360" s="73"/>
      <c r="NB360" s="73"/>
      <c r="NC360" s="73"/>
      <c r="ND360" s="73"/>
      <c r="NE360" s="73"/>
      <c r="NF360" s="73"/>
      <c r="NG360" s="73"/>
      <c r="NH360" s="73"/>
      <c r="NI360" s="73"/>
      <c r="NJ360" s="73"/>
      <c r="NK360" s="73"/>
      <c r="NL360" s="73"/>
      <c r="NM360" s="73"/>
      <c r="NN360" s="73"/>
      <c r="NO360" s="73"/>
      <c r="NP360" s="73"/>
      <c r="NQ360" s="73"/>
      <c r="NR360" s="73"/>
      <c r="NS360" s="73"/>
      <c r="NT360" s="73"/>
      <c r="NU360" s="73"/>
      <c r="NV360" s="73"/>
      <c r="NW360" s="73"/>
      <c r="NX360" s="73"/>
      <c r="NY360" s="73"/>
      <c r="NZ360" s="73"/>
      <c r="OA360" s="73"/>
      <c r="OB360" s="73"/>
      <c r="OC360" s="73"/>
      <c r="OD360" s="73"/>
      <c r="OE360" s="73"/>
    </row>
    <row r="361" spans="2:395" ht="13.8" customHeight="1" outlineLevel="1" x14ac:dyDescent="0.3">
      <c r="B361" s="114" t="s">
        <v>18</v>
      </c>
      <c r="D361" s="119"/>
      <c r="N361" s="77" t="s">
        <v>48</v>
      </c>
      <c r="O361" s="261"/>
      <c r="P361" s="78"/>
      <c r="Q361" s="261"/>
      <c r="R361" s="261"/>
      <c r="S361" s="261"/>
      <c r="T361" s="261"/>
      <c r="U361" s="261"/>
      <c r="V361" s="261"/>
      <c r="W361" s="261"/>
      <c r="X361" s="261"/>
      <c r="Y361" s="261"/>
      <c r="Z361" s="261"/>
      <c r="AA361" s="261"/>
      <c r="AB361" s="261"/>
      <c r="AC361" s="261"/>
      <c r="AD361" s="261"/>
      <c r="AE361" s="261"/>
      <c r="AF361" s="261"/>
      <c r="AG361" s="261"/>
      <c r="AH361" s="261"/>
      <c r="AI361" s="261"/>
      <c r="AJ361" s="261"/>
      <c r="AK361" s="261"/>
      <c r="AL361" s="261"/>
      <c r="AM361" s="261"/>
      <c r="AN361" s="261"/>
      <c r="AO361" s="261"/>
      <c r="AP361" s="261"/>
      <c r="AQ361" s="261"/>
      <c r="AR361" s="261"/>
      <c r="AS361" s="261"/>
      <c r="AT361" s="261"/>
      <c r="AU361" s="261"/>
      <c r="AV361" s="261"/>
      <c r="AW361" s="261"/>
      <c r="AX361" s="261"/>
      <c r="AY361" s="261"/>
      <c r="AZ361" s="261"/>
      <c r="BA361" s="261"/>
      <c r="BB361" s="261"/>
      <c r="BC361" s="261"/>
      <c r="BD361" s="261"/>
      <c r="BE361" s="261"/>
      <c r="BF361" s="261"/>
      <c r="BG361" s="261"/>
      <c r="BH361" s="261"/>
      <c r="BI361" s="261"/>
      <c r="BJ361" s="261"/>
      <c r="BK361" s="261"/>
      <c r="BL361" s="261"/>
      <c r="BM361" s="261"/>
      <c r="BN361" s="261"/>
      <c r="BO361" s="261"/>
      <c r="BP361" s="261"/>
      <c r="BQ361" s="261"/>
      <c r="BR361" s="261"/>
      <c r="BS361" s="261"/>
      <c r="BT361" s="261"/>
      <c r="BU361" s="261"/>
      <c r="BV361" s="261"/>
      <c r="BW361" s="261"/>
      <c r="BX361" s="261"/>
      <c r="BY361" s="261"/>
      <c r="BZ361" s="261"/>
      <c r="CA361" s="261"/>
      <c r="CB361" s="261"/>
      <c r="CC361" s="261"/>
      <c r="CD361" s="261"/>
      <c r="CE361" s="261"/>
      <c r="CF361" s="261"/>
      <c r="CG361" s="261"/>
      <c r="CH361" s="261"/>
      <c r="CI361" s="261"/>
      <c r="CJ361" s="261"/>
      <c r="CK361" s="261"/>
      <c r="CL361" s="261"/>
      <c r="CM361" s="261"/>
      <c r="CN361" s="261"/>
      <c r="CO361" s="261"/>
      <c r="CP361" s="261"/>
      <c r="CQ361" s="261"/>
      <c r="CR361" s="261"/>
      <c r="CS361" s="261"/>
      <c r="CT361" s="261"/>
      <c r="CU361" s="261"/>
      <c r="CV361" s="261"/>
      <c r="CW361" s="261"/>
      <c r="CX361" s="261"/>
      <c r="CY361" s="261"/>
      <c r="CZ361" s="261"/>
      <c r="DA361" s="261"/>
      <c r="DB361" s="261"/>
      <c r="DC361" s="261"/>
      <c r="DD361" s="261"/>
      <c r="DE361" s="261"/>
      <c r="DF361" s="261"/>
      <c r="DG361" s="261"/>
      <c r="DH361" s="261"/>
      <c r="DI361" s="261"/>
      <c r="DJ361" s="261"/>
      <c r="DK361" s="261"/>
      <c r="DL361" s="261"/>
      <c r="DM361" s="261"/>
      <c r="DN361" s="261"/>
      <c r="DO361" s="261"/>
      <c r="DP361" s="261"/>
      <c r="DQ361" s="261"/>
      <c r="DR361" s="261"/>
      <c r="DS361" s="261"/>
      <c r="DT361" s="261"/>
      <c r="DU361" s="261"/>
      <c r="DV361" s="261"/>
      <c r="DW361" s="261"/>
      <c r="DX361" s="261"/>
      <c r="DY361" s="261"/>
      <c r="DZ361" s="261"/>
      <c r="EA361" s="261"/>
      <c r="EB361" s="261"/>
      <c r="EC361" s="261"/>
      <c r="ED361" s="261"/>
      <c r="EE361" s="261"/>
      <c r="EF361" s="261"/>
      <c r="EG361" s="261"/>
      <c r="EH361" s="261"/>
      <c r="EI361" s="261"/>
      <c r="EJ361" s="261"/>
      <c r="EK361" s="261"/>
      <c r="EL361" s="261"/>
      <c r="EM361" s="261"/>
      <c r="EN361" s="261"/>
      <c r="EO361" s="261"/>
      <c r="EP361" s="261"/>
      <c r="EQ361" s="261"/>
      <c r="ER361" s="261"/>
      <c r="ES361" s="261"/>
      <c r="ET361" s="261"/>
      <c r="EU361" s="261"/>
      <c r="EV361" s="261"/>
      <c r="EW361" s="261"/>
      <c r="EX361" s="261"/>
      <c r="EY361" s="261"/>
      <c r="EZ361" s="261"/>
      <c r="FA361" s="261"/>
      <c r="FB361" s="261"/>
      <c r="FC361" s="261"/>
      <c r="FD361" s="261"/>
      <c r="FE361" s="261"/>
      <c r="FF361" s="261"/>
      <c r="FG361" s="261"/>
      <c r="FH361" s="261"/>
      <c r="FI361" s="261"/>
      <c r="FJ361" s="261"/>
      <c r="FK361" s="261"/>
      <c r="FL361" s="261"/>
      <c r="FM361" s="261"/>
      <c r="FN361" s="261"/>
      <c r="FO361" s="261"/>
      <c r="FP361" s="261"/>
      <c r="FQ361" s="261"/>
      <c r="FR361" s="261"/>
      <c r="FS361" s="261"/>
      <c r="FT361" s="261"/>
      <c r="FU361" s="261"/>
      <c r="FV361" s="261"/>
      <c r="FW361" s="261"/>
      <c r="FX361" s="261"/>
      <c r="FY361" s="261"/>
      <c r="FZ361" s="261"/>
      <c r="GA361" s="261"/>
      <c r="GB361" s="261"/>
      <c r="GC361" s="261"/>
      <c r="GD361" s="261"/>
      <c r="GE361" s="261"/>
      <c r="GF361" s="261"/>
      <c r="GG361" s="261"/>
      <c r="GH361" s="261"/>
      <c r="GI361" s="261"/>
      <c r="GJ361" s="261"/>
      <c r="GK361" s="261"/>
      <c r="GL361" s="261"/>
      <c r="GM361" s="261"/>
      <c r="GN361" s="261"/>
      <c r="GO361" s="261"/>
      <c r="GP361" s="261"/>
      <c r="GQ361" s="261"/>
      <c r="GR361" s="261"/>
      <c r="GS361" s="261"/>
      <c r="GT361" s="261"/>
      <c r="GU361" s="261"/>
      <c r="GV361" s="261"/>
      <c r="GW361" s="261"/>
      <c r="GX361" s="261"/>
      <c r="GY361" s="261"/>
      <c r="GZ361" s="261"/>
      <c r="HA361" s="261"/>
      <c r="HB361" s="261"/>
      <c r="HC361" s="261"/>
      <c r="HD361" s="261"/>
      <c r="HE361" s="261"/>
      <c r="HF361" s="261"/>
      <c r="HG361" s="261"/>
      <c r="HH361" s="261"/>
      <c r="HI361" s="261"/>
      <c r="HJ361" s="261"/>
      <c r="HK361" s="261"/>
      <c r="HL361" s="261"/>
      <c r="HM361" s="261"/>
      <c r="HN361" s="261"/>
      <c r="HO361" s="261"/>
      <c r="HP361" s="261"/>
      <c r="HQ361" s="261"/>
      <c r="HR361" s="261"/>
      <c r="HS361" s="261"/>
      <c r="HT361" s="261"/>
      <c r="HU361" s="261"/>
      <c r="HV361" s="261"/>
      <c r="HW361" s="261"/>
      <c r="HX361" s="261"/>
      <c r="HY361" s="261"/>
      <c r="HZ361" s="261"/>
      <c r="IA361" s="261"/>
      <c r="IB361" s="261"/>
      <c r="IC361" s="261"/>
      <c r="ID361" s="261"/>
      <c r="IE361" s="261"/>
      <c r="IF361" s="261"/>
      <c r="IG361" s="261"/>
      <c r="IH361" s="261"/>
      <c r="II361" s="261"/>
      <c r="IJ361" s="261"/>
      <c r="IK361" s="261"/>
      <c r="IL361" s="261"/>
      <c r="IM361" s="261"/>
      <c r="IN361" s="261"/>
      <c r="IO361" s="261"/>
      <c r="IP361" s="261"/>
      <c r="IQ361" s="261"/>
      <c r="IR361" s="261"/>
      <c r="IS361" s="261"/>
      <c r="IT361" s="261"/>
      <c r="IU361" s="261"/>
      <c r="IV361" s="261"/>
      <c r="IW361" s="261"/>
      <c r="IX361" s="261"/>
      <c r="IY361" s="261"/>
      <c r="IZ361" s="261"/>
      <c r="JA361" s="261"/>
      <c r="JB361" s="261"/>
      <c r="JC361" s="261"/>
      <c r="JD361" s="261"/>
      <c r="JE361" s="261"/>
      <c r="JF361" s="261"/>
      <c r="JG361" s="261"/>
      <c r="JH361" s="261"/>
      <c r="JI361" s="261"/>
      <c r="JJ361" s="261"/>
      <c r="JK361" s="261"/>
      <c r="JL361" s="261"/>
      <c r="JM361" s="261"/>
      <c r="JN361" s="261"/>
      <c r="JO361" s="261"/>
      <c r="JP361" s="261"/>
      <c r="JQ361" s="261"/>
      <c r="JR361" s="261"/>
      <c r="JS361" s="261"/>
      <c r="JT361" s="261"/>
      <c r="JU361" s="261"/>
      <c r="JV361" s="261"/>
      <c r="JW361" s="261"/>
      <c r="JX361" s="261"/>
      <c r="JY361" s="261"/>
      <c r="JZ361" s="261"/>
      <c r="KA361" s="261"/>
      <c r="KB361" s="261"/>
      <c r="KC361" s="261"/>
      <c r="KD361" s="261"/>
      <c r="KE361" s="261"/>
      <c r="KF361" s="261"/>
      <c r="KG361" s="261"/>
      <c r="KH361" s="261"/>
      <c r="KI361" s="261"/>
      <c r="KJ361" s="261"/>
      <c r="KK361" s="261"/>
      <c r="KL361" s="261"/>
      <c r="KM361" s="261"/>
      <c r="KN361" s="261"/>
      <c r="KO361" s="261"/>
      <c r="KP361" s="261"/>
      <c r="KQ361" s="261"/>
      <c r="KR361" s="261"/>
      <c r="KS361" s="261"/>
      <c r="KT361" s="261"/>
      <c r="KU361" s="261"/>
      <c r="KV361" s="261"/>
      <c r="KW361" s="261"/>
      <c r="KX361" s="261"/>
      <c r="KY361" s="261"/>
      <c r="KZ361" s="261"/>
      <c r="LA361" s="261"/>
      <c r="LB361" s="261"/>
      <c r="LC361" s="261"/>
      <c r="LD361" s="261"/>
      <c r="LE361" s="261"/>
      <c r="LF361" s="261"/>
      <c r="LG361" s="261"/>
      <c r="LH361" s="261"/>
      <c r="LI361" s="261"/>
      <c r="LJ361" s="261"/>
      <c r="LK361" s="261"/>
      <c r="LL361" s="261"/>
      <c r="LM361" s="261"/>
      <c r="LN361" s="261"/>
      <c r="LO361" s="261"/>
      <c r="LP361" s="261"/>
      <c r="LQ361" s="261"/>
      <c r="LR361" s="261"/>
      <c r="LS361" s="261"/>
      <c r="LT361" s="261"/>
      <c r="LU361" s="261"/>
      <c r="LV361" s="261"/>
      <c r="LW361" s="261"/>
      <c r="LX361" s="261"/>
      <c r="LY361" s="261"/>
      <c r="LZ361" s="261"/>
      <c r="MA361" s="261"/>
      <c r="MB361" s="261"/>
      <c r="MC361" s="261"/>
      <c r="MD361" s="261"/>
      <c r="ME361" s="261"/>
      <c r="MF361" s="261"/>
      <c r="MG361" s="261"/>
      <c r="MH361" s="261"/>
      <c r="MI361" s="261"/>
      <c r="MJ361" s="261"/>
      <c r="MK361" s="261"/>
      <c r="ML361" s="261"/>
      <c r="MM361" s="261"/>
      <c r="MN361" s="261"/>
      <c r="MO361" s="261"/>
      <c r="MP361" s="261"/>
      <c r="MQ361" s="261"/>
      <c r="MR361" s="261"/>
      <c r="MS361" s="261"/>
      <c r="MT361" s="261"/>
      <c r="MU361" s="261"/>
      <c r="MV361" s="261"/>
      <c r="MW361" s="261"/>
      <c r="MX361" s="261"/>
      <c r="MY361" s="261"/>
      <c r="MZ361" s="261"/>
      <c r="NA361" s="261"/>
      <c r="NB361" s="261"/>
      <c r="NC361" s="261"/>
      <c r="ND361" s="261"/>
      <c r="NE361" s="261"/>
      <c r="NF361" s="261"/>
      <c r="NG361" s="261"/>
      <c r="NH361" s="261"/>
      <c r="NI361" s="261"/>
      <c r="NJ361" s="261"/>
      <c r="NK361" s="261"/>
      <c r="NL361" s="261"/>
      <c r="NM361" s="261"/>
      <c r="NN361" s="261"/>
      <c r="NO361" s="261"/>
      <c r="NP361" s="261"/>
      <c r="NQ361" s="261"/>
      <c r="NR361" s="261"/>
      <c r="NS361" s="261"/>
      <c r="NT361" s="261"/>
      <c r="NU361" s="261"/>
      <c r="NV361" s="261"/>
      <c r="NW361" s="261"/>
      <c r="NX361" s="261"/>
      <c r="NY361" s="261"/>
      <c r="NZ361" s="261"/>
      <c r="OA361" s="261"/>
      <c r="OB361" s="261"/>
      <c r="OC361" s="261"/>
      <c r="OD361" s="261"/>
      <c r="OE361" s="261"/>
    </row>
    <row r="362" spans="2:395" ht="13.8" customHeight="1" outlineLevel="1" x14ac:dyDescent="0.3">
      <c r="C362" s="114" t="s">
        <v>119</v>
      </c>
      <c r="D362" s="119"/>
      <c r="N362" s="25" t="s">
        <v>124</v>
      </c>
      <c r="O362" s="25"/>
      <c r="P362" s="27" t="s">
        <v>65</v>
      </c>
      <c r="Q362" s="25" cm="1">
        <f t="array" ref="Q362:OE362">E368+(_xlfn.ANCHORARRAY(Q4)-1)*E370</f>
        <v>230</v>
      </c>
      <c r="R362" s="25">
        <v>230</v>
      </c>
      <c r="S362" s="25">
        <v>230</v>
      </c>
      <c r="T362" s="25">
        <v>230</v>
      </c>
      <c r="U362" s="25">
        <v>230</v>
      </c>
      <c r="V362" s="25">
        <v>230</v>
      </c>
      <c r="W362" s="25">
        <v>230</v>
      </c>
      <c r="X362" s="25">
        <v>230</v>
      </c>
      <c r="Y362" s="25">
        <v>230</v>
      </c>
      <c r="Z362" s="25">
        <v>230</v>
      </c>
      <c r="AA362" s="25">
        <v>230</v>
      </c>
      <c r="AB362" s="25">
        <v>230</v>
      </c>
      <c r="AC362" s="25">
        <v>227</v>
      </c>
      <c r="AD362" s="25">
        <v>227</v>
      </c>
      <c r="AE362" s="25">
        <v>227</v>
      </c>
      <c r="AF362" s="25">
        <v>227</v>
      </c>
      <c r="AG362" s="25">
        <v>227</v>
      </c>
      <c r="AH362" s="25">
        <v>227</v>
      </c>
      <c r="AI362" s="25">
        <v>227</v>
      </c>
      <c r="AJ362" s="25">
        <v>227</v>
      </c>
      <c r="AK362" s="25">
        <v>227</v>
      </c>
      <c r="AL362" s="25">
        <v>227</v>
      </c>
      <c r="AM362" s="25">
        <v>227</v>
      </c>
      <c r="AN362" s="25">
        <v>227</v>
      </c>
      <c r="AO362" s="25">
        <v>224</v>
      </c>
      <c r="AP362" s="25">
        <v>224</v>
      </c>
      <c r="AQ362" s="25">
        <v>224</v>
      </c>
      <c r="AR362" s="25">
        <v>224</v>
      </c>
      <c r="AS362" s="25">
        <v>224</v>
      </c>
      <c r="AT362" s="25">
        <v>224</v>
      </c>
      <c r="AU362" s="25">
        <v>224</v>
      </c>
      <c r="AV362" s="25">
        <v>224</v>
      </c>
      <c r="AW362" s="25">
        <v>224</v>
      </c>
      <c r="AX362" s="25">
        <v>224</v>
      </c>
      <c r="AY362" s="25">
        <v>224</v>
      </c>
      <c r="AZ362" s="25">
        <v>224</v>
      </c>
      <c r="BA362" s="25">
        <v>221</v>
      </c>
      <c r="BB362" s="25">
        <v>221</v>
      </c>
      <c r="BC362" s="25">
        <v>221</v>
      </c>
      <c r="BD362" s="25">
        <v>221</v>
      </c>
      <c r="BE362" s="25">
        <v>221</v>
      </c>
      <c r="BF362" s="25">
        <v>221</v>
      </c>
      <c r="BG362" s="25">
        <v>221</v>
      </c>
      <c r="BH362" s="25">
        <v>221</v>
      </c>
      <c r="BI362" s="25">
        <v>221</v>
      </c>
      <c r="BJ362" s="25">
        <v>221</v>
      </c>
      <c r="BK362" s="25">
        <v>221</v>
      </c>
      <c r="BL362" s="25">
        <v>221</v>
      </c>
      <c r="BM362" s="25">
        <v>218</v>
      </c>
      <c r="BN362" s="25">
        <v>218</v>
      </c>
      <c r="BO362" s="25">
        <v>218</v>
      </c>
      <c r="BP362" s="25">
        <v>218</v>
      </c>
      <c r="BQ362" s="25">
        <v>218</v>
      </c>
      <c r="BR362" s="25">
        <v>218</v>
      </c>
      <c r="BS362" s="25">
        <v>218</v>
      </c>
      <c r="BT362" s="25">
        <v>218</v>
      </c>
      <c r="BU362" s="25">
        <v>218</v>
      </c>
      <c r="BV362" s="25">
        <v>218</v>
      </c>
      <c r="BW362" s="25">
        <v>218</v>
      </c>
      <c r="BX362" s="25">
        <v>218</v>
      </c>
      <c r="BY362" s="25">
        <v>215</v>
      </c>
      <c r="BZ362" s="25">
        <v>215</v>
      </c>
      <c r="CA362" s="25">
        <v>215</v>
      </c>
      <c r="CB362" s="25">
        <v>215</v>
      </c>
      <c r="CC362" s="25">
        <v>215</v>
      </c>
      <c r="CD362" s="25">
        <v>215</v>
      </c>
      <c r="CE362" s="25">
        <v>215</v>
      </c>
      <c r="CF362" s="25">
        <v>215</v>
      </c>
      <c r="CG362" s="25">
        <v>215</v>
      </c>
      <c r="CH362" s="25">
        <v>215</v>
      </c>
      <c r="CI362" s="25">
        <v>215</v>
      </c>
      <c r="CJ362" s="25">
        <v>215</v>
      </c>
      <c r="CK362" s="25">
        <v>212</v>
      </c>
      <c r="CL362" s="25">
        <v>212</v>
      </c>
      <c r="CM362" s="25">
        <v>212</v>
      </c>
      <c r="CN362" s="25">
        <v>212</v>
      </c>
      <c r="CO362" s="25">
        <v>212</v>
      </c>
      <c r="CP362" s="25">
        <v>212</v>
      </c>
      <c r="CQ362" s="25">
        <v>212</v>
      </c>
      <c r="CR362" s="25">
        <v>212</v>
      </c>
      <c r="CS362" s="25">
        <v>212</v>
      </c>
      <c r="CT362" s="25">
        <v>212</v>
      </c>
      <c r="CU362" s="25">
        <v>212</v>
      </c>
      <c r="CV362" s="25">
        <v>212</v>
      </c>
      <c r="CW362" s="25">
        <v>209</v>
      </c>
      <c r="CX362" s="25">
        <v>209</v>
      </c>
      <c r="CY362" s="25">
        <v>209</v>
      </c>
      <c r="CZ362" s="25">
        <v>209</v>
      </c>
      <c r="DA362" s="25">
        <v>209</v>
      </c>
      <c r="DB362" s="25">
        <v>209</v>
      </c>
      <c r="DC362" s="25">
        <v>209</v>
      </c>
      <c r="DD362" s="25">
        <v>209</v>
      </c>
      <c r="DE362" s="25">
        <v>209</v>
      </c>
      <c r="DF362" s="25">
        <v>209</v>
      </c>
      <c r="DG362" s="25">
        <v>209</v>
      </c>
      <c r="DH362" s="25">
        <v>209</v>
      </c>
      <c r="DI362" s="25">
        <v>206</v>
      </c>
      <c r="DJ362" s="25">
        <v>206</v>
      </c>
      <c r="DK362" s="25">
        <v>206</v>
      </c>
      <c r="DL362" s="25">
        <v>206</v>
      </c>
      <c r="DM362" s="25">
        <v>206</v>
      </c>
      <c r="DN362" s="25">
        <v>206</v>
      </c>
      <c r="DO362" s="25">
        <v>206</v>
      </c>
      <c r="DP362" s="25">
        <v>206</v>
      </c>
      <c r="DQ362" s="25">
        <v>206</v>
      </c>
      <c r="DR362" s="25">
        <v>206</v>
      </c>
      <c r="DS362" s="25">
        <v>206</v>
      </c>
      <c r="DT362" s="25">
        <v>206</v>
      </c>
      <c r="DU362" s="25">
        <v>203</v>
      </c>
      <c r="DV362" s="25">
        <v>203</v>
      </c>
      <c r="DW362" s="25">
        <v>203</v>
      </c>
      <c r="DX362" s="25">
        <v>203</v>
      </c>
      <c r="DY362" s="25">
        <v>203</v>
      </c>
      <c r="DZ362" s="25">
        <v>203</v>
      </c>
      <c r="EA362" s="25">
        <v>203</v>
      </c>
      <c r="EB362" s="25">
        <v>203</v>
      </c>
      <c r="EC362" s="25">
        <v>203</v>
      </c>
      <c r="ED362" s="25">
        <v>203</v>
      </c>
      <c r="EE362" s="25">
        <v>203</v>
      </c>
      <c r="EF362" s="25">
        <v>203</v>
      </c>
      <c r="EG362" s="25">
        <v>200</v>
      </c>
      <c r="EH362" s="25">
        <v>200</v>
      </c>
      <c r="EI362" s="25">
        <v>200</v>
      </c>
      <c r="EJ362" s="25">
        <v>200</v>
      </c>
      <c r="EK362" s="25">
        <v>200</v>
      </c>
      <c r="EL362" s="25">
        <v>200</v>
      </c>
      <c r="EM362" s="25">
        <v>200</v>
      </c>
      <c r="EN362" s="25">
        <v>200</v>
      </c>
      <c r="EO362" s="25">
        <v>200</v>
      </c>
      <c r="EP362" s="25">
        <v>200</v>
      </c>
      <c r="EQ362" s="25">
        <v>200</v>
      </c>
      <c r="ER362" s="25">
        <v>200</v>
      </c>
      <c r="ES362" s="25">
        <v>197</v>
      </c>
      <c r="ET362" s="25">
        <v>197</v>
      </c>
      <c r="EU362" s="25">
        <v>197</v>
      </c>
      <c r="EV362" s="25">
        <v>197</v>
      </c>
      <c r="EW362" s="25">
        <v>197</v>
      </c>
      <c r="EX362" s="25">
        <v>197</v>
      </c>
      <c r="EY362" s="25">
        <v>197</v>
      </c>
      <c r="EZ362" s="25">
        <v>197</v>
      </c>
      <c r="FA362" s="25">
        <v>197</v>
      </c>
      <c r="FB362" s="25">
        <v>197</v>
      </c>
      <c r="FC362" s="25">
        <v>197</v>
      </c>
      <c r="FD362" s="25">
        <v>197</v>
      </c>
      <c r="FE362" s="25">
        <v>194</v>
      </c>
      <c r="FF362" s="25">
        <v>194</v>
      </c>
      <c r="FG362" s="25">
        <v>194</v>
      </c>
      <c r="FH362" s="25">
        <v>194</v>
      </c>
      <c r="FI362" s="25">
        <v>194</v>
      </c>
      <c r="FJ362" s="25">
        <v>194</v>
      </c>
      <c r="FK362" s="25">
        <v>194</v>
      </c>
      <c r="FL362" s="25">
        <v>194</v>
      </c>
      <c r="FM362" s="25">
        <v>194</v>
      </c>
      <c r="FN362" s="25">
        <v>194</v>
      </c>
      <c r="FO362" s="25">
        <v>194</v>
      </c>
      <c r="FP362" s="25">
        <v>194</v>
      </c>
      <c r="FQ362" s="25">
        <v>191</v>
      </c>
      <c r="FR362" s="25">
        <v>191</v>
      </c>
      <c r="FS362" s="25">
        <v>191</v>
      </c>
      <c r="FT362" s="25">
        <v>191</v>
      </c>
      <c r="FU362" s="25">
        <v>191</v>
      </c>
      <c r="FV362" s="25">
        <v>191</v>
      </c>
      <c r="FW362" s="25">
        <v>191</v>
      </c>
      <c r="FX362" s="25">
        <v>191</v>
      </c>
      <c r="FY362" s="25">
        <v>191</v>
      </c>
      <c r="FZ362" s="25">
        <v>191</v>
      </c>
      <c r="GA362" s="25">
        <v>191</v>
      </c>
      <c r="GB362" s="25">
        <v>191</v>
      </c>
      <c r="GC362" s="25">
        <v>188</v>
      </c>
      <c r="GD362" s="25">
        <v>188</v>
      </c>
      <c r="GE362" s="25">
        <v>188</v>
      </c>
      <c r="GF362" s="25">
        <v>188</v>
      </c>
      <c r="GG362" s="25">
        <v>188</v>
      </c>
      <c r="GH362" s="25">
        <v>188</v>
      </c>
      <c r="GI362" s="25">
        <v>188</v>
      </c>
      <c r="GJ362" s="25">
        <v>188</v>
      </c>
      <c r="GK362" s="25">
        <v>188</v>
      </c>
      <c r="GL362" s="25">
        <v>188</v>
      </c>
      <c r="GM362" s="25">
        <v>188</v>
      </c>
      <c r="GN362" s="25">
        <v>188</v>
      </c>
      <c r="GO362" s="25">
        <v>185</v>
      </c>
      <c r="GP362" s="25">
        <v>185</v>
      </c>
      <c r="GQ362" s="25">
        <v>185</v>
      </c>
      <c r="GR362" s="25">
        <v>185</v>
      </c>
      <c r="GS362" s="25">
        <v>185</v>
      </c>
      <c r="GT362" s="25">
        <v>185</v>
      </c>
      <c r="GU362" s="25">
        <v>185</v>
      </c>
      <c r="GV362" s="25">
        <v>185</v>
      </c>
      <c r="GW362" s="25">
        <v>185</v>
      </c>
      <c r="GX362" s="25">
        <v>185</v>
      </c>
      <c r="GY362" s="25">
        <v>185</v>
      </c>
      <c r="GZ362" s="25">
        <v>185</v>
      </c>
      <c r="HA362" s="25">
        <v>182</v>
      </c>
      <c r="HB362" s="25">
        <v>182</v>
      </c>
      <c r="HC362" s="25">
        <v>182</v>
      </c>
      <c r="HD362" s="25">
        <v>182</v>
      </c>
      <c r="HE362" s="25">
        <v>182</v>
      </c>
      <c r="HF362" s="25">
        <v>182</v>
      </c>
      <c r="HG362" s="25">
        <v>182</v>
      </c>
      <c r="HH362" s="25">
        <v>182</v>
      </c>
      <c r="HI362" s="25">
        <v>182</v>
      </c>
      <c r="HJ362" s="25">
        <v>182</v>
      </c>
      <c r="HK362" s="25">
        <v>182</v>
      </c>
      <c r="HL362" s="25">
        <v>182</v>
      </c>
      <c r="HM362" s="25">
        <v>179</v>
      </c>
      <c r="HN362" s="25">
        <v>179</v>
      </c>
      <c r="HO362" s="25">
        <v>179</v>
      </c>
      <c r="HP362" s="25">
        <v>179</v>
      </c>
      <c r="HQ362" s="25">
        <v>179</v>
      </c>
      <c r="HR362" s="25">
        <v>179</v>
      </c>
      <c r="HS362" s="25">
        <v>179</v>
      </c>
      <c r="HT362" s="25">
        <v>179</v>
      </c>
      <c r="HU362" s="25">
        <v>179</v>
      </c>
      <c r="HV362" s="25">
        <v>179</v>
      </c>
      <c r="HW362" s="25">
        <v>179</v>
      </c>
      <c r="HX362" s="25">
        <v>179</v>
      </c>
      <c r="HY362" s="25">
        <v>176</v>
      </c>
      <c r="HZ362" s="25">
        <v>176</v>
      </c>
      <c r="IA362" s="25">
        <v>176</v>
      </c>
      <c r="IB362" s="25">
        <v>176</v>
      </c>
      <c r="IC362" s="25">
        <v>176</v>
      </c>
      <c r="ID362" s="25">
        <v>176</v>
      </c>
      <c r="IE362" s="25">
        <v>176</v>
      </c>
      <c r="IF362" s="25">
        <v>176</v>
      </c>
      <c r="IG362" s="25">
        <v>176</v>
      </c>
      <c r="IH362" s="25">
        <v>176</v>
      </c>
      <c r="II362" s="25">
        <v>176</v>
      </c>
      <c r="IJ362" s="25">
        <v>176</v>
      </c>
      <c r="IK362" s="25">
        <v>173</v>
      </c>
      <c r="IL362" s="25">
        <v>173</v>
      </c>
      <c r="IM362" s="25">
        <v>173</v>
      </c>
      <c r="IN362" s="25">
        <v>173</v>
      </c>
      <c r="IO362" s="25">
        <v>173</v>
      </c>
      <c r="IP362" s="25">
        <v>173</v>
      </c>
      <c r="IQ362" s="25">
        <v>173</v>
      </c>
      <c r="IR362" s="25">
        <v>173</v>
      </c>
      <c r="IS362" s="25">
        <v>173</v>
      </c>
      <c r="IT362" s="25">
        <v>173</v>
      </c>
      <c r="IU362" s="25">
        <v>173</v>
      </c>
      <c r="IV362" s="25">
        <v>173</v>
      </c>
      <c r="IW362" s="25">
        <v>170</v>
      </c>
      <c r="IX362" s="25">
        <v>170</v>
      </c>
      <c r="IY362" s="25">
        <v>170</v>
      </c>
      <c r="IZ362" s="25">
        <v>170</v>
      </c>
      <c r="JA362" s="25">
        <v>170</v>
      </c>
      <c r="JB362" s="25">
        <v>170</v>
      </c>
      <c r="JC362" s="25">
        <v>170</v>
      </c>
      <c r="JD362" s="25">
        <v>170</v>
      </c>
      <c r="JE362" s="25">
        <v>170</v>
      </c>
      <c r="JF362" s="25">
        <v>170</v>
      </c>
      <c r="JG362" s="25">
        <v>170</v>
      </c>
      <c r="JH362" s="25">
        <v>170</v>
      </c>
      <c r="JI362" s="25">
        <v>167</v>
      </c>
      <c r="JJ362" s="25">
        <v>167</v>
      </c>
      <c r="JK362" s="25">
        <v>167</v>
      </c>
      <c r="JL362" s="25">
        <v>167</v>
      </c>
      <c r="JM362" s="25">
        <v>167</v>
      </c>
      <c r="JN362" s="25">
        <v>167</v>
      </c>
      <c r="JO362" s="25">
        <v>167</v>
      </c>
      <c r="JP362" s="25">
        <v>167</v>
      </c>
      <c r="JQ362" s="25">
        <v>167</v>
      </c>
      <c r="JR362" s="25">
        <v>167</v>
      </c>
      <c r="JS362" s="25">
        <v>167</v>
      </c>
      <c r="JT362" s="25">
        <v>167</v>
      </c>
      <c r="JU362" s="25">
        <v>164</v>
      </c>
      <c r="JV362" s="25">
        <v>164</v>
      </c>
      <c r="JW362" s="25">
        <v>164</v>
      </c>
      <c r="JX362" s="25">
        <v>164</v>
      </c>
      <c r="JY362" s="25">
        <v>164</v>
      </c>
      <c r="JZ362" s="25">
        <v>164</v>
      </c>
      <c r="KA362" s="25">
        <v>164</v>
      </c>
      <c r="KB362" s="25">
        <v>164</v>
      </c>
      <c r="KC362" s="25">
        <v>164</v>
      </c>
      <c r="KD362" s="25">
        <v>164</v>
      </c>
      <c r="KE362" s="25">
        <v>164</v>
      </c>
      <c r="KF362" s="25">
        <v>164</v>
      </c>
      <c r="KG362" s="25">
        <v>161</v>
      </c>
      <c r="KH362" s="25">
        <v>161</v>
      </c>
      <c r="KI362" s="25">
        <v>161</v>
      </c>
      <c r="KJ362" s="25">
        <v>161</v>
      </c>
      <c r="KK362" s="25">
        <v>161</v>
      </c>
      <c r="KL362" s="25">
        <v>161</v>
      </c>
      <c r="KM362" s="25">
        <v>161</v>
      </c>
      <c r="KN362" s="25">
        <v>161</v>
      </c>
      <c r="KO362" s="25">
        <v>161</v>
      </c>
      <c r="KP362" s="25">
        <v>161</v>
      </c>
      <c r="KQ362" s="25">
        <v>161</v>
      </c>
      <c r="KR362" s="25">
        <v>161</v>
      </c>
      <c r="KS362" s="25">
        <v>158</v>
      </c>
      <c r="KT362" s="25">
        <v>158</v>
      </c>
      <c r="KU362" s="25">
        <v>158</v>
      </c>
      <c r="KV362" s="25">
        <v>158</v>
      </c>
      <c r="KW362" s="25">
        <v>158</v>
      </c>
      <c r="KX362" s="25">
        <v>158</v>
      </c>
      <c r="KY362" s="25">
        <v>158</v>
      </c>
      <c r="KZ362" s="25">
        <v>158</v>
      </c>
      <c r="LA362" s="25">
        <v>158</v>
      </c>
      <c r="LB362" s="25">
        <v>158</v>
      </c>
      <c r="LC362" s="25">
        <v>158</v>
      </c>
      <c r="LD362" s="25">
        <v>158</v>
      </c>
      <c r="LE362" s="25">
        <v>155</v>
      </c>
      <c r="LF362" s="25">
        <v>155</v>
      </c>
      <c r="LG362" s="25">
        <v>155</v>
      </c>
      <c r="LH362" s="25">
        <v>155</v>
      </c>
      <c r="LI362" s="25">
        <v>155</v>
      </c>
      <c r="LJ362" s="25">
        <v>155</v>
      </c>
      <c r="LK362" s="25">
        <v>155</v>
      </c>
      <c r="LL362" s="25">
        <v>155</v>
      </c>
      <c r="LM362" s="25">
        <v>155</v>
      </c>
      <c r="LN362" s="25">
        <v>155</v>
      </c>
      <c r="LO362" s="25">
        <v>155</v>
      </c>
      <c r="LP362" s="25">
        <v>155</v>
      </c>
      <c r="LQ362" s="25">
        <v>152</v>
      </c>
      <c r="LR362" s="25">
        <v>152</v>
      </c>
      <c r="LS362" s="25">
        <v>152</v>
      </c>
      <c r="LT362" s="25">
        <v>152</v>
      </c>
      <c r="LU362" s="25">
        <v>152</v>
      </c>
      <c r="LV362" s="25">
        <v>152</v>
      </c>
      <c r="LW362" s="25">
        <v>152</v>
      </c>
      <c r="LX362" s="25">
        <v>152</v>
      </c>
      <c r="LY362" s="25">
        <v>152</v>
      </c>
      <c r="LZ362" s="25">
        <v>152</v>
      </c>
      <c r="MA362" s="25">
        <v>152</v>
      </c>
      <c r="MB362" s="25">
        <v>152</v>
      </c>
      <c r="MC362" s="25">
        <v>149</v>
      </c>
      <c r="MD362" s="25">
        <v>149</v>
      </c>
      <c r="ME362" s="25">
        <v>149</v>
      </c>
      <c r="MF362" s="25">
        <v>149</v>
      </c>
      <c r="MG362" s="25">
        <v>149</v>
      </c>
      <c r="MH362" s="25">
        <v>149</v>
      </c>
      <c r="MI362" s="25">
        <v>149</v>
      </c>
      <c r="MJ362" s="25">
        <v>149</v>
      </c>
      <c r="MK362" s="25">
        <v>149</v>
      </c>
      <c r="ML362" s="25">
        <v>149</v>
      </c>
      <c r="MM362" s="25">
        <v>149</v>
      </c>
      <c r="MN362" s="25">
        <v>149</v>
      </c>
      <c r="MO362" s="25">
        <v>146</v>
      </c>
      <c r="MP362" s="25">
        <v>146</v>
      </c>
      <c r="MQ362" s="25">
        <v>146</v>
      </c>
      <c r="MR362" s="25">
        <v>146</v>
      </c>
      <c r="MS362" s="25">
        <v>146</v>
      </c>
      <c r="MT362" s="25">
        <v>146</v>
      </c>
      <c r="MU362" s="25">
        <v>146</v>
      </c>
      <c r="MV362" s="25">
        <v>146</v>
      </c>
      <c r="MW362" s="25">
        <v>146</v>
      </c>
      <c r="MX362" s="25">
        <v>146</v>
      </c>
      <c r="MY362" s="25">
        <v>146</v>
      </c>
      <c r="MZ362" s="25">
        <v>146</v>
      </c>
      <c r="NA362" s="25">
        <v>143</v>
      </c>
      <c r="NB362" s="25">
        <v>143</v>
      </c>
      <c r="NC362" s="25">
        <v>143</v>
      </c>
      <c r="ND362" s="25">
        <v>143</v>
      </c>
      <c r="NE362" s="25">
        <v>143</v>
      </c>
      <c r="NF362" s="25">
        <v>143</v>
      </c>
      <c r="NG362" s="25">
        <v>143</v>
      </c>
      <c r="NH362" s="25">
        <v>143</v>
      </c>
      <c r="NI362" s="25">
        <v>143</v>
      </c>
      <c r="NJ362" s="25">
        <v>143</v>
      </c>
      <c r="NK362" s="25">
        <v>143</v>
      </c>
      <c r="NL362" s="25">
        <v>143</v>
      </c>
      <c r="NM362" s="25">
        <v>140</v>
      </c>
      <c r="NN362" s="25">
        <v>140</v>
      </c>
      <c r="NO362" s="25">
        <v>140</v>
      </c>
      <c r="NP362" s="25">
        <v>140</v>
      </c>
      <c r="NQ362" s="25">
        <v>140</v>
      </c>
      <c r="NR362" s="25">
        <v>140</v>
      </c>
      <c r="NS362" s="25">
        <v>140</v>
      </c>
      <c r="NT362" s="25">
        <v>140</v>
      </c>
      <c r="NU362" s="25">
        <v>140</v>
      </c>
      <c r="NV362" s="25">
        <v>140</v>
      </c>
      <c r="NW362" s="25">
        <v>140</v>
      </c>
      <c r="NX362" s="25">
        <v>140</v>
      </c>
      <c r="NY362" s="25">
        <v>137</v>
      </c>
      <c r="NZ362" s="25">
        <v>137</v>
      </c>
      <c r="OA362" s="25">
        <v>137</v>
      </c>
      <c r="OB362" s="25">
        <v>137</v>
      </c>
      <c r="OC362" s="25">
        <v>137</v>
      </c>
      <c r="OD362" s="25">
        <v>137</v>
      </c>
      <c r="OE362" s="25">
        <v>137</v>
      </c>
    </row>
    <row r="363" spans="2:395" ht="13.8" customHeight="1" outlineLevel="1" x14ac:dyDescent="0.3">
      <c r="D363" s="119" t="s">
        <v>56</v>
      </c>
      <c r="E363" s="10">
        <v>5</v>
      </c>
      <c r="F363" s="259" t="s">
        <v>34</v>
      </c>
      <c r="N363" s="25" t="s">
        <v>72</v>
      </c>
      <c r="O363" s="25"/>
      <c r="P363" s="27" t="s">
        <v>73</v>
      </c>
      <c r="Q363" s="25"/>
      <c r="R363" s="25"/>
      <c r="S363" s="25"/>
      <c r="T363" s="25"/>
      <c r="U363" s="25"/>
      <c r="V363" s="25"/>
      <c r="W363" s="25"/>
      <c r="X363" s="25"/>
      <c r="Y363" s="25"/>
      <c r="Z363" s="25"/>
      <c r="AA363" s="25"/>
      <c r="AB363" s="25"/>
      <c r="AC363" s="25"/>
      <c r="AD363" s="25"/>
      <c r="AE363" s="25"/>
      <c r="AF363" s="25"/>
      <c r="AG363" s="25"/>
      <c r="AH363" s="25"/>
      <c r="AI363" s="25"/>
      <c r="AJ363" s="25"/>
      <c r="AK363" s="25"/>
      <c r="AL363" s="25"/>
      <c r="AM363" s="25"/>
      <c r="AN363" s="25"/>
      <c r="AO363" s="25"/>
      <c r="AP363" s="25"/>
      <c r="AQ363" s="25"/>
      <c r="AR363" s="25"/>
      <c r="AS363" s="25"/>
      <c r="AT363" s="25"/>
      <c r="AU363" s="25"/>
      <c r="AV363" s="25"/>
      <c r="AW363" s="25"/>
      <c r="AX363" s="25"/>
      <c r="AY363" s="25"/>
      <c r="AZ363" s="25"/>
      <c r="BA363" s="25"/>
      <c r="BB363" s="25"/>
      <c r="BC363" s="25"/>
      <c r="BD363" s="25"/>
      <c r="BE363" s="25"/>
      <c r="BF363" s="25"/>
      <c r="BG363" s="25"/>
      <c r="BH363" s="25"/>
      <c r="BI363" s="25"/>
      <c r="BJ363" s="25"/>
      <c r="BK363" s="25"/>
      <c r="BL363" s="25"/>
      <c r="BM363" s="25"/>
      <c r="BN363" s="25"/>
      <c r="BO363" s="25"/>
      <c r="BP363" s="25"/>
      <c r="BQ363" s="25"/>
      <c r="BR363" s="25"/>
      <c r="BS363" s="25"/>
      <c r="BT363" s="25"/>
      <c r="BU363" s="25"/>
      <c r="BV363" s="25"/>
      <c r="BW363" s="25"/>
      <c r="BX363" s="25"/>
      <c r="BY363" s="25"/>
      <c r="BZ363" s="25"/>
      <c r="CA363" s="25"/>
      <c r="CB363" s="25"/>
      <c r="CC363" s="25"/>
      <c r="CD363" s="25"/>
      <c r="CE363" s="25"/>
      <c r="CF363" s="25"/>
      <c r="CG363" s="25"/>
      <c r="CH363" s="25"/>
      <c r="CI363" s="25"/>
      <c r="CJ363" s="25"/>
      <c r="CK363" s="25"/>
      <c r="CL363" s="25"/>
      <c r="CM363" s="25"/>
      <c r="CN363" s="25"/>
      <c r="CO363" s="25"/>
      <c r="CP363" s="25"/>
      <c r="CQ363" s="25"/>
      <c r="CR363" s="25"/>
      <c r="CS363" s="25"/>
      <c r="CT363" s="25"/>
      <c r="CU363" s="25"/>
      <c r="CV363" s="25"/>
      <c r="CW363" s="25"/>
      <c r="CX363" s="25"/>
      <c r="CY363" s="25"/>
      <c r="CZ363" s="25"/>
      <c r="DA363" s="25"/>
      <c r="DB363" s="25"/>
      <c r="DC363" s="25"/>
      <c r="DD363" s="25"/>
      <c r="DE363" s="25"/>
      <c r="DF363" s="25"/>
      <c r="DG363" s="25"/>
      <c r="DH363" s="25"/>
      <c r="DI363" s="25"/>
      <c r="DJ363" s="25"/>
      <c r="DK363" s="25"/>
      <c r="DL363" s="25"/>
      <c r="DM363" s="25"/>
      <c r="DN363" s="25"/>
      <c r="DO363" s="25"/>
      <c r="DP363" s="25"/>
      <c r="DQ363" s="25"/>
      <c r="DR363" s="25"/>
      <c r="DS363" s="25"/>
      <c r="DT363" s="25"/>
      <c r="DU363" s="25"/>
      <c r="DV363" s="25"/>
      <c r="DW363" s="25"/>
      <c r="DX363" s="25"/>
      <c r="DY363" s="25"/>
      <c r="DZ363" s="25"/>
      <c r="EA363" s="25"/>
      <c r="EB363" s="25"/>
      <c r="EC363" s="25"/>
      <c r="ED363" s="25"/>
      <c r="EE363" s="25"/>
      <c r="EF363" s="25"/>
      <c r="EG363" s="25"/>
      <c r="EH363" s="25"/>
      <c r="EI363" s="25"/>
      <c r="EJ363" s="25"/>
      <c r="EK363" s="25"/>
      <c r="EL363" s="25"/>
      <c r="EM363" s="25"/>
      <c r="EN363" s="25"/>
      <c r="EO363" s="25"/>
      <c r="EP363" s="25"/>
      <c r="EQ363" s="25"/>
      <c r="ER363" s="25"/>
      <c r="ES363" s="25"/>
      <c r="ET363" s="25"/>
      <c r="EU363" s="25"/>
      <c r="EV363" s="25"/>
      <c r="EW363" s="25"/>
      <c r="EX363" s="25"/>
      <c r="EY363" s="25"/>
      <c r="EZ363" s="25"/>
      <c r="FA363" s="25"/>
      <c r="FB363" s="25"/>
      <c r="FC363" s="25"/>
      <c r="FD363" s="25"/>
      <c r="FE363" s="25"/>
      <c r="FF363" s="25"/>
      <c r="FG363" s="25"/>
      <c r="FH363" s="25"/>
      <c r="FI363" s="25"/>
      <c r="FJ363" s="25"/>
      <c r="FK363" s="25"/>
      <c r="FL363" s="25"/>
      <c r="FM363" s="25"/>
      <c r="FN363" s="25"/>
      <c r="FO363" s="25"/>
      <c r="FP363" s="25"/>
      <c r="FQ363" s="25"/>
      <c r="FR363" s="25"/>
      <c r="FS363" s="25"/>
      <c r="FT363" s="25"/>
      <c r="FU363" s="25"/>
      <c r="FV363" s="25"/>
      <c r="FW363" s="25"/>
      <c r="FX363" s="25"/>
      <c r="FY363" s="25"/>
      <c r="FZ363" s="25"/>
      <c r="GA363" s="25"/>
      <c r="GB363" s="25"/>
      <c r="GC363" s="25"/>
      <c r="GD363" s="25"/>
      <c r="GE363" s="25"/>
      <c r="GF363" s="25"/>
      <c r="GG363" s="25"/>
      <c r="GH363" s="25"/>
      <c r="GI363" s="25"/>
      <c r="GJ363" s="25"/>
      <c r="GK363" s="25"/>
      <c r="GL363" s="25"/>
      <c r="GM363" s="25"/>
      <c r="GN363" s="25"/>
      <c r="GO363" s="25"/>
      <c r="GP363" s="25"/>
      <c r="GQ363" s="25"/>
      <c r="GR363" s="25"/>
      <c r="GS363" s="25"/>
      <c r="GT363" s="25"/>
      <c r="GU363" s="25"/>
      <c r="GV363" s="25"/>
      <c r="GW363" s="25"/>
      <c r="GX363" s="25"/>
      <c r="GY363" s="25"/>
      <c r="GZ363" s="25"/>
      <c r="HA363" s="25"/>
      <c r="HB363" s="25"/>
      <c r="HC363" s="25"/>
      <c r="HD363" s="25"/>
      <c r="HE363" s="25"/>
      <c r="HF363" s="25"/>
      <c r="HG363" s="25"/>
      <c r="HH363" s="25"/>
      <c r="HI363" s="25"/>
      <c r="HJ363" s="25"/>
      <c r="HK363" s="25"/>
      <c r="HL363" s="25"/>
      <c r="HM363" s="25"/>
      <c r="HN363" s="25"/>
      <c r="HO363" s="25"/>
      <c r="HP363" s="25"/>
      <c r="HQ363" s="25"/>
      <c r="HR363" s="25"/>
      <c r="HS363" s="25"/>
      <c r="HT363" s="25"/>
      <c r="HU363" s="25"/>
      <c r="HV363" s="25"/>
      <c r="HW363" s="25"/>
      <c r="HX363" s="25"/>
      <c r="HY363" s="25"/>
      <c r="HZ363" s="25"/>
      <c r="IA363" s="25"/>
      <c r="IB363" s="25"/>
      <c r="IC363" s="25"/>
      <c r="ID363" s="25"/>
      <c r="IE363" s="25"/>
      <c r="IF363" s="25"/>
      <c r="IG363" s="25"/>
      <c r="IH363" s="25"/>
      <c r="II363" s="25"/>
      <c r="IJ363" s="25"/>
      <c r="IK363" s="25"/>
      <c r="IL363" s="25"/>
      <c r="IM363" s="25"/>
      <c r="IN363" s="25"/>
      <c r="IO363" s="25"/>
      <c r="IP363" s="25"/>
      <c r="IQ363" s="25"/>
      <c r="IR363" s="25"/>
      <c r="IS363" s="25"/>
      <c r="IT363" s="25"/>
      <c r="IU363" s="25"/>
      <c r="IV363" s="25"/>
      <c r="IW363" s="25"/>
      <c r="IX363" s="25"/>
      <c r="IY363" s="25"/>
      <c r="IZ363" s="25"/>
      <c r="JA363" s="25"/>
      <c r="JB363" s="25"/>
      <c r="JC363" s="25"/>
      <c r="JD363" s="25"/>
      <c r="JE363" s="25"/>
      <c r="JF363" s="25"/>
      <c r="JG363" s="25"/>
      <c r="JH363" s="25"/>
      <c r="JI363" s="25"/>
      <c r="JJ363" s="25"/>
      <c r="JK363" s="25"/>
      <c r="JL363" s="25"/>
      <c r="JM363" s="25"/>
      <c r="JN363" s="25"/>
      <c r="JO363" s="25"/>
      <c r="JP363" s="25"/>
      <c r="JQ363" s="25"/>
      <c r="JR363" s="25"/>
      <c r="JS363" s="25"/>
      <c r="JT363" s="25"/>
      <c r="JU363" s="25"/>
      <c r="JV363" s="25"/>
      <c r="JW363" s="25"/>
      <c r="JX363" s="25"/>
      <c r="JY363" s="25"/>
      <c r="JZ363" s="25"/>
      <c r="KA363" s="25"/>
      <c r="KB363" s="25"/>
      <c r="KC363" s="25"/>
      <c r="KD363" s="25"/>
      <c r="KE363" s="25"/>
      <c r="KF363" s="25"/>
      <c r="KG363" s="25"/>
      <c r="KH363" s="25"/>
      <c r="KI363" s="25"/>
      <c r="KJ363" s="25"/>
      <c r="KK363" s="25"/>
      <c r="KL363" s="25"/>
      <c r="KM363" s="25"/>
      <c r="KN363" s="25"/>
      <c r="KO363" s="25"/>
      <c r="KP363" s="25"/>
      <c r="KQ363" s="25"/>
      <c r="KR363" s="25"/>
      <c r="KS363" s="25"/>
      <c r="KT363" s="25"/>
      <c r="KU363" s="25"/>
      <c r="KV363" s="25"/>
      <c r="KW363" s="25"/>
      <c r="KX363" s="25"/>
      <c r="KY363" s="25"/>
      <c r="KZ363" s="25"/>
      <c r="LA363" s="25"/>
      <c r="LB363" s="25"/>
      <c r="LC363" s="25"/>
      <c r="LD363" s="25"/>
      <c r="LE363" s="25"/>
      <c r="LF363" s="25"/>
      <c r="LG363" s="25"/>
      <c r="LH363" s="25"/>
      <c r="LI363" s="25"/>
      <c r="LJ363" s="25"/>
      <c r="LK363" s="25"/>
      <c r="LL363" s="25"/>
      <c r="LM363" s="25"/>
      <c r="LN363" s="25"/>
      <c r="LO363" s="25"/>
      <c r="LP363" s="25"/>
      <c r="LQ363" s="25"/>
      <c r="LR363" s="25"/>
      <c r="LS363" s="25"/>
      <c r="LT363" s="25"/>
      <c r="LU363" s="25"/>
      <c r="LV363" s="25"/>
      <c r="LW363" s="25"/>
      <c r="LX363" s="25"/>
      <c r="LY363" s="25"/>
      <c r="LZ363" s="25"/>
      <c r="MA363" s="25"/>
      <c r="MB363" s="25"/>
      <c r="MC363" s="25"/>
      <c r="MD363" s="25"/>
      <c r="ME363" s="25"/>
      <c r="MF363" s="25"/>
      <c r="MG363" s="25"/>
      <c r="MH363" s="25"/>
      <c r="MI363" s="25"/>
      <c r="MJ363" s="25"/>
      <c r="MK363" s="25"/>
      <c r="ML363" s="25"/>
      <c r="MM363" s="25"/>
      <c r="MN363" s="25"/>
      <c r="MO363" s="25"/>
      <c r="MP363" s="25"/>
      <c r="MQ363" s="25"/>
      <c r="MR363" s="25"/>
      <c r="MS363" s="25"/>
      <c r="MT363" s="25"/>
      <c r="MU363" s="25"/>
      <c r="MV363" s="25"/>
      <c r="MW363" s="25"/>
      <c r="MX363" s="25"/>
      <c r="MY363" s="25"/>
      <c r="MZ363" s="25"/>
      <c r="NA363" s="25"/>
      <c r="NB363" s="25"/>
      <c r="NC363" s="25"/>
      <c r="ND363" s="25"/>
      <c r="NE363" s="25"/>
      <c r="NF363" s="25"/>
      <c r="NG363" s="25"/>
      <c r="NH363" s="25"/>
      <c r="NI363" s="25"/>
      <c r="NJ363" s="25"/>
      <c r="NK363" s="25"/>
      <c r="NL363" s="25"/>
      <c r="NM363" s="25"/>
      <c r="NN363" s="25"/>
      <c r="NO363" s="25"/>
      <c r="NP363" s="25"/>
      <c r="NQ363" s="25"/>
      <c r="NR363" s="25"/>
      <c r="NS363" s="25"/>
      <c r="NT363" s="25"/>
      <c r="NU363" s="25"/>
      <c r="NV363" s="25"/>
      <c r="NW363" s="25"/>
      <c r="NX363" s="25"/>
      <c r="NY363" s="25"/>
      <c r="NZ363" s="25"/>
      <c r="OA363" s="25"/>
      <c r="OB363" s="25"/>
      <c r="OC363" s="25"/>
      <c r="OD363" s="25"/>
      <c r="OE363" s="25"/>
    </row>
    <row r="364" spans="2:395" ht="13.8" customHeight="1" outlineLevel="1" x14ac:dyDescent="0.3">
      <c r="D364" s="119" t="s">
        <v>100</v>
      </c>
      <c r="E364" s="10">
        <v>200</v>
      </c>
      <c r="F364" s="259" t="s">
        <v>64</v>
      </c>
      <c r="N364" s="25" t="s">
        <v>104</v>
      </c>
      <c r="O364" s="25"/>
      <c r="P364" s="27" t="s">
        <v>73</v>
      </c>
      <c r="Q364" s="25"/>
      <c r="R364" s="25"/>
      <c r="S364" s="25"/>
      <c r="T364" s="25"/>
      <c r="U364" s="25"/>
      <c r="V364" s="25"/>
      <c r="W364" s="25"/>
      <c r="X364" s="25"/>
      <c r="Y364" s="25"/>
      <c r="Z364" s="25"/>
      <c r="AA364" s="25"/>
      <c r="AB364" s="25"/>
      <c r="AC364" s="25"/>
      <c r="AD364" s="25"/>
      <c r="AE364" s="25"/>
      <c r="AF364" s="25"/>
      <c r="AG364" s="25"/>
      <c r="AH364" s="25"/>
      <c r="AI364" s="25"/>
      <c r="AJ364" s="25"/>
      <c r="AK364" s="25"/>
      <c r="AL364" s="25"/>
      <c r="AM364" s="25"/>
      <c r="AN364" s="25"/>
      <c r="AO364" s="25"/>
      <c r="AP364" s="25"/>
      <c r="AQ364" s="25"/>
      <c r="AR364" s="25"/>
      <c r="AS364" s="25"/>
      <c r="AT364" s="25"/>
      <c r="AU364" s="25"/>
      <c r="AV364" s="25"/>
      <c r="AW364" s="25"/>
      <c r="AX364" s="25"/>
      <c r="AY364" s="25"/>
      <c r="AZ364" s="25"/>
      <c r="BA364" s="25"/>
      <c r="BB364" s="25"/>
      <c r="BC364" s="25"/>
      <c r="BD364" s="25"/>
      <c r="BE364" s="25"/>
      <c r="BF364" s="25"/>
      <c r="BG364" s="25"/>
      <c r="BH364" s="25"/>
      <c r="BI364" s="25"/>
      <c r="BJ364" s="25"/>
      <c r="BK364" s="25"/>
      <c r="BL364" s="25"/>
      <c r="BM364" s="25"/>
      <c r="BN364" s="25"/>
      <c r="BO364" s="25"/>
      <c r="BP364" s="25"/>
      <c r="BQ364" s="25"/>
      <c r="BR364" s="25"/>
      <c r="BS364" s="25"/>
      <c r="BT364" s="25"/>
      <c r="BU364" s="25"/>
      <c r="BV364" s="25"/>
      <c r="BW364" s="25"/>
      <c r="BX364" s="25"/>
      <c r="BY364" s="25"/>
      <c r="BZ364" s="25"/>
      <c r="CA364" s="25"/>
      <c r="CB364" s="25"/>
      <c r="CC364" s="25"/>
      <c r="CD364" s="25"/>
      <c r="CE364" s="25"/>
      <c r="CF364" s="25"/>
      <c r="CG364" s="25"/>
      <c r="CH364" s="25"/>
      <c r="CI364" s="25"/>
      <c r="CJ364" s="25"/>
      <c r="CK364" s="25"/>
      <c r="CL364" s="25"/>
      <c r="CM364" s="25"/>
      <c r="CN364" s="25"/>
      <c r="CO364" s="25"/>
      <c r="CP364" s="25"/>
      <c r="CQ364" s="25"/>
      <c r="CR364" s="25"/>
      <c r="CS364" s="25"/>
      <c r="CT364" s="25"/>
      <c r="CU364" s="25"/>
      <c r="CV364" s="25"/>
      <c r="CW364" s="25"/>
      <c r="CX364" s="25"/>
      <c r="CY364" s="25"/>
      <c r="CZ364" s="25"/>
      <c r="DA364" s="25"/>
      <c r="DB364" s="25"/>
      <c r="DC364" s="25"/>
      <c r="DD364" s="25"/>
      <c r="DE364" s="25"/>
      <c r="DF364" s="25"/>
      <c r="DG364" s="25"/>
      <c r="DH364" s="25"/>
      <c r="DI364" s="25"/>
      <c r="DJ364" s="25"/>
      <c r="DK364" s="25"/>
      <c r="DL364" s="25"/>
      <c r="DM364" s="25"/>
      <c r="DN364" s="25"/>
      <c r="DO364" s="25"/>
      <c r="DP364" s="25"/>
      <c r="DQ364" s="25"/>
      <c r="DR364" s="25"/>
      <c r="DS364" s="25"/>
      <c r="DT364" s="25"/>
      <c r="DU364" s="25"/>
      <c r="DV364" s="25"/>
      <c r="DW364" s="25"/>
      <c r="DX364" s="25"/>
      <c r="DY364" s="25"/>
      <c r="DZ364" s="25"/>
      <c r="EA364" s="25"/>
      <c r="EB364" s="25"/>
      <c r="EC364" s="25"/>
      <c r="ED364" s="25"/>
      <c r="EE364" s="25"/>
      <c r="EF364" s="25"/>
      <c r="EG364" s="25"/>
      <c r="EH364" s="25"/>
      <c r="EI364" s="25"/>
      <c r="EJ364" s="25"/>
      <c r="EK364" s="25"/>
      <c r="EL364" s="25"/>
      <c r="EM364" s="25"/>
      <c r="EN364" s="25"/>
      <c r="EO364" s="25"/>
      <c r="EP364" s="25"/>
      <c r="EQ364" s="25"/>
      <c r="ER364" s="25"/>
      <c r="ES364" s="25"/>
      <c r="ET364" s="25"/>
      <c r="EU364" s="25"/>
      <c r="EV364" s="25"/>
      <c r="EW364" s="25"/>
      <c r="EX364" s="25"/>
      <c r="EY364" s="25"/>
      <c r="EZ364" s="25"/>
      <c r="FA364" s="25"/>
      <c r="FB364" s="25"/>
      <c r="FC364" s="25"/>
      <c r="FD364" s="25"/>
      <c r="FE364" s="25"/>
      <c r="FF364" s="25"/>
      <c r="FG364" s="25"/>
      <c r="FH364" s="25"/>
      <c r="FI364" s="25"/>
      <c r="FJ364" s="25"/>
      <c r="FK364" s="25"/>
      <c r="FL364" s="25"/>
      <c r="FM364" s="25"/>
      <c r="FN364" s="25"/>
      <c r="FO364" s="25"/>
      <c r="FP364" s="25"/>
      <c r="FQ364" s="25"/>
      <c r="FR364" s="25"/>
      <c r="FS364" s="25"/>
      <c r="FT364" s="25"/>
      <c r="FU364" s="25"/>
      <c r="FV364" s="25"/>
      <c r="FW364" s="25"/>
      <c r="FX364" s="25"/>
      <c r="FY364" s="25"/>
      <c r="FZ364" s="25"/>
      <c r="GA364" s="25"/>
      <c r="GB364" s="25"/>
      <c r="GC364" s="25"/>
      <c r="GD364" s="25"/>
      <c r="GE364" s="25"/>
      <c r="GF364" s="25"/>
      <c r="GG364" s="25"/>
      <c r="GH364" s="25"/>
      <c r="GI364" s="25"/>
      <c r="GJ364" s="25"/>
      <c r="GK364" s="25"/>
      <c r="GL364" s="25"/>
      <c r="GM364" s="25"/>
      <c r="GN364" s="25"/>
      <c r="GO364" s="25"/>
      <c r="GP364" s="25"/>
      <c r="GQ364" s="25"/>
      <c r="GR364" s="25"/>
      <c r="GS364" s="25"/>
      <c r="GT364" s="25"/>
      <c r="GU364" s="25"/>
      <c r="GV364" s="25"/>
      <c r="GW364" s="25"/>
      <c r="GX364" s="25"/>
      <c r="GY364" s="25"/>
      <c r="GZ364" s="25"/>
      <c r="HA364" s="25"/>
      <c r="HB364" s="25"/>
      <c r="HC364" s="25"/>
      <c r="HD364" s="25"/>
      <c r="HE364" s="25"/>
      <c r="HF364" s="25"/>
      <c r="HG364" s="25"/>
      <c r="HH364" s="25"/>
      <c r="HI364" s="25"/>
      <c r="HJ364" s="25"/>
      <c r="HK364" s="25"/>
      <c r="HL364" s="25"/>
      <c r="HM364" s="25"/>
      <c r="HN364" s="25"/>
      <c r="HO364" s="25"/>
      <c r="HP364" s="25"/>
      <c r="HQ364" s="25"/>
      <c r="HR364" s="25"/>
      <c r="HS364" s="25"/>
      <c r="HT364" s="25"/>
      <c r="HU364" s="25"/>
      <c r="HV364" s="25"/>
      <c r="HW364" s="25"/>
      <c r="HX364" s="25"/>
      <c r="HY364" s="25"/>
      <c r="HZ364" s="25"/>
      <c r="IA364" s="25"/>
      <c r="IB364" s="25"/>
      <c r="IC364" s="25"/>
      <c r="ID364" s="25"/>
      <c r="IE364" s="25"/>
      <c r="IF364" s="25"/>
      <c r="IG364" s="25"/>
      <c r="IH364" s="25"/>
      <c r="II364" s="25"/>
      <c r="IJ364" s="25"/>
      <c r="IK364" s="25"/>
      <c r="IL364" s="25"/>
      <c r="IM364" s="25"/>
      <c r="IN364" s="25"/>
      <c r="IO364" s="25"/>
      <c r="IP364" s="25"/>
      <c r="IQ364" s="25"/>
      <c r="IR364" s="25"/>
      <c r="IS364" s="25"/>
      <c r="IT364" s="25"/>
      <c r="IU364" s="25"/>
      <c r="IV364" s="25"/>
      <c r="IW364" s="25"/>
      <c r="IX364" s="25"/>
      <c r="IY364" s="25"/>
      <c r="IZ364" s="25"/>
      <c r="JA364" s="25"/>
      <c r="JB364" s="25"/>
      <c r="JC364" s="25"/>
      <c r="JD364" s="25"/>
      <c r="JE364" s="25"/>
      <c r="JF364" s="25"/>
      <c r="JG364" s="25"/>
      <c r="JH364" s="25"/>
      <c r="JI364" s="25"/>
      <c r="JJ364" s="25"/>
      <c r="JK364" s="25"/>
      <c r="JL364" s="25"/>
      <c r="JM364" s="25"/>
      <c r="JN364" s="25"/>
      <c r="JO364" s="25"/>
      <c r="JP364" s="25"/>
      <c r="JQ364" s="25"/>
      <c r="JR364" s="25"/>
      <c r="JS364" s="25"/>
      <c r="JT364" s="25"/>
      <c r="JU364" s="25"/>
      <c r="JV364" s="25"/>
      <c r="JW364" s="25"/>
      <c r="JX364" s="25"/>
      <c r="JY364" s="25"/>
      <c r="JZ364" s="25"/>
      <c r="KA364" s="25"/>
      <c r="KB364" s="25"/>
      <c r="KC364" s="25"/>
      <c r="KD364" s="25"/>
      <c r="KE364" s="25"/>
      <c r="KF364" s="25"/>
      <c r="KG364" s="25"/>
      <c r="KH364" s="25"/>
      <c r="KI364" s="25"/>
      <c r="KJ364" s="25"/>
      <c r="KK364" s="25"/>
      <c r="KL364" s="25"/>
      <c r="KM364" s="25"/>
      <c r="KN364" s="25"/>
      <c r="KO364" s="25"/>
      <c r="KP364" s="25"/>
      <c r="KQ364" s="25"/>
      <c r="KR364" s="25"/>
      <c r="KS364" s="25"/>
      <c r="KT364" s="25"/>
      <c r="KU364" s="25"/>
      <c r="KV364" s="25"/>
      <c r="KW364" s="25"/>
      <c r="KX364" s="25"/>
      <c r="KY364" s="25"/>
      <c r="KZ364" s="25"/>
      <c r="LA364" s="25"/>
      <c r="LB364" s="25"/>
      <c r="LC364" s="25"/>
      <c r="LD364" s="25"/>
      <c r="LE364" s="25"/>
      <c r="LF364" s="25"/>
      <c r="LG364" s="25"/>
      <c r="LH364" s="25"/>
      <c r="LI364" s="25"/>
      <c r="LJ364" s="25"/>
      <c r="LK364" s="25"/>
      <c r="LL364" s="25"/>
      <c r="LM364" s="25"/>
      <c r="LN364" s="25"/>
      <c r="LO364" s="25"/>
      <c r="LP364" s="25"/>
      <c r="LQ364" s="25"/>
      <c r="LR364" s="25"/>
      <c r="LS364" s="25"/>
      <c r="LT364" s="25"/>
      <c r="LU364" s="25"/>
      <c r="LV364" s="25"/>
      <c r="LW364" s="25"/>
      <c r="LX364" s="25"/>
      <c r="LY364" s="25"/>
      <c r="LZ364" s="25"/>
      <c r="MA364" s="25"/>
      <c r="MB364" s="25"/>
      <c r="MC364" s="25"/>
      <c r="MD364" s="25"/>
      <c r="ME364" s="25"/>
      <c r="MF364" s="25"/>
      <c r="MG364" s="25"/>
      <c r="MH364" s="25"/>
      <c r="MI364" s="25"/>
      <c r="MJ364" s="25"/>
      <c r="MK364" s="25"/>
      <c r="ML364" s="25"/>
      <c r="MM364" s="25"/>
      <c r="MN364" s="25"/>
      <c r="MO364" s="25"/>
      <c r="MP364" s="25"/>
      <c r="MQ364" s="25"/>
      <c r="MR364" s="25"/>
      <c r="MS364" s="25"/>
      <c r="MT364" s="25"/>
      <c r="MU364" s="25"/>
      <c r="MV364" s="25"/>
      <c r="MW364" s="25"/>
      <c r="MX364" s="25"/>
      <c r="MY364" s="25"/>
      <c r="MZ364" s="25"/>
      <c r="NA364" s="25"/>
      <c r="NB364" s="25"/>
      <c r="NC364" s="25"/>
      <c r="ND364" s="25"/>
      <c r="NE364" s="25"/>
      <c r="NF364" s="25"/>
      <c r="NG364" s="25"/>
      <c r="NH364" s="25"/>
      <c r="NI364" s="25"/>
      <c r="NJ364" s="25"/>
      <c r="NK364" s="25"/>
      <c r="NL364" s="25"/>
      <c r="NM364" s="25"/>
      <c r="NN364" s="25"/>
      <c r="NO364" s="25"/>
      <c r="NP364" s="25"/>
      <c r="NQ364" s="25"/>
      <c r="NR364" s="25"/>
      <c r="NS364" s="25"/>
      <c r="NT364" s="25"/>
      <c r="NU364" s="25"/>
      <c r="NV364" s="25"/>
      <c r="NW364" s="25"/>
      <c r="NX364" s="25"/>
      <c r="NY364" s="25"/>
      <c r="NZ364" s="25"/>
      <c r="OA364" s="25"/>
      <c r="OB364" s="25"/>
      <c r="OC364" s="25"/>
      <c r="OD364" s="25"/>
      <c r="OE364" s="25"/>
    </row>
    <row r="365" spans="2:395" ht="13.8" customHeight="1" outlineLevel="1" x14ac:dyDescent="0.3">
      <c r="D365" s="119" t="s">
        <v>58</v>
      </c>
      <c r="E365" s="10">
        <v>1.5</v>
      </c>
      <c r="F365" s="259" t="s">
        <v>59</v>
      </c>
      <c r="N365" s="25" t="s">
        <v>105</v>
      </c>
      <c r="O365" s="25"/>
      <c r="P365" s="27" t="s">
        <v>73</v>
      </c>
      <c r="Q365" s="25"/>
      <c r="R365" s="25"/>
      <c r="S365" s="25"/>
      <c r="T365" s="25"/>
      <c r="U365" s="25"/>
      <c r="V365" s="25"/>
      <c r="W365" s="25"/>
      <c r="X365" s="25"/>
      <c r="Y365" s="25"/>
      <c r="Z365" s="25"/>
      <c r="AA365" s="25"/>
      <c r="AB365" s="25"/>
      <c r="AC365" s="25"/>
      <c r="AD365" s="25"/>
      <c r="AE365" s="25"/>
      <c r="AF365" s="25"/>
      <c r="AG365" s="25"/>
      <c r="AH365" s="25"/>
      <c r="AI365" s="25"/>
      <c r="AJ365" s="25"/>
      <c r="AK365" s="25"/>
      <c r="AL365" s="25"/>
      <c r="AM365" s="25"/>
      <c r="AN365" s="25"/>
      <c r="AO365" s="25"/>
      <c r="AP365" s="25"/>
      <c r="AQ365" s="25"/>
      <c r="AR365" s="25"/>
      <c r="AS365" s="25"/>
      <c r="AT365" s="25"/>
      <c r="AU365" s="25"/>
      <c r="AV365" s="25"/>
      <c r="AW365" s="25"/>
      <c r="AX365" s="25"/>
      <c r="AY365" s="25"/>
      <c r="AZ365" s="25"/>
      <c r="BA365" s="25"/>
      <c r="BB365" s="25"/>
      <c r="BC365" s="25"/>
      <c r="BD365" s="25"/>
      <c r="BE365" s="25"/>
      <c r="BF365" s="25"/>
      <c r="BG365" s="25"/>
      <c r="BH365" s="25"/>
      <c r="BI365" s="25"/>
      <c r="BJ365" s="25"/>
      <c r="BK365" s="25"/>
      <c r="BL365" s="25"/>
      <c r="BM365" s="25"/>
      <c r="BN365" s="25"/>
      <c r="BO365" s="25"/>
      <c r="BP365" s="25"/>
      <c r="BQ365" s="25"/>
      <c r="BR365" s="25"/>
      <c r="BS365" s="25"/>
      <c r="BT365" s="25"/>
      <c r="BU365" s="25"/>
      <c r="BV365" s="25"/>
      <c r="BW365" s="25"/>
      <c r="BX365" s="25"/>
      <c r="BY365" s="25"/>
      <c r="BZ365" s="25"/>
      <c r="CA365" s="25"/>
      <c r="CB365" s="25"/>
      <c r="CC365" s="25"/>
      <c r="CD365" s="25"/>
      <c r="CE365" s="25"/>
      <c r="CF365" s="25"/>
      <c r="CG365" s="25"/>
      <c r="CH365" s="25"/>
      <c r="CI365" s="25"/>
      <c r="CJ365" s="25"/>
      <c r="CK365" s="25"/>
      <c r="CL365" s="25"/>
      <c r="CM365" s="25"/>
      <c r="CN365" s="25"/>
      <c r="CO365" s="25"/>
      <c r="CP365" s="25"/>
      <c r="CQ365" s="25"/>
      <c r="CR365" s="25"/>
      <c r="CS365" s="25"/>
      <c r="CT365" s="25"/>
      <c r="CU365" s="25"/>
      <c r="CV365" s="25"/>
      <c r="CW365" s="25"/>
      <c r="CX365" s="25"/>
      <c r="CY365" s="25"/>
      <c r="CZ365" s="25"/>
      <c r="DA365" s="25"/>
      <c r="DB365" s="25"/>
      <c r="DC365" s="25"/>
      <c r="DD365" s="25"/>
      <c r="DE365" s="25"/>
      <c r="DF365" s="25"/>
      <c r="DG365" s="25"/>
      <c r="DH365" s="25"/>
      <c r="DI365" s="25"/>
      <c r="DJ365" s="25"/>
      <c r="DK365" s="25"/>
      <c r="DL365" s="25"/>
      <c r="DM365" s="25"/>
      <c r="DN365" s="25"/>
      <c r="DO365" s="25"/>
      <c r="DP365" s="25"/>
      <c r="DQ365" s="25"/>
      <c r="DR365" s="25"/>
      <c r="DS365" s="25"/>
      <c r="DT365" s="25"/>
      <c r="DU365" s="25"/>
      <c r="DV365" s="25"/>
      <c r="DW365" s="25"/>
      <c r="DX365" s="25"/>
      <c r="DY365" s="25"/>
      <c r="DZ365" s="25"/>
      <c r="EA365" s="25"/>
      <c r="EB365" s="25"/>
      <c r="EC365" s="25"/>
      <c r="ED365" s="25"/>
      <c r="EE365" s="25"/>
      <c r="EF365" s="25"/>
      <c r="EG365" s="25"/>
      <c r="EH365" s="25"/>
      <c r="EI365" s="25"/>
      <c r="EJ365" s="25"/>
      <c r="EK365" s="25"/>
      <c r="EL365" s="25"/>
      <c r="EM365" s="25"/>
      <c r="EN365" s="25"/>
      <c r="EO365" s="25"/>
      <c r="EP365" s="25"/>
      <c r="EQ365" s="25"/>
      <c r="ER365" s="25"/>
      <c r="ES365" s="25"/>
      <c r="ET365" s="25"/>
      <c r="EU365" s="25"/>
      <c r="EV365" s="25"/>
      <c r="EW365" s="25"/>
      <c r="EX365" s="25"/>
      <c r="EY365" s="25"/>
      <c r="EZ365" s="25"/>
      <c r="FA365" s="25"/>
      <c r="FB365" s="25"/>
      <c r="FC365" s="25"/>
      <c r="FD365" s="25"/>
      <c r="FE365" s="25"/>
      <c r="FF365" s="25"/>
      <c r="FG365" s="25"/>
      <c r="FH365" s="25"/>
      <c r="FI365" s="25"/>
      <c r="FJ365" s="25"/>
      <c r="FK365" s="25"/>
      <c r="FL365" s="25"/>
      <c r="FM365" s="25"/>
      <c r="FN365" s="25"/>
      <c r="FO365" s="25"/>
      <c r="FP365" s="25"/>
      <c r="FQ365" s="25"/>
      <c r="FR365" s="25"/>
      <c r="FS365" s="25"/>
      <c r="FT365" s="25"/>
      <c r="FU365" s="25"/>
      <c r="FV365" s="25"/>
      <c r="FW365" s="25"/>
      <c r="FX365" s="25"/>
      <c r="FY365" s="25"/>
      <c r="FZ365" s="25"/>
      <c r="GA365" s="25"/>
      <c r="GB365" s="25"/>
      <c r="GC365" s="25"/>
      <c r="GD365" s="25"/>
      <c r="GE365" s="25"/>
      <c r="GF365" s="25"/>
      <c r="GG365" s="25"/>
      <c r="GH365" s="25"/>
      <c r="GI365" s="25"/>
      <c r="GJ365" s="25"/>
      <c r="GK365" s="25"/>
      <c r="GL365" s="25"/>
      <c r="GM365" s="25"/>
      <c r="GN365" s="25"/>
      <c r="GO365" s="25"/>
      <c r="GP365" s="25"/>
      <c r="GQ365" s="25"/>
      <c r="GR365" s="25"/>
      <c r="GS365" s="25"/>
      <c r="GT365" s="25"/>
      <c r="GU365" s="25"/>
      <c r="GV365" s="25"/>
      <c r="GW365" s="25"/>
      <c r="GX365" s="25"/>
      <c r="GY365" s="25"/>
      <c r="GZ365" s="25"/>
      <c r="HA365" s="25"/>
      <c r="HB365" s="25"/>
      <c r="HC365" s="25"/>
      <c r="HD365" s="25"/>
      <c r="HE365" s="25"/>
      <c r="HF365" s="25"/>
      <c r="HG365" s="25"/>
      <c r="HH365" s="25"/>
      <c r="HI365" s="25"/>
      <c r="HJ365" s="25"/>
      <c r="HK365" s="25"/>
      <c r="HL365" s="25"/>
      <c r="HM365" s="25"/>
      <c r="HN365" s="25"/>
      <c r="HO365" s="25"/>
      <c r="HP365" s="25"/>
      <c r="HQ365" s="25"/>
      <c r="HR365" s="25"/>
      <c r="HS365" s="25"/>
      <c r="HT365" s="25"/>
      <c r="HU365" s="25"/>
      <c r="HV365" s="25"/>
      <c r="HW365" s="25"/>
      <c r="HX365" s="25"/>
      <c r="HY365" s="25"/>
      <c r="HZ365" s="25"/>
      <c r="IA365" s="25"/>
      <c r="IB365" s="25"/>
      <c r="IC365" s="25"/>
      <c r="ID365" s="25"/>
      <c r="IE365" s="25"/>
      <c r="IF365" s="25"/>
      <c r="IG365" s="25"/>
      <c r="IH365" s="25"/>
      <c r="II365" s="25"/>
      <c r="IJ365" s="25"/>
      <c r="IK365" s="25"/>
      <c r="IL365" s="25"/>
      <c r="IM365" s="25"/>
      <c r="IN365" s="25"/>
      <c r="IO365" s="25"/>
      <c r="IP365" s="25"/>
      <c r="IQ365" s="25"/>
      <c r="IR365" s="25"/>
      <c r="IS365" s="25"/>
      <c r="IT365" s="25"/>
      <c r="IU365" s="25"/>
      <c r="IV365" s="25"/>
      <c r="IW365" s="25"/>
      <c r="IX365" s="25"/>
      <c r="IY365" s="25"/>
      <c r="IZ365" s="25"/>
      <c r="JA365" s="25"/>
      <c r="JB365" s="25"/>
      <c r="JC365" s="25"/>
      <c r="JD365" s="25"/>
      <c r="JE365" s="25"/>
      <c r="JF365" s="25"/>
      <c r="JG365" s="25"/>
      <c r="JH365" s="25"/>
      <c r="JI365" s="25"/>
      <c r="JJ365" s="25"/>
      <c r="JK365" s="25"/>
      <c r="JL365" s="25"/>
      <c r="JM365" s="25"/>
      <c r="JN365" s="25"/>
      <c r="JO365" s="25"/>
      <c r="JP365" s="25"/>
      <c r="JQ365" s="25"/>
      <c r="JR365" s="25"/>
      <c r="JS365" s="25"/>
      <c r="JT365" s="25"/>
      <c r="JU365" s="25"/>
      <c r="JV365" s="25"/>
      <c r="JW365" s="25"/>
      <c r="JX365" s="25"/>
      <c r="JY365" s="25"/>
      <c r="JZ365" s="25"/>
      <c r="KA365" s="25"/>
      <c r="KB365" s="25"/>
      <c r="KC365" s="25"/>
      <c r="KD365" s="25"/>
      <c r="KE365" s="25"/>
      <c r="KF365" s="25"/>
      <c r="KG365" s="25"/>
      <c r="KH365" s="25"/>
      <c r="KI365" s="25"/>
      <c r="KJ365" s="25"/>
      <c r="KK365" s="25"/>
      <c r="KL365" s="25"/>
      <c r="KM365" s="25"/>
      <c r="KN365" s="25"/>
      <c r="KO365" s="25"/>
      <c r="KP365" s="25"/>
      <c r="KQ365" s="25"/>
      <c r="KR365" s="25"/>
      <c r="KS365" s="25"/>
      <c r="KT365" s="25"/>
      <c r="KU365" s="25"/>
      <c r="KV365" s="25"/>
      <c r="KW365" s="25"/>
      <c r="KX365" s="25"/>
      <c r="KY365" s="25"/>
      <c r="KZ365" s="25"/>
      <c r="LA365" s="25"/>
      <c r="LB365" s="25"/>
      <c r="LC365" s="25"/>
      <c r="LD365" s="25"/>
      <c r="LE365" s="25"/>
      <c r="LF365" s="25"/>
      <c r="LG365" s="25"/>
      <c r="LH365" s="25"/>
      <c r="LI365" s="25"/>
      <c r="LJ365" s="25"/>
      <c r="LK365" s="25"/>
      <c r="LL365" s="25"/>
      <c r="LM365" s="25"/>
      <c r="LN365" s="25"/>
      <c r="LO365" s="25"/>
      <c r="LP365" s="25"/>
      <c r="LQ365" s="25"/>
      <c r="LR365" s="25"/>
      <c r="LS365" s="25"/>
      <c r="LT365" s="25"/>
      <c r="LU365" s="25"/>
      <c r="LV365" s="25"/>
      <c r="LW365" s="25"/>
      <c r="LX365" s="25"/>
      <c r="LY365" s="25"/>
      <c r="LZ365" s="25"/>
      <c r="MA365" s="25"/>
      <c r="MB365" s="25"/>
      <c r="MC365" s="25"/>
      <c r="MD365" s="25"/>
      <c r="ME365" s="25"/>
      <c r="MF365" s="25"/>
      <c r="MG365" s="25"/>
      <c r="MH365" s="25"/>
      <c r="MI365" s="25"/>
      <c r="MJ365" s="25"/>
      <c r="MK365" s="25"/>
      <c r="ML365" s="25"/>
      <c r="MM365" s="25"/>
      <c r="MN365" s="25"/>
      <c r="MO365" s="25"/>
      <c r="MP365" s="25"/>
      <c r="MQ365" s="25"/>
      <c r="MR365" s="25"/>
      <c r="MS365" s="25"/>
      <c r="MT365" s="25"/>
      <c r="MU365" s="25"/>
      <c r="MV365" s="25"/>
      <c r="MW365" s="25"/>
      <c r="MX365" s="25"/>
      <c r="MY365" s="25"/>
      <c r="MZ365" s="25"/>
      <c r="NA365" s="25"/>
      <c r="NB365" s="25"/>
      <c r="NC365" s="25"/>
      <c r="ND365" s="25"/>
      <c r="NE365" s="25"/>
      <c r="NF365" s="25"/>
      <c r="NG365" s="25"/>
      <c r="NH365" s="25"/>
      <c r="NI365" s="25"/>
      <c r="NJ365" s="25"/>
      <c r="NK365" s="25"/>
      <c r="NL365" s="25"/>
      <c r="NM365" s="25"/>
      <c r="NN365" s="25"/>
      <c r="NO365" s="25"/>
      <c r="NP365" s="25"/>
      <c r="NQ365" s="25"/>
      <c r="NR365" s="25"/>
      <c r="NS365" s="25"/>
      <c r="NT365" s="25"/>
      <c r="NU365" s="25"/>
      <c r="NV365" s="25"/>
      <c r="NW365" s="25"/>
      <c r="NX365" s="25"/>
      <c r="NY365" s="25"/>
      <c r="NZ365" s="25"/>
      <c r="OA365" s="25"/>
      <c r="OB365" s="25"/>
      <c r="OC365" s="25"/>
      <c r="OD365" s="25"/>
      <c r="OE365" s="25"/>
    </row>
    <row r="366" spans="2:395" ht="13.8" customHeight="1" outlineLevel="1" x14ac:dyDescent="0.3">
      <c r="D366" s="119" t="s">
        <v>57</v>
      </c>
      <c r="E366" s="10">
        <f>ROUNDUP(E363*E365,0)</f>
        <v>8</v>
      </c>
      <c r="F366" s="259" t="s">
        <v>34</v>
      </c>
      <c r="N366" s="25" t="s">
        <v>106</v>
      </c>
      <c r="O366" s="25"/>
      <c r="P366" s="27" t="s">
        <v>73</v>
      </c>
      <c r="Q366" s="25"/>
      <c r="R366" s="25"/>
      <c r="S366" s="25"/>
      <c r="T366" s="25"/>
      <c r="U366" s="25"/>
      <c r="V366" s="25"/>
      <c r="W366" s="25"/>
      <c r="X366" s="25"/>
      <c r="Y366" s="25"/>
      <c r="Z366" s="25"/>
      <c r="AA366" s="25"/>
      <c r="AB366" s="25"/>
      <c r="AC366" s="25"/>
      <c r="AD366" s="25"/>
      <c r="AE366" s="25"/>
      <c r="AF366" s="25"/>
      <c r="AG366" s="25"/>
      <c r="AH366" s="25"/>
      <c r="AI366" s="25"/>
      <c r="AJ366" s="25"/>
      <c r="AK366" s="25"/>
      <c r="AL366" s="25"/>
      <c r="AM366" s="25"/>
      <c r="AN366" s="25"/>
      <c r="AO366" s="25"/>
      <c r="AP366" s="25"/>
      <c r="AQ366" s="25"/>
      <c r="AR366" s="25"/>
      <c r="AS366" s="25"/>
      <c r="AT366" s="25"/>
      <c r="AU366" s="25"/>
      <c r="AV366" s="25"/>
      <c r="AW366" s="25"/>
      <c r="AX366" s="25"/>
      <c r="AY366" s="25"/>
      <c r="AZ366" s="25"/>
      <c r="BA366" s="25"/>
      <c r="BB366" s="25"/>
      <c r="BC366" s="25"/>
      <c r="BD366" s="25"/>
      <c r="BE366" s="25"/>
      <c r="BF366" s="25"/>
      <c r="BG366" s="25"/>
      <c r="BH366" s="25"/>
      <c r="BI366" s="25"/>
      <c r="BJ366" s="25"/>
      <c r="BK366" s="25"/>
      <c r="BL366" s="25"/>
      <c r="BM366" s="25"/>
      <c r="BN366" s="25"/>
      <c r="BO366" s="25"/>
      <c r="BP366" s="25"/>
      <c r="BQ366" s="25"/>
      <c r="BR366" s="25"/>
      <c r="BS366" s="25"/>
      <c r="BT366" s="25"/>
      <c r="BU366" s="25"/>
      <c r="BV366" s="25"/>
      <c r="BW366" s="25"/>
      <c r="BX366" s="25"/>
      <c r="BY366" s="25"/>
      <c r="BZ366" s="25"/>
      <c r="CA366" s="25"/>
      <c r="CB366" s="25"/>
      <c r="CC366" s="25"/>
      <c r="CD366" s="25"/>
      <c r="CE366" s="25"/>
      <c r="CF366" s="25"/>
      <c r="CG366" s="25"/>
      <c r="CH366" s="25"/>
      <c r="CI366" s="25"/>
      <c r="CJ366" s="25"/>
      <c r="CK366" s="25"/>
      <c r="CL366" s="25"/>
      <c r="CM366" s="25"/>
      <c r="CN366" s="25"/>
      <c r="CO366" s="25"/>
      <c r="CP366" s="25"/>
      <c r="CQ366" s="25"/>
      <c r="CR366" s="25"/>
      <c r="CS366" s="25"/>
      <c r="CT366" s="25"/>
      <c r="CU366" s="25"/>
      <c r="CV366" s="25"/>
      <c r="CW366" s="25"/>
      <c r="CX366" s="25"/>
      <c r="CY366" s="25"/>
      <c r="CZ366" s="25"/>
      <c r="DA366" s="25"/>
      <c r="DB366" s="25"/>
      <c r="DC366" s="25"/>
      <c r="DD366" s="25"/>
      <c r="DE366" s="25"/>
      <c r="DF366" s="25"/>
      <c r="DG366" s="25"/>
      <c r="DH366" s="25"/>
      <c r="DI366" s="25"/>
      <c r="DJ366" s="25"/>
      <c r="DK366" s="25"/>
      <c r="DL366" s="25"/>
      <c r="DM366" s="25"/>
      <c r="DN366" s="25"/>
      <c r="DO366" s="25"/>
      <c r="DP366" s="25"/>
      <c r="DQ366" s="25"/>
      <c r="DR366" s="25"/>
      <c r="DS366" s="25"/>
      <c r="DT366" s="25"/>
      <c r="DU366" s="25"/>
      <c r="DV366" s="25"/>
      <c r="DW366" s="25"/>
      <c r="DX366" s="25"/>
      <c r="DY366" s="25"/>
      <c r="DZ366" s="25"/>
      <c r="EA366" s="25"/>
      <c r="EB366" s="25"/>
      <c r="EC366" s="25"/>
      <c r="ED366" s="25"/>
      <c r="EE366" s="25"/>
      <c r="EF366" s="25"/>
      <c r="EG366" s="25"/>
      <c r="EH366" s="25"/>
      <c r="EI366" s="25"/>
      <c r="EJ366" s="25"/>
      <c r="EK366" s="25"/>
      <c r="EL366" s="25"/>
      <c r="EM366" s="25"/>
      <c r="EN366" s="25"/>
      <c r="EO366" s="25"/>
      <c r="EP366" s="25"/>
      <c r="EQ366" s="25"/>
      <c r="ER366" s="25"/>
      <c r="ES366" s="25"/>
      <c r="ET366" s="25"/>
      <c r="EU366" s="25"/>
      <c r="EV366" s="25"/>
      <c r="EW366" s="25"/>
      <c r="EX366" s="25"/>
      <c r="EY366" s="25"/>
      <c r="EZ366" s="25"/>
      <c r="FA366" s="25"/>
      <c r="FB366" s="25"/>
      <c r="FC366" s="25"/>
      <c r="FD366" s="25"/>
      <c r="FE366" s="25"/>
      <c r="FF366" s="25"/>
      <c r="FG366" s="25"/>
      <c r="FH366" s="25"/>
      <c r="FI366" s="25"/>
      <c r="FJ366" s="25"/>
      <c r="FK366" s="25"/>
      <c r="FL366" s="25"/>
      <c r="FM366" s="25"/>
      <c r="FN366" s="25"/>
      <c r="FO366" s="25"/>
      <c r="FP366" s="25"/>
      <c r="FQ366" s="25"/>
      <c r="FR366" s="25"/>
      <c r="FS366" s="25"/>
      <c r="FT366" s="25"/>
      <c r="FU366" s="25"/>
      <c r="FV366" s="25"/>
      <c r="FW366" s="25"/>
      <c r="FX366" s="25"/>
      <c r="FY366" s="25"/>
      <c r="FZ366" s="25"/>
      <c r="GA366" s="25"/>
      <c r="GB366" s="25"/>
      <c r="GC366" s="25"/>
      <c r="GD366" s="25"/>
      <c r="GE366" s="25"/>
      <c r="GF366" s="25"/>
      <c r="GG366" s="25"/>
      <c r="GH366" s="25"/>
      <c r="GI366" s="25"/>
      <c r="GJ366" s="25"/>
      <c r="GK366" s="25"/>
      <c r="GL366" s="25"/>
      <c r="GM366" s="25"/>
      <c r="GN366" s="25"/>
      <c r="GO366" s="25"/>
      <c r="GP366" s="25"/>
      <c r="GQ366" s="25"/>
      <c r="GR366" s="25"/>
      <c r="GS366" s="25"/>
      <c r="GT366" s="25"/>
      <c r="GU366" s="25"/>
      <c r="GV366" s="25"/>
      <c r="GW366" s="25"/>
      <c r="GX366" s="25"/>
      <c r="GY366" s="25"/>
      <c r="GZ366" s="25"/>
      <c r="HA366" s="25"/>
      <c r="HB366" s="25"/>
      <c r="HC366" s="25"/>
      <c r="HD366" s="25"/>
      <c r="HE366" s="25"/>
      <c r="HF366" s="25"/>
      <c r="HG366" s="25"/>
      <c r="HH366" s="25"/>
      <c r="HI366" s="25"/>
      <c r="HJ366" s="25"/>
      <c r="HK366" s="25"/>
      <c r="HL366" s="25"/>
      <c r="HM366" s="25"/>
      <c r="HN366" s="25"/>
      <c r="HO366" s="25"/>
      <c r="HP366" s="25"/>
      <c r="HQ366" s="25"/>
      <c r="HR366" s="25"/>
      <c r="HS366" s="25"/>
      <c r="HT366" s="25"/>
      <c r="HU366" s="25"/>
      <c r="HV366" s="25"/>
      <c r="HW366" s="25"/>
      <c r="HX366" s="25"/>
      <c r="HY366" s="25"/>
      <c r="HZ366" s="25"/>
      <c r="IA366" s="25"/>
      <c r="IB366" s="25"/>
      <c r="IC366" s="25"/>
      <c r="ID366" s="25"/>
      <c r="IE366" s="25"/>
      <c r="IF366" s="25"/>
      <c r="IG366" s="25"/>
      <c r="IH366" s="25"/>
      <c r="II366" s="25"/>
      <c r="IJ366" s="25"/>
      <c r="IK366" s="25"/>
      <c r="IL366" s="25"/>
      <c r="IM366" s="25"/>
      <c r="IN366" s="25"/>
      <c r="IO366" s="25"/>
      <c r="IP366" s="25"/>
      <c r="IQ366" s="25"/>
      <c r="IR366" s="25"/>
      <c r="IS366" s="25"/>
      <c r="IT366" s="25"/>
      <c r="IU366" s="25"/>
      <c r="IV366" s="25"/>
      <c r="IW366" s="25"/>
      <c r="IX366" s="25"/>
      <c r="IY366" s="25"/>
      <c r="IZ366" s="25"/>
      <c r="JA366" s="25"/>
      <c r="JB366" s="25"/>
      <c r="JC366" s="25"/>
      <c r="JD366" s="25"/>
      <c r="JE366" s="25"/>
      <c r="JF366" s="25"/>
      <c r="JG366" s="25"/>
      <c r="JH366" s="25"/>
      <c r="JI366" s="25"/>
      <c r="JJ366" s="25"/>
      <c r="JK366" s="25"/>
      <c r="JL366" s="25"/>
      <c r="JM366" s="25"/>
      <c r="JN366" s="25"/>
      <c r="JO366" s="25"/>
      <c r="JP366" s="25"/>
      <c r="JQ366" s="25"/>
      <c r="JR366" s="25"/>
      <c r="JS366" s="25"/>
      <c r="JT366" s="25"/>
      <c r="JU366" s="25"/>
      <c r="JV366" s="25"/>
      <c r="JW366" s="25"/>
      <c r="JX366" s="25"/>
      <c r="JY366" s="25"/>
      <c r="JZ366" s="25"/>
      <c r="KA366" s="25"/>
      <c r="KB366" s="25"/>
      <c r="KC366" s="25"/>
      <c r="KD366" s="25"/>
      <c r="KE366" s="25"/>
      <c r="KF366" s="25"/>
      <c r="KG366" s="25"/>
      <c r="KH366" s="25"/>
      <c r="KI366" s="25"/>
      <c r="KJ366" s="25"/>
      <c r="KK366" s="25"/>
      <c r="KL366" s="25"/>
      <c r="KM366" s="25"/>
      <c r="KN366" s="25"/>
      <c r="KO366" s="25"/>
      <c r="KP366" s="25"/>
      <c r="KQ366" s="25"/>
      <c r="KR366" s="25"/>
      <c r="KS366" s="25"/>
      <c r="KT366" s="25"/>
      <c r="KU366" s="25"/>
      <c r="KV366" s="25"/>
      <c r="KW366" s="25"/>
      <c r="KX366" s="25"/>
      <c r="KY366" s="25"/>
      <c r="KZ366" s="25"/>
      <c r="LA366" s="25"/>
      <c r="LB366" s="25"/>
      <c r="LC366" s="25"/>
      <c r="LD366" s="25"/>
      <c r="LE366" s="25"/>
      <c r="LF366" s="25"/>
      <c r="LG366" s="25"/>
      <c r="LH366" s="25"/>
      <c r="LI366" s="25"/>
      <c r="LJ366" s="25"/>
      <c r="LK366" s="25"/>
      <c r="LL366" s="25"/>
      <c r="LM366" s="25"/>
      <c r="LN366" s="25"/>
      <c r="LO366" s="25"/>
      <c r="LP366" s="25"/>
      <c r="LQ366" s="25"/>
      <c r="LR366" s="25"/>
      <c r="LS366" s="25"/>
      <c r="LT366" s="25"/>
      <c r="LU366" s="25"/>
      <c r="LV366" s="25"/>
      <c r="LW366" s="25"/>
      <c r="LX366" s="25"/>
      <c r="LY366" s="25"/>
      <c r="LZ366" s="25"/>
      <c r="MA366" s="25"/>
      <c r="MB366" s="25"/>
      <c r="MC366" s="25"/>
      <c r="MD366" s="25"/>
      <c r="ME366" s="25"/>
      <c r="MF366" s="25"/>
      <c r="MG366" s="25"/>
      <c r="MH366" s="25"/>
      <c r="MI366" s="25"/>
      <c r="MJ366" s="25"/>
      <c r="MK366" s="25"/>
      <c r="ML366" s="25"/>
      <c r="MM366" s="25"/>
      <c r="MN366" s="25"/>
      <c r="MO366" s="25"/>
      <c r="MP366" s="25"/>
      <c r="MQ366" s="25"/>
      <c r="MR366" s="25"/>
      <c r="MS366" s="25"/>
      <c r="MT366" s="25"/>
      <c r="MU366" s="25"/>
      <c r="MV366" s="25"/>
      <c r="MW366" s="25"/>
      <c r="MX366" s="25"/>
      <c r="MY366" s="25"/>
      <c r="MZ366" s="25"/>
      <c r="NA366" s="25"/>
      <c r="NB366" s="25"/>
      <c r="NC366" s="25"/>
      <c r="ND366" s="25"/>
      <c r="NE366" s="25"/>
      <c r="NF366" s="25"/>
      <c r="NG366" s="25"/>
      <c r="NH366" s="25"/>
      <c r="NI366" s="25"/>
      <c r="NJ366" s="25"/>
      <c r="NK366" s="25"/>
      <c r="NL366" s="25"/>
      <c r="NM366" s="25"/>
      <c r="NN366" s="25"/>
      <c r="NO366" s="25"/>
      <c r="NP366" s="25"/>
      <c r="NQ366" s="25"/>
      <c r="NR366" s="25"/>
      <c r="NS366" s="25"/>
      <c r="NT366" s="25"/>
      <c r="NU366" s="25"/>
      <c r="NV366" s="25"/>
      <c r="NW366" s="25"/>
      <c r="NX366" s="25"/>
      <c r="NY366" s="25"/>
      <c r="NZ366" s="25"/>
      <c r="OA366" s="25"/>
      <c r="OB366" s="25"/>
      <c r="OC366" s="25"/>
      <c r="OD366" s="25"/>
      <c r="OE366" s="25"/>
    </row>
    <row r="367" spans="2:395" ht="13.8" customHeight="1" outlineLevel="1" x14ac:dyDescent="0.3">
      <c r="C367" s="114" t="s">
        <v>120</v>
      </c>
      <c r="D367" s="119"/>
      <c r="N367" s="25"/>
      <c r="O367" s="25"/>
      <c r="P367" s="27"/>
      <c r="Q367" s="25"/>
      <c r="R367" s="25"/>
      <c r="S367" s="25"/>
      <c r="T367" s="25"/>
      <c r="U367" s="25"/>
      <c r="V367" s="25"/>
      <c r="W367" s="25"/>
      <c r="X367" s="25"/>
      <c r="Y367" s="25"/>
      <c r="Z367" s="25"/>
      <c r="AA367" s="25"/>
      <c r="AB367" s="25"/>
      <c r="AC367" s="25"/>
      <c r="AD367" s="25"/>
      <c r="AE367" s="25"/>
      <c r="AF367" s="25"/>
      <c r="AG367" s="25"/>
      <c r="AH367" s="25"/>
      <c r="AI367" s="25"/>
      <c r="AJ367" s="25"/>
      <c r="AK367" s="25"/>
      <c r="AL367" s="25"/>
      <c r="AM367" s="25"/>
      <c r="AN367" s="25"/>
      <c r="AO367" s="25"/>
      <c r="AP367" s="25"/>
      <c r="AQ367" s="25"/>
      <c r="AR367" s="25"/>
      <c r="AS367" s="25"/>
      <c r="AT367" s="25"/>
      <c r="AU367" s="25"/>
      <c r="AV367" s="25"/>
      <c r="AW367" s="25"/>
      <c r="AX367" s="25"/>
      <c r="AY367" s="25"/>
      <c r="AZ367" s="25"/>
      <c r="BA367" s="25"/>
      <c r="BB367" s="25"/>
      <c r="BC367" s="25"/>
      <c r="BD367" s="25"/>
      <c r="BE367" s="25"/>
      <c r="BF367" s="25"/>
      <c r="BG367" s="25"/>
      <c r="BH367" s="25"/>
      <c r="BI367" s="25"/>
      <c r="BJ367" s="25"/>
      <c r="BK367" s="25"/>
      <c r="BL367" s="25"/>
      <c r="BM367" s="25"/>
      <c r="BN367" s="25"/>
      <c r="BO367" s="25"/>
      <c r="BP367" s="25"/>
      <c r="BQ367" s="25"/>
      <c r="BR367" s="25"/>
      <c r="BS367" s="25"/>
      <c r="BT367" s="25"/>
      <c r="BU367" s="25"/>
      <c r="BV367" s="25"/>
      <c r="BW367" s="25"/>
      <c r="BX367" s="25"/>
      <c r="BY367" s="25"/>
      <c r="BZ367" s="25"/>
      <c r="CA367" s="25"/>
      <c r="CB367" s="25"/>
      <c r="CC367" s="25"/>
      <c r="CD367" s="25"/>
      <c r="CE367" s="25"/>
      <c r="CF367" s="25"/>
      <c r="CG367" s="25"/>
      <c r="CH367" s="25"/>
      <c r="CI367" s="25"/>
      <c r="CJ367" s="25"/>
      <c r="CK367" s="25"/>
      <c r="CL367" s="25"/>
      <c r="CM367" s="25"/>
      <c r="CN367" s="25"/>
      <c r="CO367" s="25"/>
      <c r="CP367" s="25"/>
      <c r="CQ367" s="25"/>
      <c r="CR367" s="25"/>
      <c r="CS367" s="25"/>
      <c r="CT367" s="25"/>
      <c r="CU367" s="25"/>
      <c r="CV367" s="25"/>
      <c r="CW367" s="25"/>
      <c r="CX367" s="25"/>
      <c r="CY367" s="25"/>
      <c r="CZ367" s="25"/>
      <c r="DA367" s="25"/>
      <c r="DB367" s="25"/>
      <c r="DC367" s="25"/>
      <c r="DD367" s="25"/>
      <c r="DE367" s="25"/>
      <c r="DF367" s="25"/>
      <c r="DG367" s="25"/>
      <c r="DH367" s="25"/>
      <c r="DI367" s="25"/>
      <c r="DJ367" s="25"/>
      <c r="DK367" s="25"/>
      <c r="DL367" s="25"/>
      <c r="DM367" s="25"/>
      <c r="DN367" s="25"/>
      <c r="DO367" s="25"/>
      <c r="DP367" s="25"/>
      <c r="DQ367" s="25"/>
      <c r="DR367" s="25"/>
      <c r="DS367" s="25"/>
      <c r="DT367" s="25"/>
      <c r="DU367" s="25"/>
      <c r="DV367" s="25"/>
      <c r="DW367" s="25"/>
      <c r="DX367" s="25"/>
      <c r="DY367" s="25"/>
      <c r="DZ367" s="25"/>
      <c r="EA367" s="25"/>
      <c r="EB367" s="25"/>
      <c r="EC367" s="25"/>
      <c r="ED367" s="25"/>
      <c r="EE367" s="25"/>
      <c r="EF367" s="25"/>
      <c r="EG367" s="25"/>
      <c r="EH367" s="25"/>
      <c r="EI367" s="25"/>
      <c r="EJ367" s="25"/>
      <c r="EK367" s="25"/>
      <c r="EL367" s="25"/>
      <c r="EM367" s="25"/>
      <c r="EN367" s="25"/>
      <c r="EO367" s="25"/>
      <c r="EP367" s="25"/>
      <c r="EQ367" s="25"/>
      <c r="ER367" s="25"/>
      <c r="ES367" s="25"/>
      <c r="ET367" s="25"/>
      <c r="EU367" s="25"/>
      <c r="EV367" s="25"/>
      <c r="EW367" s="25"/>
      <c r="EX367" s="25"/>
      <c r="EY367" s="25"/>
      <c r="EZ367" s="25"/>
      <c r="FA367" s="25"/>
      <c r="FB367" s="25"/>
      <c r="FC367" s="25"/>
      <c r="FD367" s="25"/>
      <c r="FE367" s="25"/>
      <c r="FF367" s="25"/>
      <c r="FG367" s="25"/>
      <c r="FH367" s="25"/>
      <c r="FI367" s="25"/>
      <c r="FJ367" s="25"/>
      <c r="FK367" s="25"/>
      <c r="FL367" s="25"/>
      <c r="FM367" s="25"/>
      <c r="FN367" s="25"/>
      <c r="FO367" s="25"/>
      <c r="FP367" s="25"/>
      <c r="FQ367" s="25"/>
      <c r="FR367" s="25"/>
      <c r="FS367" s="25"/>
      <c r="FT367" s="25"/>
      <c r="FU367" s="25"/>
      <c r="FV367" s="25"/>
      <c r="FW367" s="25"/>
      <c r="FX367" s="25"/>
      <c r="FY367" s="25"/>
      <c r="FZ367" s="25"/>
      <c r="GA367" s="25"/>
      <c r="GB367" s="25"/>
      <c r="GC367" s="25"/>
      <c r="GD367" s="25"/>
      <c r="GE367" s="25"/>
      <c r="GF367" s="25"/>
      <c r="GG367" s="25"/>
      <c r="GH367" s="25"/>
      <c r="GI367" s="25"/>
      <c r="GJ367" s="25"/>
      <c r="GK367" s="25"/>
      <c r="GL367" s="25"/>
      <c r="GM367" s="25"/>
      <c r="GN367" s="25"/>
      <c r="GO367" s="25"/>
      <c r="GP367" s="25"/>
      <c r="GQ367" s="25"/>
      <c r="GR367" s="25"/>
      <c r="GS367" s="25"/>
      <c r="GT367" s="25"/>
      <c r="GU367" s="25"/>
      <c r="GV367" s="25"/>
      <c r="GW367" s="25"/>
      <c r="GX367" s="25"/>
      <c r="GY367" s="25"/>
      <c r="GZ367" s="25"/>
      <c r="HA367" s="25"/>
      <c r="HB367" s="25"/>
      <c r="HC367" s="25"/>
      <c r="HD367" s="25"/>
      <c r="HE367" s="25"/>
      <c r="HF367" s="25"/>
      <c r="HG367" s="25"/>
      <c r="HH367" s="25"/>
      <c r="HI367" s="25"/>
      <c r="HJ367" s="25"/>
      <c r="HK367" s="25"/>
      <c r="HL367" s="25"/>
      <c r="HM367" s="25"/>
      <c r="HN367" s="25"/>
      <c r="HO367" s="25"/>
      <c r="HP367" s="25"/>
      <c r="HQ367" s="25"/>
      <c r="HR367" s="25"/>
      <c r="HS367" s="25"/>
      <c r="HT367" s="25"/>
      <c r="HU367" s="25"/>
      <c r="HV367" s="25"/>
      <c r="HW367" s="25"/>
      <c r="HX367" s="25"/>
      <c r="HY367" s="25"/>
      <c r="HZ367" s="25"/>
      <c r="IA367" s="25"/>
      <c r="IB367" s="25"/>
      <c r="IC367" s="25"/>
      <c r="ID367" s="25"/>
      <c r="IE367" s="25"/>
      <c r="IF367" s="25"/>
      <c r="IG367" s="25"/>
      <c r="IH367" s="25"/>
      <c r="II367" s="25"/>
      <c r="IJ367" s="25"/>
      <c r="IK367" s="25"/>
      <c r="IL367" s="25"/>
      <c r="IM367" s="25"/>
      <c r="IN367" s="25"/>
      <c r="IO367" s="25"/>
      <c r="IP367" s="25"/>
      <c r="IQ367" s="25"/>
      <c r="IR367" s="25"/>
      <c r="IS367" s="25"/>
      <c r="IT367" s="25"/>
      <c r="IU367" s="25"/>
      <c r="IV367" s="25"/>
      <c r="IW367" s="25"/>
      <c r="IX367" s="25"/>
      <c r="IY367" s="25"/>
      <c r="IZ367" s="25"/>
      <c r="JA367" s="25"/>
      <c r="JB367" s="25"/>
      <c r="JC367" s="25"/>
      <c r="JD367" s="25"/>
      <c r="JE367" s="25"/>
      <c r="JF367" s="25"/>
      <c r="JG367" s="25"/>
      <c r="JH367" s="25"/>
      <c r="JI367" s="25"/>
      <c r="JJ367" s="25"/>
      <c r="JK367" s="25"/>
      <c r="JL367" s="25"/>
      <c r="JM367" s="25"/>
      <c r="JN367" s="25"/>
      <c r="JO367" s="25"/>
      <c r="JP367" s="25"/>
      <c r="JQ367" s="25"/>
      <c r="JR367" s="25"/>
      <c r="JS367" s="25"/>
      <c r="JT367" s="25"/>
      <c r="JU367" s="25"/>
      <c r="JV367" s="25"/>
      <c r="JW367" s="25"/>
      <c r="JX367" s="25"/>
      <c r="JY367" s="25"/>
      <c r="JZ367" s="25"/>
      <c r="KA367" s="25"/>
      <c r="KB367" s="25"/>
      <c r="KC367" s="25"/>
      <c r="KD367" s="25"/>
      <c r="KE367" s="25"/>
      <c r="KF367" s="25"/>
      <c r="KG367" s="25"/>
      <c r="KH367" s="25"/>
      <c r="KI367" s="25"/>
      <c r="KJ367" s="25"/>
      <c r="KK367" s="25"/>
      <c r="KL367" s="25"/>
      <c r="KM367" s="25"/>
      <c r="KN367" s="25"/>
      <c r="KO367" s="25"/>
      <c r="KP367" s="25"/>
      <c r="KQ367" s="25"/>
      <c r="KR367" s="25"/>
      <c r="KS367" s="25"/>
      <c r="KT367" s="25"/>
      <c r="KU367" s="25"/>
      <c r="KV367" s="25"/>
      <c r="KW367" s="25"/>
      <c r="KX367" s="25"/>
      <c r="KY367" s="25"/>
      <c r="KZ367" s="25"/>
      <c r="LA367" s="25"/>
      <c r="LB367" s="25"/>
      <c r="LC367" s="25"/>
      <c r="LD367" s="25"/>
      <c r="LE367" s="25"/>
      <c r="LF367" s="25"/>
      <c r="LG367" s="25"/>
      <c r="LH367" s="25"/>
      <c r="LI367" s="25"/>
      <c r="LJ367" s="25"/>
      <c r="LK367" s="25"/>
      <c r="LL367" s="25"/>
      <c r="LM367" s="25"/>
      <c r="LN367" s="25"/>
      <c r="LO367" s="25"/>
      <c r="LP367" s="25"/>
      <c r="LQ367" s="25"/>
      <c r="LR367" s="25"/>
      <c r="LS367" s="25"/>
      <c r="LT367" s="25"/>
      <c r="LU367" s="25"/>
      <c r="LV367" s="25"/>
      <c r="LW367" s="25"/>
      <c r="LX367" s="25"/>
      <c r="LY367" s="25"/>
      <c r="LZ367" s="25"/>
      <c r="MA367" s="25"/>
      <c r="MB367" s="25"/>
      <c r="MC367" s="25"/>
      <c r="MD367" s="25"/>
      <c r="ME367" s="25"/>
      <c r="MF367" s="25"/>
      <c r="MG367" s="25"/>
      <c r="MH367" s="25"/>
      <c r="MI367" s="25"/>
      <c r="MJ367" s="25"/>
      <c r="MK367" s="25"/>
      <c r="ML367" s="25"/>
      <c r="MM367" s="25"/>
      <c r="MN367" s="25"/>
      <c r="MO367" s="25"/>
      <c r="MP367" s="25"/>
      <c r="MQ367" s="25"/>
      <c r="MR367" s="25"/>
      <c r="MS367" s="25"/>
      <c r="MT367" s="25"/>
      <c r="MU367" s="25"/>
      <c r="MV367" s="25"/>
      <c r="MW367" s="25"/>
      <c r="MX367" s="25"/>
      <c r="MY367" s="25"/>
      <c r="MZ367" s="25"/>
      <c r="NA367" s="25"/>
      <c r="NB367" s="25"/>
      <c r="NC367" s="25"/>
      <c r="ND367" s="25"/>
      <c r="NE367" s="25"/>
      <c r="NF367" s="25"/>
      <c r="NG367" s="25"/>
      <c r="NH367" s="25"/>
      <c r="NI367" s="25"/>
      <c r="NJ367" s="25"/>
      <c r="NK367" s="25"/>
      <c r="NL367" s="25"/>
      <c r="NM367" s="25"/>
      <c r="NN367" s="25"/>
      <c r="NO367" s="25"/>
      <c r="NP367" s="25"/>
      <c r="NQ367" s="25"/>
      <c r="NR367" s="25"/>
      <c r="NS367" s="25"/>
      <c r="NT367" s="25"/>
      <c r="NU367" s="25"/>
      <c r="NV367" s="25"/>
      <c r="NW367" s="25"/>
      <c r="NX367" s="25"/>
      <c r="NY367" s="25"/>
      <c r="NZ367" s="25"/>
      <c r="OA367" s="25"/>
      <c r="OB367" s="25"/>
      <c r="OC367" s="25"/>
      <c r="OD367" s="25"/>
      <c r="OE367" s="25"/>
    </row>
    <row r="368" spans="2:395" ht="13.8" customHeight="1" outlineLevel="1" x14ac:dyDescent="0.3">
      <c r="D368" s="119" t="s">
        <v>60</v>
      </c>
      <c r="E368" s="10">
        <v>230</v>
      </c>
      <c r="F368" s="259" t="s">
        <v>65</v>
      </c>
      <c r="N368" s="25" t="s">
        <v>107</v>
      </c>
      <c r="O368" s="25"/>
      <c r="P368" s="27" t="s">
        <v>31</v>
      </c>
      <c r="Q368" s="25"/>
      <c r="R368" s="25"/>
      <c r="S368" s="25"/>
      <c r="T368" s="25"/>
      <c r="U368" s="25"/>
      <c r="V368" s="25"/>
      <c r="W368" s="25"/>
      <c r="X368" s="25"/>
      <c r="Y368" s="25"/>
      <c r="Z368" s="25"/>
      <c r="AA368" s="25"/>
      <c r="AB368" s="25"/>
      <c r="AC368" s="25"/>
      <c r="AD368" s="25"/>
      <c r="AE368" s="25"/>
      <c r="AF368" s="25"/>
      <c r="AG368" s="25"/>
      <c r="AH368" s="25"/>
      <c r="AI368" s="25"/>
      <c r="AJ368" s="25"/>
      <c r="AK368" s="25"/>
      <c r="AL368" s="25"/>
      <c r="AM368" s="25"/>
      <c r="AN368" s="25"/>
      <c r="AO368" s="25"/>
      <c r="AP368" s="25"/>
      <c r="AQ368" s="25"/>
      <c r="AR368" s="25"/>
      <c r="AS368" s="25"/>
      <c r="AT368" s="25"/>
      <c r="AU368" s="25"/>
      <c r="AV368" s="25"/>
      <c r="AW368" s="25"/>
      <c r="AX368" s="25"/>
      <c r="AY368" s="25"/>
      <c r="AZ368" s="25"/>
      <c r="BA368" s="25"/>
      <c r="BB368" s="25"/>
      <c r="BC368" s="25"/>
      <c r="BD368" s="25"/>
      <c r="BE368" s="25"/>
      <c r="BF368" s="25"/>
      <c r="BG368" s="25"/>
      <c r="BH368" s="25"/>
      <c r="BI368" s="25"/>
      <c r="BJ368" s="25"/>
      <c r="BK368" s="25"/>
      <c r="BL368" s="25"/>
      <c r="BM368" s="25"/>
      <c r="BN368" s="25"/>
      <c r="BO368" s="25"/>
      <c r="BP368" s="25"/>
      <c r="BQ368" s="25"/>
      <c r="BR368" s="25"/>
      <c r="BS368" s="25"/>
      <c r="BT368" s="25"/>
      <c r="BU368" s="25"/>
      <c r="BV368" s="25"/>
      <c r="BW368" s="25"/>
      <c r="BX368" s="25"/>
      <c r="BY368" s="25"/>
      <c r="BZ368" s="25"/>
      <c r="CA368" s="25"/>
      <c r="CB368" s="25"/>
      <c r="CC368" s="25"/>
      <c r="CD368" s="25"/>
      <c r="CE368" s="25"/>
      <c r="CF368" s="25"/>
      <c r="CG368" s="25"/>
      <c r="CH368" s="25"/>
      <c r="CI368" s="25"/>
      <c r="CJ368" s="25"/>
      <c r="CK368" s="25"/>
      <c r="CL368" s="25"/>
      <c r="CM368" s="25"/>
      <c r="CN368" s="25"/>
      <c r="CO368" s="25"/>
      <c r="CP368" s="25"/>
      <c r="CQ368" s="25"/>
      <c r="CR368" s="25"/>
      <c r="CS368" s="25"/>
      <c r="CT368" s="25"/>
      <c r="CU368" s="25"/>
      <c r="CV368" s="25"/>
      <c r="CW368" s="25"/>
      <c r="CX368" s="25"/>
      <c r="CY368" s="25"/>
      <c r="CZ368" s="25"/>
      <c r="DA368" s="25"/>
      <c r="DB368" s="25"/>
      <c r="DC368" s="25"/>
      <c r="DD368" s="25"/>
      <c r="DE368" s="25"/>
      <c r="DF368" s="25"/>
      <c r="DG368" s="25"/>
      <c r="DH368" s="25"/>
      <c r="DI368" s="25"/>
      <c r="DJ368" s="25"/>
      <c r="DK368" s="25"/>
      <c r="DL368" s="25"/>
      <c r="DM368" s="25"/>
      <c r="DN368" s="25"/>
      <c r="DO368" s="25"/>
      <c r="DP368" s="25"/>
      <c r="DQ368" s="25"/>
      <c r="DR368" s="25"/>
      <c r="DS368" s="25"/>
      <c r="DT368" s="25"/>
      <c r="DU368" s="25"/>
      <c r="DV368" s="25"/>
      <c r="DW368" s="25"/>
      <c r="DX368" s="25"/>
      <c r="DY368" s="25"/>
      <c r="DZ368" s="25"/>
      <c r="EA368" s="25"/>
      <c r="EB368" s="25"/>
      <c r="EC368" s="25"/>
      <c r="ED368" s="25"/>
      <c r="EE368" s="25"/>
      <c r="EF368" s="25"/>
      <c r="EG368" s="25"/>
      <c r="EH368" s="25"/>
      <c r="EI368" s="25"/>
      <c r="EJ368" s="25"/>
      <c r="EK368" s="25"/>
      <c r="EL368" s="25"/>
      <c r="EM368" s="25"/>
      <c r="EN368" s="25"/>
      <c r="EO368" s="25"/>
      <c r="EP368" s="25"/>
      <c r="EQ368" s="25"/>
      <c r="ER368" s="25"/>
      <c r="ES368" s="25"/>
      <c r="ET368" s="25"/>
      <c r="EU368" s="25"/>
      <c r="EV368" s="25"/>
      <c r="EW368" s="25"/>
      <c r="EX368" s="25"/>
      <c r="EY368" s="25"/>
      <c r="EZ368" s="25"/>
      <c r="FA368" s="25"/>
      <c r="FB368" s="25"/>
      <c r="FC368" s="25"/>
      <c r="FD368" s="25"/>
      <c r="FE368" s="25"/>
      <c r="FF368" s="25"/>
      <c r="FG368" s="25"/>
      <c r="FH368" s="25"/>
      <c r="FI368" s="25"/>
      <c r="FJ368" s="25"/>
      <c r="FK368" s="25"/>
      <c r="FL368" s="25"/>
      <c r="FM368" s="25"/>
      <c r="FN368" s="25"/>
      <c r="FO368" s="25"/>
      <c r="FP368" s="25"/>
      <c r="FQ368" s="25"/>
      <c r="FR368" s="25"/>
      <c r="FS368" s="25"/>
      <c r="FT368" s="25"/>
      <c r="FU368" s="25"/>
      <c r="FV368" s="25"/>
      <c r="FW368" s="25"/>
      <c r="FX368" s="25"/>
      <c r="FY368" s="25"/>
      <c r="FZ368" s="25"/>
      <c r="GA368" s="25"/>
      <c r="GB368" s="25"/>
      <c r="GC368" s="25"/>
      <c r="GD368" s="25"/>
      <c r="GE368" s="25"/>
      <c r="GF368" s="25"/>
      <c r="GG368" s="25"/>
      <c r="GH368" s="25"/>
      <c r="GI368" s="25"/>
      <c r="GJ368" s="25"/>
      <c r="GK368" s="25"/>
      <c r="GL368" s="25"/>
      <c r="GM368" s="25"/>
      <c r="GN368" s="25"/>
      <c r="GO368" s="25"/>
      <c r="GP368" s="25"/>
      <c r="GQ368" s="25"/>
      <c r="GR368" s="25"/>
      <c r="GS368" s="25"/>
      <c r="GT368" s="25"/>
      <c r="GU368" s="25"/>
      <c r="GV368" s="25"/>
      <c r="GW368" s="25"/>
      <c r="GX368" s="25"/>
      <c r="GY368" s="25"/>
      <c r="GZ368" s="25"/>
      <c r="HA368" s="25"/>
      <c r="HB368" s="25"/>
      <c r="HC368" s="25"/>
      <c r="HD368" s="25"/>
      <c r="HE368" s="25"/>
      <c r="HF368" s="25"/>
      <c r="HG368" s="25"/>
      <c r="HH368" s="25"/>
      <c r="HI368" s="25"/>
      <c r="HJ368" s="25"/>
      <c r="HK368" s="25"/>
      <c r="HL368" s="25"/>
      <c r="HM368" s="25"/>
      <c r="HN368" s="25"/>
      <c r="HO368" s="25"/>
      <c r="HP368" s="25"/>
      <c r="HQ368" s="25"/>
      <c r="HR368" s="25"/>
      <c r="HS368" s="25"/>
      <c r="HT368" s="25"/>
      <c r="HU368" s="25"/>
      <c r="HV368" s="25"/>
      <c r="HW368" s="25"/>
      <c r="HX368" s="25"/>
      <c r="HY368" s="25"/>
      <c r="HZ368" s="25"/>
      <c r="IA368" s="25"/>
      <c r="IB368" s="25"/>
      <c r="IC368" s="25"/>
      <c r="ID368" s="25"/>
      <c r="IE368" s="25"/>
      <c r="IF368" s="25"/>
      <c r="IG368" s="25"/>
      <c r="IH368" s="25"/>
      <c r="II368" s="25"/>
      <c r="IJ368" s="25"/>
      <c r="IK368" s="25"/>
      <c r="IL368" s="25"/>
      <c r="IM368" s="25"/>
      <c r="IN368" s="25"/>
      <c r="IO368" s="25"/>
      <c r="IP368" s="25"/>
      <c r="IQ368" s="25"/>
      <c r="IR368" s="25"/>
      <c r="IS368" s="25"/>
      <c r="IT368" s="25"/>
      <c r="IU368" s="25"/>
      <c r="IV368" s="25"/>
      <c r="IW368" s="25"/>
      <c r="IX368" s="25"/>
      <c r="IY368" s="25"/>
      <c r="IZ368" s="25"/>
      <c r="JA368" s="25"/>
      <c r="JB368" s="25"/>
      <c r="JC368" s="25"/>
      <c r="JD368" s="25"/>
      <c r="JE368" s="25"/>
      <c r="JF368" s="25"/>
      <c r="JG368" s="25"/>
      <c r="JH368" s="25"/>
      <c r="JI368" s="25"/>
      <c r="JJ368" s="25"/>
      <c r="JK368" s="25"/>
      <c r="JL368" s="25"/>
      <c r="JM368" s="25"/>
      <c r="JN368" s="25"/>
      <c r="JO368" s="25"/>
      <c r="JP368" s="25"/>
      <c r="JQ368" s="25"/>
      <c r="JR368" s="25"/>
      <c r="JS368" s="25"/>
      <c r="JT368" s="25"/>
      <c r="JU368" s="25"/>
      <c r="JV368" s="25"/>
      <c r="JW368" s="25"/>
      <c r="JX368" s="25"/>
      <c r="JY368" s="25"/>
      <c r="JZ368" s="25"/>
      <c r="KA368" s="25"/>
      <c r="KB368" s="25"/>
      <c r="KC368" s="25"/>
      <c r="KD368" s="25"/>
      <c r="KE368" s="25"/>
      <c r="KF368" s="25"/>
      <c r="KG368" s="25"/>
      <c r="KH368" s="25"/>
      <c r="KI368" s="25"/>
      <c r="KJ368" s="25"/>
      <c r="KK368" s="25"/>
      <c r="KL368" s="25"/>
      <c r="KM368" s="25"/>
      <c r="KN368" s="25"/>
      <c r="KO368" s="25"/>
      <c r="KP368" s="25"/>
      <c r="KQ368" s="25"/>
      <c r="KR368" s="25"/>
      <c r="KS368" s="25"/>
      <c r="KT368" s="25"/>
      <c r="KU368" s="25"/>
      <c r="KV368" s="25"/>
      <c r="KW368" s="25"/>
      <c r="KX368" s="25"/>
      <c r="KY368" s="25"/>
      <c r="KZ368" s="25"/>
      <c r="LA368" s="25"/>
      <c r="LB368" s="25"/>
      <c r="LC368" s="25"/>
      <c r="LD368" s="25"/>
      <c r="LE368" s="25"/>
      <c r="LF368" s="25"/>
      <c r="LG368" s="25"/>
      <c r="LH368" s="25"/>
      <c r="LI368" s="25"/>
      <c r="LJ368" s="25"/>
      <c r="LK368" s="25"/>
      <c r="LL368" s="25"/>
      <c r="LM368" s="25"/>
      <c r="LN368" s="25"/>
      <c r="LO368" s="25"/>
      <c r="LP368" s="25"/>
      <c r="LQ368" s="25"/>
      <c r="LR368" s="25"/>
      <c r="LS368" s="25"/>
      <c r="LT368" s="25"/>
      <c r="LU368" s="25"/>
      <c r="LV368" s="25"/>
      <c r="LW368" s="25"/>
      <c r="LX368" s="25"/>
      <c r="LY368" s="25"/>
      <c r="LZ368" s="25"/>
      <c r="MA368" s="25"/>
      <c r="MB368" s="25"/>
      <c r="MC368" s="25"/>
      <c r="MD368" s="25"/>
      <c r="ME368" s="25"/>
      <c r="MF368" s="25"/>
      <c r="MG368" s="25"/>
      <c r="MH368" s="25"/>
      <c r="MI368" s="25"/>
      <c r="MJ368" s="25"/>
      <c r="MK368" s="25"/>
      <c r="ML368" s="25"/>
      <c r="MM368" s="25"/>
      <c r="MN368" s="25"/>
      <c r="MO368" s="25"/>
      <c r="MP368" s="25"/>
      <c r="MQ368" s="25"/>
      <c r="MR368" s="25"/>
      <c r="MS368" s="25"/>
      <c r="MT368" s="25"/>
      <c r="MU368" s="25"/>
      <c r="MV368" s="25"/>
      <c r="MW368" s="25"/>
      <c r="MX368" s="25"/>
      <c r="MY368" s="25"/>
      <c r="MZ368" s="25"/>
      <c r="NA368" s="25"/>
      <c r="NB368" s="25"/>
      <c r="NC368" s="25"/>
      <c r="ND368" s="25"/>
      <c r="NE368" s="25"/>
      <c r="NF368" s="25"/>
      <c r="NG368" s="25"/>
      <c r="NH368" s="25"/>
      <c r="NI368" s="25"/>
      <c r="NJ368" s="25"/>
      <c r="NK368" s="25"/>
      <c r="NL368" s="25"/>
      <c r="NM368" s="25"/>
      <c r="NN368" s="25"/>
      <c r="NO368" s="25"/>
      <c r="NP368" s="25"/>
      <c r="NQ368" s="25"/>
      <c r="NR368" s="25"/>
      <c r="NS368" s="25"/>
      <c r="NT368" s="25"/>
      <c r="NU368" s="25"/>
      <c r="NV368" s="25"/>
      <c r="NW368" s="25"/>
      <c r="NX368" s="25"/>
      <c r="NY368" s="25"/>
      <c r="NZ368" s="25"/>
      <c r="OA368" s="25"/>
      <c r="OB368" s="25"/>
      <c r="OC368" s="25"/>
      <c r="OD368" s="25"/>
      <c r="OE368" s="25"/>
    </row>
    <row r="369" spans="1:395" ht="13.8" customHeight="1" outlineLevel="1" x14ac:dyDescent="0.3">
      <c r="D369" s="119" t="s">
        <v>118</v>
      </c>
      <c r="E369" s="10">
        <v>0</v>
      </c>
      <c r="F369" s="259" t="s">
        <v>31</v>
      </c>
      <c r="N369" s="25"/>
      <c r="O369" s="25"/>
      <c r="P369" s="27"/>
      <c r="Q369" s="25"/>
      <c r="R369" s="25"/>
      <c r="S369" s="25"/>
      <c r="T369" s="25"/>
      <c r="U369" s="25"/>
      <c r="V369" s="25"/>
      <c r="W369" s="25"/>
      <c r="X369" s="25"/>
      <c r="Y369" s="25"/>
      <c r="Z369" s="25"/>
      <c r="AA369" s="25"/>
      <c r="AB369" s="25"/>
      <c r="AC369" s="25"/>
      <c r="AD369" s="25"/>
      <c r="AE369" s="25"/>
      <c r="AF369" s="25"/>
      <c r="AG369" s="25"/>
      <c r="AH369" s="25"/>
      <c r="AI369" s="25"/>
      <c r="AJ369" s="25"/>
      <c r="AK369" s="25"/>
      <c r="AL369" s="25"/>
      <c r="AM369" s="25"/>
      <c r="AN369" s="25"/>
      <c r="AO369" s="25"/>
      <c r="AP369" s="25"/>
      <c r="AQ369" s="25"/>
      <c r="AR369" s="25"/>
      <c r="AS369" s="25"/>
      <c r="AT369" s="25"/>
      <c r="AU369" s="25"/>
      <c r="AV369" s="25"/>
      <c r="AW369" s="25"/>
      <c r="AX369" s="25"/>
      <c r="AY369" s="25"/>
      <c r="AZ369" s="25"/>
      <c r="BA369" s="25"/>
      <c r="BB369" s="25"/>
      <c r="BC369" s="25"/>
      <c r="BD369" s="25"/>
      <c r="BE369" s="25"/>
      <c r="BF369" s="25"/>
      <c r="BG369" s="25"/>
      <c r="BH369" s="25"/>
      <c r="BI369" s="25"/>
      <c r="BJ369" s="25"/>
      <c r="BK369" s="25"/>
      <c r="BL369" s="25"/>
      <c r="BM369" s="25"/>
      <c r="BN369" s="25"/>
      <c r="BO369" s="25"/>
      <c r="BP369" s="25"/>
      <c r="BQ369" s="25"/>
      <c r="BR369" s="25"/>
      <c r="BS369" s="25"/>
      <c r="BT369" s="25"/>
      <c r="BU369" s="25"/>
      <c r="BV369" s="25"/>
      <c r="BW369" s="25"/>
      <c r="BX369" s="25"/>
      <c r="BY369" s="25"/>
      <c r="BZ369" s="25"/>
      <c r="CA369" s="25"/>
      <c r="CB369" s="25"/>
      <c r="CC369" s="25"/>
      <c r="CD369" s="25"/>
      <c r="CE369" s="25"/>
      <c r="CF369" s="25"/>
      <c r="CG369" s="25"/>
      <c r="CH369" s="25"/>
      <c r="CI369" s="25"/>
      <c r="CJ369" s="25"/>
      <c r="CK369" s="25"/>
      <c r="CL369" s="25"/>
      <c r="CM369" s="25"/>
      <c r="CN369" s="25"/>
      <c r="CO369" s="25"/>
      <c r="CP369" s="25"/>
      <c r="CQ369" s="25"/>
      <c r="CR369" s="25"/>
      <c r="CS369" s="25"/>
      <c r="CT369" s="25"/>
      <c r="CU369" s="25"/>
      <c r="CV369" s="25"/>
      <c r="CW369" s="25"/>
      <c r="CX369" s="25"/>
      <c r="CY369" s="25"/>
      <c r="CZ369" s="25"/>
      <c r="DA369" s="25"/>
      <c r="DB369" s="25"/>
      <c r="DC369" s="25"/>
      <c r="DD369" s="25"/>
      <c r="DE369" s="25"/>
      <c r="DF369" s="25"/>
      <c r="DG369" s="25"/>
      <c r="DH369" s="25"/>
      <c r="DI369" s="25"/>
      <c r="DJ369" s="25"/>
      <c r="DK369" s="25"/>
      <c r="DL369" s="25"/>
      <c r="DM369" s="25"/>
      <c r="DN369" s="25"/>
      <c r="DO369" s="25"/>
      <c r="DP369" s="25"/>
      <c r="DQ369" s="25"/>
      <c r="DR369" s="25"/>
      <c r="DS369" s="25"/>
      <c r="DT369" s="25"/>
      <c r="DU369" s="25"/>
      <c r="DV369" s="25"/>
      <c r="DW369" s="25"/>
      <c r="DX369" s="25"/>
      <c r="DY369" s="25"/>
      <c r="DZ369" s="25"/>
      <c r="EA369" s="25"/>
      <c r="EB369" s="25"/>
      <c r="EC369" s="25"/>
      <c r="ED369" s="25"/>
      <c r="EE369" s="25"/>
      <c r="EF369" s="25"/>
      <c r="EG369" s="25"/>
      <c r="EH369" s="25"/>
      <c r="EI369" s="25"/>
      <c r="EJ369" s="25"/>
      <c r="EK369" s="25"/>
      <c r="EL369" s="25"/>
      <c r="EM369" s="25"/>
      <c r="EN369" s="25"/>
      <c r="EO369" s="25"/>
      <c r="EP369" s="25"/>
      <c r="EQ369" s="25"/>
      <c r="ER369" s="25"/>
      <c r="ES369" s="25"/>
      <c r="ET369" s="25"/>
      <c r="EU369" s="25"/>
      <c r="EV369" s="25"/>
      <c r="EW369" s="25"/>
      <c r="EX369" s="25"/>
      <c r="EY369" s="25"/>
      <c r="EZ369" s="25"/>
      <c r="FA369" s="25"/>
      <c r="FB369" s="25"/>
      <c r="FC369" s="25"/>
      <c r="FD369" s="25"/>
      <c r="FE369" s="25"/>
      <c r="FF369" s="25"/>
      <c r="FG369" s="25"/>
      <c r="FH369" s="25"/>
      <c r="FI369" s="25"/>
      <c r="FJ369" s="25"/>
      <c r="FK369" s="25"/>
      <c r="FL369" s="25"/>
      <c r="FM369" s="25"/>
      <c r="FN369" s="25"/>
      <c r="FO369" s="25"/>
      <c r="FP369" s="25"/>
      <c r="FQ369" s="25"/>
      <c r="FR369" s="25"/>
      <c r="FS369" s="25"/>
      <c r="FT369" s="25"/>
      <c r="FU369" s="25"/>
      <c r="FV369" s="25"/>
      <c r="FW369" s="25"/>
      <c r="FX369" s="25"/>
      <c r="FY369" s="25"/>
      <c r="FZ369" s="25"/>
      <c r="GA369" s="25"/>
      <c r="GB369" s="25"/>
      <c r="GC369" s="25"/>
      <c r="GD369" s="25"/>
      <c r="GE369" s="25"/>
      <c r="GF369" s="25"/>
      <c r="GG369" s="25"/>
      <c r="GH369" s="25"/>
      <c r="GI369" s="25"/>
      <c r="GJ369" s="25"/>
      <c r="GK369" s="25"/>
      <c r="GL369" s="25"/>
      <c r="GM369" s="25"/>
      <c r="GN369" s="25"/>
      <c r="GO369" s="25"/>
      <c r="GP369" s="25"/>
      <c r="GQ369" s="25"/>
      <c r="GR369" s="25"/>
      <c r="GS369" s="25"/>
      <c r="GT369" s="25"/>
      <c r="GU369" s="25"/>
      <c r="GV369" s="25"/>
      <c r="GW369" s="25"/>
      <c r="GX369" s="25"/>
      <c r="GY369" s="25"/>
      <c r="GZ369" s="25"/>
      <c r="HA369" s="25"/>
      <c r="HB369" s="25"/>
      <c r="HC369" s="25"/>
      <c r="HD369" s="25"/>
      <c r="HE369" s="25"/>
      <c r="HF369" s="25"/>
      <c r="HG369" s="25"/>
      <c r="HH369" s="25"/>
      <c r="HI369" s="25"/>
      <c r="HJ369" s="25"/>
      <c r="HK369" s="25"/>
      <c r="HL369" s="25"/>
      <c r="HM369" s="25"/>
      <c r="HN369" s="25"/>
      <c r="HO369" s="25"/>
      <c r="HP369" s="25"/>
      <c r="HQ369" s="25"/>
      <c r="HR369" s="25"/>
      <c r="HS369" s="25"/>
      <c r="HT369" s="25"/>
      <c r="HU369" s="25"/>
      <c r="HV369" s="25"/>
      <c r="HW369" s="25"/>
      <c r="HX369" s="25"/>
      <c r="HY369" s="25"/>
      <c r="HZ369" s="25"/>
      <c r="IA369" s="25"/>
      <c r="IB369" s="25"/>
      <c r="IC369" s="25"/>
      <c r="ID369" s="25"/>
      <c r="IE369" s="25"/>
      <c r="IF369" s="25"/>
      <c r="IG369" s="25"/>
      <c r="IH369" s="25"/>
      <c r="II369" s="25"/>
      <c r="IJ369" s="25"/>
      <c r="IK369" s="25"/>
      <c r="IL369" s="25"/>
      <c r="IM369" s="25"/>
      <c r="IN369" s="25"/>
      <c r="IO369" s="25"/>
      <c r="IP369" s="25"/>
      <c r="IQ369" s="25"/>
      <c r="IR369" s="25"/>
      <c r="IS369" s="25"/>
      <c r="IT369" s="25"/>
      <c r="IU369" s="25"/>
      <c r="IV369" s="25"/>
      <c r="IW369" s="25"/>
      <c r="IX369" s="25"/>
      <c r="IY369" s="25"/>
      <c r="IZ369" s="25"/>
      <c r="JA369" s="25"/>
      <c r="JB369" s="25"/>
      <c r="JC369" s="25"/>
      <c r="JD369" s="25"/>
      <c r="JE369" s="25"/>
      <c r="JF369" s="25"/>
      <c r="JG369" s="25"/>
      <c r="JH369" s="25"/>
      <c r="JI369" s="25"/>
      <c r="JJ369" s="25"/>
      <c r="JK369" s="25"/>
      <c r="JL369" s="25"/>
      <c r="JM369" s="25"/>
      <c r="JN369" s="25"/>
      <c r="JO369" s="25"/>
      <c r="JP369" s="25"/>
      <c r="JQ369" s="25"/>
      <c r="JR369" s="25"/>
      <c r="JS369" s="25"/>
      <c r="JT369" s="25"/>
      <c r="JU369" s="25"/>
      <c r="JV369" s="25"/>
      <c r="JW369" s="25"/>
      <c r="JX369" s="25"/>
      <c r="JY369" s="25"/>
      <c r="JZ369" s="25"/>
      <c r="KA369" s="25"/>
      <c r="KB369" s="25"/>
      <c r="KC369" s="25"/>
      <c r="KD369" s="25"/>
      <c r="KE369" s="25"/>
      <c r="KF369" s="25"/>
      <c r="KG369" s="25"/>
      <c r="KH369" s="25"/>
      <c r="KI369" s="25"/>
      <c r="KJ369" s="25"/>
      <c r="KK369" s="25"/>
      <c r="KL369" s="25"/>
      <c r="KM369" s="25"/>
      <c r="KN369" s="25"/>
      <c r="KO369" s="25"/>
      <c r="KP369" s="25"/>
      <c r="KQ369" s="25"/>
      <c r="KR369" s="25"/>
      <c r="KS369" s="25"/>
      <c r="KT369" s="25"/>
      <c r="KU369" s="25"/>
      <c r="KV369" s="25"/>
      <c r="KW369" s="25"/>
      <c r="KX369" s="25"/>
      <c r="KY369" s="25"/>
      <c r="KZ369" s="25"/>
      <c r="LA369" s="25"/>
      <c r="LB369" s="25"/>
      <c r="LC369" s="25"/>
      <c r="LD369" s="25"/>
      <c r="LE369" s="25"/>
      <c r="LF369" s="25"/>
      <c r="LG369" s="25"/>
      <c r="LH369" s="25"/>
      <c r="LI369" s="25"/>
      <c r="LJ369" s="25"/>
      <c r="LK369" s="25"/>
      <c r="LL369" s="25"/>
      <c r="LM369" s="25"/>
      <c r="LN369" s="25"/>
      <c r="LO369" s="25"/>
      <c r="LP369" s="25"/>
      <c r="LQ369" s="25"/>
      <c r="LR369" s="25"/>
      <c r="LS369" s="25"/>
      <c r="LT369" s="25"/>
      <c r="LU369" s="25"/>
      <c r="LV369" s="25"/>
      <c r="LW369" s="25"/>
      <c r="LX369" s="25"/>
      <c r="LY369" s="25"/>
      <c r="LZ369" s="25"/>
      <c r="MA369" s="25"/>
      <c r="MB369" s="25"/>
      <c r="MC369" s="25"/>
      <c r="MD369" s="25"/>
      <c r="ME369" s="25"/>
      <c r="MF369" s="25"/>
      <c r="MG369" s="25"/>
      <c r="MH369" s="25"/>
      <c r="MI369" s="25"/>
      <c r="MJ369" s="25"/>
      <c r="MK369" s="25"/>
      <c r="ML369" s="25"/>
      <c r="MM369" s="25"/>
      <c r="MN369" s="25"/>
      <c r="MO369" s="25"/>
      <c r="MP369" s="25"/>
      <c r="MQ369" s="25"/>
      <c r="MR369" s="25"/>
      <c r="MS369" s="25"/>
      <c r="MT369" s="25"/>
      <c r="MU369" s="25"/>
      <c r="MV369" s="25"/>
      <c r="MW369" s="25"/>
      <c r="MX369" s="25"/>
      <c r="MY369" s="25"/>
      <c r="MZ369" s="25"/>
      <c r="NA369" s="25"/>
      <c r="NB369" s="25"/>
      <c r="NC369" s="25"/>
      <c r="ND369" s="25"/>
      <c r="NE369" s="25"/>
      <c r="NF369" s="25"/>
      <c r="NG369" s="25"/>
      <c r="NH369" s="25"/>
      <c r="NI369" s="25"/>
      <c r="NJ369" s="25"/>
      <c r="NK369" s="25"/>
      <c r="NL369" s="25"/>
      <c r="NM369" s="25"/>
      <c r="NN369" s="25"/>
      <c r="NO369" s="25"/>
      <c r="NP369" s="25"/>
      <c r="NQ369" s="25"/>
      <c r="NR369" s="25"/>
      <c r="NS369" s="25"/>
      <c r="NT369" s="25"/>
      <c r="NU369" s="25"/>
      <c r="NV369" s="25"/>
      <c r="NW369" s="25"/>
      <c r="NX369" s="25"/>
      <c r="NY369" s="25"/>
      <c r="NZ369" s="25"/>
      <c r="OA369" s="25"/>
      <c r="OB369" s="25"/>
      <c r="OC369" s="25"/>
      <c r="OD369" s="25"/>
      <c r="OE369" s="25"/>
    </row>
    <row r="370" spans="1:395" ht="13.8" customHeight="1" outlineLevel="1" x14ac:dyDescent="0.3">
      <c r="D370" s="119" t="s">
        <v>62</v>
      </c>
      <c r="E370" s="10">
        <v>-3</v>
      </c>
      <c r="F370" s="259" t="s">
        <v>66</v>
      </c>
      <c r="N370" s="25" t="s">
        <v>108</v>
      </c>
      <c r="O370" s="25"/>
      <c r="P370" s="27" t="s">
        <v>75</v>
      </c>
      <c r="Q370" s="25"/>
      <c r="R370" s="25"/>
      <c r="S370" s="25"/>
      <c r="T370" s="25"/>
      <c r="U370" s="25"/>
      <c r="V370" s="25"/>
      <c r="W370" s="25"/>
      <c r="X370" s="25"/>
      <c r="Y370" s="25"/>
      <c r="Z370" s="25"/>
      <c r="AA370" s="25"/>
      <c r="AB370" s="25"/>
      <c r="AC370" s="25"/>
      <c r="AD370" s="25"/>
      <c r="AE370" s="25"/>
      <c r="AF370" s="25"/>
      <c r="AG370" s="25"/>
      <c r="AH370" s="25"/>
      <c r="AI370" s="25"/>
      <c r="AJ370" s="25"/>
      <c r="AK370" s="25"/>
      <c r="AL370" s="25"/>
      <c r="AM370" s="25"/>
      <c r="AN370" s="25"/>
      <c r="AO370" s="25"/>
      <c r="AP370" s="25"/>
      <c r="AQ370" s="25"/>
      <c r="AR370" s="25"/>
      <c r="AS370" s="25"/>
      <c r="AT370" s="25"/>
      <c r="AU370" s="25"/>
      <c r="AV370" s="25"/>
      <c r="AW370" s="25"/>
      <c r="AX370" s="25"/>
      <c r="AY370" s="25"/>
      <c r="AZ370" s="25"/>
      <c r="BA370" s="25"/>
      <c r="BB370" s="25"/>
      <c r="BC370" s="25"/>
      <c r="BD370" s="25"/>
      <c r="BE370" s="25"/>
      <c r="BF370" s="25"/>
      <c r="BG370" s="25"/>
      <c r="BH370" s="25"/>
      <c r="BI370" s="25"/>
      <c r="BJ370" s="25"/>
      <c r="BK370" s="25"/>
      <c r="BL370" s="25"/>
      <c r="BM370" s="25"/>
      <c r="BN370" s="25"/>
      <c r="BO370" s="25"/>
      <c r="BP370" s="25"/>
      <c r="BQ370" s="25"/>
      <c r="BR370" s="25"/>
      <c r="BS370" s="25"/>
      <c r="BT370" s="25"/>
      <c r="BU370" s="25"/>
      <c r="BV370" s="25"/>
      <c r="BW370" s="25"/>
      <c r="BX370" s="25"/>
      <c r="BY370" s="25"/>
      <c r="BZ370" s="25"/>
      <c r="CA370" s="25"/>
      <c r="CB370" s="25"/>
      <c r="CC370" s="25"/>
      <c r="CD370" s="25"/>
      <c r="CE370" s="25"/>
      <c r="CF370" s="25"/>
      <c r="CG370" s="25"/>
      <c r="CH370" s="25"/>
      <c r="CI370" s="25"/>
      <c r="CJ370" s="25"/>
      <c r="CK370" s="25"/>
      <c r="CL370" s="25"/>
      <c r="CM370" s="25"/>
      <c r="CN370" s="25"/>
      <c r="CO370" s="25"/>
      <c r="CP370" s="25"/>
      <c r="CQ370" s="25"/>
      <c r="CR370" s="25"/>
      <c r="CS370" s="25"/>
      <c r="CT370" s="25"/>
      <c r="CU370" s="25"/>
      <c r="CV370" s="25"/>
      <c r="CW370" s="25"/>
      <c r="CX370" s="25"/>
      <c r="CY370" s="25"/>
      <c r="CZ370" s="25"/>
      <c r="DA370" s="25"/>
      <c r="DB370" s="25"/>
      <c r="DC370" s="25"/>
      <c r="DD370" s="25"/>
      <c r="DE370" s="25"/>
      <c r="DF370" s="25"/>
      <c r="DG370" s="25"/>
      <c r="DH370" s="25"/>
      <c r="DI370" s="25"/>
      <c r="DJ370" s="25"/>
      <c r="DK370" s="25"/>
      <c r="DL370" s="25"/>
      <c r="DM370" s="25"/>
      <c r="DN370" s="25"/>
      <c r="DO370" s="25"/>
      <c r="DP370" s="25"/>
      <c r="DQ370" s="25"/>
      <c r="DR370" s="25"/>
      <c r="DS370" s="25"/>
      <c r="DT370" s="25"/>
      <c r="DU370" s="25"/>
      <c r="DV370" s="25"/>
      <c r="DW370" s="25"/>
      <c r="DX370" s="25"/>
      <c r="DY370" s="25"/>
      <c r="DZ370" s="25"/>
      <c r="EA370" s="25"/>
      <c r="EB370" s="25"/>
      <c r="EC370" s="25"/>
      <c r="ED370" s="25"/>
      <c r="EE370" s="25"/>
      <c r="EF370" s="25"/>
      <c r="EG370" s="25"/>
      <c r="EH370" s="25"/>
      <c r="EI370" s="25"/>
      <c r="EJ370" s="25"/>
      <c r="EK370" s="25"/>
      <c r="EL370" s="25"/>
      <c r="EM370" s="25"/>
      <c r="EN370" s="25"/>
      <c r="EO370" s="25"/>
      <c r="EP370" s="25"/>
      <c r="EQ370" s="25"/>
      <c r="ER370" s="25"/>
      <c r="ES370" s="25"/>
      <c r="ET370" s="25"/>
      <c r="EU370" s="25"/>
      <c r="EV370" s="25"/>
      <c r="EW370" s="25"/>
      <c r="EX370" s="25"/>
      <c r="EY370" s="25"/>
      <c r="EZ370" s="25"/>
      <c r="FA370" s="25"/>
      <c r="FB370" s="25"/>
      <c r="FC370" s="25"/>
      <c r="FD370" s="25"/>
      <c r="FE370" s="25"/>
      <c r="FF370" s="25"/>
      <c r="FG370" s="25"/>
      <c r="FH370" s="25"/>
      <c r="FI370" s="25"/>
      <c r="FJ370" s="25"/>
      <c r="FK370" s="25"/>
      <c r="FL370" s="25"/>
      <c r="FM370" s="25"/>
      <c r="FN370" s="25"/>
      <c r="FO370" s="25"/>
      <c r="FP370" s="25"/>
      <c r="FQ370" s="25"/>
      <c r="FR370" s="25"/>
      <c r="FS370" s="25"/>
      <c r="FT370" s="25"/>
      <c r="FU370" s="25"/>
      <c r="FV370" s="25"/>
      <c r="FW370" s="25"/>
      <c r="FX370" s="25"/>
      <c r="FY370" s="25"/>
      <c r="FZ370" s="25"/>
      <c r="GA370" s="25"/>
      <c r="GB370" s="25"/>
      <c r="GC370" s="25"/>
      <c r="GD370" s="25"/>
      <c r="GE370" s="25"/>
      <c r="GF370" s="25"/>
      <c r="GG370" s="25"/>
      <c r="GH370" s="25"/>
      <c r="GI370" s="25"/>
      <c r="GJ370" s="25"/>
      <c r="GK370" s="25"/>
      <c r="GL370" s="25"/>
      <c r="GM370" s="25"/>
      <c r="GN370" s="25"/>
      <c r="GO370" s="25"/>
      <c r="GP370" s="25"/>
      <c r="GQ370" s="25"/>
      <c r="GR370" s="25"/>
      <c r="GS370" s="25"/>
      <c r="GT370" s="25"/>
      <c r="GU370" s="25"/>
      <c r="GV370" s="25"/>
      <c r="GW370" s="25"/>
      <c r="GX370" s="25"/>
      <c r="GY370" s="25"/>
      <c r="GZ370" s="25"/>
      <c r="HA370" s="25"/>
      <c r="HB370" s="25"/>
      <c r="HC370" s="25"/>
      <c r="HD370" s="25"/>
      <c r="HE370" s="25"/>
      <c r="HF370" s="25"/>
      <c r="HG370" s="25"/>
      <c r="HH370" s="25"/>
      <c r="HI370" s="25"/>
      <c r="HJ370" s="25"/>
      <c r="HK370" s="25"/>
      <c r="HL370" s="25"/>
      <c r="HM370" s="25"/>
      <c r="HN370" s="25"/>
      <c r="HO370" s="25"/>
      <c r="HP370" s="25"/>
      <c r="HQ370" s="25"/>
      <c r="HR370" s="25"/>
      <c r="HS370" s="25"/>
      <c r="HT370" s="25"/>
      <c r="HU370" s="25"/>
      <c r="HV370" s="25"/>
      <c r="HW370" s="25"/>
      <c r="HX370" s="25"/>
      <c r="HY370" s="25"/>
      <c r="HZ370" s="25"/>
      <c r="IA370" s="25"/>
      <c r="IB370" s="25"/>
      <c r="IC370" s="25"/>
      <c r="ID370" s="25"/>
      <c r="IE370" s="25"/>
      <c r="IF370" s="25"/>
      <c r="IG370" s="25"/>
      <c r="IH370" s="25"/>
      <c r="II370" s="25"/>
      <c r="IJ370" s="25"/>
      <c r="IK370" s="25"/>
      <c r="IL370" s="25"/>
      <c r="IM370" s="25"/>
      <c r="IN370" s="25"/>
      <c r="IO370" s="25"/>
      <c r="IP370" s="25"/>
      <c r="IQ370" s="25"/>
      <c r="IR370" s="25"/>
      <c r="IS370" s="25"/>
      <c r="IT370" s="25"/>
      <c r="IU370" s="25"/>
      <c r="IV370" s="25"/>
      <c r="IW370" s="25"/>
      <c r="IX370" s="25"/>
      <c r="IY370" s="25"/>
      <c r="IZ370" s="25"/>
      <c r="JA370" s="25"/>
      <c r="JB370" s="25"/>
      <c r="JC370" s="25"/>
      <c r="JD370" s="25"/>
      <c r="JE370" s="25"/>
      <c r="JF370" s="25"/>
      <c r="JG370" s="25"/>
      <c r="JH370" s="25"/>
      <c r="JI370" s="25"/>
      <c r="JJ370" s="25"/>
      <c r="JK370" s="25"/>
      <c r="JL370" s="25"/>
      <c r="JM370" s="25"/>
      <c r="JN370" s="25"/>
      <c r="JO370" s="25"/>
      <c r="JP370" s="25"/>
      <c r="JQ370" s="25"/>
      <c r="JR370" s="25"/>
      <c r="JS370" s="25"/>
      <c r="JT370" s="25"/>
      <c r="JU370" s="25"/>
      <c r="JV370" s="25"/>
      <c r="JW370" s="25"/>
      <c r="JX370" s="25"/>
      <c r="JY370" s="25"/>
      <c r="JZ370" s="25"/>
      <c r="KA370" s="25"/>
      <c r="KB370" s="25"/>
      <c r="KC370" s="25"/>
      <c r="KD370" s="25"/>
      <c r="KE370" s="25"/>
      <c r="KF370" s="25"/>
      <c r="KG370" s="25"/>
      <c r="KH370" s="25"/>
      <c r="KI370" s="25"/>
      <c r="KJ370" s="25"/>
      <c r="KK370" s="25"/>
      <c r="KL370" s="25"/>
      <c r="KM370" s="25"/>
      <c r="KN370" s="25"/>
      <c r="KO370" s="25"/>
      <c r="KP370" s="25"/>
      <c r="KQ370" s="25"/>
      <c r="KR370" s="25"/>
      <c r="KS370" s="25"/>
      <c r="KT370" s="25"/>
      <c r="KU370" s="25"/>
      <c r="KV370" s="25"/>
      <c r="KW370" s="25"/>
      <c r="KX370" s="25"/>
      <c r="KY370" s="25"/>
      <c r="KZ370" s="25"/>
      <c r="LA370" s="25"/>
      <c r="LB370" s="25"/>
      <c r="LC370" s="25"/>
      <c r="LD370" s="25"/>
      <c r="LE370" s="25"/>
      <c r="LF370" s="25"/>
      <c r="LG370" s="25"/>
      <c r="LH370" s="25"/>
      <c r="LI370" s="25"/>
      <c r="LJ370" s="25"/>
      <c r="LK370" s="25"/>
      <c r="LL370" s="25"/>
      <c r="LM370" s="25"/>
      <c r="LN370" s="25"/>
      <c r="LO370" s="25"/>
      <c r="LP370" s="25"/>
      <c r="LQ370" s="25"/>
      <c r="LR370" s="25"/>
      <c r="LS370" s="25"/>
      <c r="LT370" s="25"/>
      <c r="LU370" s="25"/>
      <c r="LV370" s="25"/>
      <c r="LW370" s="25"/>
      <c r="LX370" s="25"/>
      <c r="LY370" s="25"/>
      <c r="LZ370" s="25"/>
      <c r="MA370" s="25"/>
      <c r="MB370" s="25"/>
      <c r="MC370" s="25"/>
      <c r="MD370" s="25"/>
      <c r="ME370" s="25"/>
      <c r="MF370" s="25"/>
      <c r="MG370" s="25"/>
      <c r="MH370" s="25"/>
      <c r="MI370" s="25"/>
      <c r="MJ370" s="25"/>
      <c r="MK370" s="25"/>
      <c r="ML370" s="25"/>
      <c r="MM370" s="25"/>
      <c r="MN370" s="25"/>
      <c r="MO370" s="25"/>
      <c r="MP370" s="25"/>
      <c r="MQ370" s="25"/>
      <c r="MR370" s="25"/>
      <c r="MS370" s="25"/>
      <c r="MT370" s="25"/>
      <c r="MU370" s="25"/>
      <c r="MV370" s="25"/>
      <c r="MW370" s="25"/>
      <c r="MX370" s="25"/>
      <c r="MY370" s="25"/>
      <c r="MZ370" s="25"/>
      <c r="NA370" s="25"/>
      <c r="NB370" s="25"/>
      <c r="NC370" s="25"/>
      <c r="ND370" s="25"/>
      <c r="NE370" s="25"/>
      <c r="NF370" s="25"/>
      <c r="NG370" s="25"/>
      <c r="NH370" s="25"/>
      <c r="NI370" s="25"/>
      <c r="NJ370" s="25"/>
      <c r="NK370" s="25"/>
      <c r="NL370" s="25"/>
      <c r="NM370" s="25"/>
      <c r="NN370" s="25"/>
      <c r="NO370" s="25"/>
      <c r="NP370" s="25"/>
      <c r="NQ370" s="25"/>
      <c r="NR370" s="25"/>
      <c r="NS370" s="25"/>
      <c r="NT370" s="25"/>
      <c r="NU370" s="25"/>
      <c r="NV370" s="25"/>
      <c r="NW370" s="25"/>
      <c r="NX370" s="25"/>
      <c r="NY370" s="25"/>
      <c r="NZ370" s="25"/>
      <c r="OA370" s="25"/>
      <c r="OB370" s="25"/>
      <c r="OC370" s="25"/>
      <c r="OD370" s="25"/>
      <c r="OE370" s="25"/>
    </row>
    <row r="371" spans="1:395" ht="13.8" customHeight="1" outlineLevel="1" x14ac:dyDescent="0.3">
      <c r="C371" s="114" t="s">
        <v>121</v>
      </c>
      <c r="D371" s="119"/>
      <c r="N371" s="25" t="s">
        <v>111</v>
      </c>
      <c r="O371" s="25"/>
      <c r="P371" s="27" t="s">
        <v>75</v>
      </c>
      <c r="Q371" s="25"/>
      <c r="R371" s="25"/>
      <c r="S371" s="25"/>
      <c r="T371" s="25"/>
      <c r="U371" s="25"/>
      <c r="V371" s="25"/>
      <c r="W371" s="25"/>
      <c r="X371" s="25"/>
      <c r="Y371" s="25"/>
      <c r="Z371" s="25"/>
      <c r="AA371" s="25"/>
      <c r="AB371" s="25"/>
      <c r="AC371" s="25"/>
      <c r="AD371" s="25"/>
      <c r="AE371" s="25"/>
      <c r="AF371" s="25"/>
      <c r="AG371" s="25"/>
      <c r="AH371" s="25"/>
      <c r="AI371" s="25"/>
      <c r="AJ371" s="25"/>
      <c r="AK371" s="25"/>
      <c r="AL371" s="25"/>
      <c r="AM371" s="25"/>
      <c r="AN371" s="25"/>
      <c r="AO371" s="25"/>
      <c r="AP371" s="25"/>
      <c r="AQ371" s="25"/>
      <c r="AR371" s="25"/>
      <c r="AS371" s="25"/>
      <c r="AT371" s="25"/>
      <c r="AU371" s="25"/>
      <c r="AV371" s="25"/>
      <c r="AW371" s="25"/>
      <c r="AX371" s="25"/>
      <c r="AY371" s="25"/>
      <c r="AZ371" s="25"/>
      <c r="BA371" s="25"/>
      <c r="BB371" s="25"/>
      <c r="BC371" s="25"/>
      <c r="BD371" s="25"/>
      <c r="BE371" s="25"/>
      <c r="BF371" s="25"/>
      <c r="BG371" s="25"/>
      <c r="BH371" s="25"/>
      <c r="BI371" s="25"/>
      <c r="BJ371" s="25"/>
      <c r="BK371" s="25"/>
      <c r="BL371" s="25"/>
      <c r="BM371" s="25"/>
      <c r="BN371" s="25"/>
      <c r="BO371" s="25"/>
      <c r="BP371" s="25"/>
      <c r="BQ371" s="25"/>
      <c r="BR371" s="25"/>
      <c r="BS371" s="25"/>
      <c r="BT371" s="25"/>
      <c r="BU371" s="25"/>
      <c r="BV371" s="25"/>
      <c r="BW371" s="25"/>
      <c r="BX371" s="25"/>
      <c r="BY371" s="25"/>
      <c r="BZ371" s="25"/>
      <c r="CA371" s="25"/>
      <c r="CB371" s="25"/>
      <c r="CC371" s="25"/>
      <c r="CD371" s="25"/>
      <c r="CE371" s="25"/>
      <c r="CF371" s="25"/>
      <c r="CG371" s="25"/>
      <c r="CH371" s="25"/>
      <c r="CI371" s="25"/>
      <c r="CJ371" s="25"/>
      <c r="CK371" s="25"/>
      <c r="CL371" s="25"/>
      <c r="CM371" s="25"/>
      <c r="CN371" s="25"/>
      <c r="CO371" s="25"/>
      <c r="CP371" s="25"/>
      <c r="CQ371" s="25"/>
      <c r="CR371" s="25"/>
      <c r="CS371" s="25"/>
      <c r="CT371" s="25"/>
      <c r="CU371" s="25"/>
      <c r="CV371" s="25"/>
      <c r="CW371" s="25"/>
      <c r="CX371" s="25"/>
      <c r="CY371" s="25"/>
      <c r="CZ371" s="25"/>
      <c r="DA371" s="25"/>
      <c r="DB371" s="25"/>
      <c r="DC371" s="25"/>
      <c r="DD371" s="25"/>
      <c r="DE371" s="25"/>
      <c r="DF371" s="25"/>
      <c r="DG371" s="25"/>
      <c r="DH371" s="25"/>
      <c r="DI371" s="25"/>
      <c r="DJ371" s="25"/>
      <c r="DK371" s="25"/>
      <c r="DL371" s="25"/>
      <c r="DM371" s="25"/>
      <c r="DN371" s="25"/>
      <c r="DO371" s="25"/>
      <c r="DP371" s="25"/>
      <c r="DQ371" s="25"/>
      <c r="DR371" s="25"/>
      <c r="DS371" s="25"/>
      <c r="DT371" s="25"/>
      <c r="DU371" s="25"/>
      <c r="DV371" s="25"/>
      <c r="DW371" s="25"/>
      <c r="DX371" s="25"/>
      <c r="DY371" s="25"/>
      <c r="DZ371" s="25"/>
      <c r="EA371" s="25"/>
      <c r="EB371" s="25"/>
      <c r="EC371" s="25"/>
      <c r="ED371" s="25"/>
      <c r="EE371" s="25"/>
      <c r="EF371" s="25"/>
      <c r="EG371" s="25"/>
      <c r="EH371" s="25"/>
      <c r="EI371" s="25"/>
      <c r="EJ371" s="25"/>
      <c r="EK371" s="25"/>
      <c r="EL371" s="25"/>
      <c r="EM371" s="25"/>
      <c r="EN371" s="25"/>
      <c r="EO371" s="25"/>
      <c r="EP371" s="25"/>
      <c r="EQ371" s="25"/>
      <c r="ER371" s="25"/>
      <c r="ES371" s="25"/>
      <c r="ET371" s="25"/>
      <c r="EU371" s="25"/>
      <c r="EV371" s="25"/>
      <c r="EW371" s="25"/>
      <c r="EX371" s="25"/>
      <c r="EY371" s="25"/>
      <c r="EZ371" s="25"/>
      <c r="FA371" s="25"/>
      <c r="FB371" s="25"/>
      <c r="FC371" s="25"/>
      <c r="FD371" s="25"/>
      <c r="FE371" s="25"/>
      <c r="FF371" s="25"/>
      <c r="FG371" s="25"/>
      <c r="FH371" s="25"/>
      <c r="FI371" s="25"/>
      <c r="FJ371" s="25"/>
      <c r="FK371" s="25"/>
      <c r="FL371" s="25"/>
      <c r="FM371" s="25"/>
      <c r="FN371" s="25"/>
      <c r="FO371" s="25"/>
      <c r="FP371" s="25"/>
      <c r="FQ371" s="25"/>
      <c r="FR371" s="25"/>
      <c r="FS371" s="25"/>
      <c r="FT371" s="25"/>
      <c r="FU371" s="25"/>
      <c r="FV371" s="25"/>
      <c r="FW371" s="25"/>
      <c r="FX371" s="25"/>
      <c r="FY371" s="25"/>
      <c r="FZ371" s="25"/>
      <c r="GA371" s="25"/>
      <c r="GB371" s="25"/>
      <c r="GC371" s="25"/>
      <c r="GD371" s="25"/>
      <c r="GE371" s="25"/>
      <c r="GF371" s="25"/>
      <c r="GG371" s="25"/>
      <c r="GH371" s="25"/>
      <c r="GI371" s="25"/>
      <c r="GJ371" s="25"/>
      <c r="GK371" s="25"/>
      <c r="GL371" s="25"/>
      <c r="GM371" s="25"/>
      <c r="GN371" s="25"/>
      <c r="GO371" s="25"/>
      <c r="GP371" s="25"/>
      <c r="GQ371" s="25"/>
      <c r="GR371" s="25"/>
      <c r="GS371" s="25"/>
      <c r="GT371" s="25"/>
      <c r="GU371" s="25"/>
      <c r="GV371" s="25"/>
      <c r="GW371" s="25"/>
      <c r="GX371" s="25"/>
      <c r="GY371" s="25"/>
      <c r="GZ371" s="25"/>
      <c r="HA371" s="25"/>
      <c r="HB371" s="25"/>
      <c r="HC371" s="25"/>
      <c r="HD371" s="25"/>
      <c r="HE371" s="25"/>
      <c r="HF371" s="25"/>
      <c r="HG371" s="25"/>
      <c r="HH371" s="25"/>
      <c r="HI371" s="25"/>
      <c r="HJ371" s="25"/>
      <c r="HK371" s="25"/>
      <c r="HL371" s="25"/>
      <c r="HM371" s="25"/>
      <c r="HN371" s="25"/>
      <c r="HO371" s="25"/>
      <c r="HP371" s="25"/>
      <c r="HQ371" s="25"/>
      <c r="HR371" s="25"/>
      <c r="HS371" s="25"/>
      <c r="HT371" s="25"/>
      <c r="HU371" s="25"/>
      <c r="HV371" s="25"/>
      <c r="HW371" s="25"/>
      <c r="HX371" s="25"/>
      <c r="HY371" s="25"/>
      <c r="HZ371" s="25"/>
      <c r="IA371" s="25"/>
      <c r="IB371" s="25"/>
      <c r="IC371" s="25"/>
      <c r="ID371" s="25"/>
      <c r="IE371" s="25"/>
      <c r="IF371" s="25"/>
      <c r="IG371" s="25"/>
      <c r="IH371" s="25"/>
      <c r="II371" s="25"/>
      <c r="IJ371" s="25"/>
      <c r="IK371" s="25"/>
      <c r="IL371" s="25"/>
      <c r="IM371" s="25"/>
      <c r="IN371" s="25"/>
      <c r="IO371" s="25"/>
      <c r="IP371" s="25"/>
      <c r="IQ371" s="25"/>
      <c r="IR371" s="25"/>
      <c r="IS371" s="25"/>
      <c r="IT371" s="25"/>
      <c r="IU371" s="25"/>
      <c r="IV371" s="25"/>
      <c r="IW371" s="25"/>
      <c r="IX371" s="25"/>
      <c r="IY371" s="25"/>
      <c r="IZ371" s="25"/>
      <c r="JA371" s="25"/>
      <c r="JB371" s="25"/>
      <c r="JC371" s="25"/>
      <c r="JD371" s="25"/>
      <c r="JE371" s="25"/>
      <c r="JF371" s="25"/>
      <c r="JG371" s="25"/>
      <c r="JH371" s="25"/>
      <c r="JI371" s="25"/>
      <c r="JJ371" s="25"/>
      <c r="JK371" s="25"/>
      <c r="JL371" s="25"/>
      <c r="JM371" s="25"/>
      <c r="JN371" s="25"/>
      <c r="JO371" s="25"/>
      <c r="JP371" s="25"/>
      <c r="JQ371" s="25"/>
      <c r="JR371" s="25"/>
      <c r="JS371" s="25"/>
      <c r="JT371" s="25"/>
      <c r="JU371" s="25"/>
      <c r="JV371" s="25"/>
      <c r="JW371" s="25"/>
      <c r="JX371" s="25"/>
      <c r="JY371" s="25"/>
      <c r="JZ371" s="25"/>
      <c r="KA371" s="25"/>
      <c r="KB371" s="25"/>
      <c r="KC371" s="25"/>
      <c r="KD371" s="25"/>
      <c r="KE371" s="25"/>
      <c r="KF371" s="25"/>
      <c r="KG371" s="25"/>
      <c r="KH371" s="25"/>
      <c r="KI371" s="25"/>
      <c r="KJ371" s="25"/>
      <c r="KK371" s="25"/>
      <c r="KL371" s="25"/>
      <c r="KM371" s="25"/>
      <c r="KN371" s="25"/>
      <c r="KO371" s="25"/>
      <c r="KP371" s="25"/>
      <c r="KQ371" s="25"/>
      <c r="KR371" s="25"/>
      <c r="KS371" s="25"/>
      <c r="KT371" s="25"/>
      <c r="KU371" s="25"/>
      <c r="KV371" s="25"/>
      <c r="KW371" s="25"/>
      <c r="KX371" s="25"/>
      <c r="KY371" s="25"/>
      <c r="KZ371" s="25"/>
      <c r="LA371" s="25"/>
      <c r="LB371" s="25"/>
      <c r="LC371" s="25"/>
      <c r="LD371" s="25"/>
      <c r="LE371" s="25"/>
      <c r="LF371" s="25"/>
      <c r="LG371" s="25"/>
      <c r="LH371" s="25"/>
      <c r="LI371" s="25"/>
      <c r="LJ371" s="25"/>
      <c r="LK371" s="25"/>
      <c r="LL371" s="25"/>
      <c r="LM371" s="25"/>
      <c r="LN371" s="25"/>
      <c r="LO371" s="25"/>
      <c r="LP371" s="25"/>
      <c r="LQ371" s="25"/>
      <c r="LR371" s="25"/>
      <c r="LS371" s="25"/>
      <c r="LT371" s="25"/>
      <c r="LU371" s="25"/>
      <c r="LV371" s="25"/>
      <c r="LW371" s="25"/>
      <c r="LX371" s="25"/>
      <c r="LY371" s="25"/>
      <c r="LZ371" s="25"/>
      <c r="MA371" s="25"/>
      <c r="MB371" s="25"/>
      <c r="MC371" s="25"/>
      <c r="MD371" s="25"/>
      <c r="ME371" s="25"/>
      <c r="MF371" s="25"/>
      <c r="MG371" s="25"/>
      <c r="MH371" s="25"/>
      <c r="MI371" s="25"/>
      <c r="MJ371" s="25"/>
      <c r="MK371" s="25"/>
      <c r="ML371" s="25"/>
      <c r="MM371" s="25"/>
      <c r="MN371" s="25"/>
      <c r="MO371" s="25"/>
      <c r="MP371" s="25"/>
      <c r="MQ371" s="25"/>
      <c r="MR371" s="25"/>
      <c r="MS371" s="25"/>
      <c r="MT371" s="25"/>
      <c r="MU371" s="25"/>
      <c r="MV371" s="25"/>
      <c r="MW371" s="25"/>
      <c r="MX371" s="25"/>
      <c r="MY371" s="25"/>
      <c r="MZ371" s="25"/>
      <c r="NA371" s="25"/>
      <c r="NB371" s="25"/>
      <c r="NC371" s="25"/>
      <c r="ND371" s="25"/>
      <c r="NE371" s="25"/>
      <c r="NF371" s="25"/>
      <c r="NG371" s="25"/>
      <c r="NH371" s="25"/>
      <c r="NI371" s="25"/>
      <c r="NJ371" s="25"/>
      <c r="NK371" s="25"/>
      <c r="NL371" s="25"/>
      <c r="NM371" s="25"/>
      <c r="NN371" s="25"/>
      <c r="NO371" s="25"/>
      <c r="NP371" s="25"/>
      <c r="NQ371" s="25"/>
      <c r="NR371" s="25"/>
      <c r="NS371" s="25"/>
      <c r="NT371" s="25"/>
      <c r="NU371" s="25"/>
      <c r="NV371" s="25"/>
      <c r="NW371" s="25"/>
      <c r="NX371" s="25"/>
      <c r="NY371" s="25"/>
      <c r="NZ371" s="25"/>
      <c r="OA371" s="25"/>
      <c r="OB371" s="25"/>
      <c r="OC371" s="25"/>
      <c r="OD371" s="25"/>
      <c r="OE371" s="25"/>
    </row>
    <row r="372" spans="1:395" ht="13.8" customHeight="1" outlineLevel="1" x14ac:dyDescent="0.3">
      <c r="D372" s="119" t="s">
        <v>101</v>
      </c>
      <c r="E372" s="10">
        <f>E368</f>
        <v>230</v>
      </c>
      <c r="F372" s="259" t="s">
        <v>65</v>
      </c>
      <c r="N372" s="25"/>
      <c r="O372" s="25"/>
      <c r="P372" s="27"/>
      <c r="Q372" s="25"/>
      <c r="R372" s="25"/>
      <c r="S372" s="25"/>
      <c r="T372" s="25"/>
      <c r="U372" s="25"/>
      <c r="V372" s="25"/>
      <c r="W372" s="25"/>
      <c r="X372" s="25"/>
      <c r="Y372" s="25"/>
      <c r="Z372" s="25"/>
      <c r="AA372" s="25"/>
      <c r="AB372" s="25"/>
      <c r="AC372" s="25"/>
      <c r="AD372" s="25"/>
      <c r="AE372" s="25"/>
      <c r="AF372" s="25"/>
      <c r="AG372" s="25"/>
      <c r="AH372" s="25"/>
      <c r="AI372" s="25"/>
      <c r="AJ372" s="25"/>
      <c r="AK372" s="25"/>
      <c r="AL372" s="25"/>
      <c r="AM372" s="25"/>
      <c r="AN372" s="25"/>
      <c r="AO372" s="25"/>
      <c r="AP372" s="25"/>
      <c r="AQ372" s="25"/>
      <c r="AR372" s="25"/>
      <c r="AS372" s="25"/>
      <c r="AT372" s="25"/>
      <c r="AU372" s="25"/>
      <c r="AV372" s="25"/>
      <c r="AW372" s="25"/>
      <c r="AX372" s="25"/>
      <c r="AY372" s="25"/>
      <c r="AZ372" s="25"/>
      <c r="BA372" s="25"/>
      <c r="BB372" s="25"/>
      <c r="BC372" s="25"/>
      <c r="BD372" s="25"/>
      <c r="BE372" s="25"/>
      <c r="BF372" s="25"/>
      <c r="BG372" s="25"/>
      <c r="BH372" s="25"/>
      <c r="BI372" s="25"/>
      <c r="BJ372" s="25"/>
      <c r="BK372" s="25"/>
      <c r="BL372" s="25"/>
      <c r="BM372" s="25"/>
      <c r="BN372" s="25"/>
      <c r="BO372" s="25"/>
      <c r="BP372" s="25"/>
      <c r="BQ372" s="25"/>
      <c r="BR372" s="25"/>
      <c r="BS372" s="25"/>
      <c r="BT372" s="25"/>
      <c r="BU372" s="25"/>
      <c r="BV372" s="25"/>
      <c r="BW372" s="25"/>
      <c r="BX372" s="25"/>
      <c r="BY372" s="25"/>
      <c r="BZ372" s="25"/>
      <c r="CA372" s="25"/>
      <c r="CB372" s="25"/>
      <c r="CC372" s="25"/>
      <c r="CD372" s="25"/>
      <c r="CE372" s="25"/>
      <c r="CF372" s="25"/>
      <c r="CG372" s="25"/>
      <c r="CH372" s="25"/>
      <c r="CI372" s="25"/>
      <c r="CJ372" s="25"/>
      <c r="CK372" s="25"/>
      <c r="CL372" s="25"/>
      <c r="CM372" s="25"/>
      <c r="CN372" s="25"/>
      <c r="CO372" s="25"/>
      <c r="CP372" s="25"/>
      <c r="CQ372" s="25"/>
      <c r="CR372" s="25"/>
      <c r="CS372" s="25"/>
      <c r="CT372" s="25"/>
      <c r="CU372" s="25"/>
      <c r="CV372" s="25"/>
      <c r="CW372" s="25"/>
      <c r="CX372" s="25"/>
      <c r="CY372" s="25"/>
      <c r="CZ372" s="25"/>
      <c r="DA372" s="25"/>
      <c r="DB372" s="25"/>
      <c r="DC372" s="25"/>
      <c r="DD372" s="25"/>
      <c r="DE372" s="25"/>
      <c r="DF372" s="25"/>
      <c r="DG372" s="25"/>
      <c r="DH372" s="25"/>
      <c r="DI372" s="25"/>
      <c r="DJ372" s="25"/>
      <c r="DK372" s="25"/>
      <c r="DL372" s="25"/>
      <c r="DM372" s="25"/>
      <c r="DN372" s="25"/>
      <c r="DO372" s="25"/>
      <c r="DP372" s="25"/>
      <c r="DQ372" s="25"/>
      <c r="DR372" s="25"/>
      <c r="DS372" s="25"/>
      <c r="DT372" s="25"/>
      <c r="DU372" s="25"/>
      <c r="DV372" s="25"/>
      <c r="DW372" s="25"/>
      <c r="DX372" s="25"/>
      <c r="DY372" s="25"/>
      <c r="DZ372" s="25"/>
      <c r="EA372" s="25"/>
      <c r="EB372" s="25"/>
      <c r="EC372" s="25"/>
      <c r="ED372" s="25"/>
      <c r="EE372" s="25"/>
      <c r="EF372" s="25"/>
      <c r="EG372" s="25"/>
      <c r="EH372" s="25"/>
      <c r="EI372" s="25"/>
      <c r="EJ372" s="25"/>
      <c r="EK372" s="25"/>
      <c r="EL372" s="25"/>
      <c r="EM372" s="25"/>
      <c r="EN372" s="25"/>
      <c r="EO372" s="25"/>
      <c r="EP372" s="25"/>
      <c r="EQ372" s="25"/>
      <c r="ER372" s="25"/>
      <c r="ES372" s="25"/>
      <c r="ET372" s="25"/>
      <c r="EU372" s="25"/>
      <c r="EV372" s="25"/>
      <c r="EW372" s="25"/>
      <c r="EX372" s="25"/>
      <c r="EY372" s="25"/>
      <c r="EZ372" s="25"/>
      <c r="FA372" s="25"/>
      <c r="FB372" s="25"/>
      <c r="FC372" s="25"/>
      <c r="FD372" s="25"/>
      <c r="FE372" s="25"/>
      <c r="FF372" s="25"/>
      <c r="FG372" s="25"/>
      <c r="FH372" s="25"/>
      <c r="FI372" s="25"/>
      <c r="FJ372" s="25"/>
      <c r="FK372" s="25"/>
      <c r="FL372" s="25"/>
      <c r="FM372" s="25"/>
      <c r="FN372" s="25"/>
      <c r="FO372" s="25"/>
      <c r="FP372" s="25"/>
      <c r="FQ372" s="25"/>
      <c r="FR372" s="25"/>
      <c r="FS372" s="25"/>
      <c r="FT372" s="25"/>
      <c r="FU372" s="25"/>
      <c r="FV372" s="25"/>
      <c r="FW372" s="25"/>
      <c r="FX372" s="25"/>
      <c r="FY372" s="25"/>
      <c r="FZ372" s="25"/>
      <c r="GA372" s="25"/>
      <c r="GB372" s="25"/>
      <c r="GC372" s="25"/>
      <c r="GD372" s="25"/>
      <c r="GE372" s="25"/>
      <c r="GF372" s="25"/>
      <c r="GG372" s="25"/>
      <c r="GH372" s="25"/>
      <c r="GI372" s="25"/>
      <c r="GJ372" s="25"/>
      <c r="GK372" s="25"/>
      <c r="GL372" s="25"/>
      <c r="GM372" s="25"/>
      <c r="GN372" s="25"/>
      <c r="GO372" s="25"/>
      <c r="GP372" s="25"/>
      <c r="GQ372" s="25"/>
      <c r="GR372" s="25"/>
      <c r="GS372" s="25"/>
      <c r="GT372" s="25"/>
      <c r="GU372" s="25"/>
      <c r="GV372" s="25"/>
      <c r="GW372" s="25"/>
      <c r="GX372" s="25"/>
      <c r="GY372" s="25"/>
      <c r="GZ372" s="25"/>
      <c r="HA372" s="25"/>
      <c r="HB372" s="25"/>
      <c r="HC372" s="25"/>
      <c r="HD372" s="25"/>
      <c r="HE372" s="25"/>
      <c r="HF372" s="25"/>
      <c r="HG372" s="25"/>
      <c r="HH372" s="25"/>
      <c r="HI372" s="25"/>
      <c r="HJ372" s="25"/>
      <c r="HK372" s="25"/>
      <c r="HL372" s="25"/>
      <c r="HM372" s="25"/>
      <c r="HN372" s="25"/>
      <c r="HO372" s="25"/>
      <c r="HP372" s="25"/>
      <c r="HQ372" s="25"/>
      <c r="HR372" s="25"/>
      <c r="HS372" s="25"/>
      <c r="HT372" s="25"/>
      <c r="HU372" s="25"/>
      <c r="HV372" s="25"/>
      <c r="HW372" s="25"/>
      <c r="HX372" s="25"/>
      <c r="HY372" s="25"/>
      <c r="HZ372" s="25"/>
      <c r="IA372" s="25"/>
      <c r="IB372" s="25"/>
      <c r="IC372" s="25"/>
      <c r="ID372" s="25"/>
      <c r="IE372" s="25"/>
      <c r="IF372" s="25"/>
      <c r="IG372" s="25"/>
      <c r="IH372" s="25"/>
      <c r="II372" s="25"/>
      <c r="IJ372" s="25"/>
      <c r="IK372" s="25"/>
      <c r="IL372" s="25"/>
      <c r="IM372" s="25"/>
      <c r="IN372" s="25"/>
      <c r="IO372" s="25"/>
      <c r="IP372" s="25"/>
      <c r="IQ372" s="25"/>
      <c r="IR372" s="25"/>
      <c r="IS372" s="25"/>
      <c r="IT372" s="25"/>
      <c r="IU372" s="25"/>
      <c r="IV372" s="25"/>
      <c r="IW372" s="25"/>
      <c r="IX372" s="25"/>
      <c r="IY372" s="25"/>
      <c r="IZ372" s="25"/>
      <c r="JA372" s="25"/>
      <c r="JB372" s="25"/>
      <c r="JC372" s="25"/>
      <c r="JD372" s="25"/>
      <c r="JE372" s="25"/>
      <c r="JF372" s="25"/>
      <c r="JG372" s="25"/>
      <c r="JH372" s="25"/>
      <c r="JI372" s="25"/>
      <c r="JJ372" s="25"/>
      <c r="JK372" s="25"/>
      <c r="JL372" s="25"/>
      <c r="JM372" s="25"/>
      <c r="JN372" s="25"/>
      <c r="JO372" s="25"/>
      <c r="JP372" s="25"/>
      <c r="JQ372" s="25"/>
      <c r="JR372" s="25"/>
      <c r="JS372" s="25"/>
      <c r="JT372" s="25"/>
      <c r="JU372" s="25"/>
      <c r="JV372" s="25"/>
      <c r="JW372" s="25"/>
      <c r="JX372" s="25"/>
      <c r="JY372" s="25"/>
      <c r="JZ372" s="25"/>
      <c r="KA372" s="25"/>
      <c r="KB372" s="25"/>
      <c r="KC372" s="25"/>
      <c r="KD372" s="25"/>
      <c r="KE372" s="25"/>
      <c r="KF372" s="25"/>
      <c r="KG372" s="25"/>
      <c r="KH372" s="25"/>
      <c r="KI372" s="25"/>
      <c r="KJ372" s="25"/>
      <c r="KK372" s="25"/>
      <c r="KL372" s="25"/>
      <c r="KM372" s="25"/>
      <c r="KN372" s="25"/>
      <c r="KO372" s="25"/>
      <c r="KP372" s="25"/>
      <c r="KQ372" s="25"/>
      <c r="KR372" s="25"/>
      <c r="KS372" s="25"/>
      <c r="KT372" s="25"/>
      <c r="KU372" s="25"/>
      <c r="KV372" s="25"/>
      <c r="KW372" s="25"/>
      <c r="KX372" s="25"/>
      <c r="KY372" s="25"/>
      <c r="KZ372" s="25"/>
      <c r="LA372" s="25"/>
      <c r="LB372" s="25"/>
      <c r="LC372" s="25"/>
      <c r="LD372" s="25"/>
      <c r="LE372" s="25"/>
      <c r="LF372" s="25"/>
      <c r="LG372" s="25"/>
      <c r="LH372" s="25"/>
      <c r="LI372" s="25"/>
      <c r="LJ372" s="25"/>
      <c r="LK372" s="25"/>
      <c r="LL372" s="25"/>
      <c r="LM372" s="25"/>
      <c r="LN372" s="25"/>
      <c r="LO372" s="25"/>
      <c r="LP372" s="25"/>
      <c r="LQ372" s="25"/>
      <c r="LR372" s="25"/>
      <c r="LS372" s="25"/>
      <c r="LT372" s="25"/>
      <c r="LU372" s="25"/>
      <c r="LV372" s="25"/>
      <c r="LW372" s="25"/>
      <c r="LX372" s="25"/>
      <c r="LY372" s="25"/>
      <c r="LZ372" s="25"/>
      <c r="MA372" s="25"/>
      <c r="MB372" s="25"/>
      <c r="MC372" s="25"/>
      <c r="MD372" s="25"/>
      <c r="ME372" s="25"/>
      <c r="MF372" s="25"/>
      <c r="MG372" s="25"/>
      <c r="MH372" s="25"/>
      <c r="MI372" s="25"/>
      <c r="MJ372" s="25"/>
      <c r="MK372" s="25"/>
      <c r="ML372" s="25"/>
      <c r="MM372" s="25"/>
      <c r="MN372" s="25"/>
      <c r="MO372" s="25"/>
      <c r="MP372" s="25"/>
      <c r="MQ372" s="25"/>
      <c r="MR372" s="25"/>
      <c r="MS372" s="25"/>
      <c r="MT372" s="25"/>
      <c r="MU372" s="25"/>
      <c r="MV372" s="25"/>
      <c r="MW372" s="25"/>
      <c r="MX372" s="25"/>
      <c r="MY372" s="25"/>
      <c r="MZ372" s="25"/>
      <c r="NA372" s="25"/>
      <c r="NB372" s="25"/>
      <c r="NC372" s="25"/>
      <c r="ND372" s="25"/>
      <c r="NE372" s="25"/>
      <c r="NF372" s="25"/>
      <c r="NG372" s="25"/>
      <c r="NH372" s="25"/>
      <c r="NI372" s="25"/>
      <c r="NJ372" s="25"/>
      <c r="NK372" s="25"/>
      <c r="NL372" s="25"/>
      <c r="NM372" s="25"/>
      <c r="NN372" s="25"/>
      <c r="NO372" s="25"/>
      <c r="NP372" s="25"/>
      <c r="NQ372" s="25"/>
      <c r="NR372" s="25"/>
      <c r="NS372" s="25"/>
      <c r="NT372" s="25"/>
      <c r="NU372" s="25"/>
      <c r="NV372" s="25"/>
      <c r="NW372" s="25"/>
      <c r="NX372" s="25"/>
      <c r="NY372" s="25"/>
      <c r="NZ372" s="25"/>
      <c r="OA372" s="25"/>
      <c r="OB372" s="25"/>
      <c r="OC372" s="25"/>
      <c r="OD372" s="25"/>
      <c r="OE372" s="25"/>
    </row>
    <row r="373" spans="1:395" s="5" customFormat="1" ht="13.8" customHeight="1" x14ac:dyDescent="0.3">
      <c r="A373" s="114"/>
      <c r="B373" s="114"/>
      <c r="C373" s="114"/>
      <c r="D373" s="119" t="s">
        <v>102</v>
      </c>
      <c r="E373" s="10">
        <v>6</v>
      </c>
      <c r="F373" s="259" t="s">
        <v>103</v>
      </c>
      <c r="G373"/>
      <c r="H373"/>
      <c r="I373"/>
      <c r="J373"/>
      <c r="K373"/>
      <c r="L373"/>
      <c r="M373"/>
      <c r="N373" s="25" t="s">
        <v>110</v>
      </c>
      <c r="O373" s="25"/>
      <c r="P373" s="27" t="s">
        <v>78</v>
      </c>
      <c r="Q373" s="25"/>
      <c r="R373" s="25"/>
      <c r="S373" s="25"/>
      <c r="T373" s="25"/>
      <c r="U373" s="25"/>
      <c r="V373" s="25"/>
      <c r="W373" s="25"/>
      <c r="X373" s="25"/>
      <c r="Y373" s="25"/>
      <c r="Z373" s="25"/>
      <c r="AA373" s="25"/>
      <c r="AB373" s="25"/>
      <c r="AC373" s="25"/>
      <c r="AD373" s="25"/>
      <c r="AE373" s="25"/>
      <c r="AF373" s="25"/>
      <c r="AG373" s="25"/>
      <c r="AH373" s="25"/>
      <c r="AI373" s="25"/>
      <c r="AJ373" s="25"/>
      <c r="AK373" s="25"/>
      <c r="AL373" s="25"/>
      <c r="AM373" s="25"/>
      <c r="AN373" s="25"/>
      <c r="AO373" s="25"/>
      <c r="AP373" s="25"/>
      <c r="AQ373" s="25"/>
      <c r="AR373" s="25"/>
      <c r="AS373" s="25"/>
      <c r="AT373" s="25"/>
      <c r="AU373" s="25"/>
      <c r="AV373" s="25"/>
      <c r="AW373" s="25"/>
      <c r="AX373" s="25"/>
      <c r="AY373" s="25"/>
      <c r="AZ373" s="25"/>
      <c r="BA373" s="25"/>
      <c r="BB373" s="25"/>
      <c r="BC373" s="25"/>
      <c r="BD373" s="25"/>
      <c r="BE373" s="25"/>
      <c r="BF373" s="25"/>
      <c r="BG373" s="25"/>
      <c r="BH373" s="25"/>
      <c r="BI373" s="25"/>
      <c r="BJ373" s="25"/>
      <c r="BK373" s="25"/>
      <c r="BL373" s="25"/>
      <c r="BM373" s="25"/>
      <c r="BN373" s="25"/>
      <c r="BO373" s="25"/>
      <c r="BP373" s="25"/>
      <c r="BQ373" s="25"/>
      <c r="BR373" s="25"/>
      <c r="BS373" s="25"/>
      <c r="BT373" s="25"/>
      <c r="BU373" s="25"/>
      <c r="BV373" s="25"/>
      <c r="BW373" s="25"/>
      <c r="BX373" s="25"/>
      <c r="BY373" s="25"/>
      <c r="BZ373" s="25"/>
      <c r="CA373" s="25"/>
      <c r="CB373" s="25"/>
      <c r="CC373" s="25"/>
      <c r="CD373" s="25"/>
      <c r="CE373" s="25"/>
      <c r="CF373" s="25"/>
      <c r="CG373" s="25"/>
      <c r="CH373" s="25"/>
      <c r="CI373" s="25"/>
      <c r="CJ373" s="25"/>
      <c r="CK373" s="25"/>
      <c r="CL373" s="25"/>
      <c r="CM373" s="25"/>
      <c r="CN373" s="25"/>
      <c r="CO373" s="25"/>
      <c r="CP373" s="25"/>
      <c r="CQ373" s="25"/>
      <c r="CR373" s="25"/>
      <c r="CS373" s="25"/>
      <c r="CT373" s="25"/>
      <c r="CU373" s="25"/>
      <c r="CV373" s="25"/>
      <c r="CW373" s="25"/>
      <c r="CX373" s="25"/>
      <c r="CY373" s="25"/>
      <c r="CZ373" s="25"/>
      <c r="DA373" s="25"/>
      <c r="DB373" s="25"/>
      <c r="DC373" s="25"/>
      <c r="DD373" s="25"/>
      <c r="DE373" s="25"/>
      <c r="DF373" s="25"/>
      <c r="DG373" s="25"/>
      <c r="DH373" s="25"/>
      <c r="DI373" s="25"/>
      <c r="DJ373" s="25"/>
      <c r="DK373" s="25"/>
      <c r="DL373" s="25"/>
      <c r="DM373" s="25"/>
      <c r="DN373" s="25"/>
      <c r="DO373" s="25"/>
      <c r="DP373" s="25"/>
      <c r="DQ373" s="25"/>
      <c r="DR373" s="25"/>
      <c r="DS373" s="25"/>
      <c r="DT373" s="25"/>
      <c r="DU373" s="25"/>
      <c r="DV373" s="25"/>
      <c r="DW373" s="25"/>
      <c r="DX373" s="25"/>
      <c r="DY373" s="25"/>
      <c r="DZ373" s="25"/>
      <c r="EA373" s="25"/>
      <c r="EB373" s="25"/>
      <c r="EC373" s="25"/>
      <c r="ED373" s="25"/>
      <c r="EE373" s="25"/>
      <c r="EF373" s="25"/>
      <c r="EG373" s="25"/>
      <c r="EH373" s="25"/>
      <c r="EI373" s="25"/>
      <c r="EJ373" s="25"/>
      <c r="EK373" s="25"/>
      <c r="EL373" s="25"/>
      <c r="EM373" s="25"/>
      <c r="EN373" s="25"/>
      <c r="EO373" s="25"/>
      <c r="EP373" s="25"/>
      <c r="EQ373" s="25"/>
      <c r="ER373" s="25"/>
      <c r="ES373" s="25"/>
      <c r="ET373" s="25"/>
      <c r="EU373" s="25"/>
      <c r="EV373" s="25"/>
      <c r="EW373" s="25"/>
      <c r="EX373" s="25"/>
      <c r="EY373" s="25"/>
      <c r="EZ373" s="25"/>
      <c r="FA373" s="25"/>
      <c r="FB373" s="25"/>
      <c r="FC373" s="25"/>
      <c r="FD373" s="25"/>
      <c r="FE373" s="25"/>
      <c r="FF373" s="25"/>
      <c r="FG373" s="25"/>
      <c r="FH373" s="25"/>
      <c r="FI373" s="25"/>
      <c r="FJ373" s="25"/>
      <c r="FK373" s="25"/>
      <c r="FL373" s="25"/>
      <c r="FM373" s="25"/>
      <c r="FN373" s="25"/>
      <c r="FO373" s="25"/>
      <c r="FP373" s="25"/>
      <c r="FQ373" s="25"/>
      <c r="FR373" s="25"/>
      <c r="FS373" s="25"/>
      <c r="FT373" s="25"/>
      <c r="FU373" s="25"/>
      <c r="FV373" s="25"/>
      <c r="FW373" s="25"/>
      <c r="FX373" s="25"/>
      <c r="FY373" s="25"/>
      <c r="FZ373" s="25"/>
      <c r="GA373" s="25"/>
      <c r="GB373" s="25"/>
      <c r="GC373" s="25"/>
      <c r="GD373" s="25"/>
      <c r="GE373" s="25"/>
      <c r="GF373" s="25"/>
      <c r="GG373" s="25"/>
      <c r="GH373" s="25"/>
      <c r="GI373" s="25"/>
      <c r="GJ373" s="25"/>
      <c r="GK373" s="25"/>
      <c r="GL373" s="25"/>
      <c r="GM373" s="25"/>
      <c r="GN373" s="25"/>
      <c r="GO373" s="25"/>
      <c r="GP373" s="25"/>
      <c r="GQ373" s="25"/>
      <c r="GR373" s="25"/>
      <c r="GS373" s="25"/>
      <c r="GT373" s="25"/>
      <c r="GU373" s="25"/>
      <c r="GV373" s="25"/>
      <c r="GW373" s="25"/>
      <c r="GX373" s="25"/>
      <c r="GY373" s="25"/>
      <c r="GZ373" s="25"/>
      <c r="HA373" s="25"/>
      <c r="HB373" s="25"/>
      <c r="HC373" s="25"/>
      <c r="HD373" s="25"/>
      <c r="HE373" s="25"/>
      <c r="HF373" s="25"/>
      <c r="HG373" s="25"/>
      <c r="HH373" s="25"/>
      <c r="HI373" s="25"/>
      <c r="HJ373" s="25"/>
      <c r="HK373" s="25"/>
      <c r="HL373" s="25"/>
      <c r="HM373" s="25"/>
      <c r="HN373" s="25"/>
      <c r="HO373" s="25"/>
      <c r="HP373" s="25"/>
      <c r="HQ373" s="25"/>
      <c r="HR373" s="25"/>
      <c r="HS373" s="25"/>
      <c r="HT373" s="25"/>
      <c r="HU373" s="25"/>
      <c r="HV373" s="25"/>
      <c r="HW373" s="25"/>
      <c r="HX373" s="25"/>
      <c r="HY373" s="25"/>
      <c r="HZ373" s="25"/>
      <c r="IA373" s="25"/>
      <c r="IB373" s="25"/>
      <c r="IC373" s="25"/>
      <c r="ID373" s="25"/>
      <c r="IE373" s="25"/>
      <c r="IF373" s="25"/>
      <c r="IG373" s="25"/>
      <c r="IH373" s="25"/>
      <c r="II373" s="25"/>
      <c r="IJ373" s="25"/>
      <c r="IK373" s="25"/>
      <c r="IL373" s="25"/>
      <c r="IM373" s="25"/>
      <c r="IN373" s="25"/>
      <c r="IO373" s="25"/>
      <c r="IP373" s="25"/>
      <c r="IQ373" s="25"/>
      <c r="IR373" s="25"/>
      <c r="IS373" s="25"/>
      <c r="IT373" s="25"/>
      <c r="IU373" s="25"/>
      <c r="IV373" s="25"/>
      <c r="IW373" s="25"/>
      <c r="IX373" s="25"/>
      <c r="IY373" s="25"/>
      <c r="IZ373" s="25"/>
      <c r="JA373" s="25"/>
      <c r="JB373" s="25"/>
      <c r="JC373" s="25"/>
      <c r="JD373" s="25"/>
      <c r="JE373" s="25"/>
      <c r="JF373" s="25"/>
      <c r="JG373" s="25"/>
      <c r="JH373" s="25"/>
      <c r="JI373" s="25"/>
      <c r="JJ373" s="25"/>
      <c r="JK373" s="25"/>
      <c r="JL373" s="25"/>
      <c r="JM373" s="25"/>
      <c r="JN373" s="25"/>
      <c r="JO373" s="25"/>
      <c r="JP373" s="25"/>
      <c r="JQ373" s="25"/>
      <c r="JR373" s="25"/>
      <c r="JS373" s="25"/>
      <c r="JT373" s="25"/>
      <c r="JU373" s="25"/>
      <c r="JV373" s="25"/>
      <c r="JW373" s="25"/>
      <c r="JX373" s="25"/>
      <c r="JY373" s="25"/>
      <c r="JZ373" s="25"/>
      <c r="KA373" s="25"/>
      <c r="KB373" s="25"/>
      <c r="KC373" s="25"/>
      <c r="KD373" s="25"/>
      <c r="KE373" s="25"/>
      <c r="KF373" s="25"/>
      <c r="KG373" s="25"/>
      <c r="KH373" s="25"/>
      <c r="KI373" s="25"/>
      <c r="KJ373" s="25"/>
      <c r="KK373" s="25"/>
      <c r="KL373" s="25"/>
      <c r="KM373" s="25"/>
      <c r="KN373" s="25"/>
      <c r="KO373" s="25"/>
      <c r="KP373" s="25"/>
      <c r="KQ373" s="25"/>
      <c r="KR373" s="25"/>
      <c r="KS373" s="25"/>
      <c r="KT373" s="25"/>
      <c r="KU373" s="25"/>
      <c r="KV373" s="25"/>
      <c r="KW373" s="25"/>
      <c r="KX373" s="25"/>
      <c r="KY373" s="25"/>
      <c r="KZ373" s="25"/>
      <c r="LA373" s="25"/>
      <c r="LB373" s="25"/>
      <c r="LC373" s="25"/>
      <c r="LD373" s="25"/>
      <c r="LE373" s="25"/>
      <c r="LF373" s="25"/>
      <c r="LG373" s="25"/>
      <c r="LH373" s="25"/>
      <c r="LI373" s="25"/>
      <c r="LJ373" s="25"/>
      <c r="LK373" s="25"/>
      <c r="LL373" s="25"/>
      <c r="LM373" s="25"/>
      <c r="LN373" s="25"/>
      <c r="LO373" s="25"/>
      <c r="LP373" s="25"/>
      <c r="LQ373" s="25"/>
      <c r="LR373" s="25"/>
      <c r="LS373" s="25"/>
      <c r="LT373" s="25"/>
      <c r="LU373" s="25"/>
      <c r="LV373" s="25"/>
      <c r="LW373" s="25"/>
      <c r="LX373" s="25"/>
      <c r="LY373" s="25"/>
      <c r="LZ373" s="25"/>
      <c r="MA373" s="25"/>
      <c r="MB373" s="25"/>
      <c r="MC373" s="25"/>
      <c r="MD373" s="25"/>
      <c r="ME373" s="25"/>
      <c r="MF373" s="25"/>
      <c r="MG373" s="25"/>
      <c r="MH373" s="25"/>
      <c r="MI373" s="25"/>
      <c r="MJ373" s="25"/>
      <c r="MK373" s="25"/>
      <c r="ML373" s="25"/>
      <c r="MM373" s="25"/>
      <c r="MN373" s="25"/>
      <c r="MO373" s="25"/>
      <c r="MP373" s="25"/>
      <c r="MQ373" s="25"/>
      <c r="MR373" s="25"/>
      <c r="MS373" s="25"/>
      <c r="MT373" s="25"/>
      <c r="MU373" s="25"/>
      <c r="MV373" s="25"/>
      <c r="MW373" s="25"/>
      <c r="MX373" s="25"/>
      <c r="MY373" s="25"/>
      <c r="MZ373" s="25"/>
      <c r="NA373" s="25"/>
      <c r="NB373" s="25"/>
      <c r="NC373" s="25"/>
      <c r="ND373" s="25"/>
      <c r="NE373" s="25"/>
      <c r="NF373" s="25"/>
      <c r="NG373" s="25"/>
      <c r="NH373" s="25"/>
      <c r="NI373" s="25"/>
      <c r="NJ373" s="25"/>
      <c r="NK373" s="25"/>
      <c r="NL373" s="25"/>
      <c r="NM373" s="25"/>
      <c r="NN373" s="25"/>
      <c r="NO373" s="25"/>
      <c r="NP373" s="25"/>
      <c r="NQ373" s="25"/>
      <c r="NR373" s="25"/>
      <c r="NS373" s="25"/>
      <c r="NT373" s="25"/>
      <c r="NU373" s="25"/>
      <c r="NV373" s="25"/>
      <c r="NW373" s="25"/>
      <c r="NX373" s="25"/>
      <c r="NY373" s="25"/>
      <c r="NZ373" s="25"/>
      <c r="OA373" s="25"/>
      <c r="OB373" s="25"/>
      <c r="OC373" s="25"/>
      <c r="OD373" s="25"/>
      <c r="OE373" s="25"/>
    </row>
    <row r="374" spans="1:395" ht="13.8" customHeight="1" collapsed="1" x14ac:dyDescent="0.3">
      <c r="D374" s="119" t="s">
        <v>61</v>
      </c>
      <c r="E374" s="10">
        <v>85</v>
      </c>
      <c r="F374" s="259" t="s">
        <v>65</v>
      </c>
      <c r="N374" s="25" t="s">
        <v>109</v>
      </c>
      <c r="O374" s="25"/>
      <c r="P374" s="27" t="s">
        <v>78</v>
      </c>
      <c r="Q374" s="25"/>
      <c r="R374" s="25"/>
      <c r="S374" s="25"/>
      <c r="T374" s="25"/>
      <c r="U374" s="25"/>
      <c r="V374" s="25"/>
      <c r="W374" s="25"/>
      <c r="X374" s="25"/>
      <c r="Y374" s="25"/>
      <c r="Z374" s="25"/>
      <c r="AA374" s="25"/>
      <c r="AB374" s="25"/>
      <c r="AC374" s="25"/>
      <c r="AD374" s="25"/>
      <c r="AE374" s="25"/>
      <c r="AF374" s="25"/>
      <c r="AG374" s="25"/>
      <c r="AH374" s="25"/>
      <c r="AI374" s="25"/>
      <c r="AJ374" s="25"/>
      <c r="AK374" s="25"/>
      <c r="AL374" s="25"/>
      <c r="AM374" s="25"/>
      <c r="AN374" s="25"/>
      <c r="AO374" s="25"/>
      <c r="AP374" s="25"/>
      <c r="AQ374" s="25"/>
      <c r="AR374" s="25"/>
      <c r="AS374" s="25"/>
      <c r="AT374" s="25"/>
      <c r="AU374" s="25"/>
      <c r="AV374" s="25"/>
      <c r="AW374" s="25"/>
      <c r="AX374" s="25"/>
      <c r="AY374" s="25"/>
      <c r="AZ374" s="25"/>
      <c r="BA374" s="25"/>
      <c r="BB374" s="25"/>
      <c r="BC374" s="25"/>
      <c r="BD374" s="25"/>
      <c r="BE374" s="25"/>
      <c r="BF374" s="25"/>
      <c r="BG374" s="25"/>
      <c r="BH374" s="25"/>
      <c r="BI374" s="25"/>
      <c r="BJ374" s="25"/>
      <c r="BK374" s="25"/>
      <c r="BL374" s="25"/>
      <c r="BM374" s="25"/>
      <c r="BN374" s="25"/>
      <c r="BO374" s="25"/>
      <c r="BP374" s="25"/>
      <c r="BQ374" s="25"/>
      <c r="BR374" s="25"/>
      <c r="BS374" s="25"/>
      <c r="BT374" s="25"/>
      <c r="BU374" s="25"/>
      <c r="BV374" s="25"/>
      <c r="BW374" s="25"/>
      <c r="BX374" s="25"/>
      <c r="BY374" s="25"/>
      <c r="BZ374" s="25"/>
      <c r="CA374" s="25"/>
      <c r="CB374" s="25"/>
      <c r="CC374" s="25"/>
      <c r="CD374" s="25"/>
      <c r="CE374" s="25"/>
      <c r="CF374" s="25"/>
      <c r="CG374" s="25"/>
      <c r="CH374" s="25"/>
      <c r="CI374" s="25"/>
      <c r="CJ374" s="25"/>
      <c r="CK374" s="25"/>
      <c r="CL374" s="25"/>
      <c r="CM374" s="25"/>
      <c r="CN374" s="25"/>
      <c r="CO374" s="25"/>
      <c r="CP374" s="25"/>
      <c r="CQ374" s="25"/>
      <c r="CR374" s="25"/>
      <c r="CS374" s="25"/>
      <c r="CT374" s="25"/>
      <c r="CU374" s="25"/>
      <c r="CV374" s="25"/>
      <c r="CW374" s="25"/>
      <c r="CX374" s="25"/>
      <c r="CY374" s="25"/>
      <c r="CZ374" s="25"/>
      <c r="DA374" s="25"/>
      <c r="DB374" s="25"/>
      <c r="DC374" s="25"/>
      <c r="DD374" s="25"/>
      <c r="DE374" s="25"/>
      <c r="DF374" s="25"/>
      <c r="DG374" s="25"/>
      <c r="DH374" s="25"/>
      <c r="DI374" s="25"/>
      <c r="DJ374" s="25"/>
      <c r="DK374" s="25"/>
      <c r="DL374" s="25"/>
      <c r="DM374" s="25"/>
      <c r="DN374" s="25"/>
      <c r="DO374" s="25"/>
      <c r="DP374" s="25"/>
      <c r="DQ374" s="25"/>
      <c r="DR374" s="25"/>
      <c r="DS374" s="25"/>
      <c r="DT374" s="25"/>
      <c r="DU374" s="25"/>
      <c r="DV374" s="25"/>
      <c r="DW374" s="25"/>
      <c r="DX374" s="25"/>
      <c r="DY374" s="25"/>
      <c r="DZ374" s="25"/>
      <c r="EA374" s="25"/>
      <c r="EB374" s="25"/>
      <c r="EC374" s="25"/>
      <c r="ED374" s="25"/>
      <c r="EE374" s="25"/>
      <c r="EF374" s="25"/>
      <c r="EG374" s="25"/>
      <c r="EH374" s="25"/>
      <c r="EI374" s="25"/>
      <c r="EJ374" s="25"/>
      <c r="EK374" s="25"/>
      <c r="EL374" s="25"/>
      <c r="EM374" s="25"/>
      <c r="EN374" s="25"/>
      <c r="EO374" s="25"/>
      <c r="EP374" s="25"/>
      <c r="EQ374" s="25"/>
      <c r="ER374" s="25"/>
      <c r="ES374" s="25"/>
      <c r="ET374" s="25"/>
      <c r="EU374" s="25"/>
      <c r="EV374" s="25"/>
      <c r="EW374" s="25"/>
      <c r="EX374" s="25"/>
      <c r="EY374" s="25"/>
      <c r="EZ374" s="25"/>
      <c r="FA374" s="25"/>
      <c r="FB374" s="25"/>
      <c r="FC374" s="25"/>
      <c r="FD374" s="25"/>
      <c r="FE374" s="25"/>
      <c r="FF374" s="25"/>
      <c r="FG374" s="25"/>
      <c r="FH374" s="25"/>
      <c r="FI374" s="25"/>
      <c r="FJ374" s="25"/>
      <c r="FK374" s="25"/>
      <c r="FL374" s="25"/>
      <c r="FM374" s="25"/>
      <c r="FN374" s="25"/>
      <c r="FO374" s="25"/>
      <c r="FP374" s="25"/>
      <c r="FQ374" s="25"/>
      <c r="FR374" s="25"/>
      <c r="FS374" s="25"/>
      <c r="FT374" s="25"/>
      <c r="FU374" s="25"/>
      <c r="FV374" s="25"/>
      <c r="FW374" s="25"/>
      <c r="FX374" s="25"/>
      <c r="FY374" s="25"/>
      <c r="FZ374" s="25"/>
      <c r="GA374" s="25"/>
      <c r="GB374" s="25"/>
      <c r="GC374" s="25"/>
      <c r="GD374" s="25"/>
      <c r="GE374" s="25"/>
      <c r="GF374" s="25"/>
      <c r="GG374" s="25"/>
      <c r="GH374" s="25"/>
      <c r="GI374" s="25"/>
      <c r="GJ374" s="25"/>
      <c r="GK374" s="25"/>
      <c r="GL374" s="25"/>
      <c r="GM374" s="25"/>
      <c r="GN374" s="25"/>
      <c r="GO374" s="25"/>
      <c r="GP374" s="25"/>
      <c r="GQ374" s="25"/>
      <c r="GR374" s="25"/>
      <c r="GS374" s="25"/>
      <c r="GT374" s="25"/>
      <c r="GU374" s="25"/>
      <c r="GV374" s="25"/>
      <c r="GW374" s="25"/>
      <c r="GX374" s="25"/>
      <c r="GY374" s="25"/>
      <c r="GZ374" s="25"/>
      <c r="HA374" s="25"/>
      <c r="HB374" s="25"/>
      <c r="HC374" s="25"/>
      <c r="HD374" s="25"/>
      <c r="HE374" s="25"/>
      <c r="HF374" s="25"/>
      <c r="HG374" s="25"/>
      <c r="HH374" s="25"/>
      <c r="HI374" s="25"/>
      <c r="HJ374" s="25"/>
      <c r="HK374" s="25"/>
      <c r="HL374" s="25"/>
      <c r="HM374" s="25"/>
      <c r="HN374" s="25"/>
      <c r="HO374" s="25"/>
      <c r="HP374" s="25"/>
      <c r="HQ374" s="25"/>
      <c r="HR374" s="25"/>
      <c r="HS374" s="25"/>
      <c r="HT374" s="25"/>
      <c r="HU374" s="25"/>
      <c r="HV374" s="25"/>
      <c r="HW374" s="25"/>
      <c r="HX374" s="25"/>
      <c r="HY374" s="25"/>
      <c r="HZ374" s="25"/>
      <c r="IA374" s="25"/>
      <c r="IB374" s="25"/>
      <c r="IC374" s="25"/>
      <c r="ID374" s="25"/>
      <c r="IE374" s="25"/>
      <c r="IF374" s="25"/>
      <c r="IG374" s="25"/>
      <c r="IH374" s="25"/>
      <c r="II374" s="25"/>
      <c r="IJ374" s="25"/>
      <c r="IK374" s="25"/>
      <c r="IL374" s="25"/>
      <c r="IM374" s="25"/>
      <c r="IN374" s="25"/>
      <c r="IO374" s="25"/>
      <c r="IP374" s="25"/>
      <c r="IQ374" s="25"/>
      <c r="IR374" s="25"/>
      <c r="IS374" s="25"/>
      <c r="IT374" s="25"/>
      <c r="IU374" s="25"/>
      <c r="IV374" s="25"/>
      <c r="IW374" s="25"/>
      <c r="IX374" s="25"/>
      <c r="IY374" s="25"/>
      <c r="IZ374" s="25"/>
      <c r="JA374" s="25"/>
      <c r="JB374" s="25"/>
      <c r="JC374" s="25"/>
      <c r="JD374" s="25"/>
      <c r="JE374" s="25"/>
      <c r="JF374" s="25"/>
      <c r="JG374" s="25"/>
      <c r="JH374" s="25"/>
      <c r="JI374" s="25"/>
      <c r="JJ374" s="25"/>
      <c r="JK374" s="25"/>
      <c r="JL374" s="25"/>
      <c r="JM374" s="25"/>
      <c r="JN374" s="25"/>
      <c r="JO374" s="25"/>
      <c r="JP374" s="25"/>
      <c r="JQ374" s="25"/>
      <c r="JR374" s="25"/>
      <c r="JS374" s="25"/>
      <c r="JT374" s="25"/>
      <c r="JU374" s="25"/>
      <c r="JV374" s="25"/>
      <c r="JW374" s="25"/>
      <c r="JX374" s="25"/>
      <c r="JY374" s="25"/>
      <c r="JZ374" s="25"/>
      <c r="KA374" s="25"/>
      <c r="KB374" s="25"/>
      <c r="KC374" s="25"/>
      <c r="KD374" s="25"/>
      <c r="KE374" s="25"/>
      <c r="KF374" s="25"/>
      <c r="KG374" s="25"/>
      <c r="KH374" s="25"/>
      <c r="KI374" s="25"/>
      <c r="KJ374" s="25"/>
      <c r="KK374" s="25"/>
      <c r="KL374" s="25"/>
      <c r="KM374" s="25"/>
      <c r="KN374" s="25"/>
      <c r="KO374" s="25"/>
      <c r="KP374" s="25"/>
      <c r="KQ374" s="25"/>
      <c r="KR374" s="25"/>
      <c r="KS374" s="25"/>
      <c r="KT374" s="25"/>
      <c r="KU374" s="25"/>
      <c r="KV374" s="25"/>
      <c r="KW374" s="25"/>
      <c r="KX374" s="25"/>
      <c r="KY374" s="25"/>
      <c r="KZ374" s="25"/>
      <c r="LA374" s="25"/>
      <c r="LB374" s="25"/>
      <c r="LC374" s="25"/>
      <c r="LD374" s="25"/>
      <c r="LE374" s="25"/>
      <c r="LF374" s="25"/>
      <c r="LG374" s="25"/>
      <c r="LH374" s="25"/>
      <c r="LI374" s="25"/>
      <c r="LJ374" s="25"/>
      <c r="LK374" s="25"/>
      <c r="LL374" s="25"/>
      <c r="LM374" s="25"/>
      <c r="LN374" s="25"/>
      <c r="LO374" s="25"/>
      <c r="LP374" s="25"/>
      <c r="LQ374" s="25"/>
      <c r="LR374" s="25"/>
      <c r="LS374" s="25"/>
      <c r="LT374" s="25"/>
      <c r="LU374" s="25"/>
      <c r="LV374" s="25"/>
      <c r="LW374" s="25"/>
      <c r="LX374" s="25"/>
      <c r="LY374" s="25"/>
      <c r="LZ374" s="25"/>
      <c r="MA374" s="25"/>
      <c r="MB374" s="25"/>
      <c r="MC374" s="25"/>
      <c r="MD374" s="25"/>
      <c r="ME374" s="25"/>
      <c r="MF374" s="25"/>
      <c r="MG374" s="25"/>
      <c r="MH374" s="25"/>
      <c r="MI374" s="25"/>
      <c r="MJ374" s="25"/>
      <c r="MK374" s="25"/>
      <c r="ML374" s="25"/>
      <c r="MM374" s="25"/>
      <c r="MN374" s="25"/>
      <c r="MO374" s="25"/>
      <c r="MP374" s="25"/>
      <c r="MQ374" s="25"/>
      <c r="MR374" s="25"/>
      <c r="MS374" s="25"/>
      <c r="MT374" s="25"/>
      <c r="MU374" s="25"/>
      <c r="MV374" s="25"/>
      <c r="MW374" s="25"/>
      <c r="MX374" s="25"/>
      <c r="MY374" s="25"/>
      <c r="MZ374" s="25"/>
      <c r="NA374" s="25"/>
      <c r="NB374" s="25"/>
      <c r="NC374" s="25"/>
      <c r="ND374" s="25"/>
      <c r="NE374" s="25"/>
      <c r="NF374" s="25"/>
      <c r="NG374" s="25"/>
      <c r="NH374" s="25"/>
      <c r="NI374" s="25"/>
      <c r="NJ374" s="25"/>
      <c r="NK374" s="25"/>
      <c r="NL374" s="25"/>
      <c r="NM374" s="25"/>
      <c r="NN374" s="25"/>
      <c r="NO374" s="25"/>
      <c r="NP374" s="25"/>
      <c r="NQ374" s="25"/>
      <c r="NR374" s="25"/>
      <c r="NS374" s="25"/>
      <c r="NT374" s="25"/>
      <c r="NU374" s="25"/>
      <c r="NV374" s="25"/>
      <c r="NW374" s="25"/>
      <c r="NX374" s="25"/>
      <c r="NY374" s="25"/>
      <c r="NZ374" s="25"/>
      <c r="OA374" s="25"/>
      <c r="OB374" s="25"/>
      <c r="OC374" s="25"/>
      <c r="OD374" s="25"/>
      <c r="OE374" s="25"/>
    </row>
    <row r="375" spans="1:395" ht="13.8" hidden="1" customHeight="1" outlineLevel="1" x14ac:dyDescent="0.3">
      <c r="C375" s="114" t="s">
        <v>122</v>
      </c>
      <c r="D375" s="119"/>
      <c r="N375" s="25" t="s">
        <v>112</v>
      </c>
      <c r="O375" s="25"/>
      <c r="P375" s="27" t="s">
        <v>78</v>
      </c>
      <c r="Q375" s="25"/>
      <c r="R375" s="25"/>
      <c r="S375" s="25"/>
      <c r="T375" s="25"/>
      <c r="U375" s="25"/>
      <c r="V375" s="25"/>
      <c r="W375" s="25"/>
      <c r="X375" s="25"/>
      <c r="Y375" s="25"/>
      <c r="Z375" s="25"/>
      <c r="AA375" s="25"/>
      <c r="AB375" s="25"/>
      <c r="AC375" s="25"/>
      <c r="AD375" s="25"/>
      <c r="AE375" s="25"/>
      <c r="AF375" s="25"/>
      <c r="AG375" s="25"/>
      <c r="AH375" s="25"/>
      <c r="AI375" s="25"/>
      <c r="AJ375" s="25"/>
      <c r="AK375" s="25"/>
      <c r="AL375" s="25"/>
      <c r="AM375" s="25"/>
      <c r="AN375" s="25"/>
      <c r="AO375" s="25"/>
      <c r="AP375" s="25"/>
      <c r="AQ375" s="25"/>
      <c r="AR375" s="25"/>
      <c r="AS375" s="25"/>
      <c r="AT375" s="25"/>
      <c r="AU375" s="25"/>
      <c r="AV375" s="25"/>
      <c r="AW375" s="25"/>
      <c r="AX375" s="25"/>
      <c r="AY375" s="25"/>
      <c r="AZ375" s="25"/>
      <c r="BA375" s="25"/>
      <c r="BB375" s="25"/>
      <c r="BC375" s="25"/>
      <c r="BD375" s="25"/>
      <c r="BE375" s="25"/>
      <c r="BF375" s="25"/>
      <c r="BG375" s="25"/>
      <c r="BH375" s="25"/>
      <c r="BI375" s="25"/>
      <c r="BJ375" s="25"/>
      <c r="BK375" s="25"/>
      <c r="BL375" s="25"/>
      <c r="BM375" s="25"/>
      <c r="BN375" s="25"/>
      <c r="BO375" s="25"/>
      <c r="BP375" s="25"/>
      <c r="BQ375" s="25"/>
      <c r="BR375" s="25"/>
      <c r="BS375" s="25"/>
      <c r="BT375" s="25"/>
      <c r="BU375" s="25"/>
      <c r="BV375" s="25"/>
      <c r="BW375" s="25"/>
      <c r="BX375" s="25"/>
      <c r="BY375" s="25"/>
      <c r="BZ375" s="25"/>
      <c r="CA375" s="25"/>
      <c r="CB375" s="25"/>
      <c r="CC375" s="25"/>
      <c r="CD375" s="25"/>
      <c r="CE375" s="25"/>
      <c r="CF375" s="25"/>
      <c r="CG375" s="25"/>
      <c r="CH375" s="25"/>
      <c r="CI375" s="25"/>
      <c r="CJ375" s="25"/>
      <c r="CK375" s="25"/>
      <c r="CL375" s="25"/>
      <c r="CM375" s="25"/>
      <c r="CN375" s="25"/>
      <c r="CO375" s="25"/>
      <c r="CP375" s="25"/>
      <c r="CQ375" s="25"/>
      <c r="CR375" s="25"/>
      <c r="CS375" s="25"/>
      <c r="CT375" s="25"/>
      <c r="CU375" s="25"/>
      <c r="CV375" s="25"/>
      <c r="CW375" s="25"/>
      <c r="CX375" s="25"/>
      <c r="CY375" s="25"/>
      <c r="CZ375" s="25"/>
      <c r="DA375" s="25"/>
      <c r="DB375" s="25"/>
      <c r="DC375" s="25"/>
      <c r="DD375" s="25"/>
      <c r="DE375" s="25"/>
      <c r="DF375" s="25"/>
      <c r="DG375" s="25"/>
      <c r="DH375" s="25"/>
      <c r="DI375" s="25"/>
      <c r="DJ375" s="25"/>
      <c r="DK375" s="25"/>
      <c r="DL375" s="25"/>
      <c r="DM375" s="25"/>
      <c r="DN375" s="25"/>
      <c r="DO375" s="25"/>
      <c r="DP375" s="25"/>
      <c r="DQ375" s="25"/>
      <c r="DR375" s="25"/>
      <c r="DS375" s="25"/>
      <c r="DT375" s="25"/>
      <c r="DU375" s="25"/>
      <c r="DV375" s="25"/>
      <c r="DW375" s="25"/>
      <c r="DX375" s="25"/>
      <c r="DY375" s="25"/>
      <c r="DZ375" s="25"/>
      <c r="EA375" s="25"/>
      <c r="EB375" s="25"/>
      <c r="EC375" s="25"/>
      <c r="ED375" s="25"/>
      <c r="EE375" s="25"/>
      <c r="EF375" s="25"/>
      <c r="EG375" s="25"/>
      <c r="EH375" s="25"/>
      <c r="EI375" s="25"/>
      <c r="EJ375" s="25"/>
      <c r="EK375" s="25"/>
      <c r="EL375" s="25"/>
      <c r="EM375" s="25"/>
      <c r="EN375" s="25"/>
      <c r="EO375" s="25"/>
      <c r="EP375" s="25"/>
      <c r="EQ375" s="25"/>
      <c r="ER375" s="25"/>
      <c r="ES375" s="25"/>
      <c r="ET375" s="25"/>
      <c r="EU375" s="25"/>
      <c r="EV375" s="25"/>
      <c r="EW375" s="25"/>
      <c r="EX375" s="25"/>
      <c r="EY375" s="25"/>
      <c r="EZ375" s="25"/>
      <c r="FA375" s="25"/>
      <c r="FB375" s="25"/>
      <c r="FC375" s="25"/>
      <c r="FD375" s="25"/>
      <c r="FE375" s="25"/>
      <c r="FF375" s="25"/>
      <c r="FG375" s="25"/>
      <c r="FH375" s="25"/>
      <c r="FI375" s="25"/>
      <c r="FJ375" s="25"/>
      <c r="FK375" s="25"/>
      <c r="FL375" s="25"/>
      <c r="FM375" s="25"/>
      <c r="FN375" s="25"/>
      <c r="FO375" s="25"/>
      <c r="FP375" s="25"/>
      <c r="FQ375" s="25"/>
      <c r="FR375" s="25"/>
      <c r="FS375" s="25"/>
      <c r="FT375" s="25"/>
      <c r="FU375" s="25"/>
      <c r="FV375" s="25"/>
      <c r="FW375" s="25"/>
      <c r="FX375" s="25"/>
      <c r="FY375" s="25"/>
      <c r="FZ375" s="25"/>
      <c r="GA375" s="25"/>
      <c r="GB375" s="25"/>
      <c r="GC375" s="25"/>
      <c r="GD375" s="25"/>
      <c r="GE375" s="25"/>
      <c r="GF375" s="25"/>
      <c r="GG375" s="25"/>
      <c r="GH375" s="25"/>
      <c r="GI375" s="25"/>
      <c r="GJ375" s="25"/>
      <c r="GK375" s="25"/>
      <c r="GL375" s="25"/>
      <c r="GM375" s="25"/>
      <c r="GN375" s="25"/>
      <c r="GO375" s="25"/>
      <c r="GP375" s="25"/>
      <c r="GQ375" s="25"/>
      <c r="GR375" s="25"/>
      <c r="GS375" s="25"/>
      <c r="GT375" s="25"/>
      <c r="GU375" s="25"/>
      <c r="GV375" s="25"/>
      <c r="GW375" s="25"/>
      <c r="GX375" s="25"/>
      <c r="GY375" s="25"/>
      <c r="GZ375" s="25"/>
      <c r="HA375" s="25"/>
      <c r="HB375" s="25"/>
      <c r="HC375" s="25"/>
      <c r="HD375" s="25"/>
      <c r="HE375" s="25"/>
      <c r="HF375" s="25"/>
      <c r="HG375" s="25"/>
      <c r="HH375" s="25"/>
      <c r="HI375" s="25"/>
      <c r="HJ375" s="25"/>
      <c r="HK375" s="25"/>
      <c r="HL375" s="25"/>
      <c r="HM375" s="25"/>
      <c r="HN375" s="25"/>
      <c r="HO375" s="25"/>
      <c r="HP375" s="25"/>
      <c r="HQ375" s="25"/>
      <c r="HR375" s="25"/>
      <c r="HS375" s="25"/>
      <c r="HT375" s="25"/>
      <c r="HU375" s="25"/>
      <c r="HV375" s="25"/>
      <c r="HW375" s="25"/>
      <c r="HX375" s="25"/>
      <c r="HY375" s="25"/>
      <c r="HZ375" s="25"/>
      <c r="IA375" s="25"/>
      <c r="IB375" s="25"/>
      <c r="IC375" s="25"/>
      <c r="ID375" s="25"/>
      <c r="IE375" s="25"/>
      <c r="IF375" s="25"/>
      <c r="IG375" s="25"/>
      <c r="IH375" s="25"/>
      <c r="II375" s="25"/>
      <c r="IJ375" s="25"/>
      <c r="IK375" s="25"/>
      <c r="IL375" s="25"/>
      <c r="IM375" s="25"/>
      <c r="IN375" s="25"/>
      <c r="IO375" s="25"/>
      <c r="IP375" s="25"/>
      <c r="IQ375" s="25"/>
      <c r="IR375" s="25"/>
      <c r="IS375" s="25"/>
      <c r="IT375" s="25"/>
      <c r="IU375" s="25"/>
      <c r="IV375" s="25"/>
      <c r="IW375" s="25"/>
      <c r="IX375" s="25"/>
      <c r="IY375" s="25"/>
      <c r="IZ375" s="25"/>
      <c r="JA375" s="25"/>
      <c r="JB375" s="25"/>
      <c r="JC375" s="25"/>
      <c r="JD375" s="25"/>
      <c r="JE375" s="25"/>
      <c r="JF375" s="25"/>
      <c r="JG375" s="25"/>
      <c r="JH375" s="25"/>
      <c r="JI375" s="25"/>
      <c r="JJ375" s="25"/>
      <c r="JK375" s="25"/>
      <c r="JL375" s="25"/>
      <c r="JM375" s="25"/>
      <c r="JN375" s="25"/>
      <c r="JO375" s="25"/>
      <c r="JP375" s="25"/>
      <c r="JQ375" s="25"/>
      <c r="JR375" s="25"/>
      <c r="JS375" s="25"/>
      <c r="JT375" s="25"/>
      <c r="JU375" s="25"/>
      <c r="JV375" s="25"/>
      <c r="JW375" s="25"/>
      <c r="JX375" s="25"/>
      <c r="JY375" s="25"/>
      <c r="JZ375" s="25"/>
      <c r="KA375" s="25"/>
      <c r="KB375" s="25"/>
      <c r="KC375" s="25"/>
      <c r="KD375" s="25"/>
      <c r="KE375" s="25"/>
      <c r="KF375" s="25"/>
      <c r="KG375" s="25"/>
      <c r="KH375" s="25"/>
      <c r="KI375" s="25"/>
      <c r="KJ375" s="25"/>
      <c r="KK375" s="25"/>
      <c r="KL375" s="25"/>
      <c r="KM375" s="25"/>
      <c r="KN375" s="25"/>
      <c r="KO375" s="25"/>
      <c r="KP375" s="25"/>
      <c r="KQ375" s="25"/>
      <c r="KR375" s="25"/>
      <c r="KS375" s="25"/>
      <c r="KT375" s="25"/>
      <c r="KU375" s="25"/>
      <c r="KV375" s="25"/>
      <c r="KW375" s="25"/>
      <c r="KX375" s="25"/>
      <c r="KY375" s="25"/>
      <c r="KZ375" s="25"/>
      <c r="LA375" s="25"/>
      <c r="LB375" s="25"/>
      <c r="LC375" s="25"/>
      <c r="LD375" s="25"/>
      <c r="LE375" s="25"/>
      <c r="LF375" s="25"/>
      <c r="LG375" s="25"/>
      <c r="LH375" s="25"/>
      <c r="LI375" s="25"/>
      <c r="LJ375" s="25"/>
      <c r="LK375" s="25"/>
      <c r="LL375" s="25"/>
      <c r="LM375" s="25"/>
      <c r="LN375" s="25"/>
      <c r="LO375" s="25"/>
      <c r="LP375" s="25"/>
      <c r="LQ375" s="25"/>
      <c r="LR375" s="25"/>
      <c r="LS375" s="25"/>
      <c r="LT375" s="25"/>
      <c r="LU375" s="25"/>
      <c r="LV375" s="25"/>
      <c r="LW375" s="25"/>
      <c r="LX375" s="25"/>
      <c r="LY375" s="25"/>
      <c r="LZ375" s="25"/>
      <c r="MA375" s="25"/>
      <c r="MB375" s="25"/>
      <c r="MC375" s="25"/>
      <c r="MD375" s="25"/>
      <c r="ME375" s="25"/>
      <c r="MF375" s="25"/>
      <c r="MG375" s="25"/>
      <c r="MH375" s="25"/>
      <c r="MI375" s="25"/>
      <c r="MJ375" s="25"/>
      <c r="MK375" s="25"/>
      <c r="ML375" s="25"/>
      <c r="MM375" s="25"/>
      <c r="MN375" s="25"/>
      <c r="MO375" s="25"/>
      <c r="MP375" s="25"/>
      <c r="MQ375" s="25"/>
      <c r="MR375" s="25"/>
      <c r="MS375" s="25"/>
      <c r="MT375" s="25"/>
      <c r="MU375" s="25"/>
      <c r="MV375" s="25"/>
      <c r="MW375" s="25"/>
      <c r="MX375" s="25"/>
      <c r="MY375" s="25"/>
      <c r="MZ375" s="25"/>
      <c r="NA375" s="25"/>
      <c r="NB375" s="25"/>
      <c r="NC375" s="25"/>
      <c r="ND375" s="25"/>
      <c r="NE375" s="25"/>
      <c r="NF375" s="25"/>
      <c r="NG375" s="25"/>
      <c r="NH375" s="25"/>
      <c r="NI375" s="25"/>
      <c r="NJ375" s="25"/>
      <c r="NK375" s="25"/>
      <c r="NL375" s="25"/>
      <c r="NM375" s="25"/>
      <c r="NN375" s="25"/>
      <c r="NO375" s="25"/>
      <c r="NP375" s="25"/>
      <c r="NQ375" s="25"/>
      <c r="NR375" s="25"/>
      <c r="NS375" s="25"/>
      <c r="NT375" s="25"/>
      <c r="NU375" s="25"/>
      <c r="NV375" s="25"/>
      <c r="NW375" s="25"/>
      <c r="NX375" s="25"/>
      <c r="NY375" s="25"/>
      <c r="NZ375" s="25"/>
      <c r="OA375" s="25"/>
      <c r="OB375" s="25"/>
      <c r="OC375" s="25"/>
      <c r="OD375" s="25"/>
      <c r="OE375" s="25"/>
    </row>
    <row r="376" spans="1:395" ht="13.8" hidden="1" customHeight="1" outlineLevel="1" x14ac:dyDescent="0.3">
      <c r="D376" s="119" t="s">
        <v>117</v>
      </c>
      <c r="E376" s="10">
        <v>0</v>
      </c>
      <c r="F376" s="259" t="s">
        <v>31</v>
      </c>
      <c r="N376" s="25"/>
      <c r="O376" s="25"/>
      <c r="P376" s="27"/>
      <c r="Q376" s="25"/>
      <c r="R376" s="25"/>
      <c r="S376" s="25"/>
      <c r="T376" s="25"/>
      <c r="U376" s="25"/>
      <c r="V376" s="25"/>
      <c r="W376" s="25"/>
      <c r="X376" s="25"/>
      <c r="Y376" s="25"/>
      <c r="Z376" s="25"/>
      <c r="AA376" s="25"/>
      <c r="AB376" s="25"/>
      <c r="AC376" s="25"/>
      <c r="AD376" s="25"/>
      <c r="AE376" s="25"/>
      <c r="AF376" s="25"/>
      <c r="AG376" s="25"/>
      <c r="AH376" s="25"/>
      <c r="AI376" s="25"/>
      <c r="AJ376" s="25"/>
      <c r="AK376" s="25"/>
      <c r="AL376" s="25"/>
      <c r="AM376" s="25"/>
      <c r="AN376" s="25"/>
      <c r="AO376" s="25"/>
      <c r="AP376" s="25"/>
      <c r="AQ376" s="25"/>
      <c r="AR376" s="25"/>
      <c r="AS376" s="25"/>
      <c r="AT376" s="25"/>
      <c r="AU376" s="25"/>
      <c r="AV376" s="25"/>
      <c r="AW376" s="25"/>
      <c r="AX376" s="25"/>
      <c r="AY376" s="25"/>
      <c r="AZ376" s="25"/>
      <c r="BA376" s="25"/>
      <c r="BB376" s="25"/>
      <c r="BC376" s="25"/>
      <c r="BD376" s="25"/>
      <c r="BE376" s="25"/>
      <c r="BF376" s="25"/>
      <c r="BG376" s="25"/>
      <c r="BH376" s="25"/>
      <c r="BI376" s="25"/>
      <c r="BJ376" s="25"/>
      <c r="BK376" s="25"/>
      <c r="BL376" s="25"/>
      <c r="BM376" s="25"/>
      <c r="BN376" s="25"/>
      <c r="BO376" s="25"/>
      <c r="BP376" s="25"/>
      <c r="BQ376" s="25"/>
      <c r="BR376" s="25"/>
      <c r="BS376" s="25"/>
      <c r="BT376" s="25"/>
      <c r="BU376" s="25"/>
      <c r="BV376" s="25"/>
      <c r="BW376" s="25"/>
      <c r="BX376" s="25"/>
      <c r="BY376" s="25"/>
      <c r="BZ376" s="25"/>
      <c r="CA376" s="25"/>
      <c r="CB376" s="25"/>
      <c r="CC376" s="25"/>
      <c r="CD376" s="25"/>
      <c r="CE376" s="25"/>
      <c r="CF376" s="25"/>
      <c r="CG376" s="25"/>
      <c r="CH376" s="25"/>
      <c r="CI376" s="25"/>
      <c r="CJ376" s="25"/>
      <c r="CK376" s="25"/>
      <c r="CL376" s="25"/>
      <c r="CM376" s="25"/>
      <c r="CN376" s="25"/>
      <c r="CO376" s="25"/>
      <c r="CP376" s="25"/>
      <c r="CQ376" s="25"/>
      <c r="CR376" s="25"/>
      <c r="CS376" s="25"/>
      <c r="CT376" s="25"/>
      <c r="CU376" s="25"/>
      <c r="CV376" s="25"/>
      <c r="CW376" s="25"/>
      <c r="CX376" s="25"/>
      <c r="CY376" s="25"/>
      <c r="CZ376" s="25"/>
      <c r="DA376" s="25"/>
      <c r="DB376" s="25"/>
      <c r="DC376" s="25"/>
      <c r="DD376" s="25"/>
      <c r="DE376" s="25"/>
      <c r="DF376" s="25"/>
      <c r="DG376" s="25"/>
      <c r="DH376" s="25"/>
      <c r="DI376" s="25"/>
      <c r="DJ376" s="25"/>
      <c r="DK376" s="25"/>
      <c r="DL376" s="25"/>
      <c r="DM376" s="25"/>
      <c r="DN376" s="25"/>
      <c r="DO376" s="25"/>
      <c r="DP376" s="25"/>
      <c r="DQ376" s="25"/>
      <c r="DR376" s="25"/>
      <c r="DS376" s="25"/>
      <c r="DT376" s="25"/>
      <c r="DU376" s="25"/>
      <c r="DV376" s="25"/>
      <c r="DW376" s="25"/>
      <c r="DX376" s="25"/>
      <c r="DY376" s="25"/>
      <c r="DZ376" s="25"/>
      <c r="EA376" s="25"/>
      <c r="EB376" s="25"/>
      <c r="EC376" s="25"/>
      <c r="ED376" s="25"/>
      <c r="EE376" s="25"/>
      <c r="EF376" s="25"/>
      <c r="EG376" s="25"/>
      <c r="EH376" s="25"/>
      <c r="EI376" s="25"/>
      <c r="EJ376" s="25"/>
      <c r="EK376" s="25"/>
      <c r="EL376" s="25"/>
      <c r="EM376" s="25"/>
      <c r="EN376" s="25"/>
      <c r="EO376" s="25"/>
      <c r="EP376" s="25"/>
      <c r="EQ376" s="25"/>
      <c r="ER376" s="25"/>
      <c r="ES376" s="25"/>
      <c r="ET376" s="25"/>
      <c r="EU376" s="25"/>
      <c r="EV376" s="25"/>
      <c r="EW376" s="25"/>
      <c r="EX376" s="25"/>
      <c r="EY376" s="25"/>
      <c r="EZ376" s="25"/>
      <c r="FA376" s="25"/>
      <c r="FB376" s="25"/>
      <c r="FC376" s="25"/>
      <c r="FD376" s="25"/>
      <c r="FE376" s="25"/>
      <c r="FF376" s="25"/>
      <c r="FG376" s="25"/>
      <c r="FH376" s="25"/>
      <c r="FI376" s="25"/>
      <c r="FJ376" s="25"/>
      <c r="FK376" s="25"/>
      <c r="FL376" s="25"/>
      <c r="FM376" s="25"/>
      <c r="FN376" s="25"/>
      <c r="FO376" s="25"/>
      <c r="FP376" s="25"/>
      <c r="FQ376" s="25"/>
      <c r="FR376" s="25"/>
      <c r="FS376" s="25"/>
      <c r="FT376" s="25"/>
      <c r="FU376" s="25"/>
      <c r="FV376" s="25"/>
      <c r="FW376" s="25"/>
      <c r="FX376" s="25"/>
      <c r="FY376" s="25"/>
      <c r="FZ376" s="25"/>
      <c r="GA376" s="25"/>
      <c r="GB376" s="25"/>
      <c r="GC376" s="25"/>
      <c r="GD376" s="25"/>
      <c r="GE376" s="25"/>
      <c r="GF376" s="25"/>
      <c r="GG376" s="25"/>
      <c r="GH376" s="25"/>
      <c r="GI376" s="25"/>
      <c r="GJ376" s="25"/>
      <c r="GK376" s="25"/>
      <c r="GL376" s="25"/>
      <c r="GM376" s="25"/>
      <c r="GN376" s="25"/>
      <c r="GO376" s="25"/>
      <c r="GP376" s="25"/>
      <c r="GQ376" s="25"/>
      <c r="GR376" s="25"/>
      <c r="GS376" s="25"/>
      <c r="GT376" s="25"/>
      <c r="GU376" s="25"/>
      <c r="GV376" s="25"/>
      <c r="GW376" s="25"/>
      <c r="GX376" s="25"/>
      <c r="GY376" s="25"/>
      <c r="GZ376" s="25"/>
      <c r="HA376" s="25"/>
      <c r="HB376" s="25"/>
      <c r="HC376" s="25"/>
      <c r="HD376" s="25"/>
      <c r="HE376" s="25"/>
      <c r="HF376" s="25"/>
      <c r="HG376" s="25"/>
      <c r="HH376" s="25"/>
      <c r="HI376" s="25"/>
      <c r="HJ376" s="25"/>
      <c r="HK376" s="25"/>
      <c r="HL376" s="25"/>
      <c r="HM376" s="25"/>
      <c r="HN376" s="25"/>
      <c r="HO376" s="25"/>
      <c r="HP376" s="25"/>
      <c r="HQ376" s="25"/>
      <c r="HR376" s="25"/>
      <c r="HS376" s="25"/>
      <c r="HT376" s="25"/>
      <c r="HU376" s="25"/>
      <c r="HV376" s="25"/>
      <c r="HW376" s="25"/>
      <c r="HX376" s="25"/>
      <c r="HY376" s="25"/>
      <c r="HZ376" s="25"/>
      <c r="IA376" s="25"/>
      <c r="IB376" s="25"/>
      <c r="IC376" s="25"/>
      <c r="ID376" s="25"/>
      <c r="IE376" s="25"/>
      <c r="IF376" s="25"/>
      <c r="IG376" s="25"/>
      <c r="IH376" s="25"/>
      <c r="II376" s="25"/>
      <c r="IJ376" s="25"/>
      <c r="IK376" s="25"/>
      <c r="IL376" s="25"/>
      <c r="IM376" s="25"/>
      <c r="IN376" s="25"/>
      <c r="IO376" s="25"/>
      <c r="IP376" s="25"/>
      <c r="IQ376" s="25"/>
      <c r="IR376" s="25"/>
      <c r="IS376" s="25"/>
      <c r="IT376" s="25"/>
      <c r="IU376" s="25"/>
      <c r="IV376" s="25"/>
      <c r="IW376" s="25"/>
      <c r="IX376" s="25"/>
      <c r="IY376" s="25"/>
      <c r="IZ376" s="25"/>
      <c r="JA376" s="25"/>
      <c r="JB376" s="25"/>
      <c r="JC376" s="25"/>
      <c r="JD376" s="25"/>
      <c r="JE376" s="25"/>
      <c r="JF376" s="25"/>
      <c r="JG376" s="25"/>
      <c r="JH376" s="25"/>
      <c r="JI376" s="25"/>
      <c r="JJ376" s="25"/>
      <c r="JK376" s="25"/>
      <c r="JL376" s="25"/>
      <c r="JM376" s="25"/>
      <c r="JN376" s="25"/>
      <c r="JO376" s="25"/>
      <c r="JP376" s="25"/>
      <c r="JQ376" s="25"/>
      <c r="JR376" s="25"/>
      <c r="JS376" s="25"/>
      <c r="JT376" s="25"/>
      <c r="JU376" s="25"/>
      <c r="JV376" s="25"/>
      <c r="JW376" s="25"/>
      <c r="JX376" s="25"/>
      <c r="JY376" s="25"/>
      <c r="JZ376" s="25"/>
      <c r="KA376" s="25"/>
      <c r="KB376" s="25"/>
      <c r="KC376" s="25"/>
      <c r="KD376" s="25"/>
      <c r="KE376" s="25"/>
      <c r="KF376" s="25"/>
      <c r="KG376" s="25"/>
      <c r="KH376" s="25"/>
      <c r="KI376" s="25"/>
      <c r="KJ376" s="25"/>
      <c r="KK376" s="25"/>
      <c r="KL376" s="25"/>
      <c r="KM376" s="25"/>
      <c r="KN376" s="25"/>
      <c r="KO376" s="25"/>
      <c r="KP376" s="25"/>
      <c r="KQ376" s="25"/>
      <c r="KR376" s="25"/>
      <c r="KS376" s="25"/>
      <c r="KT376" s="25"/>
      <c r="KU376" s="25"/>
      <c r="KV376" s="25"/>
      <c r="KW376" s="25"/>
      <c r="KX376" s="25"/>
      <c r="KY376" s="25"/>
      <c r="KZ376" s="25"/>
      <c r="LA376" s="25"/>
      <c r="LB376" s="25"/>
      <c r="LC376" s="25"/>
      <c r="LD376" s="25"/>
      <c r="LE376" s="25"/>
      <c r="LF376" s="25"/>
      <c r="LG376" s="25"/>
      <c r="LH376" s="25"/>
      <c r="LI376" s="25"/>
      <c r="LJ376" s="25"/>
      <c r="LK376" s="25"/>
      <c r="LL376" s="25"/>
      <c r="LM376" s="25"/>
      <c r="LN376" s="25"/>
      <c r="LO376" s="25"/>
      <c r="LP376" s="25"/>
      <c r="LQ376" s="25"/>
      <c r="LR376" s="25"/>
      <c r="LS376" s="25"/>
      <c r="LT376" s="25"/>
      <c r="LU376" s="25"/>
      <c r="LV376" s="25"/>
      <c r="LW376" s="25"/>
      <c r="LX376" s="25"/>
      <c r="LY376" s="25"/>
      <c r="LZ376" s="25"/>
      <c r="MA376" s="25"/>
      <c r="MB376" s="25"/>
      <c r="MC376" s="25"/>
      <c r="MD376" s="25"/>
      <c r="ME376" s="25"/>
      <c r="MF376" s="25"/>
      <c r="MG376" s="25"/>
      <c r="MH376" s="25"/>
      <c r="MI376" s="25"/>
      <c r="MJ376" s="25"/>
      <c r="MK376" s="25"/>
      <c r="ML376" s="25"/>
      <c r="MM376" s="25"/>
      <c r="MN376" s="25"/>
      <c r="MO376" s="25"/>
      <c r="MP376" s="25"/>
      <c r="MQ376" s="25"/>
      <c r="MR376" s="25"/>
      <c r="MS376" s="25"/>
      <c r="MT376" s="25"/>
      <c r="MU376" s="25"/>
      <c r="MV376" s="25"/>
      <c r="MW376" s="25"/>
      <c r="MX376" s="25"/>
      <c r="MY376" s="25"/>
      <c r="MZ376" s="25"/>
      <c r="NA376" s="25"/>
      <c r="NB376" s="25"/>
      <c r="NC376" s="25"/>
      <c r="ND376" s="25"/>
      <c r="NE376" s="25"/>
      <c r="NF376" s="25"/>
      <c r="NG376" s="25"/>
      <c r="NH376" s="25"/>
      <c r="NI376" s="25"/>
      <c r="NJ376" s="25"/>
      <c r="NK376" s="25"/>
      <c r="NL376" s="25"/>
      <c r="NM376" s="25"/>
      <c r="NN376" s="25"/>
      <c r="NO376" s="25"/>
      <c r="NP376" s="25"/>
      <c r="NQ376" s="25"/>
      <c r="NR376" s="25"/>
      <c r="NS376" s="25"/>
      <c r="NT376" s="25"/>
      <c r="NU376" s="25"/>
      <c r="NV376" s="25"/>
      <c r="NW376" s="25"/>
      <c r="NX376" s="25"/>
      <c r="NY376" s="25"/>
      <c r="NZ376" s="25"/>
      <c r="OA376" s="25"/>
      <c r="OB376" s="25"/>
      <c r="OC376" s="25"/>
      <c r="OD376" s="25"/>
      <c r="OE376" s="25"/>
    </row>
    <row r="377" spans="1:395" ht="13.8" hidden="1" customHeight="1" outlineLevel="1" x14ac:dyDescent="0.3">
      <c r="C377" s="114" t="s">
        <v>123</v>
      </c>
      <c r="N377" s="25" t="s">
        <v>113</v>
      </c>
      <c r="O377" s="25"/>
      <c r="P377" s="27" t="s">
        <v>31</v>
      </c>
      <c r="Q377" s="25"/>
      <c r="R377" s="25"/>
      <c r="S377" s="25"/>
      <c r="T377" s="25"/>
      <c r="U377" s="25"/>
      <c r="V377" s="25"/>
      <c r="W377" s="25"/>
      <c r="X377" s="25"/>
      <c r="Y377" s="25"/>
      <c r="Z377" s="25"/>
      <c r="AA377" s="25"/>
      <c r="AB377" s="25"/>
      <c r="AC377" s="25"/>
      <c r="AD377" s="25"/>
      <c r="AE377" s="25"/>
      <c r="AF377" s="25"/>
      <c r="AG377" s="25"/>
      <c r="AH377" s="25"/>
      <c r="AI377" s="25"/>
      <c r="AJ377" s="25"/>
      <c r="AK377" s="25"/>
      <c r="AL377" s="25"/>
      <c r="AM377" s="25"/>
      <c r="AN377" s="25"/>
      <c r="AO377" s="25"/>
      <c r="AP377" s="25"/>
      <c r="AQ377" s="25"/>
      <c r="AR377" s="25"/>
      <c r="AS377" s="25"/>
      <c r="AT377" s="25"/>
      <c r="AU377" s="25"/>
      <c r="AV377" s="25"/>
      <c r="AW377" s="25"/>
      <c r="AX377" s="25"/>
      <c r="AY377" s="25"/>
      <c r="AZ377" s="25"/>
      <c r="BA377" s="25"/>
      <c r="BB377" s="25"/>
      <c r="BC377" s="25"/>
      <c r="BD377" s="25"/>
      <c r="BE377" s="25"/>
      <c r="BF377" s="25"/>
      <c r="BG377" s="25"/>
      <c r="BH377" s="25"/>
      <c r="BI377" s="25"/>
      <c r="BJ377" s="25"/>
      <c r="BK377" s="25"/>
      <c r="BL377" s="25"/>
      <c r="BM377" s="25"/>
      <c r="BN377" s="25"/>
      <c r="BO377" s="25"/>
      <c r="BP377" s="25"/>
      <c r="BQ377" s="25"/>
      <c r="BR377" s="25"/>
      <c r="BS377" s="25"/>
      <c r="BT377" s="25"/>
      <c r="BU377" s="25"/>
      <c r="BV377" s="25"/>
      <c r="BW377" s="25"/>
      <c r="BX377" s="25"/>
      <c r="BY377" s="25"/>
      <c r="BZ377" s="25"/>
      <c r="CA377" s="25"/>
      <c r="CB377" s="25"/>
      <c r="CC377" s="25"/>
      <c r="CD377" s="25"/>
      <c r="CE377" s="25"/>
      <c r="CF377" s="25"/>
      <c r="CG377" s="25"/>
      <c r="CH377" s="25"/>
      <c r="CI377" s="25"/>
      <c r="CJ377" s="25"/>
      <c r="CK377" s="25"/>
      <c r="CL377" s="25"/>
      <c r="CM377" s="25"/>
      <c r="CN377" s="25"/>
      <c r="CO377" s="25"/>
      <c r="CP377" s="25"/>
      <c r="CQ377" s="25"/>
      <c r="CR377" s="25"/>
      <c r="CS377" s="25"/>
      <c r="CT377" s="25"/>
      <c r="CU377" s="25"/>
      <c r="CV377" s="25"/>
      <c r="CW377" s="25"/>
      <c r="CX377" s="25"/>
      <c r="CY377" s="25"/>
      <c r="CZ377" s="25"/>
      <c r="DA377" s="25"/>
      <c r="DB377" s="25"/>
      <c r="DC377" s="25"/>
      <c r="DD377" s="25"/>
      <c r="DE377" s="25"/>
      <c r="DF377" s="25"/>
      <c r="DG377" s="25"/>
      <c r="DH377" s="25"/>
      <c r="DI377" s="25"/>
      <c r="DJ377" s="25"/>
      <c r="DK377" s="25"/>
      <c r="DL377" s="25"/>
      <c r="DM377" s="25"/>
      <c r="DN377" s="25"/>
      <c r="DO377" s="25"/>
      <c r="DP377" s="25"/>
      <c r="DQ377" s="25"/>
      <c r="DR377" s="25"/>
      <c r="DS377" s="25"/>
      <c r="DT377" s="25"/>
      <c r="DU377" s="25"/>
      <c r="DV377" s="25"/>
      <c r="DW377" s="25"/>
      <c r="DX377" s="25"/>
      <c r="DY377" s="25"/>
      <c r="DZ377" s="25"/>
      <c r="EA377" s="25"/>
      <c r="EB377" s="25"/>
      <c r="EC377" s="25"/>
      <c r="ED377" s="25"/>
      <c r="EE377" s="25"/>
      <c r="EF377" s="25"/>
      <c r="EG377" s="25"/>
      <c r="EH377" s="25"/>
      <c r="EI377" s="25"/>
      <c r="EJ377" s="25"/>
      <c r="EK377" s="25"/>
      <c r="EL377" s="25"/>
      <c r="EM377" s="25"/>
      <c r="EN377" s="25"/>
      <c r="EO377" s="25"/>
      <c r="EP377" s="25"/>
      <c r="EQ377" s="25"/>
      <c r="ER377" s="25"/>
      <c r="ES377" s="25"/>
      <c r="ET377" s="25"/>
      <c r="EU377" s="25"/>
      <c r="EV377" s="25"/>
      <c r="EW377" s="25"/>
      <c r="EX377" s="25"/>
      <c r="EY377" s="25"/>
      <c r="EZ377" s="25"/>
      <c r="FA377" s="25"/>
      <c r="FB377" s="25"/>
      <c r="FC377" s="25"/>
      <c r="FD377" s="25"/>
      <c r="FE377" s="25"/>
      <c r="FF377" s="25"/>
      <c r="FG377" s="25"/>
      <c r="FH377" s="25"/>
      <c r="FI377" s="25"/>
      <c r="FJ377" s="25"/>
      <c r="FK377" s="25"/>
      <c r="FL377" s="25"/>
      <c r="FM377" s="25"/>
      <c r="FN377" s="25"/>
      <c r="FO377" s="25"/>
      <c r="FP377" s="25"/>
      <c r="FQ377" s="25"/>
      <c r="FR377" s="25"/>
      <c r="FS377" s="25"/>
      <c r="FT377" s="25"/>
      <c r="FU377" s="25"/>
      <c r="FV377" s="25"/>
      <c r="FW377" s="25"/>
      <c r="FX377" s="25"/>
      <c r="FY377" s="25"/>
      <c r="FZ377" s="25"/>
      <c r="GA377" s="25"/>
      <c r="GB377" s="25"/>
      <c r="GC377" s="25"/>
      <c r="GD377" s="25"/>
      <c r="GE377" s="25"/>
      <c r="GF377" s="25"/>
      <c r="GG377" s="25"/>
      <c r="GH377" s="25"/>
      <c r="GI377" s="25"/>
      <c r="GJ377" s="25"/>
      <c r="GK377" s="25"/>
      <c r="GL377" s="25"/>
      <c r="GM377" s="25"/>
      <c r="GN377" s="25"/>
      <c r="GO377" s="25"/>
      <c r="GP377" s="25"/>
      <c r="GQ377" s="25"/>
      <c r="GR377" s="25"/>
      <c r="GS377" s="25"/>
      <c r="GT377" s="25"/>
      <c r="GU377" s="25"/>
      <c r="GV377" s="25"/>
      <c r="GW377" s="25"/>
      <c r="GX377" s="25"/>
      <c r="GY377" s="25"/>
      <c r="GZ377" s="25"/>
      <c r="HA377" s="25"/>
      <c r="HB377" s="25"/>
      <c r="HC377" s="25"/>
      <c r="HD377" s="25"/>
      <c r="HE377" s="25"/>
      <c r="HF377" s="25"/>
      <c r="HG377" s="25"/>
      <c r="HH377" s="25"/>
      <c r="HI377" s="25"/>
      <c r="HJ377" s="25"/>
      <c r="HK377" s="25"/>
      <c r="HL377" s="25"/>
      <c r="HM377" s="25"/>
      <c r="HN377" s="25"/>
      <c r="HO377" s="25"/>
      <c r="HP377" s="25"/>
      <c r="HQ377" s="25"/>
      <c r="HR377" s="25"/>
      <c r="HS377" s="25"/>
      <c r="HT377" s="25"/>
      <c r="HU377" s="25"/>
      <c r="HV377" s="25"/>
      <c r="HW377" s="25"/>
      <c r="HX377" s="25"/>
      <c r="HY377" s="25"/>
      <c r="HZ377" s="25"/>
      <c r="IA377" s="25"/>
      <c r="IB377" s="25"/>
      <c r="IC377" s="25"/>
      <c r="ID377" s="25"/>
      <c r="IE377" s="25"/>
      <c r="IF377" s="25"/>
      <c r="IG377" s="25"/>
      <c r="IH377" s="25"/>
      <c r="II377" s="25"/>
      <c r="IJ377" s="25"/>
      <c r="IK377" s="25"/>
      <c r="IL377" s="25"/>
      <c r="IM377" s="25"/>
      <c r="IN377" s="25"/>
      <c r="IO377" s="25"/>
      <c r="IP377" s="25"/>
      <c r="IQ377" s="25"/>
      <c r="IR377" s="25"/>
      <c r="IS377" s="25"/>
      <c r="IT377" s="25"/>
      <c r="IU377" s="25"/>
      <c r="IV377" s="25"/>
      <c r="IW377" s="25"/>
      <c r="IX377" s="25"/>
      <c r="IY377" s="25"/>
      <c r="IZ377" s="25"/>
      <c r="JA377" s="25"/>
      <c r="JB377" s="25"/>
      <c r="JC377" s="25"/>
      <c r="JD377" s="25"/>
      <c r="JE377" s="25"/>
      <c r="JF377" s="25"/>
      <c r="JG377" s="25"/>
      <c r="JH377" s="25"/>
      <c r="JI377" s="25"/>
      <c r="JJ377" s="25"/>
      <c r="JK377" s="25"/>
      <c r="JL377" s="25"/>
      <c r="JM377" s="25"/>
      <c r="JN377" s="25"/>
      <c r="JO377" s="25"/>
      <c r="JP377" s="25"/>
      <c r="JQ377" s="25"/>
      <c r="JR377" s="25"/>
      <c r="JS377" s="25"/>
      <c r="JT377" s="25"/>
      <c r="JU377" s="25"/>
      <c r="JV377" s="25"/>
      <c r="JW377" s="25"/>
      <c r="JX377" s="25"/>
      <c r="JY377" s="25"/>
      <c r="JZ377" s="25"/>
      <c r="KA377" s="25"/>
      <c r="KB377" s="25"/>
      <c r="KC377" s="25"/>
      <c r="KD377" s="25"/>
      <c r="KE377" s="25"/>
      <c r="KF377" s="25"/>
      <c r="KG377" s="25"/>
      <c r="KH377" s="25"/>
      <c r="KI377" s="25"/>
      <c r="KJ377" s="25"/>
      <c r="KK377" s="25"/>
      <c r="KL377" s="25"/>
      <c r="KM377" s="25"/>
      <c r="KN377" s="25"/>
      <c r="KO377" s="25"/>
      <c r="KP377" s="25"/>
      <c r="KQ377" s="25"/>
      <c r="KR377" s="25"/>
      <c r="KS377" s="25"/>
      <c r="KT377" s="25"/>
      <c r="KU377" s="25"/>
      <c r="KV377" s="25"/>
      <c r="KW377" s="25"/>
      <c r="KX377" s="25"/>
      <c r="KY377" s="25"/>
      <c r="KZ377" s="25"/>
      <c r="LA377" s="25"/>
      <c r="LB377" s="25"/>
      <c r="LC377" s="25"/>
      <c r="LD377" s="25"/>
      <c r="LE377" s="25"/>
      <c r="LF377" s="25"/>
      <c r="LG377" s="25"/>
      <c r="LH377" s="25"/>
      <c r="LI377" s="25"/>
      <c r="LJ377" s="25"/>
      <c r="LK377" s="25"/>
      <c r="LL377" s="25"/>
      <c r="LM377" s="25"/>
      <c r="LN377" s="25"/>
      <c r="LO377" s="25"/>
      <c r="LP377" s="25"/>
      <c r="LQ377" s="25"/>
      <c r="LR377" s="25"/>
      <c r="LS377" s="25"/>
      <c r="LT377" s="25"/>
      <c r="LU377" s="25"/>
      <c r="LV377" s="25"/>
      <c r="LW377" s="25"/>
      <c r="LX377" s="25"/>
      <c r="LY377" s="25"/>
      <c r="LZ377" s="25"/>
      <c r="MA377" s="25"/>
      <c r="MB377" s="25"/>
      <c r="MC377" s="25"/>
      <c r="MD377" s="25"/>
      <c r="ME377" s="25"/>
      <c r="MF377" s="25"/>
      <c r="MG377" s="25"/>
      <c r="MH377" s="25"/>
      <c r="MI377" s="25"/>
      <c r="MJ377" s="25"/>
      <c r="MK377" s="25"/>
      <c r="ML377" s="25"/>
      <c r="MM377" s="25"/>
      <c r="MN377" s="25"/>
      <c r="MO377" s="25"/>
      <c r="MP377" s="25"/>
      <c r="MQ377" s="25"/>
      <c r="MR377" s="25"/>
      <c r="MS377" s="25"/>
      <c r="MT377" s="25"/>
      <c r="MU377" s="25"/>
      <c r="MV377" s="25"/>
      <c r="MW377" s="25"/>
      <c r="MX377" s="25"/>
      <c r="MY377" s="25"/>
      <c r="MZ377" s="25"/>
      <c r="NA377" s="25"/>
      <c r="NB377" s="25"/>
      <c r="NC377" s="25"/>
      <c r="ND377" s="25"/>
      <c r="NE377" s="25"/>
      <c r="NF377" s="25"/>
      <c r="NG377" s="25"/>
      <c r="NH377" s="25"/>
      <c r="NI377" s="25"/>
      <c r="NJ377" s="25"/>
      <c r="NK377" s="25"/>
      <c r="NL377" s="25"/>
      <c r="NM377" s="25"/>
      <c r="NN377" s="25"/>
      <c r="NO377" s="25"/>
      <c r="NP377" s="25"/>
      <c r="NQ377" s="25"/>
      <c r="NR377" s="25"/>
      <c r="NS377" s="25"/>
      <c r="NT377" s="25"/>
      <c r="NU377" s="25"/>
      <c r="NV377" s="25"/>
      <c r="NW377" s="25"/>
      <c r="NX377" s="25"/>
      <c r="NY377" s="25"/>
      <c r="NZ377" s="25"/>
      <c r="OA377" s="25"/>
      <c r="OB377" s="25"/>
      <c r="OC377" s="25"/>
      <c r="OD377" s="25"/>
      <c r="OE377" s="25"/>
    </row>
    <row r="378" spans="1:395" ht="13.8" hidden="1" customHeight="1" outlineLevel="1" x14ac:dyDescent="0.3">
      <c r="D378" s="19" t="s">
        <v>68</v>
      </c>
      <c r="E378" s="10">
        <v>0.17499999999999999</v>
      </c>
      <c r="F378" s="259" t="s">
        <v>31</v>
      </c>
      <c r="N378" s="25" t="s">
        <v>114</v>
      </c>
      <c r="O378" s="25"/>
      <c r="P378" s="27" t="s">
        <v>29</v>
      </c>
      <c r="Q378" s="25"/>
      <c r="R378" s="25"/>
      <c r="S378" s="25"/>
      <c r="T378" s="25"/>
      <c r="U378" s="25"/>
      <c r="V378" s="25"/>
      <c r="W378" s="25"/>
      <c r="X378" s="25"/>
      <c r="Y378" s="25"/>
      <c r="Z378" s="25"/>
      <c r="AA378" s="25"/>
      <c r="AB378" s="25"/>
      <c r="AC378" s="25"/>
      <c r="AD378" s="25"/>
      <c r="AE378" s="25"/>
      <c r="AF378" s="25"/>
      <c r="AG378" s="25"/>
      <c r="AH378" s="25"/>
      <c r="AI378" s="25"/>
      <c r="AJ378" s="25"/>
      <c r="AK378" s="25"/>
      <c r="AL378" s="25"/>
      <c r="AM378" s="25"/>
      <c r="AN378" s="25"/>
      <c r="AO378" s="25"/>
      <c r="AP378" s="25"/>
      <c r="AQ378" s="25"/>
      <c r="AR378" s="25"/>
      <c r="AS378" s="25"/>
      <c r="AT378" s="25"/>
      <c r="AU378" s="25"/>
      <c r="AV378" s="25"/>
      <c r="AW378" s="25"/>
      <c r="AX378" s="25"/>
      <c r="AY378" s="25"/>
      <c r="AZ378" s="25"/>
      <c r="BA378" s="25"/>
      <c r="BB378" s="25"/>
      <c r="BC378" s="25"/>
      <c r="BD378" s="25"/>
      <c r="BE378" s="25"/>
      <c r="BF378" s="25"/>
      <c r="BG378" s="25"/>
      <c r="BH378" s="25"/>
      <c r="BI378" s="25"/>
      <c r="BJ378" s="25"/>
      <c r="BK378" s="25"/>
      <c r="BL378" s="25"/>
      <c r="BM378" s="25"/>
      <c r="BN378" s="25"/>
      <c r="BO378" s="25"/>
      <c r="BP378" s="25"/>
      <c r="BQ378" s="25"/>
      <c r="BR378" s="25"/>
      <c r="BS378" s="25"/>
      <c r="BT378" s="25"/>
      <c r="BU378" s="25"/>
      <c r="BV378" s="25"/>
      <c r="BW378" s="25"/>
      <c r="BX378" s="25"/>
      <c r="BY378" s="25"/>
      <c r="BZ378" s="25"/>
      <c r="CA378" s="25"/>
      <c r="CB378" s="25"/>
      <c r="CC378" s="25"/>
      <c r="CD378" s="25"/>
      <c r="CE378" s="25"/>
      <c r="CF378" s="25"/>
      <c r="CG378" s="25"/>
      <c r="CH378" s="25"/>
      <c r="CI378" s="25"/>
      <c r="CJ378" s="25"/>
      <c r="CK378" s="25"/>
      <c r="CL378" s="25"/>
      <c r="CM378" s="25"/>
      <c r="CN378" s="25"/>
      <c r="CO378" s="25"/>
      <c r="CP378" s="25"/>
      <c r="CQ378" s="25"/>
      <c r="CR378" s="25"/>
      <c r="CS378" s="25"/>
      <c r="CT378" s="25"/>
      <c r="CU378" s="25"/>
      <c r="CV378" s="25"/>
      <c r="CW378" s="25"/>
      <c r="CX378" s="25"/>
      <c r="CY378" s="25"/>
      <c r="CZ378" s="25"/>
      <c r="DA378" s="25"/>
      <c r="DB378" s="25"/>
      <c r="DC378" s="25"/>
      <c r="DD378" s="25"/>
      <c r="DE378" s="25"/>
      <c r="DF378" s="25"/>
      <c r="DG378" s="25"/>
      <c r="DH378" s="25"/>
      <c r="DI378" s="25"/>
      <c r="DJ378" s="25"/>
      <c r="DK378" s="25"/>
      <c r="DL378" s="25"/>
      <c r="DM378" s="25"/>
      <c r="DN378" s="25"/>
      <c r="DO378" s="25"/>
      <c r="DP378" s="25"/>
      <c r="DQ378" s="25"/>
      <c r="DR378" s="25"/>
      <c r="DS378" s="25"/>
      <c r="DT378" s="25"/>
      <c r="DU378" s="25"/>
      <c r="DV378" s="25"/>
      <c r="DW378" s="25"/>
      <c r="DX378" s="25"/>
      <c r="DY378" s="25"/>
      <c r="DZ378" s="25"/>
      <c r="EA378" s="25"/>
      <c r="EB378" s="25"/>
      <c r="EC378" s="25"/>
      <c r="ED378" s="25"/>
      <c r="EE378" s="25"/>
      <c r="EF378" s="25"/>
      <c r="EG378" s="25"/>
      <c r="EH378" s="25"/>
      <c r="EI378" s="25"/>
      <c r="EJ378" s="25"/>
      <c r="EK378" s="25"/>
      <c r="EL378" s="25"/>
      <c r="EM378" s="25"/>
      <c r="EN378" s="25"/>
      <c r="EO378" s="25"/>
      <c r="EP378" s="25"/>
      <c r="EQ378" s="25"/>
      <c r="ER378" s="25"/>
      <c r="ES378" s="25"/>
      <c r="ET378" s="25"/>
      <c r="EU378" s="25"/>
      <c r="EV378" s="25"/>
      <c r="EW378" s="25"/>
      <c r="EX378" s="25"/>
      <c r="EY378" s="25"/>
      <c r="EZ378" s="25"/>
      <c r="FA378" s="25"/>
      <c r="FB378" s="25"/>
      <c r="FC378" s="25"/>
      <c r="FD378" s="25"/>
      <c r="FE378" s="25"/>
      <c r="FF378" s="25"/>
      <c r="FG378" s="25"/>
      <c r="FH378" s="25"/>
      <c r="FI378" s="25"/>
      <c r="FJ378" s="25"/>
      <c r="FK378" s="25"/>
      <c r="FL378" s="25"/>
      <c r="FM378" s="25"/>
      <c r="FN378" s="25"/>
      <c r="FO378" s="25"/>
      <c r="FP378" s="25"/>
      <c r="FQ378" s="25"/>
      <c r="FR378" s="25"/>
      <c r="FS378" s="25"/>
      <c r="FT378" s="25"/>
      <c r="FU378" s="25"/>
      <c r="FV378" s="25"/>
      <c r="FW378" s="25"/>
      <c r="FX378" s="25"/>
      <c r="FY378" s="25"/>
      <c r="FZ378" s="25"/>
      <c r="GA378" s="25"/>
      <c r="GB378" s="25"/>
      <c r="GC378" s="25"/>
      <c r="GD378" s="25"/>
      <c r="GE378" s="25"/>
      <c r="GF378" s="25"/>
      <c r="GG378" s="25"/>
      <c r="GH378" s="25"/>
      <c r="GI378" s="25"/>
      <c r="GJ378" s="25"/>
      <c r="GK378" s="25"/>
      <c r="GL378" s="25"/>
      <c r="GM378" s="25"/>
      <c r="GN378" s="25"/>
      <c r="GO378" s="25"/>
      <c r="GP378" s="25"/>
      <c r="GQ378" s="25"/>
      <c r="GR378" s="25"/>
      <c r="GS378" s="25"/>
      <c r="GT378" s="25"/>
      <c r="GU378" s="25"/>
      <c r="GV378" s="25"/>
      <c r="GW378" s="25"/>
      <c r="GX378" s="25"/>
      <c r="GY378" s="25"/>
      <c r="GZ378" s="25"/>
      <c r="HA378" s="25"/>
      <c r="HB378" s="25"/>
      <c r="HC378" s="25"/>
      <c r="HD378" s="25"/>
      <c r="HE378" s="25"/>
      <c r="HF378" s="25"/>
      <c r="HG378" s="25"/>
      <c r="HH378" s="25"/>
      <c r="HI378" s="25"/>
      <c r="HJ378" s="25"/>
      <c r="HK378" s="25"/>
      <c r="HL378" s="25"/>
      <c r="HM378" s="25"/>
      <c r="HN378" s="25"/>
      <c r="HO378" s="25"/>
      <c r="HP378" s="25"/>
      <c r="HQ378" s="25"/>
      <c r="HR378" s="25"/>
      <c r="HS378" s="25"/>
      <c r="HT378" s="25"/>
      <c r="HU378" s="25"/>
      <c r="HV378" s="25"/>
      <c r="HW378" s="25"/>
      <c r="HX378" s="25"/>
      <c r="HY378" s="25"/>
      <c r="HZ378" s="25"/>
      <c r="IA378" s="25"/>
      <c r="IB378" s="25"/>
      <c r="IC378" s="25"/>
      <c r="ID378" s="25"/>
      <c r="IE378" s="25"/>
      <c r="IF378" s="25"/>
      <c r="IG378" s="25"/>
      <c r="IH378" s="25"/>
      <c r="II378" s="25"/>
      <c r="IJ378" s="25"/>
      <c r="IK378" s="25"/>
      <c r="IL378" s="25"/>
      <c r="IM378" s="25"/>
      <c r="IN378" s="25"/>
      <c r="IO378" s="25"/>
      <c r="IP378" s="25"/>
      <c r="IQ378" s="25"/>
      <c r="IR378" s="25"/>
      <c r="IS378" s="25"/>
      <c r="IT378" s="25"/>
      <c r="IU378" s="25"/>
      <c r="IV378" s="25"/>
      <c r="IW378" s="25"/>
      <c r="IX378" s="25"/>
      <c r="IY378" s="25"/>
      <c r="IZ378" s="25"/>
      <c r="JA378" s="25"/>
      <c r="JB378" s="25"/>
      <c r="JC378" s="25"/>
      <c r="JD378" s="25"/>
      <c r="JE378" s="25"/>
      <c r="JF378" s="25"/>
      <c r="JG378" s="25"/>
      <c r="JH378" s="25"/>
      <c r="JI378" s="25"/>
      <c r="JJ378" s="25"/>
      <c r="JK378" s="25"/>
      <c r="JL378" s="25"/>
      <c r="JM378" s="25"/>
      <c r="JN378" s="25"/>
      <c r="JO378" s="25"/>
      <c r="JP378" s="25"/>
      <c r="JQ378" s="25"/>
      <c r="JR378" s="25"/>
      <c r="JS378" s="25"/>
      <c r="JT378" s="25"/>
      <c r="JU378" s="25"/>
      <c r="JV378" s="25"/>
      <c r="JW378" s="25"/>
      <c r="JX378" s="25"/>
      <c r="JY378" s="25"/>
      <c r="JZ378" s="25"/>
      <c r="KA378" s="25"/>
      <c r="KB378" s="25"/>
      <c r="KC378" s="25"/>
      <c r="KD378" s="25"/>
      <c r="KE378" s="25"/>
      <c r="KF378" s="25"/>
      <c r="KG378" s="25"/>
      <c r="KH378" s="25"/>
      <c r="KI378" s="25"/>
      <c r="KJ378" s="25"/>
      <c r="KK378" s="25"/>
      <c r="KL378" s="25"/>
      <c r="KM378" s="25"/>
      <c r="KN378" s="25"/>
      <c r="KO378" s="25"/>
      <c r="KP378" s="25"/>
      <c r="KQ378" s="25"/>
      <c r="KR378" s="25"/>
      <c r="KS378" s="25"/>
      <c r="KT378" s="25"/>
      <c r="KU378" s="25"/>
      <c r="KV378" s="25"/>
      <c r="KW378" s="25"/>
      <c r="KX378" s="25"/>
      <c r="KY378" s="25"/>
      <c r="KZ378" s="25"/>
      <c r="LA378" s="25"/>
      <c r="LB378" s="25"/>
      <c r="LC378" s="25"/>
      <c r="LD378" s="25"/>
      <c r="LE378" s="25"/>
      <c r="LF378" s="25"/>
      <c r="LG378" s="25"/>
      <c r="LH378" s="25"/>
      <c r="LI378" s="25"/>
      <c r="LJ378" s="25"/>
      <c r="LK378" s="25"/>
      <c r="LL378" s="25"/>
      <c r="LM378" s="25"/>
      <c r="LN378" s="25"/>
      <c r="LO378" s="25"/>
      <c r="LP378" s="25"/>
      <c r="LQ378" s="25"/>
      <c r="LR378" s="25"/>
      <c r="LS378" s="25"/>
      <c r="LT378" s="25"/>
      <c r="LU378" s="25"/>
      <c r="LV378" s="25"/>
      <c r="LW378" s="25"/>
      <c r="LX378" s="25"/>
      <c r="LY378" s="25"/>
      <c r="LZ378" s="25"/>
      <c r="MA378" s="25"/>
      <c r="MB378" s="25"/>
      <c r="MC378" s="25"/>
      <c r="MD378" s="25"/>
      <c r="ME378" s="25"/>
      <c r="MF378" s="25"/>
      <c r="MG378" s="25"/>
      <c r="MH378" s="25"/>
      <c r="MI378" s="25"/>
      <c r="MJ378" s="25"/>
      <c r="MK378" s="25"/>
      <c r="ML378" s="25"/>
      <c r="MM378" s="25"/>
      <c r="MN378" s="25"/>
      <c r="MO378" s="25"/>
      <c r="MP378" s="25"/>
      <c r="MQ378" s="25"/>
      <c r="MR378" s="25"/>
      <c r="MS378" s="25"/>
      <c r="MT378" s="25"/>
      <c r="MU378" s="25"/>
      <c r="MV378" s="25"/>
      <c r="MW378" s="25"/>
      <c r="MX378" s="25"/>
      <c r="MY378" s="25"/>
      <c r="MZ378" s="25"/>
      <c r="NA378" s="25"/>
      <c r="NB378" s="25"/>
      <c r="NC378" s="25"/>
      <c r="ND378" s="25"/>
      <c r="NE378" s="25"/>
      <c r="NF378" s="25"/>
      <c r="NG378" s="25"/>
      <c r="NH378" s="25"/>
      <c r="NI378" s="25"/>
      <c r="NJ378" s="25"/>
      <c r="NK378" s="25"/>
      <c r="NL378" s="25"/>
      <c r="NM378" s="25"/>
      <c r="NN378" s="25"/>
      <c r="NO378" s="25"/>
      <c r="NP378" s="25"/>
      <c r="NQ378" s="25"/>
      <c r="NR378" s="25"/>
      <c r="NS378" s="25"/>
      <c r="NT378" s="25"/>
      <c r="NU378" s="25"/>
      <c r="NV378" s="25"/>
      <c r="NW378" s="25"/>
      <c r="NX378" s="25"/>
      <c r="NY378" s="25"/>
      <c r="NZ378" s="25"/>
      <c r="OA378" s="25"/>
      <c r="OB378" s="25"/>
      <c r="OC378" s="25"/>
      <c r="OD378" s="25"/>
      <c r="OE378" s="25"/>
    </row>
    <row r="379" spans="1:395" ht="13.8" hidden="1" customHeight="1" outlineLevel="1" x14ac:dyDescent="0.3">
      <c r="D379" s="19" t="s">
        <v>69</v>
      </c>
      <c r="E379" s="10">
        <v>0.15</v>
      </c>
      <c r="F379" s="259" t="s">
        <v>31</v>
      </c>
      <c r="N379" s="25"/>
      <c r="O379" s="25"/>
      <c r="P379" s="27"/>
      <c r="Q379" s="25"/>
      <c r="R379" s="25"/>
      <c r="S379" s="25"/>
      <c r="T379" s="25"/>
      <c r="U379" s="25"/>
      <c r="V379" s="25"/>
      <c r="W379" s="25"/>
      <c r="X379" s="25"/>
      <c r="Y379" s="25"/>
      <c r="Z379" s="25"/>
      <c r="AA379" s="25"/>
      <c r="AB379" s="25"/>
      <c r="AC379" s="25"/>
      <c r="AD379" s="25"/>
      <c r="AE379" s="25"/>
      <c r="AF379" s="25"/>
      <c r="AG379" s="25"/>
      <c r="AH379" s="25"/>
      <c r="AI379" s="25"/>
      <c r="AJ379" s="25"/>
      <c r="AK379" s="25"/>
      <c r="AL379" s="25"/>
      <c r="AM379" s="25"/>
      <c r="AN379" s="25"/>
      <c r="AO379" s="25"/>
      <c r="AP379" s="25"/>
      <c r="AQ379" s="25"/>
      <c r="AR379" s="25"/>
      <c r="AS379" s="25"/>
      <c r="AT379" s="25"/>
      <c r="AU379" s="25"/>
      <c r="AV379" s="25"/>
      <c r="AW379" s="25"/>
      <c r="AX379" s="25"/>
      <c r="AY379" s="25"/>
      <c r="AZ379" s="25"/>
      <c r="BA379" s="25"/>
      <c r="BB379" s="25"/>
      <c r="BC379" s="25"/>
      <c r="BD379" s="25"/>
      <c r="BE379" s="25"/>
      <c r="BF379" s="25"/>
      <c r="BG379" s="25"/>
      <c r="BH379" s="25"/>
      <c r="BI379" s="25"/>
      <c r="BJ379" s="25"/>
      <c r="BK379" s="25"/>
      <c r="BL379" s="25"/>
      <c r="BM379" s="25"/>
      <c r="BN379" s="25"/>
      <c r="BO379" s="25"/>
      <c r="BP379" s="25"/>
      <c r="BQ379" s="25"/>
      <c r="BR379" s="25"/>
      <c r="BS379" s="25"/>
      <c r="BT379" s="25"/>
      <c r="BU379" s="25"/>
      <c r="BV379" s="25"/>
      <c r="BW379" s="25"/>
      <c r="BX379" s="25"/>
      <c r="BY379" s="25"/>
      <c r="BZ379" s="25"/>
      <c r="CA379" s="25"/>
      <c r="CB379" s="25"/>
      <c r="CC379" s="25"/>
      <c r="CD379" s="25"/>
      <c r="CE379" s="25"/>
      <c r="CF379" s="25"/>
      <c r="CG379" s="25"/>
      <c r="CH379" s="25"/>
      <c r="CI379" s="25"/>
      <c r="CJ379" s="25"/>
      <c r="CK379" s="25"/>
      <c r="CL379" s="25"/>
      <c r="CM379" s="25"/>
      <c r="CN379" s="25"/>
      <c r="CO379" s="25"/>
      <c r="CP379" s="25"/>
      <c r="CQ379" s="25"/>
      <c r="CR379" s="25"/>
      <c r="CS379" s="25"/>
      <c r="CT379" s="25"/>
      <c r="CU379" s="25"/>
      <c r="CV379" s="25"/>
      <c r="CW379" s="25"/>
      <c r="CX379" s="25"/>
      <c r="CY379" s="25"/>
      <c r="CZ379" s="25"/>
      <c r="DA379" s="25"/>
      <c r="DB379" s="25"/>
      <c r="DC379" s="25"/>
      <c r="DD379" s="25"/>
      <c r="DE379" s="25"/>
      <c r="DF379" s="25"/>
      <c r="DG379" s="25"/>
      <c r="DH379" s="25"/>
      <c r="DI379" s="25"/>
      <c r="DJ379" s="25"/>
      <c r="DK379" s="25"/>
      <c r="DL379" s="25"/>
      <c r="DM379" s="25"/>
      <c r="DN379" s="25"/>
      <c r="DO379" s="25"/>
      <c r="DP379" s="25"/>
      <c r="DQ379" s="25"/>
      <c r="DR379" s="25"/>
      <c r="DS379" s="25"/>
      <c r="DT379" s="25"/>
      <c r="DU379" s="25"/>
      <c r="DV379" s="25"/>
      <c r="DW379" s="25"/>
      <c r="DX379" s="25"/>
      <c r="DY379" s="25"/>
      <c r="DZ379" s="25"/>
      <c r="EA379" s="25"/>
      <c r="EB379" s="25"/>
      <c r="EC379" s="25"/>
      <c r="ED379" s="25"/>
      <c r="EE379" s="25"/>
      <c r="EF379" s="25"/>
      <c r="EG379" s="25"/>
      <c r="EH379" s="25"/>
      <c r="EI379" s="25"/>
      <c r="EJ379" s="25"/>
      <c r="EK379" s="25"/>
      <c r="EL379" s="25"/>
      <c r="EM379" s="25"/>
      <c r="EN379" s="25"/>
      <c r="EO379" s="25"/>
      <c r="EP379" s="25"/>
      <c r="EQ379" s="25"/>
      <c r="ER379" s="25"/>
      <c r="ES379" s="25"/>
      <c r="ET379" s="25"/>
      <c r="EU379" s="25"/>
      <c r="EV379" s="25"/>
      <c r="EW379" s="25"/>
      <c r="EX379" s="25"/>
      <c r="EY379" s="25"/>
      <c r="EZ379" s="25"/>
      <c r="FA379" s="25"/>
      <c r="FB379" s="25"/>
      <c r="FC379" s="25"/>
      <c r="FD379" s="25"/>
      <c r="FE379" s="25"/>
      <c r="FF379" s="25"/>
      <c r="FG379" s="25"/>
      <c r="FH379" s="25"/>
      <c r="FI379" s="25"/>
      <c r="FJ379" s="25"/>
      <c r="FK379" s="25"/>
      <c r="FL379" s="25"/>
      <c r="FM379" s="25"/>
      <c r="FN379" s="25"/>
      <c r="FO379" s="25"/>
      <c r="FP379" s="25"/>
      <c r="FQ379" s="25"/>
      <c r="FR379" s="25"/>
      <c r="FS379" s="25"/>
      <c r="FT379" s="25"/>
      <c r="FU379" s="25"/>
      <c r="FV379" s="25"/>
      <c r="FW379" s="25"/>
      <c r="FX379" s="25"/>
      <c r="FY379" s="25"/>
      <c r="FZ379" s="25"/>
      <c r="GA379" s="25"/>
      <c r="GB379" s="25"/>
      <c r="GC379" s="25"/>
      <c r="GD379" s="25"/>
      <c r="GE379" s="25"/>
      <c r="GF379" s="25"/>
      <c r="GG379" s="25"/>
      <c r="GH379" s="25"/>
      <c r="GI379" s="25"/>
      <c r="GJ379" s="25"/>
      <c r="GK379" s="25"/>
      <c r="GL379" s="25"/>
      <c r="GM379" s="25"/>
      <c r="GN379" s="25"/>
      <c r="GO379" s="25"/>
      <c r="GP379" s="25"/>
      <c r="GQ379" s="25"/>
      <c r="GR379" s="25"/>
      <c r="GS379" s="25"/>
      <c r="GT379" s="25"/>
      <c r="GU379" s="25"/>
      <c r="GV379" s="25"/>
      <c r="GW379" s="25"/>
      <c r="GX379" s="25"/>
      <c r="GY379" s="25"/>
      <c r="GZ379" s="25"/>
      <c r="HA379" s="25"/>
      <c r="HB379" s="25"/>
      <c r="HC379" s="25"/>
      <c r="HD379" s="25"/>
      <c r="HE379" s="25"/>
      <c r="HF379" s="25"/>
      <c r="HG379" s="25"/>
      <c r="HH379" s="25"/>
      <c r="HI379" s="25"/>
      <c r="HJ379" s="25"/>
      <c r="HK379" s="25"/>
      <c r="HL379" s="25"/>
      <c r="HM379" s="25"/>
      <c r="HN379" s="25"/>
      <c r="HO379" s="25"/>
      <c r="HP379" s="25"/>
      <c r="HQ379" s="25"/>
      <c r="HR379" s="25"/>
      <c r="HS379" s="25"/>
      <c r="HT379" s="25"/>
      <c r="HU379" s="25"/>
      <c r="HV379" s="25"/>
      <c r="HW379" s="25"/>
      <c r="HX379" s="25"/>
      <c r="HY379" s="25"/>
      <c r="HZ379" s="25"/>
      <c r="IA379" s="25"/>
      <c r="IB379" s="25"/>
      <c r="IC379" s="25"/>
      <c r="ID379" s="25"/>
      <c r="IE379" s="25"/>
      <c r="IF379" s="25"/>
      <c r="IG379" s="25"/>
      <c r="IH379" s="25"/>
      <c r="II379" s="25"/>
      <c r="IJ379" s="25"/>
      <c r="IK379" s="25"/>
      <c r="IL379" s="25"/>
      <c r="IM379" s="25"/>
      <c r="IN379" s="25"/>
      <c r="IO379" s="25"/>
      <c r="IP379" s="25"/>
      <c r="IQ379" s="25"/>
      <c r="IR379" s="25"/>
      <c r="IS379" s="25"/>
      <c r="IT379" s="25"/>
      <c r="IU379" s="25"/>
      <c r="IV379" s="25"/>
      <c r="IW379" s="25"/>
      <c r="IX379" s="25"/>
      <c r="IY379" s="25"/>
      <c r="IZ379" s="25"/>
      <c r="JA379" s="25"/>
      <c r="JB379" s="25"/>
      <c r="JC379" s="25"/>
      <c r="JD379" s="25"/>
      <c r="JE379" s="25"/>
      <c r="JF379" s="25"/>
      <c r="JG379" s="25"/>
      <c r="JH379" s="25"/>
      <c r="JI379" s="25"/>
      <c r="JJ379" s="25"/>
      <c r="JK379" s="25"/>
      <c r="JL379" s="25"/>
      <c r="JM379" s="25"/>
      <c r="JN379" s="25"/>
      <c r="JO379" s="25"/>
      <c r="JP379" s="25"/>
      <c r="JQ379" s="25"/>
      <c r="JR379" s="25"/>
      <c r="JS379" s="25"/>
      <c r="JT379" s="25"/>
      <c r="JU379" s="25"/>
      <c r="JV379" s="25"/>
      <c r="JW379" s="25"/>
      <c r="JX379" s="25"/>
      <c r="JY379" s="25"/>
      <c r="JZ379" s="25"/>
      <c r="KA379" s="25"/>
      <c r="KB379" s="25"/>
      <c r="KC379" s="25"/>
      <c r="KD379" s="25"/>
      <c r="KE379" s="25"/>
      <c r="KF379" s="25"/>
      <c r="KG379" s="25"/>
      <c r="KH379" s="25"/>
      <c r="KI379" s="25"/>
      <c r="KJ379" s="25"/>
      <c r="KK379" s="25"/>
      <c r="KL379" s="25"/>
      <c r="KM379" s="25"/>
      <c r="KN379" s="25"/>
      <c r="KO379" s="25"/>
      <c r="KP379" s="25"/>
      <c r="KQ379" s="25"/>
      <c r="KR379" s="25"/>
      <c r="KS379" s="25"/>
      <c r="KT379" s="25"/>
      <c r="KU379" s="25"/>
      <c r="KV379" s="25"/>
      <c r="KW379" s="25"/>
      <c r="KX379" s="25"/>
      <c r="KY379" s="25"/>
      <c r="KZ379" s="25"/>
      <c r="LA379" s="25"/>
      <c r="LB379" s="25"/>
      <c r="LC379" s="25"/>
      <c r="LD379" s="25"/>
      <c r="LE379" s="25"/>
      <c r="LF379" s="25"/>
      <c r="LG379" s="25"/>
      <c r="LH379" s="25"/>
      <c r="LI379" s="25"/>
      <c r="LJ379" s="25"/>
      <c r="LK379" s="25"/>
      <c r="LL379" s="25"/>
      <c r="LM379" s="25"/>
      <c r="LN379" s="25"/>
      <c r="LO379" s="25"/>
      <c r="LP379" s="25"/>
      <c r="LQ379" s="25"/>
      <c r="LR379" s="25"/>
      <c r="LS379" s="25"/>
      <c r="LT379" s="25"/>
      <c r="LU379" s="25"/>
      <c r="LV379" s="25"/>
      <c r="LW379" s="25"/>
      <c r="LX379" s="25"/>
      <c r="LY379" s="25"/>
      <c r="LZ379" s="25"/>
      <c r="MA379" s="25"/>
      <c r="MB379" s="25"/>
      <c r="MC379" s="25"/>
      <c r="MD379" s="25"/>
      <c r="ME379" s="25"/>
      <c r="MF379" s="25"/>
      <c r="MG379" s="25"/>
      <c r="MH379" s="25"/>
      <c r="MI379" s="25"/>
      <c r="MJ379" s="25"/>
      <c r="MK379" s="25"/>
      <c r="ML379" s="25"/>
      <c r="MM379" s="25"/>
      <c r="MN379" s="25"/>
      <c r="MO379" s="25"/>
      <c r="MP379" s="25"/>
      <c r="MQ379" s="25"/>
      <c r="MR379" s="25"/>
      <c r="MS379" s="25"/>
      <c r="MT379" s="25"/>
      <c r="MU379" s="25"/>
      <c r="MV379" s="25"/>
      <c r="MW379" s="25"/>
      <c r="MX379" s="25"/>
      <c r="MY379" s="25"/>
      <c r="MZ379" s="25"/>
      <c r="NA379" s="25"/>
      <c r="NB379" s="25"/>
      <c r="NC379" s="25"/>
      <c r="ND379" s="25"/>
      <c r="NE379" s="25"/>
      <c r="NF379" s="25"/>
      <c r="NG379" s="25"/>
      <c r="NH379" s="25"/>
      <c r="NI379" s="25"/>
      <c r="NJ379" s="25"/>
      <c r="NK379" s="25"/>
      <c r="NL379" s="25"/>
      <c r="NM379" s="25"/>
      <c r="NN379" s="25"/>
      <c r="NO379" s="25"/>
      <c r="NP379" s="25"/>
      <c r="NQ379" s="25"/>
      <c r="NR379" s="25"/>
      <c r="NS379" s="25"/>
      <c r="NT379" s="25"/>
      <c r="NU379" s="25"/>
      <c r="NV379" s="25"/>
      <c r="NW379" s="25"/>
      <c r="NX379" s="25"/>
      <c r="NY379" s="25"/>
      <c r="NZ379" s="25"/>
      <c r="OA379" s="25"/>
      <c r="OB379" s="25"/>
      <c r="OC379" s="25"/>
      <c r="OD379" s="25"/>
      <c r="OE379" s="25"/>
    </row>
    <row r="380" spans="1:395" ht="13.8" hidden="1" customHeight="1" outlineLevel="1" x14ac:dyDescent="0.3">
      <c r="D380" s="19" t="s">
        <v>63</v>
      </c>
      <c r="E380" s="10">
        <v>5.0000000000000001E-3</v>
      </c>
      <c r="F380" s="259" t="s">
        <v>67</v>
      </c>
      <c r="N380" s="25" t="s">
        <v>115</v>
      </c>
      <c r="O380" s="25"/>
      <c r="P380" s="27" t="s">
        <v>125</v>
      </c>
      <c r="Q380" s="25"/>
      <c r="R380" s="25"/>
      <c r="S380" s="25"/>
      <c r="T380" s="25"/>
      <c r="U380" s="25"/>
      <c r="V380" s="25"/>
      <c r="W380" s="25"/>
      <c r="X380" s="25"/>
      <c r="Y380" s="25"/>
      <c r="Z380" s="25"/>
      <c r="AA380" s="25"/>
      <c r="AB380" s="25"/>
      <c r="AC380" s="25"/>
      <c r="AD380" s="25"/>
      <c r="AE380" s="25"/>
      <c r="AF380" s="25"/>
      <c r="AG380" s="25"/>
      <c r="AH380" s="25"/>
      <c r="AI380" s="25"/>
      <c r="AJ380" s="25"/>
      <c r="AK380" s="25"/>
      <c r="AL380" s="25"/>
      <c r="AM380" s="25"/>
      <c r="AN380" s="25"/>
      <c r="AO380" s="25"/>
      <c r="AP380" s="25"/>
      <c r="AQ380" s="25"/>
      <c r="AR380" s="25"/>
      <c r="AS380" s="25"/>
      <c r="AT380" s="25"/>
      <c r="AU380" s="25"/>
      <c r="AV380" s="25"/>
      <c r="AW380" s="25"/>
      <c r="AX380" s="25"/>
      <c r="AY380" s="25"/>
      <c r="AZ380" s="25"/>
      <c r="BA380" s="25"/>
      <c r="BB380" s="25"/>
      <c r="BC380" s="25"/>
      <c r="BD380" s="25"/>
      <c r="BE380" s="25"/>
      <c r="BF380" s="25"/>
      <c r="BG380" s="25"/>
      <c r="BH380" s="25"/>
      <c r="BI380" s="25"/>
      <c r="BJ380" s="25"/>
      <c r="BK380" s="25"/>
      <c r="BL380" s="25"/>
      <c r="BM380" s="25"/>
      <c r="BN380" s="25"/>
      <c r="BO380" s="25"/>
      <c r="BP380" s="25"/>
      <c r="BQ380" s="25"/>
      <c r="BR380" s="25"/>
      <c r="BS380" s="25"/>
      <c r="BT380" s="25"/>
      <c r="BU380" s="25"/>
      <c r="BV380" s="25"/>
      <c r="BW380" s="25"/>
      <c r="BX380" s="25"/>
      <c r="BY380" s="25"/>
      <c r="BZ380" s="25"/>
      <c r="CA380" s="25"/>
      <c r="CB380" s="25"/>
      <c r="CC380" s="25"/>
      <c r="CD380" s="25"/>
      <c r="CE380" s="25"/>
      <c r="CF380" s="25"/>
      <c r="CG380" s="25"/>
      <c r="CH380" s="25"/>
      <c r="CI380" s="25"/>
      <c r="CJ380" s="25"/>
      <c r="CK380" s="25"/>
      <c r="CL380" s="25"/>
      <c r="CM380" s="25"/>
      <c r="CN380" s="25"/>
      <c r="CO380" s="25"/>
      <c r="CP380" s="25"/>
      <c r="CQ380" s="25"/>
      <c r="CR380" s="25"/>
      <c r="CS380" s="25"/>
      <c r="CT380" s="25"/>
      <c r="CU380" s="25"/>
      <c r="CV380" s="25"/>
      <c r="CW380" s="25"/>
      <c r="CX380" s="25"/>
      <c r="CY380" s="25"/>
      <c r="CZ380" s="25"/>
      <c r="DA380" s="25"/>
      <c r="DB380" s="25"/>
      <c r="DC380" s="25"/>
      <c r="DD380" s="25"/>
      <c r="DE380" s="25"/>
      <c r="DF380" s="25"/>
      <c r="DG380" s="25"/>
      <c r="DH380" s="25"/>
      <c r="DI380" s="25"/>
      <c r="DJ380" s="25"/>
      <c r="DK380" s="25"/>
      <c r="DL380" s="25"/>
      <c r="DM380" s="25"/>
      <c r="DN380" s="25"/>
      <c r="DO380" s="25"/>
      <c r="DP380" s="25"/>
      <c r="DQ380" s="25"/>
      <c r="DR380" s="25"/>
      <c r="DS380" s="25"/>
      <c r="DT380" s="25"/>
      <c r="DU380" s="25"/>
      <c r="DV380" s="25"/>
      <c r="DW380" s="25"/>
      <c r="DX380" s="25"/>
      <c r="DY380" s="25"/>
      <c r="DZ380" s="25"/>
      <c r="EA380" s="25"/>
      <c r="EB380" s="25"/>
      <c r="EC380" s="25"/>
      <c r="ED380" s="25"/>
      <c r="EE380" s="25"/>
      <c r="EF380" s="25"/>
      <c r="EG380" s="25"/>
      <c r="EH380" s="25"/>
      <c r="EI380" s="25"/>
      <c r="EJ380" s="25"/>
      <c r="EK380" s="25"/>
      <c r="EL380" s="25"/>
      <c r="EM380" s="25"/>
      <c r="EN380" s="25"/>
      <c r="EO380" s="25"/>
      <c r="EP380" s="25"/>
      <c r="EQ380" s="25"/>
      <c r="ER380" s="25"/>
      <c r="ES380" s="25"/>
      <c r="ET380" s="25"/>
      <c r="EU380" s="25"/>
      <c r="EV380" s="25"/>
      <c r="EW380" s="25"/>
      <c r="EX380" s="25"/>
      <c r="EY380" s="25"/>
      <c r="EZ380" s="25"/>
      <c r="FA380" s="25"/>
      <c r="FB380" s="25"/>
      <c r="FC380" s="25"/>
      <c r="FD380" s="25"/>
      <c r="FE380" s="25"/>
      <c r="FF380" s="25"/>
      <c r="FG380" s="25"/>
      <c r="FH380" s="25"/>
      <c r="FI380" s="25"/>
      <c r="FJ380" s="25"/>
      <c r="FK380" s="25"/>
      <c r="FL380" s="25"/>
      <c r="FM380" s="25"/>
      <c r="FN380" s="25"/>
      <c r="FO380" s="25"/>
      <c r="FP380" s="25"/>
      <c r="FQ380" s="25"/>
      <c r="FR380" s="25"/>
      <c r="FS380" s="25"/>
      <c r="FT380" s="25"/>
      <c r="FU380" s="25"/>
      <c r="FV380" s="25"/>
      <c r="FW380" s="25"/>
      <c r="FX380" s="25"/>
      <c r="FY380" s="25"/>
      <c r="FZ380" s="25"/>
      <c r="GA380" s="25"/>
      <c r="GB380" s="25"/>
      <c r="GC380" s="25"/>
      <c r="GD380" s="25"/>
      <c r="GE380" s="25"/>
      <c r="GF380" s="25"/>
      <c r="GG380" s="25"/>
      <c r="GH380" s="25"/>
      <c r="GI380" s="25"/>
      <c r="GJ380" s="25"/>
      <c r="GK380" s="25"/>
      <c r="GL380" s="25"/>
      <c r="GM380" s="25"/>
      <c r="GN380" s="25"/>
      <c r="GO380" s="25"/>
      <c r="GP380" s="25"/>
      <c r="GQ380" s="25"/>
      <c r="GR380" s="25"/>
      <c r="GS380" s="25"/>
      <c r="GT380" s="25"/>
      <c r="GU380" s="25"/>
      <c r="GV380" s="25"/>
      <c r="GW380" s="25"/>
      <c r="GX380" s="25"/>
      <c r="GY380" s="25"/>
      <c r="GZ380" s="25"/>
      <c r="HA380" s="25"/>
      <c r="HB380" s="25"/>
      <c r="HC380" s="25"/>
      <c r="HD380" s="25"/>
      <c r="HE380" s="25"/>
      <c r="HF380" s="25"/>
      <c r="HG380" s="25"/>
      <c r="HH380" s="25"/>
      <c r="HI380" s="25"/>
      <c r="HJ380" s="25"/>
      <c r="HK380" s="25"/>
      <c r="HL380" s="25"/>
      <c r="HM380" s="25"/>
      <c r="HN380" s="25"/>
      <c r="HO380" s="25"/>
      <c r="HP380" s="25"/>
      <c r="HQ380" s="25"/>
      <c r="HR380" s="25"/>
      <c r="HS380" s="25"/>
      <c r="HT380" s="25"/>
      <c r="HU380" s="25"/>
      <c r="HV380" s="25"/>
      <c r="HW380" s="25"/>
      <c r="HX380" s="25"/>
      <c r="HY380" s="25"/>
      <c r="HZ380" s="25"/>
      <c r="IA380" s="25"/>
      <c r="IB380" s="25"/>
      <c r="IC380" s="25"/>
      <c r="ID380" s="25"/>
      <c r="IE380" s="25"/>
      <c r="IF380" s="25"/>
      <c r="IG380" s="25"/>
      <c r="IH380" s="25"/>
      <c r="II380" s="25"/>
      <c r="IJ380" s="25"/>
      <c r="IK380" s="25"/>
      <c r="IL380" s="25"/>
      <c r="IM380" s="25"/>
      <c r="IN380" s="25"/>
      <c r="IO380" s="25"/>
      <c r="IP380" s="25"/>
      <c r="IQ380" s="25"/>
      <c r="IR380" s="25"/>
      <c r="IS380" s="25"/>
      <c r="IT380" s="25"/>
      <c r="IU380" s="25"/>
      <c r="IV380" s="25"/>
      <c r="IW380" s="25"/>
      <c r="IX380" s="25"/>
      <c r="IY380" s="25"/>
      <c r="IZ380" s="25"/>
      <c r="JA380" s="25"/>
      <c r="JB380" s="25"/>
      <c r="JC380" s="25"/>
      <c r="JD380" s="25"/>
      <c r="JE380" s="25"/>
      <c r="JF380" s="25"/>
      <c r="JG380" s="25"/>
      <c r="JH380" s="25"/>
      <c r="JI380" s="25"/>
      <c r="JJ380" s="25"/>
      <c r="JK380" s="25"/>
      <c r="JL380" s="25"/>
      <c r="JM380" s="25"/>
      <c r="JN380" s="25"/>
      <c r="JO380" s="25"/>
      <c r="JP380" s="25"/>
      <c r="JQ380" s="25"/>
      <c r="JR380" s="25"/>
      <c r="JS380" s="25"/>
      <c r="JT380" s="25"/>
      <c r="JU380" s="25"/>
      <c r="JV380" s="25"/>
      <c r="JW380" s="25"/>
      <c r="JX380" s="25"/>
      <c r="JY380" s="25"/>
      <c r="JZ380" s="25"/>
      <c r="KA380" s="25"/>
      <c r="KB380" s="25"/>
      <c r="KC380" s="25"/>
      <c r="KD380" s="25"/>
      <c r="KE380" s="25"/>
      <c r="KF380" s="25"/>
      <c r="KG380" s="25"/>
      <c r="KH380" s="25"/>
      <c r="KI380" s="25"/>
      <c r="KJ380" s="25"/>
      <c r="KK380" s="25"/>
      <c r="KL380" s="25"/>
      <c r="KM380" s="25"/>
      <c r="KN380" s="25"/>
      <c r="KO380" s="25"/>
      <c r="KP380" s="25"/>
      <c r="KQ380" s="25"/>
      <c r="KR380" s="25"/>
      <c r="KS380" s="25"/>
      <c r="KT380" s="25"/>
      <c r="KU380" s="25"/>
      <c r="KV380" s="25"/>
      <c r="KW380" s="25"/>
      <c r="KX380" s="25"/>
      <c r="KY380" s="25"/>
      <c r="KZ380" s="25"/>
      <c r="LA380" s="25"/>
      <c r="LB380" s="25"/>
      <c r="LC380" s="25"/>
      <c r="LD380" s="25"/>
      <c r="LE380" s="25"/>
      <c r="LF380" s="25"/>
      <c r="LG380" s="25"/>
      <c r="LH380" s="25"/>
      <c r="LI380" s="25"/>
      <c r="LJ380" s="25"/>
      <c r="LK380" s="25"/>
      <c r="LL380" s="25"/>
      <c r="LM380" s="25"/>
      <c r="LN380" s="25"/>
      <c r="LO380" s="25"/>
      <c r="LP380" s="25"/>
      <c r="LQ380" s="25"/>
      <c r="LR380" s="25"/>
      <c r="LS380" s="25"/>
      <c r="LT380" s="25"/>
      <c r="LU380" s="25"/>
      <c r="LV380" s="25"/>
      <c r="LW380" s="25"/>
      <c r="LX380" s="25"/>
      <c r="LY380" s="25"/>
      <c r="LZ380" s="25"/>
      <c r="MA380" s="25"/>
      <c r="MB380" s="25"/>
      <c r="MC380" s="25"/>
      <c r="MD380" s="25"/>
      <c r="ME380" s="25"/>
      <c r="MF380" s="25"/>
      <c r="MG380" s="25"/>
      <c r="MH380" s="25"/>
      <c r="MI380" s="25"/>
      <c r="MJ380" s="25"/>
      <c r="MK380" s="25"/>
      <c r="ML380" s="25"/>
      <c r="MM380" s="25"/>
      <c r="MN380" s="25"/>
      <c r="MO380" s="25"/>
      <c r="MP380" s="25"/>
      <c r="MQ380" s="25"/>
      <c r="MR380" s="25"/>
      <c r="MS380" s="25"/>
      <c r="MT380" s="25"/>
      <c r="MU380" s="25"/>
      <c r="MV380" s="25"/>
      <c r="MW380" s="25"/>
      <c r="MX380" s="25"/>
      <c r="MY380" s="25"/>
      <c r="MZ380" s="25"/>
      <c r="NA380" s="25"/>
      <c r="NB380" s="25"/>
      <c r="NC380" s="25"/>
      <c r="ND380" s="25"/>
      <c r="NE380" s="25"/>
      <c r="NF380" s="25"/>
      <c r="NG380" s="25"/>
      <c r="NH380" s="25"/>
      <c r="NI380" s="25"/>
      <c r="NJ380" s="25"/>
      <c r="NK380" s="25"/>
      <c r="NL380" s="25"/>
      <c r="NM380" s="25"/>
      <c r="NN380" s="25"/>
      <c r="NO380" s="25"/>
      <c r="NP380" s="25"/>
      <c r="NQ380" s="25"/>
      <c r="NR380" s="25"/>
      <c r="NS380" s="25"/>
      <c r="NT380" s="25"/>
      <c r="NU380" s="25"/>
      <c r="NV380" s="25"/>
      <c r="NW380" s="25"/>
      <c r="NX380" s="25"/>
      <c r="NY380" s="25"/>
      <c r="NZ380" s="25"/>
      <c r="OA380" s="25"/>
      <c r="OB380" s="25"/>
      <c r="OC380" s="25"/>
      <c r="OD380" s="25"/>
      <c r="OE380" s="25"/>
    </row>
    <row r="381" spans="1:395" ht="13.8" hidden="1" customHeight="1" outlineLevel="1" x14ac:dyDescent="0.3">
      <c r="D381" s="19" t="s">
        <v>70</v>
      </c>
      <c r="E381" s="10">
        <f>8600</f>
        <v>8600</v>
      </c>
      <c r="F381" s="259" t="s">
        <v>71</v>
      </c>
      <c r="N381" s="25" t="s">
        <v>116</v>
      </c>
      <c r="O381" s="25"/>
      <c r="P381" s="27" t="s">
        <v>26</v>
      </c>
      <c r="Q381" s="25"/>
      <c r="R381" s="25"/>
      <c r="S381" s="25"/>
      <c r="T381" s="25"/>
      <c r="U381" s="25"/>
      <c r="V381" s="25"/>
      <c r="W381" s="25"/>
      <c r="X381" s="25"/>
      <c r="Y381" s="25"/>
      <c r="Z381" s="25"/>
      <c r="AA381" s="25"/>
      <c r="AB381" s="25"/>
      <c r="AC381" s="25"/>
      <c r="AD381" s="25"/>
      <c r="AE381" s="25"/>
      <c r="AF381" s="25"/>
      <c r="AG381" s="25"/>
      <c r="AH381" s="25"/>
      <c r="AI381" s="25"/>
      <c r="AJ381" s="25"/>
      <c r="AK381" s="25"/>
      <c r="AL381" s="25"/>
      <c r="AM381" s="25"/>
      <c r="AN381" s="25"/>
      <c r="AO381" s="25"/>
      <c r="AP381" s="25"/>
      <c r="AQ381" s="25"/>
      <c r="AR381" s="25"/>
      <c r="AS381" s="25"/>
      <c r="AT381" s="25"/>
      <c r="AU381" s="25"/>
      <c r="AV381" s="25"/>
      <c r="AW381" s="25"/>
      <c r="AX381" s="25"/>
      <c r="AY381" s="25"/>
      <c r="AZ381" s="25"/>
      <c r="BA381" s="25"/>
      <c r="BB381" s="25"/>
      <c r="BC381" s="25"/>
      <c r="BD381" s="25"/>
      <c r="BE381" s="25"/>
      <c r="BF381" s="25"/>
      <c r="BG381" s="25"/>
      <c r="BH381" s="25"/>
      <c r="BI381" s="25"/>
      <c r="BJ381" s="25"/>
      <c r="BK381" s="25"/>
      <c r="BL381" s="25"/>
      <c r="BM381" s="25"/>
      <c r="BN381" s="25"/>
      <c r="BO381" s="25"/>
      <c r="BP381" s="25"/>
      <c r="BQ381" s="25"/>
      <c r="BR381" s="25"/>
      <c r="BS381" s="25"/>
      <c r="BT381" s="25"/>
      <c r="BU381" s="25"/>
      <c r="BV381" s="25"/>
      <c r="BW381" s="25"/>
      <c r="BX381" s="25"/>
      <c r="BY381" s="25"/>
      <c r="BZ381" s="25"/>
      <c r="CA381" s="25"/>
      <c r="CB381" s="25"/>
      <c r="CC381" s="25"/>
      <c r="CD381" s="25"/>
      <c r="CE381" s="25"/>
      <c r="CF381" s="25"/>
      <c r="CG381" s="25"/>
      <c r="CH381" s="25"/>
      <c r="CI381" s="25"/>
      <c r="CJ381" s="25"/>
      <c r="CK381" s="25"/>
      <c r="CL381" s="25"/>
      <c r="CM381" s="25"/>
      <c r="CN381" s="25"/>
      <c r="CO381" s="25"/>
      <c r="CP381" s="25"/>
      <c r="CQ381" s="25"/>
      <c r="CR381" s="25"/>
      <c r="CS381" s="25"/>
      <c r="CT381" s="25"/>
      <c r="CU381" s="25"/>
      <c r="CV381" s="25"/>
      <c r="CW381" s="25"/>
      <c r="CX381" s="25"/>
      <c r="CY381" s="25"/>
      <c r="CZ381" s="25"/>
      <c r="DA381" s="25"/>
      <c r="DB381" s="25"/>
      <c r="DC381" s="25"/>
      <c r="DD381" s="25"/>
      <c r="DE381" s="25"/>
      <c r="DF381" s="25"/>
      <c r="DG381" s="25"/>
      <c r="DH381" s="25"/>
      <c r="DI381" s="25"/>
      <c r="DJ381" s="25"/>
      <c r="DK381" s="25"/>
      <c r="DL381" s="25"/>
      <c r="DM381" s="25"/>
      <c r="DN381" s="25"/>
      <c r="DO381" s="25"/>
      <c r="DP381" s="25"/>
      <c r="DQ381" s="25"/>
      <c r="DR381" s="25"/>
      <c r="DS381" s="25"/>
      <c r="DT381" s="25"/>
      <c r="DU381" s="25"/>
      <c r="DV381" s="25"/>
      <c r="DW381" s="25"/>
      <c r="DX381" s="25"/>
      <c r="DY381" s="25"/>
      <c r="DZ381" s="25"/>
      <c r="EA381" s="25"/>
      <c r="EB381" s="25"/>
      <c r="EC381" s="25"/>
      <c r="ED381" s="25"/>
      <c r="EE381" s="25"/>
      <c r="EF381" s="25"/>
      <c r="EG381" s="25"/>
      <c r="EH381" s="25"/>
      <c r="EI381" s="25"/>
      <c r="EJ381" s="25"/>
      <c r="EK381" s="25"/>
      <c r="EL381" s="25"/>
      <c r="EM381" s="25"/>
      <c r="EN381" s="25"/>
      <c r="EO381" s="25"/>
      <c r="EP381" s="25"/>
      <c r="EQ381" s="25"/>
      <c r="ER381" s="25"/>
      <c r="ES381" s="25"/>
      <c r="ET381" s="25"/>
      <c r="EU381" s="25"/>
      <c r="EV381" s="25"/>
      <c r="EW381" s="25"/>
      <c r="EX381" s="25"/>
      <c r="EY381" s="25"/>
      <c r="EZ381" s="25"/>
      <c r="FA381" s="25"/>
      <c r="FB381" s="25"/>
      <c r="FC381" s="25"/>
      <c r="FD381" s="25"/>
      <c r="FE381" s="25"/>
      <c r="FF381" s="25"/>
      <c r="FG381" s="25"/>
      <c r="FH381" s="25"/>
      <c r="FI381" s="25"/>
      <c r="FJ381" s="25"/>
      <c r="FK381" s="25"/>
      <c r="FL381" s="25"/>
      <c r="FM381" s="25"/>
      <c r="FN381" s="25"/>
      <c r="FO381" s="25"/>
      <c r="FP381" s="25"/>
      <c r="FQ381" s="25"/>
      <c r="FR381" s="25"/>
      <c r="FS381" s="25"/>
      <c r="FT381" s="25"/>
      <c r="FU381" s="25"/>
      <c r="FV381" s="25"/>
      <c r="FW381" s="25"/>
      <c r="FX381" s="25"/>
      <c r="FY381" s="25"/>
      <c r="FZ381" s="25"/>
      <c r="GA381" s="25"/>
      <c r="GB381" s="25"/>
      <c r="GC381" s="25"/>
      <c r="GD381" s="25"/>
      <c r="GE381" s="25"/>
      <c r="GF381" s="25"/>
      <c r="GG381" s="25"/>
      <c r="GH381" s="25"/>
      <c r="GI381" s="25"/>
      <c r="GJ381" s="25"/>
      <c r="GK381" s="25"/>
      <c r="GL381" s="25"/>
      <c r="GM381" s="25"/>
      <c r="GN381" s="25"/>
      <c r="GO381" s="25"/>
      <c r="GP381" s="25"/>
      <c r="GQ381" s="25"/>
      <c r="GR381" s="25"/>
      <c r="GS381" s="25"/>
      <c r="GT381" s="25"/>
      <c r="GU381" s="25"/>
      <c r="GV381" s="25"/>
      <c r="GW381" s="25"/>
      <c r="GX381" s="25"/>
      <c r="GY381" s="25"/>
      <c r="GZ381" s="25"/>
      <c r="HA381" s="25"/>
      <c r="HB381" s="25"/>
      <c r="HC381" s="25"/>
      <c r="HD381" s="25"/>
      <c r="HE381" s="25"/>
      <c r="HF381" s="25"/>
      <c r="HG381" s="25"/>
      <c r="HH381" s="25"/>
      <c r="HI381" s="25"/>
      <c r="HJ381" s="25"/>
      <c r="HK381" s="25"/>
      <c r="HL381" s="25"/>
      <c r="HM381" s="25"/>
      <c r="HN381" s="25"/>
      <c r="HO381" s="25"/>
      <c r="HP381" s="25"/>
      <c r="HQ381" s="25"/>
      <c r="HR381" s="25"/>
      <c r="HS381" s="25"/>
      <c r="HT381" s="25"/>
      <c r="HU381" s="25"/>
      <c r="HV381" s="25"/>
      <c r="HW381" s="25"/>
      <c r="HX381" s="25"/>
      <c r="HY381" s="25"/>
      <c r="HZ381" s="25"/>
      <c r="IA381" s="25"/>
      <c r="IB381" s="25"/>
      <c r="IC381" s="25"/>
      <c r="ID381" s="25"/>
      <c r="IE381" s="25"/>
      <c r="IF381" s="25"/>
      <c r="IG381" s="25"/>
      <c r="IH381" s="25"/>
      <c r="II381" s="25"/>
      <c r="IJ381" s="25"/>
      <c r="IK381" s="25"/>
      <c r="IL381" s="25"/>
      <c r="IM381" s="25"/>
      <c r="IN381" s="25"/>
      <c r="IO381" s="25"/>
      <c r="IP381" s="25"/>
      <c r="IQ381" s="25"/>
      <c r="IR381" s="25"/>
      <c r="IS381" s="25"/>
      <c r="IT381" s="25"/>
      <c r="IU381" s="25"/>
      <c r="IV381" s="25"/>
      <c r="IW381" s="25"/>
      <c r="IX381" s="25"/>
      <c r="IY381" s="25"/>
      <c r="IZ381" s="25"/>
      <c r="JA381" s="25"/>
      <c r="JB381" s="25"/>
      <c r="JC381" s="25"/>
      <c r="JD381" s="25"/>
      <c r="JE381" s="25"/>
      <c r="JF381" s="25"/>
      <c r="JG381" s="25"/>
      <c r="JH381" s="25"/>
      <c r="JI381" s="25"/>
      <c r="JJ381" s="25"/>
      <c r="JK381" s="25"/>
      <c r="JL381" s="25"/>
      <c r="JM381" s="25"/>
      <c r="JN381" s="25"/>
      <c r="JO381" s="25"/>
      <c r="JP381" s="25"/>
      <c r="JQ381" s="25"/>
      <c r="JR381" s="25"/>
      <c r="JS381" s="25"/>
      <c r="JT381" s="25"/>
      <c r="JU381" s="25"/>
      <c r="JV381" s="25"/>
      <c r="JW381" s="25"/>
      <c r="JX381" s="25"/>
      <c r="JY381" s="25"/>
      <c r="JZ381" s="25"/>
      <c r="KA381" s="25"/>
      <c r="KB381" s="25"/>
      <c r="KC381" s="25"/>
      <c r="KD381" s="25"/>
      <c r="KE381" s="25"/>
      <c r="KF381" s="25"/>
      <c r="KG381" s="25"/>
      <c r="KH381" s="25"/>
      <c r="KI381" s="25"/>
      <c r="KJ381" s="25"/>
      <c r="KK381" s="25"/>
      <c r="KL381" s="25"/>
      <c r="KM381" s="25"/>
      <c r="KN381" s="25"/>
      <c r="KO381" s="25"/>
      <c r="KP381" s="25"/>
      <c r="KQ381" s="25"/>
      <c r="KR381" s="25"/>
      <c r="KS381" s="25"/>
      <c r="KT381" s="25"/>
      <c r="KU381" s="25"/>
      <c r="KV381" s="25"/>
      <c r="KW381" s="25"/>
      <c r="KX381" s="25"/>
      <c r="KY381" s="25"/>
      <c r="KZ381" s="25"/>
      <c r="LA381" s="25"/>
      <c r="LB381" s="25"/>
      <c r="LC381" s="25"/>
      <c r="LD381" s="25"/>
      <c r="LE381" s="25"/>
      <c r="LF381" s="25"/>
      <c r="LG381" s="25"/>
      <c r="LH381" s="25"/>
      <c r="LI381" s="25"/>
      <c r="LJ381" s="25"/>
      <c r="LK381" s="25"/>
      <c r="LL381" s="25"/>
      <c r="LM381" s="25"/>
      <c r="LN381" s="25"/>
      <c r="LO381" s="25"/>
      <c r="LP381" s="25"/>
      <c r="LQ381" s="25"/>
      <c r="LR381" s="25"/>
      <c r="LS381" s="25"/>
      <c r="LT381" s="25"/>
      <c r="LU381" s="25"/>
      <c r="LV381" s="25"/>
      <c r="LW381" s="25"/>
      <c r="LX381" s="25"/>
      <c r="LY381" s="25"/>
      <c r="LZ381" s="25"/>
      <c r="MA381" s="25"/>
      <c r="MB381" s="25"/>
      <c r="MC381" s="25"/>
      <c r="MD381" s="25"/>
      <c r="ME381" s="25"/>
      <c r="MF381" s="25"/>
      <c r="MG381" s="25"/>
      <c r="MH381" s="25"/>
      <c r="MI381" s="25"/>
      <c r="MJ381" s="25"/>
      <c r="MK381" s="25"/>
      <c r="ML381" s="25"/>
      <c r="MM381" s="25"/>
      <c r="MN381" s="25"/>
      <c r="MO381" s="25"/>
      <c r="MP381" s="25"/>
      <c r="MQ381" s="25"/>
      <c r="MR381" s="25"/>
      <c r="MS381" s="25"/>
      <c r="MT381" s="25"/>
      <c r="MU381" s="25"/>
      <c r="MV381" s="25"/>
      <c r="MW381" s="25"/>
      <c r="MX381" s="25"/>
      <c r="MY381" s="25"/>
      <c r="MZ381" s="25"/>
      <c r="NA381" s="25"/>
      <c r="NB381" s="25"/>
      <c r="NC381" s="25"/>
      <c r="ND381" s="25"/>
      <c r="NE381" s="25"/>
      <c r="NF381" s="25"/>
      <c r="NG381" s="25"/>
      <c r="NH381" s="25"/>
      <c r="NI381" s="25"/>
      <c r="NJ381" s="25"/>
      <c r="NK381" s="25"/>
      <c r="NL381" s="25"/>
      <c r="NM381" s="25"/>
      <c r="NN381" s="25"/>
      <c r="NO381" s="25"/>
      <c r="NP381" s="25"/>
      <c r="NQ381" s="25"/>
      <c r="NR381" s="25"/>
      <c r="NS381" s="25"/>
      <c r="NT381" s="25"/>
      <c r="NU381" s="25"/>
      <c r="NV381" s="25"/>
      <c r="NW381" s="25"/>
      <c r="NX381" s="25"/>
      <c r="NY381" s="25"/>
      <c r="NZ381" s="25"/>
      <c r="OA381" s="25"/>
      <c r="OB381" s="25"/>
      <c r="OC381" s="25"/>
      <c r="OD381" s="25"/>
      <c r="OE381" s="25"/>
    </row>
    <row r="382" spans="1:395" ht="13.8" customHeight="1" x14ac:dyDescent="0.3">
      <c r="N382" s="25"/>
      <c r="O382" s="25"/>
      <c r="P382" s="27"/>
      <c r="Q382" s="25"/>
      <c r="R382" s="25"/>
      <c r="S382" s="25"/>
      <c r="T382" s="25"/>
      <c r="U382" s="25"/>
      <c r="V382" s="25"/>
      <c r="W382" s="25"/>
      <c r="X382" s="25"/>
      <c r="Y382" s="25"/>
      <c r="Z382" s="25"/>
      <c r="AA382" s="25"/>
      <c r="AB382" s="25"/>
      <c r="AC382" s="25"/>
      <c r="AD382" s="25"/>
      <c r="AE382" s="25"/>
      <c r="AF382" s="25"/>
      <c r="AG382" s="25"/>
      <c r="AH382" s="25"/>
      <c r="AI382" s="25"/>
      <c r="AJ382" s="25"/>
      <c r="AK382" s="25"/>
      <c r="AL382" s="25"/>
      <c r="AM382" s="25"/>
      <c r="AN382" s="25"/>
      <c r="AO382" s="25"/>
      <c r="AP382" s="25"/>
      <c r="AQ382" s="25"/>
      <c r="AR382" s="25"/>
      <c r="AS382" s="25"/>
      <c r="AT382" s="25"/>
      <c r="AU382" s="25"/>
      <c r="AV382" s="25"/>
      <c r="AW382" s="25"/>
      <c r="AX382" s="25"/>
      <c r="AY382" s="25"/>
      <c r="AZ382" s="25"/>
      <c r="BA382" s="25"/>
      <c r="BB382" s="25"/>
      <c r="BC382" s="25"/>
      <c r="BD382" s="25"/>
      <c r="BE382" s="25"/>
      <c r="BF382" s="25"/>
      <c r="BG382" s="25"/>
      <c r="BH382" s="25"/>
      <c r="BI382" s="25"/>
      <c r="BJ382" s="25"/>
      <c r="BK382" s="25"/>
      <c r="BL382" s="25"/>
      <c r="BM382" s="25"/>
      <c r="BN382" s="25"/>
      <c r="BO382" s="25"/>
      <c r="BP382" s="25"/>
      <c r="BQ382" s="25"/>
      <c r="BR382" s="25"/>
      <c r="BS382" s="25"/>
      <c r="BT382" s="25"/>
      <c r="BU382" s="25"/>
      <c r="BV382" s="25"/>
      <c r="BW382" s="25"/>
      <c r="BX382" s="25"/>
      <c r="BY382" s="25"/>
      <c r="BZ382" s="25"/>
      <c r="CA382" s="25"/>
      <c r="CB382" s="25"/>
      <c r="CC382" s="25"/>
      <c r="CD382" s="25"/>
      <c r="CE382" s="25"/>
      <c r="CF382" s="25"/>
      <c r="CG382" s="25"/>
      <c r="CH382" s="25"/>
      <c r="CI382" s="25"/>
      <c r="CJ382" s="25"/>
      <c r="CK382" s="25"/>
      <c r="CL382" s="25"/>
      <c r="CM382" s="25"/>
      <c r="CN382" s="25"/>
      <c r="CO382" s="25"/>
      <c r="CP382" s="25"/>
      <c r="CQ382" s="25"/>
      <c r="CR382" s="25"/>
      <c r="CS382" s="25"/>
      <c r="CT382" s="25"/>
      <c r="CU382" s="25"/>
      <c r="CV382" s="25"/>
      <c r="CW382" s="25"/>
      <c r="CX382" s="25"/>
      <c r="CY382" s="25"/>
      <c r="CZ382" s="25"/>
      <c r="DA382" s="25"/>
      <c r="DB382" s="25"/>
      <c r="DC382" s="25"/>
      <c r="DD382" s="25"/>
      <c r="DE382" s="25"/>
      <c r="DF382" s="25"/>
      <c r="DG382" s="25"/>
      <c r="DH382" s="25"/>
      <c r="DI382" s="25"/>
      <c r="DJ382" s="25"/>
      <c r="DK382" s="25"/>
      <c r="DL382" s="25"/>
      <c r="DM382" s="25"/>
      <c r="DN382" s="25"/>
      <c r="DO382" s="25"/>
      <c r="DP382" s="25"/>
      <c r="DQ382" s="25"/>
      <c r="DR382" s="25"/>
      <c r="DS382" s="25"/>
      <c r="DT382" s="25"/>
      <c r="DU382" s="25"/>
      <c r="DV382" s="25"/>
      <c r="DW382" s="25"/>
      <c r="DX382" s="25"/>
      <c r="DY382" s="25"/>
      <c r="DZ382" s="25"/>
      <c r="EA382" s="25"/>
      <c r="EB382" s="25"/>
      <c r="EC382" s="25"/>
      <c r="ED382" s="25"/>
      <c r="EE382" s="25"/>
      <c r="EF382" s="25"/>
      <c r="EG382" s="25"/>
      <c r="EH382" s="25"/>
      <c r="EI382" s="25"/>
      <c r="EJ382" s="25"/>
      <c r="EK382" s="25"/>
      <c r="EL382" s="25"/>
      <c r="EM382" s="25"/>
      <c r="EN382" s="25"/>
      <c r="EO382" s="25"/>
      <c r="EP382" s="25"/>
      <c r="EQ382" s="25"/>
      <c r="ER382" s="25"/>
      <c r="ES382" s="25"/>
      <c r="ET382" s="25"/>
      <c r="EU382" s="25"/>
      <c r="EV382" s="25"/>
      <c r="EW382" s="25"/>
      <c r="EX382" s="25"/>
      <c r="EY382" s="25"/>
      <c r="EZ382" s="25"/>
      <c r="FA382" s="25"/>
      <c r="FB382" s="25"/>
      <c r="FC382" s="25"/>
      <c r="FD382" s="25"/>
      <c r="FE382" s="25"/>
      <c r="FF382" s="25"/>
      <c r="FG382" s="25"/>
      <c r="FH382" s="25"/>
      <c r="FI382" s="25"/>
      <c r="FJ382" s="25"/>
      <c r="FK382" s="25"/>
      <c r="FL382" s="25"/>
      <c r="FM382" s="25"/>
      <c r="FN382" s="25"/>
      <c r="FO382" s="25"/>
      <c r="FP382" s="25"/>
      <c r="FQ382" s="25"/>
      <c r="FR382" s="25"/>
      <c r="FS382" s="25"/>
      <c r="FT382" s="25"/>
      <c r="FU382" s="25"/>
      <c r="FV382" s="25"/>
      <c r="FW382" s="25"/>
      <c r="FX382" s="25"/>
      <c r="FY382" s="25"/>
      <c r="FZ382" s="25"/>
      <c r="GA382" s="25"/>
      <c r="GB382" s="25"/>
      <c r="GC382" s="25"/>
      <c r="GD382" s="25"/>
      <c r="GE382" s="25"/>
      <c r="GF382" s="25"/>
      <c r="GG382" s="25"/>
      <c r="GH382" s="25"/>
      <c r="GI382" s="25"/>
      <c r="GJ382" s="25"/>
      <c r="GK382" s="25"/>
      <c r="GL382" s="25"/>
      <c r="GM382" s="25"/>
      <c r="GN382" s="25"/>
      <c r="GO382" s="25"/>
      <c r="GP382" s="25"/>
      <c r="GQ382" s="25"/>
      <c r="GR382" s="25"/>
      <c r="GS382" s="25"/>
      <c r="GT382" s="25"/>
      <c r="GU382" s="25"/>
      <c r="GV382" s="25"/>
      <c r="GW382" s="25"/>
      <c r="GX382" s="25"/>
      <c r="GY382" s="25"/>
      <c r="GZ382" s="25"/>
      <c r="HA382" s="25"/>
      <c r="HB382" s="25"/>
      <c r="HC382" s="25"/>
      <c r="HD382" s="25"/>
      <c r="HE382" s="25"/>
      <c r="HF382" s="25"/>
      <c r="HG382" s="25"/>
      <c r="HH382" s="25"/>
      <c r="HI382" s="25"/>
      <c r="HJ382" s="25"/>
      <c r="HK382" s="25"/>
      <c r="HL382" s="25"/>
      <c r="HM382" s="25"/>
      <c r="HN382" s="25"/>
      <c r="HO382" s="25"/>
      <c r="HP382" s="25"/>
      <c r="HQ382" s="25"/>
      <c r="HR382" s="25"/>
      <c r="HS382" s="25"/>
      <c r="HT382" s="25"/>
      <c r="HU382" s="25"/>
      <c r="HV382" s="25"/>
      <c r="HW382" s="25"/>
      <c r="HX382" s="25"/>
      <c r="HY382" s="25"/>
      <c r="HZ382" s="25"/>
      <c r="IA382" s="25"/>
      <c r="IB382" s="25"/>
      <c r="IC382" s="25"/>
      <c r="ID382" s="25"/>
      <c r="IE382" s="25"/>
      <c r="IF382" s="25"/>
      <c r="IG382" s="25"/>
      <c r="IH382" s="25"/>
      <c r="II382" s="25"/>
      <c r="IJ382" s="25"/>
      <c r="IK382" s="25"/>
      <c r="IL382" s="25"/>
      <c r="IM382" s="25"/>
      <c r="IN382" s="25"/>
      <c r="IO382" s="25"/>
      <c r="IP382" s="25"/>
      <c r="IQ382" s="25"/>
      <c r="IR382" s="25"/>
      <c r="IS382" s="25"/>
      <c r="IT382" s="25"/>
      <c r="IU382" s="25"/>
      <c r="IV382" s="25"/>
      <c r="IW382" s="25"/>
      <c r="IX382" s="25"/>
      <c r="IY382" s="25"/>
      <c r="IZ382" s="25"/>
      <c r="JA382" s="25"/>
      <c r="JB382" s="25"/>
      <c r="JC382" s="25"/>
      <c r="JD382" s="25"/>
      <c r="JE382" s="25"/>
      <c r="JF382" s="25"/>
      <c r="JG382" s="25"/>
      <c r="JH382" s="25"/>
      <c r="JI382" s="25"/>
      <c r="JJ382" s="25"/>
      <c r="JK382" s="25"/>
      <c r="JL382" s="25"/>
      <c r="JM382" s="25"/>
      <c r="JN382" s="25"/>
      <c r="JO382" s="25"/>
      <c r="JP382" s="25"/>
      <c r="JQ382" s="25"/>
      <c r="JR382" s="25"/>
      <c r="JS382" s="25"/>
      <c r="JT382" s="25"/>
      <c r="JU382" s="25"/>
      <c r="JV382" s="25"/>
      <c r="JW382" s="25"/>
      <c r="JX382" s="25"/>
      <c r="JY382" s="25"/>
      <c r="JZ382" s="25"/>
      <c r="KA382" s="25"/>
      <c r="KB382" s="25"/>
      <c r="KC382" s="25"/>
      <c r="KD382" s="25"/>
      <c r="KE382" s="25"/>
      <c r="KF382" s="25"/>
      <c r="KG382" s="25"/>
      <c r="KH382" s="25"/>
      <c r="KI382" s="25"/>
      <c r="KJ382" s="25"/>
      <c r="KK382" s="25"/>
      <c r="KL382" s="25"/>
      <c r="KM382" s="25"/>
      <c r="KN382" s="25"/>
      <c r="KO382" s="25"/>
      <c r="KP382" s="25"/>
      <c r="KQ382" s="25"/>
      <c r="KR382" s="25"/>
      <c r="KS382" s="25"/>
      <c r="KT382" s="25"/>
      <c r="KU382" s="25"/>
      <c r="KV382" s="25"/>
      <c r="KW382" s="25"/>
      <c r="KX382" s="25"/>
      <c r="KY382" s="25"/>
      <c r="KZ382" s="25"/>
      <c r="LA382" s="25"/>
      <c r="LB382" s="25"/>
      <c r="LC382" s="25"/>
      <c r="LD382" s="25"/>
      <c r="LE382" s="25"/>
      <c r="LF382" s="25"/>
      <c r="LG382" s="25"/>
      <c r="LH382" s="25"/>
      <c r="LI382" s="25"/>
      <c r="LJ382" s="25"/>
      <c r="LK382" s="25"/>
      <c r="LL382" s="25"/>
      <c r="LM382" s="25"/>
      <c r="LN382" s="25"/>
      <c r="LO382" s="25"/>
      <c r="LP382" s="25"/>
      <c r="LQ382" s="25"/>
      <c r="LR382" s="25"/>
      <c r="LS382" s="25"/>
      <c r="LT382" s="25"/>
      <c r="LU382" s="25"/>
      <c r="LV382" s="25"/>
      <c r="LW382" s="25"/>
      <c r="LX382" s="25"/>
      <c r="LY382" s="25"/>
      <c r="LZ382" s="25"/>
      <c r="MA382" s="25"/>
      <c r="MB382" s="25"/>
      <c r="MC382" s="25"/>
      <c r="MD382" s="25"/>
      <c r="ME382" s="25"/>
      <c r="MF382" s="25"/>
      <c r="MG382" s="25"/>
      <c r="MH382" s="25"/>
      <c r="MI382" s="25"/>
      <c r="MJ382" s="25"/>
      <c r="MK382" s="25"/>
      <c r="ML382" s="25"/>
      <c r="MM382" s="25"/>
      <c r="MN382" s="25"/>
      <c r="MO382" s="25"/>
      <c r="MP382" s="25"/>
      <c r="MQ382" s="25"/>
      <c r="MR382" s="25"/>
      <c r="MS382" s="25"/>
      <c r="MT382" s="25"/>
      <c r="MU382" s="25"/>
      <c r="MV382" s="25"/>
      <c r="MW382" s="25"/>
      <c r="MX382" s="25"/>
      <c r="MY382" s="25"/>
      <c r="MZ382" s="25"/>
      <c r="NA382" s="25"/>
      <c r="NB382" s="25"/>
      <c r="NC382" s="25"/>
      <c r="ND382" s="25"/>
      <c r="NE382" s="25"/>
      <c r="NF382" s="25"/>
      <c r="NG382" s="25"/>
      <c r="NH382" s="25"/>
      <c r="NI382" s="25"/>
      <c r="NJ382" s="25"/>
      <c r="NK382" s="25"/>
      <c r="NL382" s="25"/>
      <c r="NM382" s="25"/>
      <c r="NN382" s="25"/>
      <c r="NO382" s="25"/>
      <c r="NP382" s="25"/>
      <c r="NQ382" s="25"/>
      <c r="NR382" s="25"/>
      <c r="NS382" s="25"/>
      <c r="NT382" s="25"/>
      <c r="NU382" s="25"/>
      <c r="NV382" s="25"/>
      <c r="NW382" s="25"/>
      <c r="NX382" s="25"/>
      <c r="NY382" s="25"/>
      <c r="NZ382" s="25"/>
      <c r="OA382" s="25"/>
      <c r="OB382" s="25"/>
      <c r="OC382" s="25"/>
      <c r="OD382" s="25"/>
      <c r="OE382" s="25"/>
    </row>
    <row r="383" spans="1:395" ht="13.8" customHeight="1" x14ac:dyDescent="0.3">
      <c r="N383" s="25" t="s">
        <v>127</v>
      </c>
      <c r="O383" s="25"/>
      <c r="P383" s="27" t="s">
        <v>31</v>
      </c>
      <c r="Q383" s="25"/>
      <c r="R383" s="25"/>
      <c r="S383" s="25"/>
      <c r="T383" s="25"/>
      <c r="U383" s="25"/>
      <c r="V383" s="25"/>
      <c r="W383" s="25"/>
      <c r="X383" s="25"/>
      <c r="Y383" s="25"/>
      <c r="Z383" s="25"/>
      <c r="AA383" s="25"/>
      <c r="AB383" s="25"/>
      <c r="AC383" s="25"/>
      <c r="AD383" s="25"/>
      <c r="AE383" s="25"/>
      <c r="AF383" s="25"/>
      <c r="AG383" s="25"/>
      <c r="AH383" s="25"/>
      <c r="AI383" s="25"/>
      <c r="AJ383" s="25"/>
      <c r="AK383" s="25"/>
      <c r="AL383" s="25"/>
      <c r="AM383" s="25"/>
      <c r="AN383" s="25"/>
      <c r="AO383" s="25"/>
      <c r="AP383" s="25"/>
      <c r="AQ383" s="25"/>
      <c r="AR383" s="25"/>
      <c r="AS383" s="25"/>
      <c r="AT383" s="25"/>
      <c r="AU383" s="25"/>
      <c r="AV383" s="25"/>
      <c r="AW383" s="25"/>
      <c r="AX383" s="25"/>
      <c r="AY383" s="25"/>
      <c r="AZ383" s="25"/>
      <c r="BA383" s="25"/>
      <c r="BB383" s="25"/>
      <c r="BC383" s="25"/>
      <c r="BD383" s="25"/>
      <c r="BE383" s="25"/>
      <c r="BF383" s="25"/>
      <c r="BG383" s="25"/>
      <c r="BH383" s="25"/>
      <c r="BI383" s="25"/>
      <c r="BJ383" s="25"/>
      <c r="BK383" s="25"/>
      <c r="BL383" s="25"/>
      <c r="BM383" s="25"/>
      <c r="BN383" s="25"/>
      <c r="BO383" s="25"/>
      <c r="BP383" s="25"/>
      <c r="BQ383" s="25"/>
      <c r="BR383" s="25"/>
      <c r="BS383" s="25"/>
      <c r="BT383" s="25"/>
      <c r="BU383" s="25"/>
      <c r="BV383" s="25"/>
      <c r="BW383" s="25"/>
      <c r="BX383" s="25"/>
      <c r="BY383" s="25"/>
      <c r="BZ383" s="25"/>
      <c r="CA383" s="25"/>
      <c r="CB383" s="25"/>
      <c r="CC383" s="25"/>
      <c r="CD383" s="25"/>
      <c r="CE383" s="25"/>
      <c r="CF383" s="25"/>
      <c r="CG383" s="25"/>
      <c r="CH383" s="25"/>
      <c r="CI383" s="25"/>
      <c r="CJ383" s="25"/>
      <c r="CK383" s="25"/>
      <c r="CL383" s="25"/>
      <c r="CM383" s="25"/>
      <c r="CN383" s="25"/>
      <c r="CO383" s="25"/>
      <c r="CP383" s="25"/>
      <c r="CQ383" s="25"/>
      <c r="CR383" s="25"/>
      <c r="CS383" s="25"/>
      <c r="CT383" s="25"/>
      <c r="CU383" s="25"/>
      <c r="CV383" s="25"/>
      <c r="CW383" s="25"/>
      <c r="CX383" s="25"/>
      <c r="CY383" s="25"/>
      <c r="CZ383" s="25"/>
      <c r="DA383" s="25"/>
      <c r="DB383" s="25"/>
      <c r="DC383" s="25"/>
      <c r="DD383" s="25"/>
      <c r="DE383" s="25"/>
      <c r="DF383" s="25"/>
      <c r="DG383" s="25"/>
      <c r="DH383" s="25"/>
      <c r="DI383" s="25"/>
      <c r="DJ383" s="25"/>
      <c r="DK383" s="25"/>
      <c r="DL383" s="25"/>
      <c r="DM383" s="25"/>
      <c r="DN383" s="25"/>
      <c r="DO383" s="25"/>
      <c r="DP383" s="25"/>
      <c r="DQ383" s="25"/>
      <c r="DR383" s="25"/>
      <c r="DS383" s="25"/>
      <c r="DT383" s="25"/>
      <c r="DU383" s="25"/>
      <c r="DV383" s="25"/>
      <c r="DW383" s="25"/>
      <c r="DX383" s="25"/>
      <c r="DY383" s="25"/>
      <c r="DZ383" s="25"/>
      <c r="EA383" s="25"/>
      <c r="EB383" s="25"/>
      <c r="EC383" s="25"/>
      <c r="ED383" s="25"/>
      <c r="EE383" s="25"/>
      <c r="EF383" s="25"/>
      <c r="EG383" s="25"/>
      <c r="EH383" s="25"/>
      <c r="EI383" s="25"/>
      <c r="EJ383" s="25"/>
      <c r="EK383" s="25"/>
      <c r="EL383" s="25"/>
      <c r="EM383" s="25"/>
      <c r="EN383" s="25"/>
      <c r="EO383" s="25"/>
      <c r="EP383" s="25"/>
      <c r="EQ383" s="25"/>
      <c r="ER383" s="25"/>
      <c r="ES383" s="25"/>
      <c r="ET383" s="25"/>
      <c r="EU383" s="25"/>
      <c r="EV383" s="25"/>
      <c r="EW383" s="25"/>
      <c r="EX383" s="25"/>
      <c r="EY383" s="25"/>
      <c r="EZ383" s="25"/>
      <c r="FA383" s="25"/>
      <c r="FB383" s="25"/>
      <c r="FC383" s="25"/>
      <c r="FD383" s="25"/>
      <c r="FE383" s="25"/>
      <c r="FF383" s="25"/>
      <c r="FG383" s="25"/>
      <c r="FH383" s="25"/>
      <c r="FI383" s="25"/>
      <c r="FJ383" s="25"/>
      <c r="FK383" s="25"/>
      <c r="FL383" s="25"/>
      <c r="FM383" s="25"/>
      <c r="FN383" s="25"/>
      <c r="FO383" s="25"/>
      <c r="FP383" s="25"/>
      <c r="FQ383" s="25"/>
      <c r="FR383" s="25"/>
      <c r="FS383" s="25"/>
      <c r="FT383" s="25"/>
      <c r="FU383" s="25"/>
      <c r="FV383" s="25"/>
      <c r="FW383" s="25"/>
      <c r="FX383" s="25"/>
      <c r="FY383" s="25"/>
      <c r="FZ383" s="25"/>
      <c r="GA383" s="25"/>
      <c r="GB383" s="25"/>
      <c r="GC383" s="25"/>
      <c r="GD383" s="25"/>
      <c r="GE383" s="25"/>
      <c r="GF383" s="25"/>
      <c r="GG383" s="25"/>
      <c r="GH383" s="25"/>
      <c r="GI383" s="25"/>
      <c r="GJ383" s="25"/>
      <c r="GK383" s="25"/>
      <c r="GL383" s="25"/>
      <c r="GM383" s="25"/>
      <c r="GN383" s="25"/>
      <c r="GO383" s="25"/>
      <c r="GP383" s="25"/>
      <c r="GQ383" s="25"/>
      <c r="GR383" s="25"/>
      <c r="GS383" s="25"/>
      <c r="GT383" s="25"/>
      <c r="GU383" s="25"/>
      <c r="GV383" s="25"/>
      <c r="GW383" s="25"/>
      <c r="GX383" s="25"/>
      <c r="GY383" s="25"/>
      <c r="GZ383" s="25"/>
      <c r="HA383" s="25"/>
      <c r="HB383" s="25"/>
      <c r="HC383" s="25"/>
      <c r="HD383" s="25"/>
      <c r="HE383" s="25"/>
      <c r="HF383" s="25"/>
      <c r="HG383" s="25"/>
      <c r="HH383" s="25"/>
      <c r="HI383" s="25"/>
      <c r="HJ383" s="25"/>
      <c r="HK383" s="25"/>
      <c r="HL383" s="25"/>
      <c r="HM383" s="25"/>
      <c r="HN383" s="25"/>
      <c r="HO383" s="25"/>
      <c r="HP383" s="25"/>
      <c r="HQ383" s="25"/>
      <c r="HR383" s="25"/>
      <c r="HS383" s="25"/>
      <c r="HT383" s="25"/>
      <c r="HU383" s="25"/>
      <c r="HV383" s="25"/>
      <c r="HW383" s="25"/>
      <c r="HX383" s="25"/>
      <c r="HY383" s="25"/>
      <c r="HZ383" s="25"/>
      <c r="IA383" s="25"/>
      <c r="IB383" s="25"/>
      <c r="IC383" s="25"/>
      <c r="ID383" s="25"/>
      <c r="IE383" s="25"/>
      <c r="IF383" s="25"/>
      <c r="IG383" s="25"/>
      <c r="IH383" s="25"/>
      <c r="II383" s="25"/>
      <c r="IJ383" s="25"/>
      <c r="IK383" s="25"/>
      <c r="IL383" s="25"/>
      <c r="IM383" s="25"/>
      <c r="IN383" s="25"/>
      <c r="IO383" s="25"/>
      <c r="IP383" s="25"/>
      <c r="IQ383" s="25"/>
      <c r="IR383" s="25"/>
      <c r="IS383" s="25"/>
      <c r="IT383" s="25"/>
      <c r="IU383" s="25"/>
      <c r="IV383" s="25"/>
      <c r="IW383" s="25"/>
      <c r="IX383" s="25"/>
      <c r="IY383" s="25"/>
      <c r="IZ383" s="25"/>
      <c r="JA383" s="25"/>
      <c r="JB383" s="25"/>
      <c r="JC383" s="25"/>
      <c r="JD383" s="25"/>
      <c r="JE383" s="25"/>
      <c r="JF383" s="25"/>
      <c r="JG383" s="25"/>
      <c r="JH383" s="25"/>
      <c r="JI383" s="25"/>
      <c r="JJ383" s="25"/>
      <c r="JK383" s="25"/>
      <c r="JL383" s="25"/>
      <c r="JM383" s="25"/>
      <c r="JN383" s="25"/>
      <c r="JO383" s="25"/>
      <c r="JP383" s="25"/>
      <c r="JQ383" s="25"/>
      <c r="JR383" s="25"/>
      <c r="JS383" s="25"/>
      <c r="JT383" s="25"/>
      <c r="JU383" s="25"/>
      <c r="JV383" s="25"/>
      <c r="JW383" s="25"/>
      <c r="JX383" s="25"/>
      <c r="JY383" s="25"/>
      <c r="JZ383" s="25"/>
      <c r="KA383" s="25"/>
      <c r="KB383" s="25"/>
      <c r="KC383" s="25"/>
      <c r="KD383" s="25"/>
      <c r="KE383" s="25"/>
      <c r="KF383" s="25"/>
      <c r="KG383" s="25"/>
      <c r="KH383" s="25"/>
      <c r="KI383" s="25"/>
      <c r="KJ383" s="25"/>
      <c r="KK383" s="25"/>
      <c r="KL383" s="25"/>
      <c r="KM383" s="25"/>
      <c r="KN383" s="25"/>
      <c r="KO383" s="25"/>
      <c r="KP383" s="25"/>
      <c r="KQ383" s="25"/>
      <c r="KR383" s="25"/>
      <c r="KS383" s="25"/>
      <c r="KT383" s="25"/>
      <c r="KU383" s="25"/>
      <c r="KV383" s="25"/>
      <c r="KW383" s="25"/>
      <c r="KX383" s="25"/>
      <c r="KY383" s="25"/>
      <c r="KZ383" s="25"/>
      <c r="LA383" s="25"/>
      <c r="LB383" s="25"/>
      <c r="LC383" s="25"/>
      <c r="LD383" s="25"/>
      <c r="LE383" s="25"/>
      <c r="LF383" s="25"/>
      <c r="LG383" s="25"/>
      <c r="LH383" s="25"/>
      <c r="LI383" s="25"/>
      <c r="LJ383" s="25"/>
      <c r="LK383" s="25"/>
      <c r="LL383" s="25"/>
      <c r="LM383" s="25"/>
      <c r="LN383" s="25"/>
      <c r="LO383" s="25"/>
      <c r="LP383" s="25"/>
      <c r="LQ383" s="25"/>
      <c r="LR383" s="25"/>
      <c r="LS383" s="25"/>
      <c r="LT383" s="25"/>
      <c r="LU383" s="25"/>
      <c r="LV383" s="25"/>
      <c r="LW383" s="25"/>
      <c r="LX383" s="25"/>
      <c r="LY383" s="25"/>
      <c r="LZ383" s="25"/>
      <c r="MA383" s="25"/>
      <c r="MB383" s="25"/>
      <c r="MC383" s="25"/>
      <c r="MD383" s="25"/>
      <c r="ME383" s="25"/>
      <c r="MF383" s="25"/>
      <c r="MG383" s="25"/>
      <c r="MH383" s="25"/>
      <c r="MI383" s="25"/>
      <c r="MJ383" s="25"/>
      <c r="MK383" s="25"/>
      <c r="ML383" s="25"/>
      <c r="MM383" s="25"/>
      <c r="MN383" s="25"/>
      <c r="MO383" s="25"/>
      <c r="MP383" s="25"/>
      <c r="MQ383" s="25"/>
      <c r="MR383" s="25"/>
      <c r="MS383" s="25"/>
      <c r="MT383" s="25"/>
      <c r="MU383" s="25"/>
      <c r="MV383" s="25"/>
      <c r="MW383" s="25"/>
      <c r="MX383" s="25"/>
      <c r="MY383" s="25"/>
      <c r="MZ383" s="25"/>
      <c r="NA383" s="25"/>
      <c r="NB383" s="25"/>
      <c r="NC383" s="25"/>
      <c r="ND383" s="25"/>
      <c r="NE383" s="25"/>
      <c r="NF383" s="25"/>
      <c r="NG383" s="25"/>
      <c r="NH383" s="25"/>
      <c r="NI383" s="25"/>
      <c r="NJ383" s="25"/>
      <c r="NK383" s="25"/>
      <c r="NL383" s="25"/>
      <c r="NM383" s="25"/>
      <c r="NN383" s="25"/>
      <c r="NO383" s="25"/>
      <c r="NP383" s="25"/>
      <c r="NQ383" s="25"/>
      <c r="NR383" s="25"/>
      <c r="NS383" s="25"/>
      <c r="NT383" s="25"/>
      <c r="NU383" s="25"/>
      <c r="NV383" s="25"/>
      <c r="NW383" s="25"/>
      <c r="NX383" s="25"/>
      <c r="NY383" s="25"/>
      <c r="NZ383" s="25"/>
      <c r="OA383" s="25"/>
      <c r="OB383" s="25"/>
      <c r="OC383" s="25"/>
      <c r="OD383" s="25"/>
      <c r="OE383" s="25"/>
    </row>
    <row r="384" spans="1:395" ht="13.8" customHeight="1" x14ac:dyDescent="0.3">
      <c r="B384" s="19"/>
      <c r="C384" s="19"/>
      <c r="N384" s="75" t="s">
        <v>76</v>
      </c>
      <c r="O384" s="5"/>
      <c r="P384" s="28" t="s">
        <v>14</v>
      </c>
      <c r="Q384" s="5"/>
      <c r="R384" s="5"/>
      <c r="S384" s="5"/>
      <c r="T384" s="5"/>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c r="BP384" s="5"/>
      <c r="BQ384" s="5"/>
      <c r="BR384" s="5"/>
      <c r="BS384" s="5"/>
      <c r="BT384" s="5"/>
      <c r="BU384" s="5"/>
      <c r="BV384" s="5"/>
      <c r="BW384" s="5"/>
      <c r="BX384" s="5"/>
      <c r="BY384" s="5"/>
      <c r="BZ384" s="5"/>
      <c r="CA384" s="5"/>
      <c r="CB384" s="5"/>
      <c r="CC384" s="5"/>
      <c r="CD384" s="5"/>
      <c r="CE384" s="5"/>
      <c r="CF384" s="5"/>
      <c r="CG384" s="5"/>
      <c r="CH384" s="5"/>
      <c r="CI384" s="5"/>
      <c r="CJ384" s="5"/>
      <c r="CK384" s="5"/>
      <c r="CL384" s="5"/>
      <c r="CM384" s="5"/>
      <c r="CN384" s="5"/>
      <c r="CO384" s="5"/>
      <c r="CP384" s="5"/>
      <c r="CQ384" s="5"/>
      <c r="CR384" s="5"/>
      <c r="CS384" s="5"/>
      <c r="CT384" s="5"/>
      <c r="CU384" s="5"/>
      <c r="CV384" s="5"/>
      <c r="CW384" s="5"/>
      <c r="CX384" s="5"/>
      <c r="CY384" s="5"/>
      <c r="CZ384" s="5"/>
      <c r="DA384" s="5"/>
      <c r="DB384" s="5"/>
      <c r="DC384" s="5"/>
      <c r="DD384" s="5"/>
      <c r="DE384" s="5"/>
      <c r="DF384" s="5"/>
      <c r="DG384" s="5"/>
      <c r="DH384" s="5"/>
      <c r="DI384" s="5"/>
      <c r="DJ384" s="5"/>
      <c r="DK384" s="5"/>
      <c r="DL384" s="5"/>
      <c r="DM384" s="5"/>
      <c r="DN384" s="5"/>
      <c r="DO384" s="5"/>
      <c r="DP384" s="5"/>
      <c r="DQ384" s="5"/>
      <c r="DR384" s="5"/>
      <c r="DS384" s="5"/>
      <c r="DT384" s="5"/>
      <c r="DU384" s="5"/>
      <c r="DV384" s="5"/>
      <c r="DW384" s="5"/>
      <c r="DX384" s="5"/>
      <c r="DY384" s="5"/>
      <c r="DZ384" s="5"/>
      <c r="EA384" s="5"/>
      <c r="EB384" s="5"/>
      <c r="EC384" s="5"/>
      <c r="ED384" s="5"/>
      <c r="EE384" s="5"/>
      <c r="EF384" s="5"/>
      <c r="EG384" s="5"/>
      <c r="EH384" s="5"/>
      <c r="EI384" s="5"/>
      <c r="EJ384" s="5"/>
      <c r="EK384" s="5"/>
      <c r="EL384" s="5"/>
      <c r="EM384" s="5"/>
      <c r="EN384" s="5"/>
      <c r="EO384" s="5"/>
      <c r="EP384" s="5"/>
      <c r="EQ384" s="5"/>
      <c r="ER384" s="5"/>
      <c r="ES384" s="5"/>
      <c r="ET384" s="5"/>
      <c r="EU384" s="5"/>
      <c r="EV384" s="5"/>
      <c r="EW384" s="5"/>
      <c r="EX384" s="5"/>
      <c r="EY384" s="5"/>
      <c r="EZ384" s="5"/>
      <c r="FA384" s="5"/>
      <c r="FB384" s="5"/>
      <c r="FC384" s="5"/>
      <c r="FD384" s="5"/>
      <c r="FE384" s="5"/>
      <c r="FF384" s="5"/>
      <c r="FG384" s="5"/>
      <c r="FH384" s="5"/>
      <c r="FI384" s="5"/>
      <c r="FJ384" s="5"/>
      <c r="FK384" s="5"/>
      <c r="FL384" s="5"/>
      <c r="FM384" s="5"/>
      <c r="FN384" s="5"/>
      <c r="FO384" s="5"/>
      <c r="FP384" s="5"/>
      <c r="FQ384" s="5"/>
      <c r="FR384" s="5"/>
      <c r="FS384" s="5"/>
      <c r="FT384" s="5"/>
      <c r="FU384" s="5"/>
      <c r="FV384" s="5"/>
      <c r="FW384" s="5"/>
      <c r="FX384" s="5"/>
      <c r="FY384" s="5"/>
      <c r="FZ384" s="5"/>
      <c r="GA384" s="5"/>
      <c r="GB384" s="5"/>
      <c r="GC384" s="5"/>
      <c r="GD384" s="5"/>
      <c r="GE384" s="5"/>
      <c r="GF384" s="5"/>
      <c r="GG384" s="5"/>
      <c r="GH384" s="5"/>
      <c r="GI384" s="5"/>
      <c r="GJ384" s="5"/>
      <c r="GK384" s="5"/>
      <c r="GL384" s="5"/>
      <c r="GM384" s="5"/>
      <c r="GN384" s="5"/>
      <c r="GO384" s="5"/>
      <c r="GP384" s="5"/>
      <c r="GQ384" s="5"/>
      <c r="GR384" s="5"/>
      <c r="GS384" s="5"/>
      <c r="GT384" s="5"/>
      <c r="GU384" s="5"/>
      <c r="GV384" s="5"/>
      <c r="GW384" s="5"/>
      <c r="GX384" s="5"/>
      <c r="GY384" s="5"/>
      <c r="GZ384" s="5"/>
      <c r="HA384" s="5"/>
      <c r="HB384" s="5"/>
      <c r="HC384" s="5"/>
      <c r="HD384" s="5"/>
      <c r="HE384" s="5"/>
      <c r="HF384" s="5"/>
      <c r="HG384" s="5"/>
      <c r="HH384" s="5"/>
      <c r="HI384" s="5"/>
      <c r="HJ384" s="5"/>
      <c r="HK384" s="5"/>
      <c r="HL384" s="5"/>
      <c r="HM384" s="5"/>
      <c r="HN384" s="5"/>
      <c r="HO384" s="5"/>
      <c r="HP384" s="5"/>
      <c r="HQ384" s="5"/>
      <c r="HR384" s="5"/>
      <c r="HS384" s="5"/>
      <c r="HT384" s="5"/>
      <c r="HU384" s="5"/>
      <c r="HV384" s="5"/>
      <c r="HW384" s="5"/>
      <c r="HX384" s="5"/>
      <c r="HY384" s="5"/>
      <c r="HZ384" s="5"/>
      <c r="IA384" s="5"/>
      <c r="IB384" s="5"/>
      <c r="IC384" s="5"/>
      <c r="ID384" s="5"/>
      <c r="IE384" s="5"/>
      <c r="IF384" s="5"/>
      <c r="IG384" s="5"/>
      <c r="IH384" s="5"/>
      <c r="II384" s="5"/>
      <c r="IJ384" s="5"/>
      <c r="IK384" s="5"/>
      <c r="IL384" s="5"/>
      <c r="IM384" s="5"/>
      <c r="IN384" s="5"/>
      <c r="IO384" s="5"/>
      <c r="IP384" s="5"/>
      <c r="IQ384" s="5"/>
      <c r="IR384" s="5"/>
      <c r="IS384" s="5"/>
      <c r="IT384" s="5"/>
      <c r="IU384" s="5"/>
      <c r="IV384" s="5"/>
      <c r="IW384" s="5"/>
      <c r="IX384" s="5"/>
      <c r="IY384" s="5"/>
      <c r="IZ384" s="5"/>
      <c r="JA384" s="5"/>
      <c r="JB384" s="5"/>
      <c r="JC384" s="5"/>
      <c r="JD384" s="5"/>
      <c r="JE384" s="5"/>
      <c r="JF384" s="5"/>
      <c r="JG384" s="5"/>
      <c r="JH384" s="5"/>
      <c r="JI384" s="5"/>
      <c r="JJ384" s="5"/>
      <c r="JK384" s="5"/>
      <c r="JL384" s="5"/>
      <c r="JM384" s="5"/>
      <c r="JN384" s="5"/>
      <c r="JO384" s="5"/>
      <c r="JP384" s="5"/>
      <c r="JQ384" s="5"/>
      <c r="JR384" s="5"/>
      <c r="JS384" s="5"/>
      <c r="JT384" s="5"/>
      <c r="JU384" s="5"/>
      <c r="JV384" s="5"/>
      <c r="JW384" s="5"/>
      <c r="JX384" s="5"/>
      <c r="JY384" s="5"/>
      <c r="JZ384" s="5"/>
      <c r="KA384" s="5"/>
      <c r="KB384" s="5"/>
      <c r="KC384" s="5"/>
      <c r="KD384" s="5"/>
      <c r="KE384" s="5"/>
      <c r="KF384" s="5"/>
      <c r="KG384" s="5"/>
      <c r="KH384" s="5"/>
      <c r="KI384" s="5"/>
      <c r="KJ384" s="5"/>
      <c r="KK384" s="5"/>
      <c r="KL384" s="5"/>
      <c r="KM384" s="5"/>
      <c r="KN384" s="5"/>
      <c r="KO384" s="5"/>
      <c r="KP384" s="5"/>
      <c r="KQ384" s="5"/>
      <c r="KR384" s="5"/>
      <c r="KS384" s="5"/>
      <c r="KT384" s="5"/>
      <c r="KU384" s="5"/>
      <c r="KV384" s="5"/>
      <c r="KW384" s="5"/>
      <c r="KX384" s="5"/>
      <c r="KY384" s="5"/>
      <c r="KZ384" s="5"/>
      <c r="LA384" s="5"/>
      <c r="LB384" s="5"/>
      <c r="LC384" s="5"/>
      <c r="LD384" s="5"/>
      <c r="LE384" s="5"/>
      <c r="LF384" s="5"/>
      <c r="LG384" s="5"/>
      <c r="LH384" s="5"/>
      <c r="LI384" s="5"/>
      <c r="LJ384" s="5"/>
      <c r="LK384" s="5"/>
      <c r="LL384" s="5"/>
      <c r="LM384" s="5"/>
      <c r="LN384" s="5"/>
      <c r="LO384" s="5"/>
      <c r="LP384" s="5"/>
      <c r="LQ384" s="5"/>
      <c r="LR384" s="5"/>
      <c r="LS384" s="5"/>
      <c r="LT384" s="5"/>
      <c r="LU384" s="5"/>
      <c r="LV384" s="5"/>
      <c r="LW384" s="5"/>
      <c r="LX384" s="5"/>
      <c r="LY384" s="5"/>
      <c r="LZ384" s="5"/>
      <c r="MA384" s="5"/>
      <c r="MB384" s="5"/>
      <c r="MC384" s="5"/>
      <c r="MD384" s="5"/>
      <c r="ME384" s="5"/>
      <c r="MF384" s="5"/>
      <c r="MG384" s="5"/>
      <c r="MH384" s="5"/>
      <c r="MI384" s="5"/>
      <c r="MJ384" s="5"/>
      <c r="MK384" s="5"/>
      <c r="ML384" s="5"/>
      <c r="MM384" s="5"/>
      <c r="MN384" s="5"/>
      <c r="MO384" s="5"/>
      <c r="MP384" s="5"/>
      <c r="MQ384" s="5"/>
      <c r="MR384" s="5"/>
      <c r="MS384" s="5"/>
      <c r="MT384" s="5"/>
      <c r="MU384" s="5"/>
      <c r="MV384" s="5"/>
      <c r="MW384" s="5"/>
      <c r="MX384" s="5"/>
      <c r="MY384" s="5"/>
      <c r="MZ384" s="5"/>
      <c r="NA384" s="5"/>
      <c r="NB384" s="5"/>
      <c r="NC384" s="5"/>
      <c r="ND384" s="5"/>
      <c r="NE384" s="5"/>
      <c r="NF384" s="5"/>
      <c r="NG384" s="5"/>
      <c r="NH384" s="5"/>
      <c r="NI384" s="5"/>
      <c r="NJ384" s="5"/>
      <c r="NK384" s="5"/>
      <c r="NL384" s="5"/>
      <c r="NM384" s="5"/>
      <c r="NN384" s="5"/>
      <c r="NO384" s="5"/>
      <c r="NP384" s="5"/>
      <c r="NQ384" s="5"/>
      <c r="NR384" s="5"/>
      <c r="NS384" s="5"/>
      <c r="NT384" s="5"/>
      <c r="NU384" s="5"/>
      <c r="NV384" s="5"/>
      <c r="NW384" s="5"/>
      <c r="NX384" s="5"/>
      <c r="NY384" s="5"/>
      <c r="NZ384" s="5"/>
      <c r="OA384" s="5"/>
      <c r="OB384" s="5"/>
      <c r="OC384" s="5"/>
      <c r="OD384" s="5"/>
      <c r="OE384" s="5"/>
    </row>
    <row r="385" spans="2:395" ht="13.8" customHeight="1" x14ac:dyDescent="0.3">
      <c r="B385" s="114" t="s">
        <v>20</v>
      </c>
      <c r="C385" s="19"/>
      <c r="N385" s="289" t="s">
        <v>137</v>
      </c>
      <c r="P385" s="7"/>
    </row>
    <row r="386" spans="2:395" ht="13.8" customHeight="1" x14ac:dyDescent="0.3">
      <c r="D386" s="19" t="s">
        <v>130</v>
      </c>
      <c r="E386" s="272">
        <v>107.2</v>
      </c>
      <c r="F386" s="259" t="s">
        <v>15</v>
      </c>
      <c r="N386" s="25" t="s">
        <v>50</v>
      </c>
      <c r="P386" s="7"/>
    </row>
    <row r="387" spans="2:395" ht="13.8" customHeight="1" x14ac:dyDescent="0.3">
      <c r="D387" s="19" t="s">
        <v>131</v>
      </c>
      <c r="E387" s="10">
        <v>10</v>
      </c>
      <c r="F387" s="259" t="s">
        <v>132</v>
      </c>
      <c r="N387" s="25" t="s">
        <v>51</v>
      </c>
      <c r="P387" s="7"/>
    </row>
    <row r="388" spans="2:395" ht="13.8" customHeight="1" x14ac:dyDescent="0.3">
      <c r="D388" s="19" t="s">
        <v>128</v>
      </c>
      <c r="E388" s="272">
        <v>11.4</v>
      </c>
      <c r="F388" s="259" t="s">
        <v>15</v>
      </c>
      <c r="N388" s="25" t="s">
        <v>134</v>
      </c>
      <c r="P388" s="7"/>
      <c r="Q388" s="256"/>
    </row>
    <row r="389" spans="2:395" ht="13.8" customHeight="1" x14ac:dyDescent="0.3">
      <c r="D389" s="19" t="s">
        <v>129</v>
      </c>
      <c r="E389" s="10">
        <v>5</v>
      </c>
      <c r="F389" s="259" t="s">
        <v>132</v>
      </c>
      <c r="N389" s="25" t="s">
        <v>135</v>
      </c>
      <c r="P389" s="7"/>
    </row>
    <row r="390" spans="2:395" ht="13.8" customHeight="1" x14ac:dyDescent="0.3">
      <c r="D390" s="19" t="s">
        <v>3</v>
      </c>
      <c r="E390" s="272">
        <v>65</v>
      </c>
      <c r="F390" s="259" t="s">
        <v>15</v>
      </c>
      <c r="N390" s="25" t="s">
        <v>52</v>
      </c>
      <c r="P390" s="7"/>
    </row>
    <row r="391" spans="2:395" ht="13.8" customHeight="1" x14ac:dyDescent="0.3">
      <c r="D391" s="19" t="s">
        <v>126</v>
      </c>
      <c r="E391" s="10">
        <v>0.15</v>
      </c>
      <c r="F391" s="259" t="s">
        <v>31</v>
      </c>
      <c r="N391" s="25" t="s">
        <v>136</v>
      </c>
      <c r="P391" s="7"/>
    </row>
    <row r="392" spans="2:395" ht="13.8" customHeight="1" x14ac:dyDescent="0.3">
      <c r="N392" s="25" t="s">
        <v>3</v>
      </c>
      <c r="P392" s="7"/>
    </row>
    <row r="393" spans="2:395" ht="13.8" customHeight="1" x14ac:dyDescent="0.3">
      <c r="N393" s="25" t="s">
        <v>79</v>
      </c>
      <c r="P393" s="7"/>
    </row>
    <row r="394" spans="2:395" ht="13.8" customHeight="1" x14ac:dyDescent="0.3">
      <c r="N394" t="s">
        <v>133</v>
      </c>
      <c r="P394" s="7"/>
      <c r="Q394" cm="1">
        <f t="array" ref="Q394:OE394">IF(_xlfn.ANCHORARRAY(Q4)&lt;=E389,E386+E388, IF(_xlfn.ANCHORARRAY(Q4)&lt;=E387,E386,E390))</f>
        <v>118.60000000000001</v>
      </c>
      <c r="R394">
        <v>118.60000000000001</v>
      </c>
      <c r="S394">
        <v>118.60000000000001</v>
      </c>
      <c r="T394">
        <v>118.60000000000001</v>
      </c>
      <c r="U394">
        <v>118.60000000000001</v>
      </c>
      <c r="V394">
        <v>118.60000000000001</v>
      </c>
      <c r="W394">
        <v>118.60000000000001</v>
      </c>
      <c r="X394">
        <v>118.60000000000001</v>
      </c>
      <c r="Y394">
        <v>118.60000000000001</v>
      </c>
      <c r="Z394">
        <v>118.60000000000001</v>
      </c>
      <c r="AA394">
        <v>118.60000000000001</v>
      </c>
      <c r="AB394">
        <v>118.60000000000001</v>
      </c>
      <c r="AC394">
        <v>118.60000000000001</v>
      </c>
      <c r="AD394">
        <v>118.60000000000001</v>
      </c>
      <c r="AE394">
        <v>118.60000000000001</v>
      </c>
      <c r="AF394">
        <v>118.60000000000001</v>
      </c>
      <c r="AG394">
        <v>118.60000000000001</v>
      </c>
      <c r="AH394">
        <v>118.60000000000001</v>
      </c>
      <c r="AI394">
        <v>118.60000000000001</v>
      </c>
      <c r="AJ394">
        <v>118.60000000000001</v>
      </c>
      <c r="AK394">
        <v>118.60000000000001</v>
      </c>
      <c r="AL394">
        <v>118.60000000000001</v>
      </c>
      <c r="AM394">
        <v>118.60000000000001</v>
      </c>
      <c r="AN394">
        <v>118.60000000000001</v>
      </c>
      <c r="AO394">
        <v>118.60000000000001</v>
      </c>
      <c r="AP394">
        <v>118.60000000000001</v>
      </c>
      <c r="AQ394">
        <v>118.60000000000001</v>
      </c>
      <c r="AR394">
        <v>118.60000000000001</v>
      </c>
      <c r="AS394">
        <v>118.60000000000001</v>
      </c>
      <c r="AT394">
        <v>118.60000000000001</v>
      </c>
      <c r="AU394">
        <v>118.60000000000001</v>
      </c>
      <c r="AV394">
        <v>118.60000000000001</v>
      </c>
      <c r="AW394">
        <v>118.60000000000001</v>
      </c>
      <c r="AX394">
        <v>118.60000000000001</v>
      </c>
      <c r="AY394">
        <v>118.60000000000001</v>
      </c>
      <c r="AZ394">
        <v>118.60000000000001</v>
      </c>
      <c r="BA394">
        <v>118.60000000000001</v>
      </c>
      <c r="BB394">
        <v>118.60000000000001</v>
      </c>
      <c r="BC394">
        <v>118.60000000000001</v>
      </c>
      <c r="BD394">
        <v>118.60000000000001</v>
      </c>
      <c r="BE394">
        <v>118.60000000000001</v>
      </c>
      <c r="BF394">
        <v>118.60000000000001</v>
      </c>
      <c r="BG394">
        <v>118.60000000000001</v>
      </c>
      <c r="BH394">
        <v>118.60000000000001</v>
      </c>
      <c r="BI394">
        <v>118.60000000000001</v>
      </c>
      <c r="BJ394">
        <v>118.60000000000001</v>
      </c>
      <c r="BK394">
        <v>118.60000000000001</v>
      </c>
      <c r="BL394">
        <v>118.60000000000001</v>
      </c>
      <c r="BM394">
        <v>118.60000000000001</v>
      </c>
      <c r="BN394">
        <v>118.60000000000001</v>
      </c>
      <c r="BO394">
        <v>118.60000000000001</v>
      </c>
      <c r="BP394">
        <v>118.60000000000001</v>
      </c>
      <c r="BQ394">
        <v>118.60000000000001</v>
      </c>
      <c r="BR394">
        <v>118.60000000000001</v>
      </c>
      <c r="BS394">
        <v>118.60000000000001</v>
      </c>
      <c r="BT394">
        <v>118.60000000000001</v>
      </c>
      <c r="BU394">
        <v>118.60000000000001</v>
      </c>
      <c r="BV394">
        <v>118.60000000000001</v>
      </c>
      <c r="BW394">
        <v>118.60000000000001</v>
      </c>
      <c r="BX394">
        <v>118.60000000000001</v>
      </c>
      <c r="BY394">
        <v>107.2</v>
      </c>
      <c r="BZ394">
        <v>107.2</v>
      </c>
      <c r="CA394">
        <v>107.2</v>
      </c>
      <c r="CB394">
        <v>107.2</v>
      </c>
      <c r="CC394">
        <v>107.2</v>
      </c>
      <c r="CD394">
        <v>107.2</v>
      </c>
      <c r="CE394">
        <v>107.2</v>
      </c>
      <c r="CF394">
        <v>107.2</v>
      </c>
      <c r="CG394">
        <v>107.2</v>
      </c>
      <c r="CH394">
        <v>107.2</v>
      </c>
      <c r="CI394">
        <v>107.2</v>
      </c>
      <c r="CJ394">
        <v>107.2</v>
      </c>
      <c r="CK394">
        <v>107.2</v>
      </c>
      <c r="CL394">
        <v>107.2</v>
      </c>
      <c r="CM394">
        <v>107.2</v>
      </c>
      <c r="CN394">
        <v>107.2</v>
      </c>
      <c r="CO394">
        <v>107.2</v>
      </c>
      <c r="CP394">
        <v>107.2</v>
      </c>
      <c r="CQ394">
        <v>107.2</v>
      </c>
      <c r="CR394">
        <v>107.2</v>
      </c>
      <c r="CS394">
        <v>107.2</v>
      </c>
      <c r="CT394">
        <v>107.2</v>
      </c>
      <c r="CU394">
        <v>107.2</v>
      </c>
      <c r="CV394">
        <v>107.2</v>
      </c>
      <c r="CW394">
        <v>107.2</v>
      </c>
      <c r="CX394">
        <v>107.2</v>
      </c>
      <c r="CY394">
        <v>107.2</v>
      </c>
      <c r="CZ394">
        <v>107.2</v>
      </c>
      <c r="DA394">
        <v>107.2</v>
      </c>
      <c r="DB394">
        <v>107.2</v>
      </c>
      <c r="DC394">
        <v>107.2</v>
      </c>
      <c r="DD394">
        <v>107.2</v>
      </c>
      <c r="DE394">
        <v>107.2</v>
      </c>
      <c r="DF394">
        <v>107.2</v>
      </c>
      <c r="DG394">
        <v>107.2</v>
      </c>
      <c r="DH394">
        <v>107.2</v>
      </c>
      <c r="DI394">
        <v>107.2</v>
      </c>
      <c r="DJ394">
        <v>107.2</v>
      </c>
      <c r="DK394">
        <v>107.2</v>
      </c>
      <c r="DL394">
        <v>107.2</v>
      </c>
      <c r="DM394">
        <v>107.2</v>
      </c>
      <c r="DN394">
        <v>107.2</v>
      </c>
      <c r="DO394">
        <v>107.2</v>
      </c>
      <c r="DP394">
        <v>107.2</v>
      </c>
      <c r="DQ394">
        <v>107.2</v>
      </c>
      <c r="DR394">
        <v>107.2</v>
      </c>
      <c r="DS394">
        <v>107.2</v>
      </c>
      <c r="DT394">
        <v>107.2</v>
      </c>
      <c r="DU394">
        <v>107.2</v>
      </c>
      <c r="DV394">
        <v>107.2</v>
      </c>
      <c r="DW394">
        <v>107.2</v>
      </c>
      <c r="DX394">
        <v>107.2</v>
      </c>
      <c r="DY394">
        <v>107.2</v>
      </c>
      <c r="DZ394">
        <v>107.2</v>
      </c>
      <c r="EA394">
        <v>107.2</v>
      </c>
      <c r="EB394">
        <v>107.2</v>
      </c>
      <c r="EC394">
        <v>107.2</v>
      </c>
      <c r="ED394">
        <v>107.2</v>
      </c>
      <c r="EE394">
        <v>107.2</v>
      </c>
      <c r="EF394">
        <v>107.2</v>
      </c>
      <c r="EG394">
        <v>65</v>
      </c>
      <c r="EH394">
        <v>65</v>
      </c>
      <c r="EI394">
        <v>65</v>
      </c>
      <c r="EJ394">
        <v>65</v>
      </c>
      <c r="EK394">
        <v>65</v>
      </c>
      <c r="EL394">
        <v>65</v>
      </c>
      <c r="EM394">
        <v>65</v>
      </c>
      <c r="EN394">
        <v>65</v>
      </c>
      <c r="EO394">
        <v>65</v>
      </c>
      <c r="EP394">
        <v>65</v>
      </c>
      <c r="EQ394">
        <v>65</v>
      </c>
      <c r="ER394">
        <v>65</v>
      </c>
      <c r="ES394">
        <v>65</v>
      </c>
      <c r="ET394">
        <v>65</v>
      </c>
      <c r="EU394">
        <v>65</v>
      </c>
      <c r="EV394">
        <v>65</v>
      </c>
      <c r="EW394">
        <v>65</v>
      </c>
      <c r="EX394">
        <v>65</v>
      </c>
      <c r="EY394">
        <v>65</v>
      </c>
      <c r="EZ394">
        <v>65</v>
      </c>
      <c r="FA394">
        <v>65</v>
      </c>
      <c r="FB394">
        <v>65</v>
      </c>
      <c r="FC394">
        <v>65</v>
      </c>
      <c r="FD394">
        <v>65</v>
      </c>
      <c r="FE394">
        <v>65</v>
      </c>
      <c r="FF394">
        <v>65</v>
      </c>
      <c r="FG394">
        <v>65</v>
      </c>
      <c r="FH394">
        <v>65</v>
      </c>
      <c r="FI394">
        <v>65</v>
      </c>
      <c r="FJ394">
        <v>65</v>
      </c>
      <c r="FK394">
        <v>65</v>
      </c>
      <c r="FL394">
        <v>65</v>
      </c>
      <c r="FM394">
        <v>65</v>
      </c>
      <c r="FN394">
        <v>65</v>
      </c>
      <c r="FO394">
        <v>65</v>
      </c>
      <c r="FP394">
        <v>65</v>
      </c>
      <c r="FQ394">
        <v>65</v>
      </c>
      <c r="FR394">
        <v>65</v>
      </c>
      <c r="FS394">
        <v>65</v>
      </c>
      <c r="FT394">
        <v>65</v>
      </c>
      <c r="FU394">
        <v>65</v>
      </c>
      <c r="FV394">
        <v>65</v>
      </c>
      <c r="FW394">
        <v>65</v>
      </c>
      <c r="FX394">
        <v>65</v>
      </c>
      <c r="FY394">
        <v>65</v>
      </c>
      <c r="FZ394">
        <v>65</v>
      </c>
      <c r="GA394">
        <v>65</v>
      </c>
      <c r="GB394">
        <v>65</v>
      </c>
      <c r="GC394">
        <v>65</v>
      </c>
      <c r="GD394">
        <v>65</v>
      </c>
      <c r="GE394">
        <v>65</v>
      </c>
      <c r="GF394">
        <v>65</v>
      </c>
      <c r="GG394">
        <v>65</v>
      </c>
      <c r="GH394">
        <v>65</v>
      </c>
      <c r="GI394">
        <v>65</v>
      </c>
      <c r="GJ394">
        <v>65</v>
      </c>
      <c r="GK394">
        <v>65</v>
      </c>
      <c r="GL394">
        <v>65</v>
      </c>
      <c r="GM394">
        <v>65</v>
      </c>
      <c r="GN394">
        <v>65</v>
      </c>
      <c r="GO394">
        <v>65</v>
      </c>
      <c r="GP394">
        <v>65</v>
      </c>
      <c r="GQ394">
        <v>65</v>
      </c>
      <c r="GR394">
        <v>65</v>
      </c>
      <c r="GS394">
        <v>65</v>
      </c>
      <c r="GT394">
        <v>65</v>
      </c>
      <c r="GU394">
        <v>65</v>
      </c>
      <c r="GV394">
        <v>65</v>
      </c>
      <c r="GW394">
        <v>65</v>
      </c>
      <c r="GX394">
        <v>65</v>
      </c>
      <c r="GY394">
        <v>65</v>
      </c>
      <c r="GZ394">
        <v>65</v>
      </c>
      <c r="HA394">
        <v>65</v>
      </c>
      <c r="HB394">
        <v>65</v>
      </c>
      <c r="HC394">
        <v>65</v>
      </c>
      <c r="HD394">
        <v>65</v>
      </c>
      <c r="HE394">
        <v>65</v>
      </c>
      <c r="HF394">
        <v>65</v>
      </c>
      <c r="HG394">
        <v>65</v>
      </c>
      <c r="HH394">
        <v>65</v>
      </c>
      <c r="HI394">
        <v>65</v>
      </c>
      <c r="HJ394">
        <v>65</v>
      </c>
      <c r="HK394">
        <v>65</v>
      </c>
      <c r="HL394">
        <v>65</v>
      </c>
      <c r="HM394">
        <v>65</v>
      </c>
      <c r="HN394">
        <v>65</v>
      </c>
      <c r="HO394">
        <v>65</v>
      </c>
      <c r="HP394">
        <v>65</v>
      </c>
      <c r="HQ394">
        <v>65</v>
      </c>
      <c r="HR394">
        <v>65</v>
      </c>
      <c r="HS394">
        <v>65</v>
      </c>
      <c r="HT394">
        <v>65</v>
      </c>
      <c r="HU394">
        <v>65</v>
      </c>
      <c r="HV394">
        <v>65</v>
      </c>
      <c r="HW394">
        <v>65</v>
      </c>
      <c r="HX394">
        <v>65</v>
      </c>
      <c r="HY394">
        <v>65</v>
      </c>
      <c r="HZ394">
        <v>65</v>
      </c>
      <c r="IA394">
        <v>65</v>
      </c>
      <c r="IB394">
        <v>65</v>
      </c>
      <c r="IC394">
        <v>65</v>
      </c>
      <c r="ID394">
        <v>65</v>
      </c>
      <c r="IE394">
        <v>65</v>
      </c>
      <c r="IF394">
        <v>65</v>
      </c>
      <c r="IG394">
        <v>65</v>
      </c>
      <c r="IH394">
        <v>65</v>
      </c>
      <c r="II394">
        <v>65</v>
      </c>
      <c r="IJ394">
        <v>65</v>
      </c>
      <c r="IK394">
        <v>65</v>
      </c>
      <c r="IL394">
        <v>65</v>
      </c>
      <c r="IM394">
        <v>65</v>
      </c>
      <c r="IN394">
        <v>65</v>
      </c>
      <c r="IO394">
        <v>65</v>
      </c>
      <c r="IP394">
        <v>65</v>
      </c>
      <c r="IQ394">
        <v>65</v>
      </c>
      <c r="IR394">
        <v>65</v>
      </c>
      <c r="IS394">
        <v>65</v>
      </c>
      <c r="IT394">
        <v>65</v>
      </c>
      <c r="IU394">
        <v>65</v>
      </c>
      <c r="IV394">
        <v>65</v>
      </c>
      <c r="IW394">
        <v>65</v>
      </c>
      <c r="IX394">
        <v>65</v>
      </c>
      <c r="IY394">
        <v>65</v>
      </c>
      <c r="IZ394">
        <v>65</v>
      </c>
      <c r="JA394">
        <v>65</v>
      </c>
      <c r="JB394">
        <v>65</v>
      </c>
      <c r="JC394">
        <v>65</v>
      </c>
      <c r="JD394">
        <v>65</v>
      </c>
      <c r="JE394">
        <v>65</v>
      </c>
      <c r="JF394">
        <v>65</v>
      </c>
      <c r="JG394">
        <v>65</v>
      </c>
      <c r="JH394">
        <v>65</v>
      </c>
      <c r="JI394">
        <v>65</v>
      </c>
      <c r="JJ394">
        <v>65</v>
      </c>
      <c r="JK394">
        <v>65</v>
      </c>
      <c r="JL394">
        <v>65</v>
      </c>
      <c r="JM394">
        <v>65</v>
      </c>
      <c r="JN394">
        <v>65</v>
      </c>
      <c r="JO394">
        <v>65</v>
      </c>
      <c r="JP394">
        <v>65</v>
      </c>
      <c r="JQ394">
        <v>65</v>
      </c>
      <c r="JR394">
        <v>65</v>
      </c>
      <c r="JS394">
        <v>65</v>
      </c>
      <c r="JT394">
        <v>65</v>
      </c>
      <c r="JU394">
        <v>65</v>
      </c>
      <c r="JV394">
        <v>65</v>
      </c>
      <c r="JW394">
        <v>65</v>
      </c>
      <c r="JX394">
        <v>65</v>
      </c>
      <c r="JY394">
        <v>65</v>
      </c>
      <c r="JZ394">
        <v>65</v>
      </c>
      <c r="KA394">
        <v>65</v>
      </c>
      <c r="KB394">
        <v>65</v>
      </c>
      <c r="KC394">
        <v>65</v>
      </c>
      <c r="KD394">
        <v>65</v>
      </c>
      <c r="KE394">
        <v>65</v>
      </c>
      <c r="KF394">
        <v>65</v>
      </c>
      <c r="KG394">
        <v>65</v>
      </c>
      <c r="KH394">
        <v>65</v>
      </c>
      <c r="KI394">
        <v>65</v>
      </c>
      <c r="KJ394">
        <v>65</v>
      </c>
      <c r="KK394">
        <v>65</v>
      </c>
      <c r="KL394">
        <v>65</v>
      </c>
      <c r="KM394">
        <v>65</v>
      </c>
      <c r="KN394">
        <v>65</v>
      </c>
      <c r="KO394">
        <v>65</v>
      </c>
      <c r="KP394">
        <v>65</v>
      </c>
      <c r="KQ394">
        <v>65</v>
      </c>
      <c r="KR394">
        <v>65</v>
      </c>
      <c r="KS394">
        <v>65</v>
      </c>
      <c r="KT394">
        <v>65</v>
      </c>
      <c r="KU394">
        <v>65</v>
      </c>
      <c r="KV394">
        <v>65</v>
      </c>
      <c r="KW394">
        <v>65</v>
      </c>
      <c r="KX394">
        <v>65</v>
      </c>
      <c r="KY394">
        <v>65</v>
      </c>
      <c r="KZ394">
        <v>65</v>
      </c>
      <c r="LA394">
        <v>65</v>
      </c>
      <c r="LB394">
        <v>65</v>
      </c>
      <c r="LC394">
        <v>65</v>
      </c>
      <c r="LD394">
        <v>65</v>
      </c>
      <c r="LE394">
        <v>65</v>
      </c>
      <c r="LF394">
        <v>65</v>
      </c>
      <c r="LG394">
        <v>65</v>
      </c>
      <c r="LH394">
        <v>65</v>
      </c>
      <c r="LI394">
        <v>65</v>
      </c>
      <c r="LJ394">
        <v>65</v>
      </c>
      <c r="LK394">
        <v>65</v>
      </c>
      <c r="LL394">
        <v>65</v>
      </c>
      <c r="LM394">
        <v>65</v>
      </c>
      <c r="LN394">
        <v>65</v>
      </c>
      <c r="LO394">
        <v>65</v>
      </c>
      <c r="LP394">
        <v>65</v>
      </c>
      <c r="LQ394">
        <v>65</v>
      </c>
      <c r="LR394">
        <v>65</v>
      </c>
      <c r="LS394">
        <v>65</v>
      </c>
      <c r="LT394">
        <v>65</v>
      </c>
      <c r="LU394">
        <v>65</v>
      </c>
      <c r="LV394">
        <v>65</v>
      </c>
      <c r="LW394">
        <v>65</v>
      </c>
      <c r="LX394">
        <v>65</v>
      </c>
      <c r="LY394">
        <v>65</v>
      </c>
      <c r="LZ394">
        <v>65</v>
      </c>
      <c r="MA394">
        <v>65</v>
      </c>
      <c r="MB394">
        <v>65</v>
      </c>
      <c r="MC394">
        <v>65</v>
      </c>
      <c r="MD394">
        <v>65</v>
      </c>
      <c r="ME394">
        <v>65</v>
      </c>
      <c r="MF394">
        <v>65</v>
      </c>
      <c r="MG394">
        <v>65</v>
      </c>
      <c r="MH394">
        <v>65</v>
      </c>
      <c r="MI394">
        <v>65</v>
      </c>
      <c r="MJ394">
        <v>65</v>
      </c>
      <c r="MK394">
        <v>65</v>
      </c>
      <c r="ML394">
        <v>65</v>
      </c>
      <c r="MM394">
        <v>65</v>
      </c>
      <c r="MN394">
        <v>65</v>
      </c>
      <c r="MO394">
        <v>65</v>
      </c>
      <c r="MP394">
        <v>65</v>
      </c>
      <c r="MQ394">
        <v>65</v>
      </c>
      <c r="MR394">
        <v>65</v>
      </c>
      <c r="MS394">
        <v>65</v>
      </c>
      <c r="MT394">
        <v>65</v>
      </c>
      <c r="MU394">
        <v>65</v>
      </c>
      <c r="MV394">
        <v>65</v>
      </c>
      <c r="MW394">
        <v>65</v>
      </c>
      <c r="MX394">
        <v>65</v>
      </c>
      <c r="MY394">
        <v>65</v>
      </c>
      <c r="MZ394">
        <v>65</v>
      </c>
      <c r="NA394">
        <v>65</v>
      </c>
      <c r="NB394">
        <v>65</v>
      </c>
      <c r="NC394">
        <v>65</v>
      </c>
      <c r="ND394">
        <v>65</v>
      </c>
      <c r="NE394">
        <v>65</v>
      </c>
      <c r="NF394">
        <v>65</v>
      </c>
      <c r="NG394">
        <v>65</v>
      </c>
      <c r="NH394">
        <v>65</v>
      </c>
      <c r="NI394">
        <v>65</v>
      </c>
      <c r="NJ394">
        <v>65</v>
      </c>
      <c r="NK394">
        <v>65</v>
      </c>
      <c r="NL394">
        <v>65</v>
      </c>
      <c r="NM394">
        <v>65</v>
      </c>
      <c r="NN394">
        <v>65</v>
      </c>
      <c r="NO394">
        <v>65</v>
      </c>
      <c r="NP394">
        <v>65</v>
      </c>
      <c r="NQ394">
        <v>65</v>
      </c>
      <c r="NR394">
        <v>65</v>
      </c>
      <c r="NS394">
        <v>65</v>
      </c>
      <c r="NT394">
        <v>65</v>
      </c>
      <c r="NU394">
        <v>65</v>
      </c>
      <c r="NV394">
        <v>65</v>
      </c>
      <c r="NW394">
        <v>65</v>
      </c>
      <c r="NX394">
        <v>65</v>
      </c>
      <c r="NY394">
        <v>65</v>
      </c>
      <c r="NZ394">
        <v>65</v>
      </c>
      <c r="OA394">
        <v>65</v>
      </c>
      <c r="OB394">
        <v>65</v>
      </c>
      <c r="OC394">
        <v>65</v>
      </c>
      <c r="OD394">
        <v>65</v>
      </c>
      <c r="OE394">
        <v>65</v>
      </c>
    </row>
    <row r="395" spans="2:395" ht="13.8" customHeight="1" x14ac:dyDescent="0.3">
      <c r="N395" s="29" t="s">
        <v>4</v>
      </c>
      <c r="O395" s="278"/>
      <c r="P395" s="30" t="s">
        <v>81</v>
      </c>
      <c r="Q395" s="278" t="e" cm="1">
        <f t="array" ref="Q395">_xlfn.ANCHORARRAY(Q384)*Q394</f>
        <v>#REF!</v>
      </c>
      <c r="R395" s="278"/>
      <c r="S395" s="278"/>
      <c r="T395" s="278"/>
      <c r="U395" s="278"/>
      <c r="V395" s="278"/>
      <c r="W395" s="278"/>
      <c r="X395" s="278"/>
      <c r="Y395" s="278"/>
      <c r="Z395" s="278"/>
      <c r="AA395" s="278"/>
      <c r="AB395" s="278"/>
      <c r="AC395" s="278"/>
      <c r="AD395" s="278"/>
      <c r="AE395" s="278"/>
      <c r="AF395" s="278"/>
      <c r="AG395" s="278"/>
      <c r="AH395" s="278"/>
      <c r="AI395" s="278"/>
      <c r="AJ395" s="278"/>
      <c r="AK395" s="278"/>
      <c r="AL395" s="278"/>
      <c r="AM395" s="278"/>
      <c r="AN395" s="278"/>
      <c r="AO395" s="278"/>
      <c r="AP395" s="278"/>
      <c r="AQ395" s="278"/>
      <c r="AR395" s="278"/>
      <c r="AS395" s="278"/>
      <c r="AT395" s="278"/>
      <c r="AU395" s="278"/>
      <c r="AV395" s="278"/>
      <c r="AW395" s="278"/>
      <c r="AX395" s="278"/>
      <c r="AY395" s="278"/>
      <c r="AZ395" s="278"/>
      <c r="BA395" s="278"/>
      <c r="BB395" s="278"/>
      <c r="BC395" s="278"/>
      <c r="BD395" s="278"/>
      <c r="BE395" s="278"/>
      <c r="BF395" s="278"/>
      <c r="BG395" s="278"/>
      <c r="BH395" s="278"/>
      <c r="BI395" s="278"/>
      <c r="BJ395" s="278"/>
      <c r="BK395" s="278"/>
      <c r="BL395" s="278"/>
      <c r="BM395" s="278"/>
      <c r="BN395" s="278"/>
      <c r="BO395" s="278"/>
      <c r="BP395" s="278"/>
      <c r="BQ395" s="278"/>
      <c r="BR395" s="278"/>
      <c r="BS395" s="278"/>
      <c r="BT395" s="278"/>
      <c r="BU395" s="278"/>
      <c r="BV395" s="278"/>
      <c r="BW395" s="278"/>
      <c r="BX395" s="278"/>
      <c r="BY395" s="278"/>
      <c r="BZ395" s="278"/>
      <c r="CA395" s="278"/>
      <c r="CB395" s="278"/>
      <c r="CC395" s="278"/>
      <c r="CD395" s="278"/>
      <c r="CE395" s="278"/>
      <c r="CF395" s="278"/>
      <c r="CG395" s="278"/>
      <c r="CH395" s="278"/>
      <c r="CI395" s="278"/>
      <c r="CJ395" s="278"/>
      <c r="CK395" s="278"/>
      <c r="CL395" s="278"/>
      <c r="CM395" s="278"/>
      <c r="CN395" s="278"/>
      <c r="CO395" s="278"/>
      <c r="CP395" s="278"/>
      <c r="CQ395" s="278"/>
      <c r="CR395" s="278"/>
      <c r="CS395" s="278"/>
      <c r="CT395" s="278"/>
      <c r="CU395" s="278"/>
      <c r="CV395" s="278"/>
      <c r="CW395" s="278"/>
      <c r="CX395" s="278"/>
      <c r="CY395" s="278"/>
      <c r="CZ395" s="278"/>
      <c r="DA395" s="278"/>
      <c r="DB395" s="278"/>
      <c r="DC395" s="278"/>
      <c r="DD395" s="278"/>
      <c r="DE395" s="278"/>
      <c r="DF395" s="278"/>
      <c r="DG395" s="278"/>
      <c r="DH395" s="278"/>
      <c r="DI395" s="278"/>
      <c r="DJ395" s="278"/>
      <c r="DK395" s="278"/>
      <c r="DL395" s="278"/>
      <c r="DM395" s="278"/>
      <c r="DN395" s="278"/>
      <c r="DO395" s="278"/>
      <c r="DP395" s="278"/>
      <c r="DQ395" s="278"/>
      <c r="DR395" s="278"/>
      <c r="DS395" s="278"/>
      <c r="DT395" s="278"/>
      <c r="DU395" s="278"/>
      <c r="DV395" s="278"/>
      <c r="DW395" s="278"/>
      <c r="DX395" s="278"/>
      <c r="DY395" s="278"/>
      <c r="DZ395" s="278"/>
      <c r="EA395" s="278"/>
      <c r="EB395" s="278"/>
      <c r="EC395" s="278"/>
      <c r="ED395" s="278"/>
      <c r="EE395" s="278"/>
      <c r="EF395" s="278"/>
      <c r="EG395" s="278"/>
      <c r="EH395" s="278"/>
      <c r="EI395" s="278"/>
      <c r="EJ395" s="278"/>
      <c r="EK395" s="278"/>
      <c r="EL395" s="278"/>
      <c r="EM395" s="278"/>
      <c r="EN395" s="278"/>
      <c r="EO395" s="278"/>
      <c r="EP395" s="278"/>
      <c r="EQ395" s="278"/>
      <c r="ER395" s="278"/>
      <c r="ES395" s="278"/>
      <c r="ET395" s="278"/>
      <c r="EU395" s="278"/>
      <c r="EV395" s="278"/>
      <c r="EW395" s="278"/>
      <c r="EX395" s="278"/>
      <c r="EY395" s="278"/>
      <c r="EZ395" s="278"/>
      <c r="FA395" s="278"/>
      <c r="FB395" s="278"/>
      <c r="FC395" s="278"/>
      <c r="FD395" s="278"/>
      <c r="FE395" s="278"/>
      <c r="FF395" s="278"/>
      <c r="FG395" s="278"/>
      <c r="FH395" s="278"/>
      <c r="FI395" s="278"/>
      <c r="FJ395" s="278"/>
      <c r="FK395" s="278"/>
      <c r="FL395" s="278"/>
      <c r="FM395" s="278"/>
      <c r="FN395" s="278"/>
      <c r="FO395" s="278"/>
      <c r="FP395" s="278"/>
      <c r="FQ395" s="278"/>
      <c r="FR395" s="278"/>
      <c r="FS395" s="278"/>
      <c r="FT395" s="278"/>
      <c r="FU395" s="278"/>
      <c r="FV395" s="278"/>
      <c r="FW395" s="278"/>
      <c r="FX395" s="278"/>
      <c r="FY395" s="278"/>
      <c r="FZ395" s="278"/>
      <c r="GA395" s="278"/>
      <c r="GB395" s="278"/>
      <c r="GC395" s="278"/>
      <c r="GD395" s="278"/>
      <c r="GE395" s="278"/>
      <c r="GF395" s="278"/>
      <c r="GG395" s="278"/>
      <c r="GH395" s="278"/>
      <c r="GI395" s="278"/>
      <c r="GJ395" s="278"/>
      <c r="GK395" s="278"/>
      <c r="GL395" s="278"/>
      <c r="GM395" s="278"/>
      <c r="GN395" s="278"/>
      <c r="GO395" s="278"/>
      <c r="GP395" s="278"/>
      <c r="GQ395" s="278"/>
      <c r="GR395" s="278"/>
      <c r="GS395" s="278"/>
      <c r="GT395" s="278"/>
      <c r="GU395" s="278"/>
      <c r="GV395" s="278"/>
      <c r="GW395" s="278"/>
      <c r="GX395" s="278"/>
      <c r="GY395" s="278"/>
      <c r="GZ395" s="278"/>
      <c r="HA395" s="278"/>
      <c r="HB395" s="278"/>
      <c r="HC395" s="278"/>
      <c r="HD395" s="278"/>
      <c r="HE395" s="278"/>
      <c r="HF395" s="278"/>
      <c r="HG395" s="278"/>
      <c r="HH395" s="278"/>
      <c r="HI395" s="278"/>
      <c r="HJ395" s="278"/>
      <c r="HK395" s="278"/>
      <c r="HL395" s="278"/>
      <c r="HM395" s="278"/>
      <c r="HN395" s="278"/>
      <c r="HO395" s="278"/>
      <c r="HP395" s="278"/>
      <c r="HQ395" s="278"/>
      <c r="HR395" s="278"/>
      <c r="HS395" s="278"/>
      <c r="HT395" s="278"/>
      <c r="HU395" s="278"/>
      <c r="HV395" s="278"/>
      <c r="HW395" s="278"/>
      <c r="HX395" s="278"/>
      <c r="HY395" s="278"/>
      <c r="HZ395" s="278"/>
      <c r="IA395" s="278"/>
      <c r="IB395" s="278"/>
      <c r="IC395" s="278"/>
      <c r="ID395" s="278"/>
      <c r="IE395" s="278"/>
      <c r="IF395" s="278"/>
      <c r="IG395" s="278"/>
      <c r="IH395" s="278"/>
      <c r="II395" s="278"/>
      <c r="IJ395" s="278"/>
      <c r="IK395" s="278"/>
      <c r="IL395" s="278"/>
      <c r="IM395" s="278"/>
      <c r="IN395" s="278"/>
      <c r="IO395" s="278"/>
      <c r="IP395" s="278"/>
      <c r="IQ395" s="278"/>
      <c r="IR395" s="278"/>
      <c r="IS395" s="278"/>
      <c r="IT395" s="278"/>
      <c r="IU395" s="278"/>
      <c r="IV395" s="278"/>
      <c r="IW395" s="278"/>
      <c r="IX395" s="278"/>
      <c r="IY395" s="278"/>
      <c r="IZ395" s="278"/>
      <c r="JA395" s="278"/>
      <c r="JB395" s="278"/>
      <c r="JC395" s="278"/>
      <c r="JD395" s="278"/>
      <c r="JE395" s="278"/>
      <c r="JF395" s="278"/>
      <c r="JG395" s="278"/>
      <c r="JH395" s="278"/>
      <c r="JI395" s="278"/>
      <c r="JJ395" s="278"/>
      <c r="JK395" s="278"/>
      <c r="JL395" s="278"/>
      <c r="JM395" s="278"/>
      <c r="JN395" s="278"/>
      <c r="JO395" s="278"/>
      <c r="JP395" s="278"/>
      <c r="JQ395" s="278"/>
      <c r="JR395" s="278"/>
      <c r="JS395" s="278"/>
      <c r="JT395" s="278"/>
      <c r="JU395" s="278"/>
      <c r="JV395" s="278"/>
      <c r="JW395" s="278"/>
      <c r="JX395" s="278"/>
      <c r="JY395" s="278"/>
      <c r="JZ395" s="278"/>
      <c r="KA395" s="278"/>
      <c r="KB395" s="278"/>
      <c r="KC395" s="278"/>
      <c r="KD395" s="278"/>
      <c r="KE395" s="278"/>
      <c r="KF395" s="278"/>
      <c r="KG395" s="278"/>
      <c r="KH395" s="278"/>
      <c r="KI395" s="278"/>
      <c r="KJ395" s="278"/>
      <c r="KK395" s="278"/>
      <c r="KL395" s="278"/>
      <c r="KM395" s="278"/>
      <c r="KN395" s="278"/>
      <c r="KO395" s="278"/>
      <c r="KP395" s="278"/>
      <c r="KQ395" s="278"/>
      <c r="KR395" s="278"/>
      <c r="KS395" s="278"/>
      <c r="KT395" s="278"/>
      <c r="KU395" s="278"/>
      <c r="KV395" s="278"/>
      <c r="KW395" s="278"/>
      <c r="KX395" s="278"/>
      <c r="KY395" s="278"/>
      <c r="KZ395" s="278"/>
      <c r="LA395" s="278"/>
      <c r="LB395" s="278"/>
      <c r="LC395" s="278"/>
      <c r="LD395" s="278"/>
      <c r="LE395" s="278"/>
      <c r="LF395" s="278"/>
      <c r="LG395" s="278"/>
      <c r="LH395" s="278"/>
      <c r="LI395" s="278"/>
      <c r="LJ395" s="278"/>
      <c r="LK395" s="278"/>
      <c r="LL395" s="278"/>
      <c r="LM395" s="278"/>
      <c r="LN395" s="278"/>
      <c r="LO395" s="278"/>
      <c r="LP395" s="278"/>
      <c r="LQ395" s="278"/>
      <c r="LR395" s="278"/>
      <c r="LS395" s="278"/>
      <c r="LT395" s="278"/>
      <c r="LU395" s="278"/>
      <c r="LV395" s="278"/>
      <c r="LW395" s="278"/>
      <c r="LX395" s="278"/>
      <c r="LY395" s="278"/>
      <c r="LZ395" s="278"/>
      <c r="MA395" s="278"/>
      <c r="MB395" s="278"/>
      <c r="MC395" s="278"/>
      <c r="MD395" s="278"/>
      <c r="ME395" s="278"/>
      <c r="MF395" s="278"/>
      <c r="MG395" s="278"/>
      <c r="MH395" s="278"/>
      <c r="MI395" s="278"/>
      <c r="MJ395" s="278"/>
      <c r="MK395" s="278"/>
      <c r="ML395" s="278"/>
      <c r="MM395" s="278"/>
      <c r="MN395" s="278"/>
      <c r="MO395" s="278"/>
      <c r="MP395" s="278"/>
      <c r="MQ395" s="278"/>
      <c r="MR395" s="278"/>
      <c r="MS395" s="278"/>
      <c r="MT395" s="278"/>
      <c r="MU395" s="278"/>
      <c r="MV395" s="278"/>
      <c r="MW395" s="278"/>
      <c r="MX395" s="278"/>
      <c r="MY395" s="278"/>
      <c r="MZ395" s="278"/>
      <c r="NA395" s="278"/>
      <c r="NB395" s="278"/>
      <c r="NC395" s="278"/>
      <c r="ND395" s="278"/>
      <c r="NE395" s="278"/>
      <c r="NF395" s="278"/>
      <c r="NG395" s="278"/>
      <c r="NH395" s="278"/>
      <c r="NI395" s="278"/>
      <c r="NJ395" s="278"/>
      <c r="NK395" s="278"/>
      <c r="NL395" s="278"/>
      <c r="NM395" s="278"/>
      <c r="NN395" s="278"/>
      <c r="NO395" s="278"/>
      <c r="NP395" s="278"/>
      <c r="NQ395" s="278"/>
      <c r="NR395" s="278"/>
      <c r="NS395" s="278"/>
      <c r="NT395" s="278"/>
      <c r="NU395" s="278"/>
      <c r="NV395" s="278"/>
      <c r="NW395" s="278"/>
      <c r="NX395" s="278"/>
      <c r="NY395" s="278"/>
      <c r="NZ395" s="278"/>
      <c r="OA395" s="278"/>
      <c r="OB395" s="278"/>
      <c r="OC395" s="278"/>
      <c r="OD395" s="278"/>
      <c r="OE395" s="278"/>
    </row>
  </sheetData>
  <mergeCells count="6">
    <mergeCell ref="F329:F332"/>
    <mergeCell ref="A6:D6"/>
    <mergeCell ref="F319:F323"/>
    <mergeCell ref="F317:F318"/>
    <mergeCell ref="F315:F316"/>
    <mergeCell ref="F324:F328"/>
  </mergeCells>
  <conditionalFormatting sqref="Q10:OE33">
    <cfRule type="cellIs" dxfId="17" priority="24" operator="notEqual">
      <formula>""</formula>
    </cfRule>
  </conditionalFormatting>
  <conditionalFormatting sqref="O2">
    <cfRule type="expression" dxfId="16" priority="3">
      <formula>($O$2=$O$1)</formula>
    </cfRule>
  </conditionalFormatting>
  <conditionalFormatting sqref="Q2:OE2">
    <cfRule type="expression" dxfId="15" priority="25">
      <formula>(#REF!=FALSE)</formula>
    </cfRule>
  </conditionalFormatting>
  <dataValidations disablePrompts="1" count="1">
    <dataValidation type="list" allowBlank="1" showInputMessage="1" showErrorMessage="1" sqref="E4" xr:uid="{EF6DBBCF-38D6-4E46-B1D4-9049344999C6}">
      <formula1>$I$6:$J$6</formula1>
    </dataValidation>
  </dataValidations>
  <hyperlinks>
    <hyperlink ref="F5" r:id="rId1" display="Sayı" xr:uid="{B955B038-A3D6-40AF-9FBC-A2A380E4E57B}"/>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3216" r:id="rId4" name="Button 144">
              <controlPr defaultSize="0" print="0" autoFill="0" autoPict="0" macro="[0]!InsertScenarioColumn" altText="Add New Scenario Column">
                <anchor moveWithCells="1" sizeWithCells="1">
                  <from>
                    <xdr:col>10</xdr:col>
                    <xdr:colOff>15240</xdr:colOff>
                    <xdr:row>5</xdr:row>
                    <xdr:rowOff>7620</xdr:rowOff>
                  </from>
                  <to>
                    <xdr:col>10</xdr:col>
                    <xdr:colOff>167640</xdr:colOff>
                    <xdr:row>5</xdr:row>
                    <xdr:rowOff>167640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F31439-36AB-457D-8BB5-6E31DF914524}">
  <sheetPr codeName="Sayfa4">
    <outlinePr summaryBelow="0" summaryRight="0"/>
  </sheetPr>
  <dimension ref="A1:OK356"/>
  <sheetViews>
    <sheetView topLeftCell="B1" zoomScale="70" zoomScaleNormal="70" workbookViewId="0">
      <pane ySplit="6" topLeftCell="A79" activePane="bottomLeft" state="frozen"/>
      <selection pane="bottomLeft" activeCell="Q90" sqref="Q90"/>
    </sheetView>
  </sheetViews>
  <sheetFormatPr defaultRowHeight="13.8" customHeight="1" outlineLevelRow="1" outlineLevelCol="1" x14ac:dyDescent="0.3"/>
  <cols>
    <col min="1" max="3" width="2.5546875" style="114" customWidth="1"/>
    <col min="4" max="4" width="23.5546875" style="19" customWidth="1"/>
    <col min="5" max="5" width="17.5546875" customWidth="1"/>
    <col min="6" max="6" width="7.5546875" customWidth="1"/>
    <col min="7" max="7" width="11.5546875" customWidth="1"/>
    <col min="8" max="9" width="15.109375" customWidth="1" outlineLevel="1"/>
    <col min="10" max="12" width="2.5546875" customWidth="1"/>
    <col min="13" max="13" width="22.33203125" customWidth="1"/>
    <col min="14" max="15" width="11.77734375" customWidth="1"/>
    <col min="16" max="16" width="12.6640625" customWidth="1"/>
    <col min="17" max="18" width="10.109375" customWidth="1"/>
    <col min="19" max="394" width="11.77734375" customWidth="1"/>
  </cols>
  <sheetData>
    <row r="1" spans="1:401" ht="13.8" customHeight="1" x14ac:dyDescent="0.3">
      <c r="A1" s="113" t="s">
        <v>138</v>
      </c>
      <c r="E1" s="6"/>
      <c r="F1" s="19"/>
      <c r="G1" s="57"/>
      <c r="J1" s="62"/>
      <c r="K1" s="63"/>
      <c r="L1" s="64"/>
      <c r="M1" s="48"/>
      <c r="N1" s="48"/>
      <c r="O1" s="49"/>
      <c r="P1" s="1" cm="1">
        <f t="array" ref="P1:OK1">_xlfn.SEQUENCE(1,COUNTA(_xlfn.ANCHORARRAY(P2)),1,0)</f>
        <v>1</v>
      </c>
      <c r="Q1" s="1">
        <v>1</v>
      </c>
      <c r="R1" s="1">
        <v>1</v>
      </c>
      <c r="S1" s="1">
        <v>1</v>
      </c>
      <c r="T1" s="1">
        <v>1</v>
      </c>
      <c r="U1" s="1">
        <v>1</v>
      </c>
      <c r="V1" s="1">
        <v>1</v>
      </c>
      <c r="W1" s="1">
        <v>1</v>
      </c>
      <c r="X1" s="1">
        <v>1</v>
      </c>
      <c r="Y1" s="1">
        <v>1</v>
      </c>
      <c r="Z1" s="1">
        <v>1</v>
      </c>
      <c r="AA1" s="1">
        <v>1</v>
      </c>
      <c r="AB1" s="1">
        <v>1</v>
      </c>
      <c r="AC1" s="1">
        <v>1</v>
      </c>
      <c r="AD1" s="1">
        <v>1</v>
      </c>
      <c r="AE1" s="1">
        <v>1</v>
      </c>
      <c r="AF1" s="1">
        <v>1</v>
      </c>
      <c r="AG1" s="1">
        <v>1</v>
      </c>
      <c r="AH1" s="1">
        <v>1</v>
      </c>
      <c r="AI1" s="1">
        <v>1</v>
      </c>
      <c r="AJ1" s="1">
        <v>1</v>
      </c>
      <c r="AK1" s="1">
        <v>1</v>
      </c>
      <c r="AL1" s="1">
        <v>1</v>
      </c>
      <c r="AM1" s="1">
        <v>1</v>
      </c>
      <c r="AN1" s="1">
        <v>1</v>
      </c>
      <c r="AO1" s="1">
        <v>1</v>
      </c>
      <c r="AP1" s="1">
        <v>1</v>
      </c>
      <c r="AQ1" s="1">
        <v>1</v>
      </c>
      <c r="AR1" s="1">
        <v>1</v>
      </c>
      <c r="AS1" s="1">
        <v>1</v>
      </c>
      <c r="AT1" s="1">
        <v>1</v>
      </c>
      <c r="AU1" s="1">
        <v>1</v>
      </c>
      <c r="AV1" s="1">
        <v>1</v>
      </c>
      <c r="AW1" s="1">
        <v>1</v>
      </c>
      <c r="AX1" s="1">
        <v>1</v>
      </c>
      <c r="AY1" s="1">
        <v>1</v>
      </c>
      <c r="AZ1" s="1">
        <v>1</v>
      </c>
      <c r="BA1" s="1">
        <v>1</v>
      </c>
      <c r="BB1" s="1">
        <v>1</v>
      </c>
      <c r="BC1" s="1">
        <v>1</v>
      </c>
      <c r="BD1" s="1">
        <v>1</v>
      </c>
      <c r="BE1" s="1">
        <v>1</v>
      </c>
      <c r="BF1" s="1">
        <v>1</v>
      </c>
      <c r="BG1" s="1">
        <v>1</v>
      </c>
      <c r="BH1" s="1">
        <v>1</v>
      </c>
      <c r="BI1" s="1">
        <v>1</v>
      </c>
      <c r="BJ1" s="1">
        <v>1</v>
      </c>
      <c r="BK1" s="1">
        <v>1</v>
      </c>
      <c r="BL1" s="1">
        <v>1</v>
      </c>
      <c r="BM1" s="1">
        <v>1</v>
      </c>
      <c r="BN1" s="1">
        <v>1</v>
      </c>
      <c r="BO1" s="1">
        <v>1</v>
      </c>
      <c r="BP1" s="1">
        <v>1</v>
      </c>
      <c r="BQ1" s="1">
        <v>1</v>
      </c>
      <c r="BR1" s="1">
        <v>1</v>
      </c>
      <c r="BS1" s="1">
        <v>1</v>
      </c>
      <c r="BT1" s="1">
        <v>1</v>
      </c>
      <c r="BU1" s="1">
        <v>1</v>
      </c>
      <c r="BV1" s="1">
        <v>1</v>
      </c>
      <c r="BW1" s="1">
        <v>1</v>
      </c>
      <c r="BX1" s="1">
        <v>1</v>
      </c>
      <c r="BY1" s="1">
        <v>1</v>
      </c>
      <c r="BZ1" s="1">
        <v>1</v>
      </c>
      <c r="CA1" s="1">
        <v>1</v>
      </c>
      <c r="CB1" s="1">
        <v>1</v>
      </c>
      <c r="CC1" s="1">
        <v>1</v>
      </c>
      <c r="CD1" s="1">
        <v>1</v>
      </c>
      <c r="CE1" s="1">
        <v>1</v>
      </c>
      <c r="CF1" s="1">
        <v>1</v>
      </c>
      <c r="CG1" s="1">
        <v>1</v>
      </c>
      <c r="CH1" s="1">
        <v>1</v>
      </c>
      <c r="CI1" s="1">
        <v>1</v>
      </c>
      <c r="CJ1" s="1">
        <v>1</v>
      </c>
      <c r="CK1" s="1">
        <v>1</v>
      </c>
      <c r="CL1" s="1">
        <v>1</v>
      </c>
      <c r="CM1" s="1">
        <v>1</v>
      </c>
      <c r="CN1" s="1">
        <v>1</v>
      </c>
      <c r="CO1" s="1">
        <v>1</v>
      </c>
      <c r="CP1" s="1">
        <v>1</v>
      </c>
      <c r="CQ1" s="1">
        <v>1</v>
      </c>
      <c r="CR1" s="1">
        <v>1</v>
      </c>
      <c r="CS1" s="1">
        <v>1</v>
      </c>
      <c r="CT1" s="1">
        <v>1</v>
      </c>
      <c r="CU1" s="1">
        <v>1</v>
      </c>
      <c r="CV1" s="1">
        <v>1</v>
      </c>
      <c r="CW1" s="1">
        <v>1</v>
      </c>
      <c r="CX1" s="1">
        <v>1</v>
      </c>
      <c r="CY1" s="1">
        <v>1</v>
      </c>
      <c r="CZ1" s="1">
        <v>1</v>
      </c>
      <c r="DA1" s="1">
        <v>1</v>
      </c>
      <c r="DB1" s="1">
        <v>1</v>
      </c>
      <c r="DC1" s="1">
        <v>1</v>
      </c>
      <c r="DD1" s="1">
        <v>1</v>
      </c>
      <c r="DE1" s="1">
        <v>1</v>
      </c>
      <c r="DF1" s="1">
        <v>1</v>
      </c>
      <c r="DG1" s="1">
        <v>1</v>
      </c>
      <c r="DH1" s="1">
        <v>1</v>
      </c>
      <c r="DI1" s="1">
        <v>1</v>
      </c>
      <c r="DJ1" s="1">
        <v>1</v>
      </c>
      <c r="DK1" s="1">
        <v>1</v>
      </c>
      <c r="DL1" s="1">
        <v>1</v>
      </c>
      <c r="DM1" s="1">
        <v>1</v>
      </c>
      <c r="DN1" s="1">
        <v>1</v>
      </c>
      <c r="DO1" s="1">
        <v>1</v>
      </c>
      <c r="DP1" s="1">
        <v>1</v>
      </c>
      <c r="DQ1" s="1">
        <v>1</v>
      </c>
      <c r="DR1" s="1">
        <v>1</v>
      </c>
      <c r="DS1" s="1">
        <v>1</v>
      </c>
      <c r="DT1" s="1">
        <v>1</v>
      </c>
      <c r="DU1" s="1">
        <v>1</v>
      </c>
      <c r="DV1" s="1">
        <v>1</v>
      </c>
      <c r="DW1" s="1">
        <v>1</v>
      </c>
      <c r="DX1" s="1">
        <v>1</v>
      </c>
      <c r="DY1" s="1">
        <v>1</v>
      </c>
      <c r="DZ1" s="1">
        <v>1</v>
      </c>
      <c r="EA1" s="1">
        <v>1</v>
      </c>
      <c r="EB1" s="1">
        <v>1</v>
      </c>
      <c r="EC1" s="1">
        <v>1</v>
      </c>
      <c r="ED1" s="1">
        <v>1</v>
      </c>
      <c r="EE1" s="1">
        <v>1</v>
      </c>
      <c r="EF1" s="1">
        <v>1</v>
      </c>
      <c r="EG1" s="1">
        <v>1</v>
      </c>
      <c r="EH1" s="1">
        <v>1</v>
      </c>
      <c r="EI1" s="1">
        <v>1</v>
      </c>
      <c r="EJ1" s="1">
        <v>1</v>
      </c>
      <c r="EK1" s="1">
        <v>1</v>
      </c>
      <c r="EL1" s="1">
        <v>1</v>
      </c>
      <c r="EM1" s="1">
        <v>1</v>
      </c>
      <c r="EN1" s="1">
        <v>1</v>
      </c>
      <c r="EO1" s="1">
        <v>1</v>
      </c>
      <c r="EP1" s="1">
        <v>1</v>
      </c>
      <c r="EQ1" s="1">
        <v>1</v>
      </c>
      <c r="ER1" s="1">
        <v>1</v>
      </c>
      <c r="ES1" s="1">
        <v>1</v>
      </c>
      <c r="ET1" s="1">
        <v>1</v>
      </c>
      <c r="EU1" s="1">
        <v>1</v>
      </c>
      <c r="EV1" s="1">
        <v>1</v>
      </c>
      <c r="EW1" s="1">
        <v>1</v>
      </c>
      <c r="EX1" s="1">
        <v>1</v>
      </c>
      <c r="EY1" s="1">
        <v>1</v>
      </c>
      <c r="EZ1" s="1">
        <v>1</v>
      </c>
      <c r="FA1" s="1">
        <v>1</v>
      </c>
      <c r="FB1" s="1">
        <v>1</v>
      </c>
      <c r="FC1" s="1">
        <v>1</v>
      </c>
      <c r="FD1" s="1">
        <v>1</v>
      </c>
      <c r="FE1" s="1">
        <v>1</v>
      </c>
      <c r="FF1" s="1">
        <v>1</v>
      </c>
      <c r="FG1" s="1">
        <v>1</v>
      </c>
      <c r="FH1" s="1">
        <v>1</v>
      </c>
      <c r="FI1" s="1">
        <v>1</v>
      </c>
      <c r="FJ1" s="1">
        <v>1</v>
      </c>
      <c r="FK1" s="1">
        <v>1</v>
      </c>
      <c r="FL1" s="1">
        <v>1</v>
      </c>
      <c r="FM1" s="1">
        <v>1</v>
      </c>
      <c r="FN1" s="1">
        <v>1</v>
      </c>
      <c r="FO1" s="1">
        <v>1</v>
      </c>
      <c r="FP1" s="1">
        <v>1</v>
      </c>
      <c r="FQ1" s="1">
        <v>1</v>
      </c>
      <c r="FR1" s="1">
        <v>1</v>
      </c>
      <c r="FS1" s="1">
        <v>1</v>
      </c>
      <c r="FT1" s="1">
        <v>1</v>
      </c>
      <c r="FU1" s="1">
        <v>1</v>
      </c>
      <c r="FV1" s="1">
        <v>1</v>
      </c>
      <c r="FW1" s="1">
        <v>1</v>
      </c>
      <c r="FX1" s="1">
        <v>1</v>
      </c>
      <c r="FY1" s="1">
        <v>1</v>
      </c>
      <c r="FZ1" s="1">
        <v>1</v>
      </c>
      <c r="GA1" s="1">
        <v>1</v>
      </c>
      <c r="GB1" s="1">
        <v>1</v>
      </c>
      <c r="GC1" s="1">
        <v>1</v>
      </c>
      <c r="GD1" s="1">
        <v>1</v>
      </c>
      <c r="GE1" s="1">
        <v>1</v>
      </c>
      <c r="GF1" s="1">
        <v>1</v>
      </c>
      <c r="GG1" s="1">
        <v>1</v>
      </c>
      <c r="GH1" s="1">
        <v>1</v>
      </c>
      <c r="GI1" s="1">
        <v>1</v>
      </c>
      <c r="GJ1" s="1">
        <v>1</v>
      </c>
      <c r="GK1" s="1">
        <v>1</v>
      </c>
      <c r="GL1" s="1">
        <v>1</v>
      </c>
      <c r="GM1" s="1">
        <v>1</v>
      </c>
      <c r="GN1" s="1">
        <v>1</v>
      </c>
      <c r="GO1" s="1">
        <v>1</v>
      </c>
      <c r="GP1" s="1">
        <v>1</v>
      </c>
      <c r="GQ1" s="1">
        <v>1</v>
      </c>
      <c r="GR1" s="1">
        <v>1</v>
      </c>
      <c r="GS1" s="1">
        <v>1</v>
      </c>
      <c r="GT1" s="1">
        <v>1</v>
      </c>
      <c r="GU1" s="1">
        <v>1</v>
      </c>
      <c r="GV1" s="1">
        <v>1</v>
      </c>
      <c r="GW1" s="1">
        <v>1</v>
      </c>
      <c r="GX1" s="1">
        <v>1</v>
      </c>
      <c r="GY1" s="1">
        <v>1</v>
      </c>
      <c r="GZ1" s="1">
        <v>1</v>
      </c>
      <c r="HA1" s="1">
        <v>1</v>
      </c>
      <c r="HB1" s="1">
        <v>1</v>
      </c>
      <c r="HC1" s="1">
        <v>1</v>
      </c>
      <c r="HD1" s="1">
        <v>1</v>
      </c>
      <c r="HE1" s="1">
        <v>1</v>
      </c>
      <c r="HF1" s="1">
        <v>1</v>
      </c>
      <c r="HG1" s="1">
        <v>1</v>
      </c>
      <c r="HH1" s="1">
        <v>1</v>
      </c>
      <c r="HI1" s="1">
        <v>1</v>
      </c>
      <c r="HJ1" s="1">
        <v>1</v>
      </c>
      <c r="HK1" s="1">
        <v>1</v>
      </c>
      <c r="HL1" s="1">
        <v>1</v>
      </c>
      <c r="HM1" s="1">
        <v>1</v>
      </c>
      <c r="HN1" s="1">
        <v>1</v>
      </c>
      <c r="HO1" s="1">
        <v>1</v>
      </c>
      <c r="HP1" s="1">
        <v>1</v>
      </c>
      <c r="HQ1" s="1">
        <v>1</v>
      </c>
      <c r="HR1" s="1">
        <v>1</v>
      </c>
      <c r="HS1" s="1">
        <v>1</v>
      </c>
      <c r="HT1" s="1">
        <v>1</v>
      </c>
      <c r="HU1" s="1">
        <v>1</v>
      </c>
      <c r="HV1" s="1">
        <v>1</v>
      </c>
      <c r="HW1" s="1">
        <v>1</v>
      </c>
      <c r="HX1" s="1">
        <v>1</v>
      </c>
      <c r="HY1" s="1">
        <v>1</v>
      </c>
      <c r="HZ1" s="1">
        <v>1</v>
      </c>
      <c r="IA1" s="1">
        <v>1</v>
      </c>
      <c r="IB1" s="1">
        <v>1</v>
      </c>
      <c r="IC1" s="1">
        <v>1</v>
      </c>
      <c r="ID1" s="1">
        <v>1</v>
      </c>
      <c r="IE1" s="1">
        <v>1</v>
      </c>
      <c r="IF1" s="1">
        <v>1</v>
      </c>
      <c r="IG1" s="1">
        <v>1</v>
      </c>
      <c r="IH1" s="1">
        <v>1</v>
      </c>
      <c r="II1" s="1">
        <v>1</v>
      </c>
      <c r="IJ1" s="1">
        <v>1</v>
      </c>
      <c r="IK1" s="1">
        <v>1</v>
      </c>
      <c r="IL1" s="1">
        <v>1</v>
      </c>
      <c r="IM1" s="1">
        <v>1</v>
      </c>
      <c r="IN1" s="1">
        <v>1</v>
      </c>
      <c r="IO1" s="1">
        <v>1</v>
      </c>
      <c r="IP1" s="1">
        <v>1</v>
      </c>
      <c r="IQ1" s="1">
        <v>1</v>
      </c>
      <c r="IR1" s="1">
        <v>1</v>
      </c>
      <c r="IS1" s="1">
        <v>1</v>
      </c>
      <c r="IT1" s="1">
        <v>1</v>
      </c>
      <c r="IU1" s="1">
        <v>1</v>
      </c>
      <c r="IV1" s="1">
        <v>1</v>
      </c>
      <c r="IW1" s="1">
        <v>1</v>
      </c>
      <c r="IX1" s="1">
        <v>1</v>
      </c>
      <c r="IY1" s="1">
        <v>1</v>
      </c>
      <c r="IZ1" s="1">
        <v>1</v>
      </c>
      <c r="JA1" s="1">
        <v>1</v>
      </c>
      <c r="JB1" s="1">
        <v>1</v>
      </c>
      <c r="JC1" s="1">
        <v>1</v>
      </c>
      <c r="JD1" s="1">
        <v>1</v>
      </c>
      <c r="JE1" s="1">
        <v>1</v>
      </c>
      <c r="JF1" s="1">
        <v>1</v>
      </c>
      <c r="JG1" s="1">
        <v>1</v>
      </c>
      <c r="JH1" s="1">
        <v>1</v>
      </c>
      <c r="JI1" s="1">
        <v>1</v>
      </c>
      <c r="JJ1" s="1">
        <v>1</v>
      </c>
      <c r="JK1" s="1">
        <v>1</v>
      </c>
      <c r="JL1" s="1">
        <v>1</v>
      </c>
      <c r="JM1" s="1">
        <v>1</v>
      </c>
      <c r="JN1" s="1">
        <v>1</v>
      </c>
      <c r="JO1" s="1">
        <v>1</v>
      </c>
      <c r="JP1" s="1">
        <v>1</v>
      </c>
      <c r="JQ1" s="1">
        <v>1</v>
      </c>
      <c r="JR1" s="1">
        <v>1</v>
      </c>
      <c r="JS1" s="1">
        <v>1</v>
      </c>
      <c r="JT1" s="1">
        <v>1</v>
      </c>
      <c r="JU1" s="1">
        <v>1</v>
      </c>
      <c r="JV1" s="1">
        <v>1</v>
      </c>
      <c r="JW1" s="1">
        <v>1</v>
      </c>
      <c r="JX1" s="1">
        <v>1</v>
      </c>
      <c r="JY1" s="1">
        <v>1</v>
      </c>
      <c r="JZ1" s="1">
        <v>1</v>
      </c>
      <c r="KA1" s="1">
        <v>1</v>
      </c>
      <c r="KB1" s="1">
        <v>1</v>
      </c>
      <c r="KC1" s="1">
        <v>1</v>
      </c>
      <c r="KD1" s="1">
        <v>1</v>
      </c>
      <c r="KE1" s="1">
        <v>1</v>
      </c>
      <c r="KF1" s="1">
        <v>1</v>
      </c>
      <c r="KG1" s="1">
        <v>1</v>
      </c>
      <c r="KH1" s="1">
        <v>1</v>
      </c>
      <c r="KI1" s="1">
        <v>1</v>
      </c>
      <c r="KJ1" s="1">
        <v>1</v>
      </c>
      <c r="KK1" s="1">
        <v>1</v>
      </c>
      <c r="KL1" s="1">
        <v>1</v>
      </c>
      <c r="KM1" s="1">
        <v>1</v>
      </c>
      <c r="KN1" s="1">
        <v>1</v>
      </c>
      <c r="KO1" s="1">
        <v>1</v>
      </c>
      <c r="KP1" s="1">
        <v>1</v>
      </c>
      <c r="KQ1" s="1">
        <v>1</v>
      </c>
      <c r="KR1" s="1">
        <v>1</v>
      </c>
      <c r="KS1" s="1">
        <v>1</v>
      </c>
      <c r="KT1" s="1">
        <v>1</v>
      </c>
      <c r="KU1" s="1">
        <v>1</v>
      </c>
      <c r="KV1" s="1">
        <v>1</v>
      </c>
      <c r="KW1" s="1">
        <v>1</v>
      </c>
      <c r="KX1" s="1">
        <v>1</v>
      </c>
      <c r="KY1" s="1">
        <v>1</v>
      </c>
      <c r="KZ1" s="1">
        <v>1</v>
      </c>
      <c r="LA1" s="1">
        <v>1</v>
      </c>
      <c r="LB1" s="1">
        <v>1</v>
      </c>
      <c r="LC1" s="1">
        <v>1</v>
      </c>
      <c r="LD1" s="1">
        <v>1</v>
      </c>
      <c r="LE1" s="1">
        <v>1</v>
      </c>
      <c r="LF1" s="1">
        <v>1</v>
      </c>
      <c r="LG1" s="1">
        <v>1</v>
      </c>
      <c r="LH1" s="1">
        <v>1</v>
      </c>
      <c r="LI1" s="1">
        <v>1</v>
      </c>
      <c r="LJ1" s="1">
        <v>1</v>
      </c>
      <c r="LK1" s="1">
        <v>1</v>
      </c>
      <c r="LL1" s="1">
        <v>1</v>
      </c>
      <c r="LM1" s="1">
        <v>1</v>
      </c>
      <c r="LN1" s="1">
        <v>1</v>
      </c>
      <c r="LO1" s="1">
        <v>1</v>
      </c>
      <c r="LP1" s="1">
        <v>1</v>
      </c>
      <c r="LQ1" s="1">
        <v>1</v>
      </c>
      <c r="LR1" s="1">
        <v>1</v>
      </c>
      <c r="LS1" s="1">
        <v>1</v>
      </c>
      <c r="LT1" s="1">
        <v>1</v>
      </c>
      <c r="LU1" s="1">
        <v>1</v>
      </c>
      <c r="LV1" s="1">
        <v>1</v>
      </c>
      <c r="LW1" s="1">
        <v>1</v>
      </c>
      <c r="LX1" s="1">
        <v>1</v>
      </c>
      <c r="LY1" s="1">
        <v>1</v>
      </c>
      <c r="LZ1" s="1">
        <v>1</v>
      </c>
      <c r="MA1" s="1">
        <v>1</v>
      </c>
      <c r="MB1" s="1">
        <v>1</v>
      </c>
      <c r="MC1" s="1">
        <v>1</v>
      </c>
      <c r="MD1" s="1">
        <v>1</v>
      </c>
      <c r="ME1" s="1">
        <v>1</v>
      </c>
      <c r="MF1" s="1">
        <v>1</v>
      </c>
      <c r="MG1" s="1">
        <v>1</v>
      </c>
      <c r="MH1" s="1">
        <v>1</v>
      </c>
      <c r="MI1" s="1">
        <v>1</v>
      </c>
      <c r="MJ1" s="1">
        <v>1</v>
      </c>
      <c r="MK1" s="1">
        <v>1</v>
      </c>
      <c r="ML1" s="1">
        <v>1</v>
      </c>
      <c r="MM1" s="1">
        <v>1</v>
      </c>
      <c r="MN1" s="1">
        <v>1</v>
      </c>
      <c r="MO1" s="1">
        <v>1</v>
      </c>
      <c r="MP1" s="1">
        <v>1</v>
      </c>
      <c r="MQ1" s="1">
        <v>1</v>
      </c>
      <c r="MR1" s="1">
        <v>1</v>
      </c>
      <c r="MS1" s="1">
        <v>1</v>
      </c>
      <c r="MT1" s="1">
        <v>1</v>
      </c>
      <c r="MU1" s="1">
        <v>1</v>
      </c>
      <c r="MV1" s="1">
        <v>1</v>
      </c>
      <c r="MW1" s="1">
        <v>1</v>
      </c>
      <c r="MX1" s="1">
        <v>1</v>
      </c>
      <c r="MY1" s="1">
        <v>1</v>
      </c>
      <c r="MZ1" s="1">
        <v>1</v>
      </c>
      <c r="NA1" s="1">
        <v>1</v>
      </c>
      <c r="NB1" s="1">
        <v>1</v>
      </c>
      <c r="NC1" s="1">
        <v>1</v>
      </c>
      <c r="ND1" s="1">
        <v>1</v>
      </c>
      <c r="NE1" s="1">
        <v>1</v>
      </c>
      <c r="NF1" s="1">
        <v>1</v>
      </c>
      <c r="NG1" s="1">
        <v>1</v>
      </c>
      <c r="NH1" s="1">
        <v>1</v>
      </c>
      <c r="NI1" s="1">
        <v>1</v>
      </c>
      <c r="NJ1" s="1">
        <v>1</v>
      </c>
      <c r="NK1" s="1">
        <v>1</v>
      </c>
      <c r="NL1" s="1">
        <v>1</v>
      </c>
      <c r="NM1" s="1">
        <v>1</v>
      </c>
      <c r="NN1" s="1">
        <v>1</v>
      </c>
      <c r="NO1" s="1">
        <v>1</v>
      </c>
      <c r="NP1" s="1">
        <v>1</v>
      </c>
      <c r="NQ1" s="1">
        <v>1</v>
      </c>
      <c r="NR1" s="1">
        <v>1</v>
      </c>
      <c r="NS1" s="1">
        <v>1</v>
      </c>
      <c r="NT1" s="1">
        <v>1</v>
      </c>
      <c r="NU1" s="1">
        <v>1</v>
      </c>
      <c r="NV1" s="1">
        <v>1</v>
      </c>
      <c r="NW1" s="1">
        <v>1</v>
      </c>
      <c r="NX1" s="1">
        <v>1</v>
      </c>
      <c r="NY1" s="1">
        <v>1</v>
      </c>
      <c r="NZ1" s="1">
        <v>1</v>
      </c>
      <c r="OA1" s="1">
        <v>1</v>
      </c>
      <c r="OB1" s="1">
        <v>1</v>
      </c>
      <c r="OC1" s="1">
        <v>1</v>
      </c>
      <c r="OD1" s="1">
        <v>1</v>
      </c>
      <c r="OE1">
        <v>1</v>
      </c>
      <c r="OF1">
        <v>1</v>
      </c>
      <c r="OG1">
        <v>1</v>
      </c>
      <c r="OH1">
        <v>1</v>
      </c>
      <c r="OI1">
        <v>1</v>
      </c>
      <c r="OJ1">
        <v>1</v>
      </c>
      <c r="OK1">
        <v>1</v>
      </c>
    </row>
    <row r="2" spans="1:401" ht="13.8" customHeight="1" x14ac:dyDescent="0.3">
      <c r="A2" s="113" t="s">
        <v>139</v>
      </c>
      <c r="J2" s="65"/>
      <c r="K2" s="55"/>
      <c r="L2" s="66"/>
      <c r="M2" s="5" t="s">
        <v>11</v>
      </c>
      <c r="N2" s="5"/>
      <c r="O2" s="15"/>
      <c r="P2" s="47" cm="1">
        <f t="array" ref="P2:OK2">EDATE(GES!E5,_xlfn.SEQUENCE(1,((YEAR(GES!E6)-YEAR(GES!E5))*12+(MONTH(GES!E6)-MONTH(GES!E5))+1),0))</f>
        <v>45962</v>
      </c>
      <c r="Q2" s="47">
        <v>45992</v>
      </c>
      <c r="R2" s="47">
        <v>46023</v>
      </c>
      <c r="S2" s="47">
        <v>46054</v>
      </c>
      <c r="T2" s="47">
        <v>46082</v>
      </c>
      <c r="U2" s="47">
        <v>46113</v>
      </c>
      <c r="V2" s="47">
        <v>46143</v>
      </c>
      <c r="W2" s="47">
        <v>46174</v>
      </c>
      <c r="X2" s="47">
        <v>46204</v>
      </c>
      <c r="Y2" s="47">
        <v>46235</v>
      </c>
      <c r="Z2" s="47">
        <v>46266</v>
      </c>
      <c r="AA2" s="47">
        <v>46296</v>
      </c>
      <c r="AB2" s="47">
        <v>46327</v>
      </c>
      <c r="AC2" s="47">
        <v>46357</v>
      </c>
      <c r="AD2" s="47">
        <v>46388</v>
      </c>
      <c r="AE2" s="47">
        <v>46419</v>
      </c>
      <c r="AF2" s="47">
        <v>46447</v>
      </c>
      <c r="AG2" s="47">
        <v>46478</v>
      </c>
      <c r="AH2" s="47">
        <v>46508</v>
      </c>
      <c r="AI2" s="47">
        <v>46539</v>
      </c>
      <c r="AJ2" s="47">
        <v>46569</v>
      </c>
      <c r="AK2" s="47">
        <v>46600</v>
      </c>
      <c r="AL2" s="47">
        <v>46631</v>
      </c>
      <c r="AM2" s="47">
        <v>46661</v>
      </c>
      <c r="AN2" s="47">
        <v>46692</v>
      </c>
      <c r="AO2" s="47">
        <v>46722</v>
      </c>
      <c r="AP2" s="47">
        <v>46753</v>
      </c>
      <c r="AQ2" s="47">
        <v>46784</v>
      </c>
      <c r="AR2" s="47">
        <v>46813</v>
      </c>
      <c r="AS2" s="47">
        <v>46844</v>
      </c>
      <c r="AT2" s="47">
        <v>46874</v>
      </c>
      <c r="AU2" s="47">
        <v>46905</v>
      </c>
      <c r="AV2" s="47">
        <v>46935</v>
      </c>
      <c r="AW2" s="47">
        <v>46966</v>
      </c>
      <c r="AX2" s="47">
        <v>46997</v>
      </c>
      <c r="AY2" s="47">
        <v>47027</v>
      </c>
      <c r="AZ2" s="47">
        <v>47058</v>
      </c>
      <c r="BA2" s="47">
        <v>47088</v>
      </c>
      <c r="BB2" s="47">
        <v>47119</v>
      </c>
      <c r="BC2" s="47">
        <v>47150</v>
      </c>
      <c r="BD2" s="47">
        <v>47178</v>
      </c>
      <c r="BE2" s="47">
        <v>47209</v>
      </c>
      <c r="BF2" s="47">
        <v>47239</v>
      </c>
      <c r="BG2" s="47">
        <v>47270</v>
      </c>
      <c r="BH2" s="47">
        <v>47300</v>
      </c>
      <c r="BI2" s="47">
        <v>47331</v>
      </c>
      <c r="BJ2" s="47">
        <v>47362</v>
      </c>
      <c r="BK2" s="47">
        <v>47392</v>
      </c>
      <c r="BL2" s="47">
        <v>47423</v>
      </c>
      <c r="BM2" s="47">
        <v>47453</v>
      </c>
      <c r="BN2" s="47">
        <v>47484</v>
      </c>
      <c r="BO2" s="47">
        <v>47515</v>
      </c>
      <c r="BP2" s="47">
        <v>47543</v>
      </c>
      <c r="BQ2" s="47">
        <v>47574</v>
      </c>
      <c r="BR2" s="47">
        <v>47604</v>
      </c>
      <c r="BS2" s="47">
        <v>47635</v>
      </c>
      <c r="BT2" s="47">
        <v>47665</v>
      </c>
      <c r="BU2" s="47">
        <v>47696</v>
      </c>
      <c r="BV2" s="47">
        <v>47727</v>
      </c>
      <c r="BW2" s="47">
        <v>47757</v>
      </c>
      <c r="BX2" s="47">
        <v>47788</v>
      </c>
      <c r="BY2" s="47">
        <v>47818</v>
      </c>
      <c r="BZ2" s="47">
        <v>47849</v>
      </c>
      <c r="CA2" s="47">
        <v>47880</v>
      </c>
      <c r="CB2" s="47">
        <v>47908</v>
      </c>
      <c r="CC2" s="47">
        <v>47939</v>
      </c>
      <c r="CD2" s="47">
        <v>47969</v>
      </c>
      <c r="CE2" s="47">
        <v>48000</v>
      </c>
      <c r="CF2" s="47">
        <v>48030</v>
      </c>
      <c r="CG2" s="47">
        <v>48061</v>
      </c>
      <c r="CH2" s="47">
        <v>48092</v>
      </c>
      <c r="CI2" s="47">
        <v>48122</v>
      </c>
      <c r="CJ2" s="47">
        <v>48153</v>
      </c>
      <c r="CK2" s="47">
        <v>48183</v>
      </c>
      <c r="CL2" s="47">
        <v>48214</v>
      </c>
      <c r="CM2" s="47">
        <v>48245</v>
      </c>
      <c r="CN2" s="47">
        <v>48274</v>
      </c>
      <c r="CO2" s="47">
        <v>48305</v>
      </c>
      <c r="CP2" s="47">
        <v>48335</v>
      </c>
      <c r="CQ2" s="47">
        <v>48366</v>
      </c>
      <c r="CR2" s="47">
        <v>48396</v>
      </c>
      <c r="CS2" s="47">
        <v>48427</v>
      </c>
      <c r="CT2" s="47">
        <v>48458</v>
      </c>
      <c r="CU2" s="47">
        <v>48488</v>
      </c>
      <c r="CV2" s="47">
        <v>48519</v>
      </c>
      <c r="CW2" s="47">
        <v>48549</v>
      </c>
      <c r="CX2" s="47">
        <v>48580</v>
      </c>
      <c r="CY2" s="47">
        <v>48611</v>
      </c>
      <c r="CZ2" s="47">
        <v>48639</v>
      </c>
      <c r="DA2" s="47">
        <v>48670</v>
      </c>
      <c r="DB2" s="47">
        <v>48700</v>
      </c>
      <c r="DC2" s="47">
        <v>48731</v>
      </c>
      <c r="DD2" s="47">
        <v>48761</v>
      </c>
      <c r="DE2" s="47">
        <v>48792</v>
      </c>
      <c r="DF2" s="47">
        <v>48823</v>
      </c>
      <c r="DG2" s="47">
        <v>48853</v>
      </c>
      <c r="DH2" s="47">
        <v>48884</v>
      </c>
      <c r="DI2" s="47">
        <v>48914</v>
      </c>
      <c r="DJ2" s="47">
        <v>48945</v>
      </c>
      <c r="DK2" s="47">
        <v>48976</v>
      </c>
      <c r="DL2" s="47">
        <v>49004</v>
      </c>
      <c r="DM2" s="47">
        <v>49035</v>
      </c>
      <c r="DN2" s="47">
        <v>49065</v>
      </c>
      <c r="DO2" s="47">
        <v>49096</v>
      </c>
      <c r="DP2" s="47">
        <v>49126</v>
      </c>
      <c r="DQ2" s="47">
        <v>49157</v>
      </c>
      <c r="DR2" s="47">
        <v>49188</v>
      </c>
      <c r="DS2" s="47">
        <v>49218</v>
      </c>
      <c r="DT2" s="47">
        <v>49249</v>
      </c>
      <c r="DU2" s="47">
        <v>49279</v>
      </c>
      <c r="DV2" s="47">
        <v>49310</v>
      </c>
      <c r="DW2" s="47">
        <v>49341</v>
      </c>
      <c r="DX2" s="47">
        <v>49369</v>
      </c>
      <c r="DY2" s="47">
        <v>49400</v>
      </c>
      <c r="DZ2" s="47">
        <v>49430</v>
      </c>
      <c r="EA2" s="47">
        <v>49461</v>
      </c>
      <c r="EB2" s="47">
        <v>49491</v>
      </c>
      <c r="EC2" s="47">
        <v>49522</v>
      </c>
      <c r="ED2" s="47">
        <v>49553</v>
      </c>
      <c r="EE2" s="47">
        <v>49583</v>
      </c>
      <c r="EF2" s="47">
        <v>49614</v>
      </c>
      <c r="EG2" s="47">
        <v>49644</v>
      </c>
      <c r="EH2" s="47">
        <v>49675</v>
      </c>
      <c r="EI2" s="47">
        <v>49706</v>
      </c>
      <c r="EJ2" s="47">
        <v>49735</v>
      </c>
      <c r="EK2" s="47">
        <v>49766</v>
      </c>
      <c r="EL2" s="47">
        <v>49796</v>
      </c>
      <c r="EM2" s="47">
        <v>49827</v>
      </c>
      <c r="EN2" s="47">
        <v>49857</v>
      </c>
      <c r="EO2" s="47">
        <v>49888</v>
      </c>
      <c r="EP2" s="47">
        <v>49919</v>
      </c>
      <c r="EQ2" s="47">
        <v>49949</v>
      </c>
      <c r="ER2" s="47">
        <v>49980</v>
      </c>
      <c r="ES2" s="47">
        <v>50010</v>
      </c>
      <c r="ET2" s="47">
        <v>50041</v>
      </c>
      <c r="EU2" s="47">
        <v>50072</v>
      </c>
      <c r="EV2" s="47">
        <v>50100</v>
      </c>
      <c r="EW2" s="47">
        <v>50131</v>
      </c>
      <c r="EX2" s="47">
        <v>50161</v>
      </c>
      <c r="EY2" s="47">
        <v>50192</v>
      </c>
      <c r="EZ2" s="47">
        <v>50222</v>
      </c>
      <c r="FA2" s="47">
        <v>50253</v>
      </c>
      <c r="FB2" s="47">
        <v>50284</v>
      </c>
      <c r="FC2" s="47">
        <v>50314</v>
      </c>
      <c r="FD2" s="47">
        <v>50345</v>
      </c>
      <c r="FE2" s="47">
        <v>50375</v>
      </c>
      <c r="FF2" s="47">
        <v>50406</v>
      </c>
      <c r="FG2" s="47">
        <v>50437</v>
      </c>
      <c r="FH2" s="47">
        <v>50465</v>
      </c>
      <c r="FI2" s="47">
        <v>50496</v>
      </c>
      <c r="FJ2" s="47">
        <v>50526</v>
      </c>
      <c r="FK2" s="47">
        <v>50557</v>
      </c>
      <c r="FL2" s="47">
        <v>50587</v>
      </c>
      <c r="FM2" s="47">
        <v>50618</v>
      </c>
      <c r="FN2" s="47">
        <v>50649</v>
      </c>
      <c r="FO2" s="47">
        <v>50679</v>
      </c>
      <c r="FP2" s="47">
        <v>50710</v>
      </c>
      <c r="FQ2" s="47">
        <v>50740</v>
      </c>
      <c r="FR2" s="47">
        <v>50771</v>
      </c>
      <c r="FS2" s="47">
        <v>50802</v>
      </c>
      <c r="FT2" s="47">
        <v>50830</v>
      </c>
      <c r="FU2" s="47">
        <v>50861</v>
      </c>
      <c r="FV2" s="47">
        <v>50891</v>
      </c>
      <c r="FW2" s="47">
        <v>50922</v>
      </c>
      <c r="FX2" s="47">
        <v>50952</v>
      </c>
      <c r="FY2" s="47">
        <v>50983</v>
      </c>
      <c r="FZ2" s="47">
        <v>51014</v>
      </c>
      <c r="GA2" s="47">
        <v>51044</v>
      </c>
      <c r="GB2" s="47">
        <v>51075</v>
      </c>
      <c r="GC2" s="47">
        <v>51105</v>
      </c>
      <c r="GD2" s="47">
        <v>51136</v>
      </c>
      <c r="GE2" s="47">
        <v>51167</v>
      </c>
      <c r="GF2" s="47">
        <v>51196</v>
      </c>
      <c r="GG2" s="47">
        <v>51227</v>
      </c>
      <c r="GH2" s="47">
        <v>51257</v>
      </c>
      <c r="GI2" s="47">
        <v>51288</v>
      </c>
      <c r="GJ2" s="47">
        <v>51318</v>
      </c>
      <c r="GK2" s="47">
        <v>51349</v>
      </c>
      <c r="GL2" s="47">
        <v>51380</v>
      </c>
      <c r="GM2" s="47">
        <v>51410</v>
      </c>
      <c r="GN2" s="47">
        <v>51441</v>
      </c>
      <c r="GO2" s="47">
        <v>51471</v>
      </c>
      <c r="GP2" s="47">
        <v>51502</v>
      </c>
      <c r="GQ2" s="47">
        <v>51533</v>
      </c>
      <c r="GR2" s="47">
        <v>51561</v>
      </c>
      <c r="GS2" s="47">
        <v>51592</v>
      </c>
      <c r="GT2" s="47">
        <v>51622</v>
      </c>
      <c r="GU2" s="47">
        <v>51653</v>
      </c>
      <c r="GV2" s="47">
        <v>51683</v>
      </c>
      <c r="GW2" s="47">
        <v>51714</v>
      </c>
      <c r="GX2" s="47">
        <v>51745</v>
      </c>
      <c r="GY2" s="47">
        <v>51775</v>
      </c>
      <c r="GZ2" s="47">
        <v>51806</v>
      </c>
      <c r="HA2" s="47">
        <v>51836</v>
      </c>
      <c r="HB2" s="47">
        <v>51867</v>
      </c>
      <c r="HC2" s="47">
        <v>51898</v>
      </c>
      <c r="HD2" s="47">
        <v>51926</v>
      </c>
      <c r="HE2" s="47">
        <v>51957</v>
      </c>
      <c r="HF2" s="47">
        <v>51987</v>
      </c>
      <c r="HG2" s="47">
        <v>52018</v>
      </c>
      <c r="HH2" s="47">
        <v>52048</v>
      </c>
      <c r="HI2" s="47">
        <v>52079</v>
      </c>
      <c r="HJ2" s="47">
        <v>52110</v>
      </c>
      <c r="HK2" s="47">
        <v>52140</v>
      </c>
      <c r="HL2" s="47">
        <v>52171</v>
      </c>
      <c r="HM2" s="47">
        <v>52201</v>
      </c>
      <c r="HN2" s="47">
        <v>52232</v>
      </c>
      <c r="HO2" s="47">
        <v>52263</v>
      </c>
      <c r="HP2" s="47">
        <v>52291</v>
      </c>
      <c r="HQ2" s="47">
        <v>52322</v>
      </c>
      <c r="HR2" s="47">
        <v>52352</v>
      </c>
      <c r="HS2" s="47">
        <v>52383</v>
      </c>
      <c r="HT2" s="47">
        <v>52413</v>
      </c>
      <c r="HU2" s="47">
        <v>52444</v>
      </c>
      <c r="HV2" s="47">
        <v>52475</v>
      </c>
      <c r="HW2" s="47">
        <v>52505</v>
      </c>
      <c r="HX2" s="47">
        <v>52536</v>
      </c>
      <c r="HY2" s="47">
        <v>52566</v>
      </c>
      <c r="HZ2" s="47">
        <v>52597</v>
      </c>
      <c r="IA2" s="47">
        <v>52628</v>
      </c>
      <c r="IB2" s="47">
        <v>52657</v>
      </c>
      <c r="IC2" s="47">
        <v>52688</v>
      </c>
      <c r="ID2" s="47">
        <v>52718</v>
      </c>
      <c r="IE2" s="47">
        <v>52749</v>
      </c>
      <c r="IF2" s="47">
        <v>52779</v>
      </c>
      <c r="IG2" s="47">
        <v>52810</v>
      </c>
      <c r="IH2" s="47">
        <v>52841</v>
      </c>
      <c r="II2" s="47">
        <v>52871</v>
      </c>
      <c r="IJ2" s="47">
        <v>52902</v>
      </c>
      <c r="IK2" s="47">
        <v>52932</v>
      </c>
      <c r="IL2" s="47">
        <v>52963</v>
      </c>
      <c r="IM2" s="47">
        <v>52994</v>
      </c>
      <c r="IN2" s="47">
        <v>53022</v>
      </c>
      <c r="IO2" s="47">
        <v>53053</v>
      </c>
      <c r="IP2" s="47">
        <v>53083</v>
      </c>
      <c r="IQ2" s="47">
        <v>53114</v>
      </c>
      <c r="IR2" s="47">
        <v>53144</v>
      </c>
      <c r="IS2" s="47">
        <v>53175</v>
      </c>
      <c r="IT2" s="47">
        <v>53206</v>
      </c>
      <c r="IU2" s="47">
        <v>53236</v>
      </c>
      <c r="IV2" s="47">
        <v>53267</v>
      </c>
      <c r="IW2" s="47">
        <v>53297</v>
      </c>
      <c r="IX2" s="47">
        <v>53328</v>
      </c>
      <c r="IY2" s="47">
        <v>53359</v>
      </c>
      <c r="IZ2" s="47">
        <v>53387</v>
      </c>
      <c r="JA2" s="47">
        <v>53418</v>
      </c>
      <c r="JB2" s="47">
        <v>53448</v>
      </c>
      <c r="JC2" s="47">
        <v>53479</v>
      </c>
      <c r="JD2" s="47">
        <v>53509</v>
      </c>
      <c r="JE2" s="47">
        <v>53540</v>
      </c>
      <c r="JF2" s="47">
        <v>53571</v>
      </c>
      <c r="JG2" s="47">
        <v>53601</v>
      </c>
      <c r="JH2" s="47">
        <v>53632</v>
      </c>
      <c r="JI2" s="47">
        <v>53662</v>
      </c>
      <c r="JJ2" s="47">
        <v>53693</v>
      </c>
      <c r="JK2" s="47">
        <v>53724</v>
      </c>
      <c r="JL2" s="47">
        <v>53752</v>
      </c>
      <c r="JM2" s="47">
        <v>53783</v>
      </c>
      <c r="JN2" s="47">
        <v>53813</v>
      </c>
      <c r="JO2" s="47">
        <v>53844</v>
      </c>
      <c r="JP2" s="47">
        <v>53874</v>
      </c>
      <c r="JQ2" s="47">
        <v>53905</v>
      </c>
      <c r="JR2" s="47">
        <v>53936</v>
      </c>
      <c r="JS2" s="47">
        <v>53966</v>
      </c>
      <c r="JT2" s="47">
        <v>53997</v>
      </c>
      <c r="JU2" s="47">
        <v>54027</v>
      </c>
      <c r="JV2" s="47">
        <v>54058</v>
      </c>
      <c r="JW2" s="47">
        <v>54089</v>
      </c>
      <c r="JX2" s="47">
        <v>54118</v>
      </c>
      <c r="JY2" s="47">
        <v>54149</v>
      </c>
      <c r="JZ2" s="47">
        <v>54179</v>
      </c>
      <c r="KA2" s="47">
        <v>54210</v>
      </c>
      <c r="KB2" s="47">
        <v>54240</v>
      </c>
      <c r="KC2" s="47">
        <v>54271</v>
      </c>
      <c r="KD2" s="47">
        <v>54302</v>
      </c>
      <c r="KE2" s="47">
        <v>54332</v>
      </c>
      <c r="KF2" s="47">
        <v>54363</v>
      </c>
      <c r="KG2" s="47">
        <v>54393</v>
      </c>
      <c r="KH2" s="47">
        <v>54424</v>
      </c>
      <c r="KI2" s="47">
        <v>54455</v>
      </c>
      <c r="KJ2" s="47">
        <v>54483</v>
      </c>
      <c r="KK2" s="47">
        <v>54514</v>
      </c>
      <c r="KL2" s="47">
        <v>54544</v>
      </c>
      <c r="KM2" s="47">
        <v>54575</v>
      </c>
      <c r="KN2" s="47">
        <v>54605</v>
      </c>
      <c r="KO2" s="47">
        <v>54636</v>
      </c>
      <c r="KP2" s="47">
        <v>54667</v>
      </c>
      <c r="KQ2" s="47">
        <v>54697</v>
      </c>
      <c r="KR2" s="47">
        <v>54728</v>
      </c>
      <c r="KS2" s="47">
        <v>54758</v>
      </c>
      <c r="KT2" s="47">
        <v>54789</v>
      </c>
      <c r="KU2" s="47">
        <v>54820</v>
      </c>
      <c r="KV2" s="47">
        <v>54848</v>
      </c>
      <c r="KW2" s="47">
        <v>54879</v>
      </c>
      <c r="KX2" s="47">
        <v>54909</v>
      </c>
      <c r="KY2" s="47">
        <v>54940</v>
      </c>
      <c r="KZ2" s="47">
        <v>54970</v>
      </c>
      <c r="LA2" s="47">
        <v>55001</v>
      </c>
      <c r="LB2" s="47">
        <v>55032</v>
      </c>
      <c r="LC2" s="47">
        <v>55062</v>
      </c>
      <c r="LD2" s="47">
        <v>55093</v>
      </c>
      <c r="LE2" s="47">
        <v>55123</v>
      </c>
      <c r="LF2" s="47">
        <v>55154</v>
      </c>
      <c r="LG2" s="47">
        <v>55185</v>
      </c>
      <c r="LH2" s="47">
        <v>55213</v>
      </c>
      <c r="LI2" s="47">
        <v>55244</v>
      </c>
      <c r="LJ2" s="47">
        <v>55274</v>
      </c>
      <c r="LK2" s="47">
        <v>55305</v>
      </c>
      <c r="LL2" s="47">
        <v>55335</v>
      </c>
      <c r="LM2" s="47">
        <v>55366</v>
      </c>
      <c r="LN2" s="47">
        <v>55397</v>
      </c>
      <c r="LO2" s="47">
        <v>55427</v>
      </c>
      <c r="LP2" s="47">
        <v>55458</v>
      </c>
      <c r="LQ2" s="47">
        <v>55488</v>
      </c>
      <c r="LR2" s="47">
        <v>55519</v>
      </c>
      <c r="LS2" s="47">
        <v>55550</v>
      </c>
      <c r="LT2" s="47">
        <v>55579</v>
      </c>
      <c r="LU2" s="47">
        <v>55610</v>
      </c>
      <c r="LV2" s="47">
        <v>55640</v>
      </c>
      <c r="LW2" s="47">
        <v>55671</v>
      </c>
      <c r="LX2" s="47">
        <v>55701</v>
      </c>
      <c r="LY2" s="47">
        <v>55732</v>
      </c>
      <c r="LZ2" s="47">
        <v>55763</v>
      </c>
      <c r="MA2" s="47">
        <v>55793</v>
      </c>
      <c r="MB2" s="47">
        <v>55824</v>
      </c>
      <c r="MC2" s="47">
        <v>55854</v>
      </c>
      <c r="MD2" s="47">
        <v>55885</v>
      </c>
      <c r="ME2" s="47">
        <v>55916</v>
      </c>
      <c r="MF2" s="47">
        <v>55944</v>
      </c>
      <c r="MG2" s="47">
        <v>55975</v>
      </c>
      <c r="MH2" s="47">
        <v>56005</v>
      </c>
      <c r="MI2" s="47">
        <v>56036</v>
      </c>
      <c r="MJ2" s="47">
        <v>56066</v>
      </c>
      <c r="MK2" s="47">
        <v>56097</v>
      </c>
      <c r="ML2" s="47">
        <v>56128</v>
      </c>
      <c r="MM2" s="47">
        <v>56158</v>
      </c>
      <c r="MN2" s="47">
        <v>56189</v>
      </c>
      <c r="MO2" s="47">
        <v>56219</v>
      </c>
      <c r="MP2" s="47">
        <v>56250</v>
      </c>
      <c r="MQ2" s="47">
        <v>56281</v>
      </c>
      <c r="MR2" s="47">
        <v>56309</v>
      </c>
      <c r="MS2" s="47">
        <v>56340</v>
      </c>
      <c r="MT2" s="47">
        <v>56370</v>
      </c>
      <c r="MU2" s="47">
        <v>56401</v>
      </c>
      <c r="MV2" s="47">
        <v>56431</v>
      </c>
      <c r="MW2" s="47">
        <v>56462</v>
      </c>
      <c r="MX2" s="47">
        <v>56493</v>
      </c>
      <c r="MY2" s="47">
        <v>56523</v>
      </c>
      <c r="MZ2" s="47">
        <v>56554</v>
      </c>
      <c r="NA2" s="47">
        <v>56584</v>
      </c>
      <c r="NB2" s="47">
        <v>56615</v>
      </c>
      <c r="NC2" s="47">
        <v>56646</v>
      </c>
      <c r="ND2" s="47">
        <v>56674</v>
      </c>
      <c r="NE2" s="47">
        <v>56705</v>
      </c>
      <c r="NF2" s="47">
        <v>56735</v>
      </c>
      <c r="NG2" s="47">
        <v>56766</v>
      </c>
      <c r="NH2" s="47">
        <v>56796</v>
      </c>
      <c r="NI2" s="47">
        <v>56827</v>
      </c>
      <c r="NJ2" s="47">
        <v>56858</v>
      </c>
      <c r="NK2" s="47">
        <v>56888</v>
      </c>
      <c r="NL2" s="47">
        <v>56919</v>
      </c>
      <c r="NM2" s="47">
        <v>56949</v>
      </c>
      <c r="NN2" s="47">
        <v>56980</v>
      </c>
      <c r="NO2" s="47">
        <v>57011</v>
      </c>
      <c r="NP2" s="47">
        <v>57040</v>
      </c>
      <c r="NQ2" s="47">
        <v>57071</v>
      </c>
      <c r="NR2" s="47">
        <v>57101</v>
      </c>
      <c r="NS2" s="47">
        <v>57132</v>
      </c>
      <c r="NT2" s="47">
        <v>57162</v>
      </c>
      <c r="NU2" s="47">
        <v>57193</v>
      </c>
      <c r="NV2" s="47">
        <v>57224</v>
      </c>
      <c r="NW2" s="47">
        <v>57254</v>
      </c>
      <c r="NX2" s="47">
        <v>57285</v>
      </c>
      <c r="NY2" s="47">
        <v>57315</v>
      </c>
      <c r="NZ2" s="47">
        <v>57346</v>
      </c>
      <c r="OA2" s="47">
        <v>57377</v>
      </c>
      <c r="OB2" s="47">
        <v>57405</v>
      </c>
      <c r="OC2" s="47">
        <v>57436</v>
      </c>
      <c r="OD2" s="47">
        <v>57466</v>
      </c>
      <c r="OE2">
        <v>57497</v>
      </c>
      <c r="OF2">
        <v>57527</v>
      </c>
      <c r="OG2">
        <v>57558</v>
      </c>
      <c r="OH2">
        <v>57589</v>
      </c>
      <c r="OI2">
        <v>57619</v>
      </c>
      <c r="OJ2">
        <v>57650</v>
      </c>
      <c r="OK2">
        <v>57680</v>
      </c>
    </row>
    <row r="3" spans="1:401" ht="14.4" customHeight="1" x14ac:dyDescent="0.3">
      <c r="D3" s="19" t="s">
        <v>55</v>
      </c>
      <c r="E3" s="23" t="s">
        <v>53</v>
      </c>
      <c r="J3" s="65"/>
      <c r="K3" s="55"/>
      <c r="L3" s="66"/>
      <c r="M3" t="s">
        <v>9</v>
      </c>
      <c r="O3" s="16"/>
      <c r="P3" s="22" cm="1">
        <f t="array" ref="P3:OK3">_xlfn.SEQUENCE(1,COUNTA(_xlfn.ANCHORARRAY(P2)),1)</f>
        <v>1</v>
      </c>
      <c r="Q3" s="22">
        <v>2</v>
      </c>
      <c r="R3" s="22">
        <v>3</v>
      </c>
      <c r="S3" s="22">
        <v>4</v>
      </c>
      <c r="T3" s="22">
        <v>5</v>
      </c>
      <c r="U3" s="22">
        <v>6</v>
      </c>
      <c r="V3" s="22">
        <v>7</v>
      </c>
      <c r="W3" s="22">
        <v>8</v>
      </c>
      <c r="X3" s="22">
        <v>9</v>
      </c>
      <c r="Y3" s="22">
        <v>10</v>
      </c>
      <c r="Z3" s="22">
        <v>11</v>
      </c>
      <c r="AA3" s="22">
        <v>12</v>
      </c>
      <c r="AB3" s="22">
        <v>13</v>
      </c>
      <c r="AC3" s="22">
        <v>14</v>
      </c>
      <c r="AD3" s="22">
        <v>15</v>
      </c>
      <c r="AE3" s="22">
        <v>16</v>
      </c>
      <c r="AF3" s="22">
        <v>17</v>
      </c>
      <c r="AG3" s="22">
        <v>18</v>
      </c>
      <c r="AH3" s="22">
        <v>19</v>
      </c>
      <c r="AI3" s="22">
        <v>20</v>
      </c>
      <c r="AJ3" s="22">
        <v>21</v>
      </c>
      <c r="AK3" s="22">
        <v>22</v>
      </c>
      <c r="AL3" s="22">
        <v>23</v>
      </c>
      <c r="AM3" s="22">
        <v>24</v>
      </c>
      <c r="AN3" s="22">
        <v>25</v>
      </c>
      <c r="AO3" s="22">
        <v>26</v>
      </c>
      <c r="AP3" s="22">
        <v>27</v>
      </c>
      <c r="AQ3" s="22">
        <v>28</v>
      </c>
      <c r="AR3" s="22">
        <v>29</v>
      </c>
      <c r="AS3" s="22">
        <v>30</v>
      </c>
      <c r="AT3" s="22">
        <v>31</v>
      </c>
      <c r="AU3" s="22">
        <v>32</v>
      </c>
      <c r="AV3" s="22">
        <v>33</v>
      </c>
      <c r="AW3" s="22">
        <v>34</v>
      </c>
      <c r="AX3" s="22">
        <v>35</v>
      </c>
      <c r="AY3" s="22">
        <v>36</v>
      </c>
      <c r="AZ3" s="22">
        <v>37</v>
      </c>
      <c r="BA3" s="22">
        <v>38</v>
      </c>
      <c r="BB3" s="22">
        <v>39</v>
      </c>
      <c r="BC3" s="22">
        <v>40</v>
      </c>
      <c r="BD3" s="22">
        <v>41</v>
      </c>
      <c r="BE3" s="22">
        <v>42</v>
      </c>
      <c r="BF3" s="22">
        <v>43</v>
      </c>
      <c r="BG3" s="22">
        <v>44</v>
      </c>
      <c r="BH3" s="22">
        <v>45</v>
      </c>
      <c r="BI3" s="22">
        <v>46</v>
      </c>
      <c r="BJ3" s="22">
        <v>47</v>
      </c>
      <c r="BK3" s="22">
        <v>48</v>
      </c>
      <c r="BL3" s="22">
        <v>49</v>
      </c>
      <c r="BM3" s="22">
        <v>50</v>
      </c>
      <c r="BN3" s="22">
        <v>51</v>
      </c>
      <c r="BO3" s="22">
        <v>52</v>
      </c>
      <c r="BP3" s="22">
        <v>53</v>
      </c>
      <c r="BQ3" s="22">
        <v>54</v>
      </c>
      <c r="BR3" s="22">
        <v>55</v>
      </c>
      <c r="BS3" s="22">
        <v>56</v>
      </c>
      <c r="BT3" s="22">
        <v>57</v>
      </c>
      <c r="BU3" s="22">
        <v>58</v>
      </c>
      <c r="BV3" s="22">
        <v>59</v>
      </c>
      <c r="BW3" s="22">
        <v>60</v>
      </c>
      <c r="BX3" s="22">
        <v>61</v>
      </c>
      <c r="BY3" s="22">
        <v>62</v>
      </c>
      <c r="BZ3" s="22">
        <v>63</v>
      </c>
      <c r="CA3" s="22">
        <v>64</v>
      </c>
      <c r="CB3" s="22">
        <v>65</v>
      </c>
      <c r="CC3" s="22">
        <v>66</v>
      </c>
      <c r="CD3" s="22">
        <v>67</v>
      </c>
      <c r="CE3" s="22">
        <v>68</v>
      </c>
      <c r="CF3" s="22">
        <v>69</v>
      </c>
      <c r="CG3" s="22">
        <v>70</v>
      </c>
      <c r="CH3" s="22">
        <v>71</v>
      </c>
      <c r="CI3" s="22">
        <v>72</v>
      </c>
      <c r="CJ3" s="22">
        <v>73</v>
      </c>
      <c r="CK3" s="22">
        <v>74</v>
      </c>
      <c r="CL3" s="22">
        <v>75</v>
      </c>
      <c r="CM3" s="22">
        <v>76</v>
      </c>
      <c r="CN3" s="22">
        <v>77</v>
      </c>
      <c r="CO3" s="22">
        <v>78</v>
      </c>
      <c r="CP3" s="22">
        <v>79</v>
      </c>
      <c r="CQ3" s="22">
        <v>80</v>
      </c>
      <c r="CR3" s="22">
        <v>81</v>
      </c>
      <c r="CS3" s="22">
        <v>82</v>
      </c>
      <c r="CT3" s="22">
        <v>83</v>
      </c>
      <c r="CU3" s="22">
        <v>84</v>
      </c>
      <c r="CV3" s="22">
        <v>85</v>
      </c>
      <c r="CW3" s="22">
        <v>86</v>
      </c>
      <c r="CX3" s="22">
        <v>87</v>
      </c>
      <c r="CY3" s="22">
        <v>88</v>
      </c>
      <c r="CZ3" s="22">
        <v>89</v>
      </c>
      <c r="DA3" s="22">
        <v>90</v>
      </c>
      <c r="DB3" s="22">
        <v>91</v>
      </c>
      <c r="DC3" s="22">
        <v>92</v>
      </c>
      <c r="DD3" s="22">
        <v>93</v>
      </c>
      <c r="DE3" s="22">
        <v>94</v>
      </c>
      <c r="DF3" s="22">
        <v>95</v>
      </c>
      <c r="DG3" s="22">
        <v>96</v>
      </c>
      <c r="DH3" s="22">
        <v>97</v>
      </c>
      <c r="DI3" s="22">
        <v>98</v>
      </c>
      <c r="DJ3" s="22">
        <v>99</v>
      </c>
      <c r="DK3" s="22">
        <v>100</v>
      </c>
      <c r="DL3" s="22">
        <v>101</v>
      </c>
      <c r="DM3" s="22">
        <v>102</v>
      </c>
      <c r="DN3" s="22">
        <v>103</v>
      </c>
      <c r="DO3" s="22">
        <v>104</v>
      </c>
      <c r="DP3" s="22">
        <v>105</v>
      </c>
      <c r="DQ3" s="22">
        <v>106</v>
      </c>
      <c r="DR3" s="22">
        <v>107</v>
      </c>
      <c r="DS3" s="22">
        <v>108</v>
      </c>
      <c r="DT3" s="22">
        <v>109</v>
      </c>
      <c r="DU3" s="22">
        <v>110</v>
      </c>
      <c r="DV3" s="22">
        <v>111</v>
      </c>
      <c r="DW3" s="22">
        <v>112</v>
      </c>
      <c r="DX3" s="22">
        <v>113</v>
      </c>
      <c r="DY3" s="22">
        <v>114</v>
      </c>
      <c r="DZ3" s="22">
        <v>115</v>
      </c>
      <c r="EA3" s="22">
        <v>116</v>
      </c>
      <c r="EB3" s="22">
        <v>117</v>
      </c>
      <c r="EC3" s="22">
        <v>118</v>
      </c>
      <c r="ED3" s="22">
        <v>119</v>
      </c>
      <c r="EE3" s="22">
        <v>120</v>
      </c>
      <c r="EF3" s="22">
        <v>121</v>
      </c>
      <c r="EG3" s="22">
        <v>122</v>
      </c>
      <c r="EH3" s="22">
        <v>123</v>
      </c>
      <c r="EI3" s="22">
        <v>124</v>
      </c>
      <c r="EJ3" s="22">
        <v>125</v>
      </c>
      <c r="EK3" s="22">
        <v>126</v>
      </c>
      <c r="EL3" s="22">
        <v>127</v>
      </c>
      <c r="EM3" s="22">
        <v>128</v>
      </c>
      <c r="EN3" s="22">
        <v>129</v>
      </c>
      <c r="EO3" s="22">
        <v>130</v>
      </c>
      <c r="EP3" s="22">
        <v>131</v>
      </c>
      <c r="EQ3" s="22">
        <v>132</v>
      </c>
      <c r="ER3" s="22">
        <v>133</v>
      </c>
      <c r="ES3" s="22">
        <v>134</v>
      </c>
      <c r="ET3" s="22">
        <v>135</v>
      </c>
      <c r="EU3" s="22">
        <v>136</v>
      </c>
      <c r="EV3" s="22">
        <v>137</v>
      </c>
      <c r="EW3" s="22">
        <v>138</v>
      </c>
      <c r="EX3" s="22">
        <v>139</v>
      </c>
      <c r="EY3" s="22">
        <v>140</v>
      </c>
      <c r="EZ3" s="22">
        <v>141</v>
      </c>
      <c r="FA3" s="22">
        <v>142</v>
      </c>
      <c r="FB3" s="22">
        <v>143</v>
      </c>
      <c r="FC3" s="22">
        <v>144</v>
      </c>
      <c r="FD3" s="22">
        <v>145</v>
      </c>
      <c r="FE3" s="22">
        <v>146</v>
      </c>
      <c r="FF3" s="22">
        <v>147</v>
      </c>
      <c r="FG3" s="22">
        <v>148</v>
      </c>
      <c r="FH3" s="22">
        <v>149</v>
      </c>
      <c r="FI3" s="22">
        <v>150</v>
      </c>
      <c r="FJ3" s="22">
        <v>151</v>
      </c>
      <c r="FK3" s="22">
        <v>152</v>
      </c>
      <c r="FL3" s="22">
        <v>153</v>
      </c>
      <c r="FM3" s="22">
        <v>154</v>
      </c>
      <c r="FN3" s="22">
        <v>155</v>
      </c>
      <c r="FO3" s="22">
        <v>156</v>
      </c>
      <c r="FP3" s="22">
        <v>157</v>
      </c>
      <c r="FQ3" s="22">
        <v>158</v>
      </c>
      <c r="FR3" s="22">
        <v>159</v>
      </c>
      <c r="FS3" s="22">
        <v>160</v>
      </c>
      <c r="FT3" s="22">
        <v>161</v>
      </c>
      <c r="FU3" s="22">
        <v>162</v>
      </c>
      <c r="FV3" s="22">
        <v>163</v>
      </c>
      <c r="FW3" s="22">
        <v>164</v>
      </c>
      <c r="FX3" s="22">
        <v>165</v>
      </c>
      <c r="FY3" s="22">
        <v>166</v>
      </c>
      <c r="FZ3" s="22">
        <v>167</v>
      </c>
      <c r="GA3" s="22">
        <v>168</v>
      </c>
      <c r="GB3" s="22">
        <v>169</v>
      </c>
      <c r="GC3" s="22">
        <v>170</v>
      </c>
      <c r="GD3" s="22">
        <v>171</v>
      </c>
      <c r="GE3" s="22">
        <v>172</v>
      </c>
      <c r="GF3" s="22">
        <v>173</v>
      </c>
      <c r="GG3" s="22">
        <v>174</v>
      </c>
      <c r="GH3" s="22">
        <v>175</v>
      </c>
      <c r="GI3" s="22">
        <v>176</v>
      </c>
      <c r="GJ3" s="22">
        <v>177</v>
      </c>
      <c r="GK3" s="22">
        <v>178</v>
      </c>
      <c r="GL3" s="22">
        <v>179</v>
      </c>
      <c r="GM3" s="22">
        <v>180</v>
      </c>
      <c r="GN3" s="22">
        <v>181</v>
      </c>
      <c r="GO3" s="22">
        <v>182</v>
      </c>
      <c r="GP3" s="22">
        <v>183</v>
      </c>
      <c r="GQ3" s="22">
        <v>184</v>
      </c>
      <c r="GR3" s="22">
        <v>185</v>
      </c>
      <c r="GS3" s="22">
        <v>186</v>
      </c>
      <c r="GT3" s="22">
        <v>187</v>
      </c>
      <c r="GU3" s="22">
        <v>188</v>
      </c>
      <c r="GV3" s="22">
        <v>189</v>
      </c>
      <c r="GW3" s="22">
        <v>190</v>
      </c>
      <c r="GX3" s="22">
        <v>191</v>
      </c>
      <c r="GY3" s="22">
        <v>192</v>
      </c>
      <c r="GZ3" s="22">
        <v>193</v>
      </c>
      <c r="HA3" s="22">
        <v>194</v>
      </c>
      <c r="HB3" s="22">
        <v>195</v>
      </c>
      <c r="HC3" s="22">
        <v>196</v>
      </c>
      <c r="HD3" s="22">
        <v>197</v>
      </c>
      <c r="HE3" s="22">
        <v>198</v>
      </c>
      <c r="HF3" s="22">
        <v>199</v>
      </c>
      <c r="HG3" s="22">
        <v>200</v>
      </c>
      <c r="HH3" s="22">
        <v>201</v>
      </c>
      <c r="HI3" s="22">
        <v>202</v>
      </c>
      <c r="HJ3" s="22">
        <v>203</v>
      </c>
      <c r="HK3" s="22">
        <v>204</v>
      </c>
      <c r="HL3" s="22">
        <v>205</v>
      </c>
      <c r="HM3" s="22">
        <v>206</v>
      </c>
      <c r="HN3" s="22">
        <v>207</v>
      </c>
      <c r="HO3" s="22">
        <v>208</v>
      </c>
      <c r="HP3" s="22">
        <v>209</v>
      </c>
      <c r="HQ3" s="22">
        <v>210</v>
      </c>
      <c r="HR3" s="22">
        <v>211</v>
      </c>
      <c r="HS3" s="22">
        <v>212</v>
      </c>
      <c r="HT3" s="22">
        <v>213</v>
      </c>
      <c r="HU3" s="22">
        <v>214</v>
      </c>
      <c r="HV3" s="22">
        <v>215</v>
      </c>
      <c r="HW3" s="22">
        <v>216</v>
      </c>
      <c r="HX3" s="22">
        <v>217</v>
      </c>
      <c r="HY3" s="22">
        <v>218</v>
      </c>
      <c r="HZ3" s="22">
        <v>219</v>
      </c>
      <c r="IA3" s="22">
        <v>220</v>
      </c>
      <c r="IB3" s="22">
        <v>221</v>
      </c>
      <c r="IC3" s="22">
        <v>222</v>
      </c>
      <c r="ID3" s="22">
        <v>223</v>
      </c>
      <c r="IE3" s="22">
        <v>224</v>
      </c>
      <c r="IF3" s="22">
        <v>225</v>
      </c>
      <c r="IG3" s="22">
        <v>226</v>
      </c>
      <c r="IH3" s="22">
        <v>227</v>
      </c>
      <c r="II3" s="22">
        <v>228</v>
      </c>
      <c r="IJ3" s="22">
        <v>229</v>
      </c>
      <c r="IK3" s="22">
        <v>230</v>
      </c>
      <c r="IL3" s="22">
        <v>231</v>
      </c>
      <c r="IM3" s="22">
        <v>232</v>
      </c>
      <c r="IN3" s="22">
        <v>233</v>
      </c>
      <c r="IO3" s="22">
        <v>234</v>
      </c>
      <c r="IP3" s="22">
        <v>235</v>
      </c>
      <c r="IQ3" s="22">
        <v>236</v>
      </c>
      <c r="IR3" s="22">
        <v>237</v>
      </c>
      <c r="IS3" s="22">
        <v>238</v>
      </c>
      <c r="IT3" s="22">
        <v>239</v>
      </c>
      <c r="IU3" s="22">
        <v>240</v>
      </c>
      <c r="IV3" s="22">
        <v>241</v>
      </c>
      <c r="IW3" s="22">
        <v>242</v>
      </c>
      <c r="IX3" s="22">
        <v>243</v>
      </c>
      <c r="IY3" s="22">
        <v>244</v>
      </c>
      <c r="IZ3" s="22">
        <v>245</v>
      </c>
      <c r="JA3" s="22">
        <v>246</v>
      </c>
      <c r="JB3" s="22">
        <v>247</v>
      </c>
      <c r="JC3" s="22">
        <v>248</v>
      </c>
      <c r="JD3" s="22">
        <v>249</v>
      </c>
      <c r="JE3" s="22">
        <v>250</v>
      </c>
      <c r="JF3" s="22">
        <v>251</v>
      </c>
      <c r="JG3" s="22">
        <v>252</v>
      </c>
      <c r="JH3" s="22">
        <v>253</v>
      </c>
      <c r="JI3" s="22">
        <v>254</v>
      </c>
      <c r="JJ3" s="22">
        <v>255</v>
      </c>
      <c r="JK3" s="22">
        <v>256</v>
      </c>
      <c r="JL3" s="22">
        <v>257</v>
      </c>
      <c r="JM3" s="22">
        <v>258</v>
      </c>
      <c r="JN3" s="22">
        <v>259</v>
      </c>
      <c r="JO3" s="22">
        <v>260</v>
      </c>
      <c r="JP3" s="22">
        <v>261</v>
      </c>
      <c r="JQ3" s="22">
        <v>262</v>
      </c>
      <c r="JR3" s="22">
        <v>263</v>
      </c>
      <c r="JS3" s="22">
        <v>264</v>
      </c>
      <c r="JT3" s="22">
        <v>265</v>
      </c>
      <c r="JU3" s="22">
        <v>266</v>
      </c>
      <c r="JV3" s="22">
        <v>267</v>
      </c>
      <c r="JW3" s="22">
        <v>268</v>
      </c>
      <c r="JX3" s="22">
        <v>269</v>
      </c>
      <c r="JY3" s="22">
        <v>270</v>
      </c>
      <c r="JZ3" s="22">
        <v>271</v>
      </c>
      <c r="KA3" s="22">
        <v>272</v>
      </c>
      <c r="KB3" s="22">
        <v>273</v>
      </c>
      <c r="KC3" s="22">
        <v>274</v>
      </c>
      <c r="KD3" s="22">
        <v>275</v>
      </c>
      <c r="KE3" s="22">
        <v>276</v>
      </c>
      <c r="KF3" s="22">
        <v>277</v>
      </c>
      <c r="KG3" s="22">
        <v>278</v>
      </c>
      <c r="KH3" s="22">
        <v>279</v>
      </c>
      <c r="KI3" s="22">
        <v>280</v>
      </c>
      <c r="KJ3" s="22">
        <v>281</v>
      </c>
      <c r="KK3" s="22">
        <v>282</v>
      </c>
      <c r="KL3" s="22">
        <v>283</v>
      </c>
      <c r="KM3" s="22">
        <v>284</v>
      </c>
      <c r="KN3" s="22">
        <v>285</v>
      </c>
      <c r="KO3" s="22">
        <v>286</v>
      </c>
      <c r="KP3" s="22">
        <v>287</v>
      </c>
      <c r="KQ3" s="22">
        <v>288</v>
      </c>
      <c r="KR3" s="22">
        <v>289</v>
      </c>
      <c r="KS3" s="22">
        <v>290</v>
      </c>
      <c r="KT3" s="22">
        <v>291</v>
      </c>
      <c r="KU3" s="22">
        <v>292</v>
      </c>
      <c r="KV3" s="22">
        <v>293</v>
      </c>
      <c r="KW3" s="22">
        <v>294</v>
      </c>
      <c r="KX3" s="22">
        <v>295</v>
      </c>
      <c r="KY3" s="22">
        <v>296</v>
      </c>
      <c r="KZ3" s="22">
        <v>297</v>
      </c>
      <c r="LA3" s="22">
        <v>298</v>
      </c>
      <c r="LB3" s="22">
        <v>299</v>
      </c>
      <c r="LC3" s="22">
        <v>300</v>
      </c>
      <c r="LD3" s="22">
        <v>301</v>
      </c>
      <c r="LE3" s="22">
        <v>302</v>
      </c>
      <c r="LF3" s="22">
        <v>303</v>
      </c>
      <c r="LG3" s="22">
        <v>304</v>
      </c>
      <c r="LH3" s="22">
        <v>305</v>
      </c>
      <c r="LI3" s="22">
        <v>306</v>
      </c>
      <c r="LJ3" s="22">
        <v>307</v>
      </c>
      <c r="LK3" s="22">
        <v>308</v>
      </c>
      <c r="LL3" s="22">
        <v>309</v>
      </c>
      <c r="LM3" s="22">
        <v>310</v>
      </c>
      <c r="LN3" s="22">
        <v>311</v>
      </c>
      <c r="LO3" s="22">
        <v>312</v>
      </c>
      <c r="LP3" s="22">
        <v>313</v>
      </c>
      <c r="LQ3" s="22">
        <v>314</v>
      </c>
      <c r="LR3" s="22">
        <v>315</v>
      </c>
      <c r="LS3" s="22">
        <v>316</v>
      </c>
      <c r="LT3" s="22">
        <v>317</v>
      </c>
      <c r="LU3" s="22">
        <v>318</v>
      </c>
      <c r="LV3" s="22">
        <v>319</v>
      </c>
      <c r="LW3" s="22">
        <v>320</v>
      </c>
      <c r="LX3" s="22">
        <v>321</v>
      </c>
      <c r="LY3" s="22">
        <v>322</v>
      </c>
      <c r="LZ3" s="22">
        <v>323</v>
      </c>
      <c r="MA3" s="22">
        <v>324</v>
      </c>
      <c r="MB3" s="22">
        <v>325</v>
      </c>
      <c r="MC3" s="22">
        <v>326</v>
      </c>
      <c r="MD3" s="22">
        <v>327</v>
      </c>
      <c r="ME3" s="22">
        <v>328</v>
      </c>
      <c r="MF3" s="22">
        <v>329</v>
      </c>
      <c r="MG3" s="22">
        <v>330</v>
      </c>
      <c r="MH3" s="22">
        <v>331</v>
      </c>
      <c r="MI3" s="22">
        <v>332</v>
      </c>
      <c r="MJ3" s="22">
        <v>333</v>
      </c>
      <c r="MK3" s="22">
        <v>334</v>
      </c>
      <c r="ML3" s="22">
        <v>335</v>
      </c>
      <c r="MM3" s="22">
        <v>336</v>
      </c>
      <c r="MN3" s="22">
        <v>337</v>
      </c>
      <c r="MO3" s="22">
        <v>338</v>
      </c>
      <c r="MP3" s="22">
        <v>339</v>
      </c>
      <c r="MQ3" s="22">
        <v>340</v>
      </c>
      <c r="MR3" s="22">
        <v>341</v>
      </c>
      <c r="MS3" s="22">
        <v>342</v>
      </c>
      <c r="MT3" s="22">
        <v>343</v>
      </c>
      <c r="MU3" s="22">
        <v>344</v>
      </c>
      <c r="MV3" s="22">
        <v>345</v>
      </c>
      <c r="MW3" s="22">
        <v>346</v>
      </c>
      <c r="MX3" s="22">
        <v>347</v>
      </c>
      <c r="MY3" s="22">
        <v>348</v>
      </c>
      <c r="MZ3" s="22">
        <v>349</v>
      </c>
      <c r="NA3" s="22">
        <v>350</v>
      </c>
      <c r="NB3" s="22">
        <v>351</v>
      </c>
      <c r="NC3" s="22">
        <v>352</v>
      </c>
      <c r="ND3" s="22">
        <v>353</v>
      </c>
      <c r="NE3" s="22">
        <v>354</v>
      </c>
      <c r="NF3" s="22">
        <v>355</v>
      </c>
      <c r="NG3" s="22">
        <v>356</v>
      </c>
      <c r="NH3" s="22">
        <v>357</v>
      </c>
      <c r="NI3" s="22">
        <v>358</v>
      </c>
      <c r="NJ3" s="22">
        <v>359</v>
      </c>
      <c r="NK3" s="22">
        <v>360</v>
      </c>
      <c r="NL3" s="22">
        <v>361</v>
      </c>
      <c r="NM3" s="22">
        <v>362</v>
      </c>
      <c r="NN3" s="22">
        <v>363</v>
      </c>
      <c r="NO3" s="22">
        <v>364</v>
      </c>
      <c r="NP3" s="22">
        <v>365</v>
      </c>
      <c r="NQ3" s="22">
        <v>366</v>
      </c>
      <c r="NR3" s="22">
        <v>367</v>
      </c>
      <c r="NS3" s="22">
        <v>368</v>
      </c>
      <c r="NT3" s="22">
        <v>369</v>
      </c>
      <c r="NU3" s="22">
        <v>370</v>
      </c>
      <c r="NV3" s="22">
        <v>371</v>
      </c>
      <c r="NW3" s="22">
        <v>372</v>
      </c>
      <c r="NX3" s="22">
        <v>373</v>
      </c>
      <c r="NY3" s="22">
        <v>374</v>
      </c>
      <c r="NZ3" s="22">
        <v>375</v>
      </c>
      <c r="OA3" s="22">
        <v>376</v>
      </c>
      <c r="OB3" s="22">
        <v>377</v>
      </c>
      <c r="OC3" s="22">
        <v>378</v>
      </c>
      <c r="OD3" s="22">
        <v>379</v>
      </c>
      <c r="OE3">
        <v>380</v>
      </c>
      <c r="OF3">
        <v>381</v>
      </c>
      <c r="OG3">
        <v>382</v>
      </c>
      <c r="OH3">
        <v>383</v>
      </c>
      <c r="OI3">
        <v>384</v>
      </c>
      <c r="OJ3">
        <v>385</v>
      </c>
      <c r="OK3">
        <v>386</v>
      </c>
    </row>
    <row r="4" spans="1:401" x14ac:dyDescent="0.3">
      <c r="J4" s="65"/>
      <c r="K4" s="55"/>
      <c r="L4" s="66"/>
      <c r="M4" s="5" t="s">
        <v>10</v>
      </c>
      <c r="N4" s="5"/>
      <c r="O4" s="15"/>
      <c r="P4" s="3" cm="1">
        <f t="array" ref="P4:OK4">ROUNDUP(_xlfn.ANCHORARRAY(P3)/12,0)</f>
        <v>1</v>
      </c>
      <c r="Q4" s="3">
        <v>1</v>
      </c>
      <c r="R4" s="3">
        <v>1</v>
      </c>
      <c r="S4" s="3">
        <v>1</v>
      </c>
      <c r="T4" s="3">
        <v>1</v>
      </c>
      <c r="U4" s="3">
        <v>1</v>
      </c>
      <c r="V4" s="3">
        <v>1</v>
      </c>
      <c r="W4" s="3">
        <v>1</v>
      </c>
      <c r="X4" s="3">
        <v>1</v>
      </c>
      <c r="Y4" s="3">
        <v>1</v>
      </c>
      <c r="Z4" s="3">
        <v>1</v>
      </c>
      <c r="AA4" s="3">
        <v>1</v>
      </c>
      <c r="AB4" s="3">
        <v>2</v>
      </c>
      <c r="AC4" s="3">
        <v>2</v>
      </c>
      <c r="AD4" s="3">
        <v>2</v>
      </c>
      <c r="AE4" s="3">
        <v>2</v>
      </c>
      <c r="AF4" s="3">
        <v>2</v>
      </c>
      <c r="AG4" s="3">
        <v>2</v>
      </c>
      <c r="AH4" s="3">
        <v>2</v>
      </c>
      <c r="AI4" s="3">
        <v>2</v>
      </c>
      <c r="AJ4" s="3">
        <v>2</v>
      </c>
      <c r="AK4" s="3">
        <v>2</v>
      </c>
      <c r="AL4" s="3">
        <v>2</v>
      </c>
      <c r="AM4" s="3">
        <v>2</v>
      </c>
      <c r="AN4" s="3">
        <v>3</v>
      </c>
      <c r="AO4" s="3">
        <v>3</v>
      </c>
      <c r="AP4" s="3">
        <v>3</v>
      </c>
      <c r="AQ4" s="3">
        <v>3</v>
      </c>
      <c r="AR4" s="3">
        <v>3</v>
      </c>
      <c r="AS4" s="3">
        <v>3</v>
      </c>
      <c r="AT4" s="3">
        <v>3</v>
      </c>
      <c r="AU4" s="3">
        <v>3</v>
      </c>
      <c r="AV4" s="3">
        <v>3</v>
      </c>
      <c r="AW4" s="3">
        <v>3</v>
      </c>
      <c r="AX4" s="3">
        <v>3</v>
      </c>
      <c r="AY4" s="3">
        <v>3</v>
      </c>
      <c r="AZ4" s="3">
        <v>4</v>
      </c>
      <c r="BA4" s="3">
        <v>4</v>
      </c>
      <c r="BB4" s="3">
        <v>4</v>
      </c>
      <c r="BC4" s="3">
        <v>4</v>
      </c>
      <c r="BD4" s="3">
        <v>4</v>
      </c>
      <c r="BE4" s="3">
        <v>4</v>
      </c>
      <c r="BF4" s="3">
        <v>4</v>
      </c>
      <c r="BG4" s="3">
        <v>4</v>
      </c>
      <c r="BH4" s="3">
        <v>4</v>
      </c>
      <c r="BI4" s="3">
        <v>4</v>
      </c>
      <c r="BJ4" s="3">
        <v>4</v>
      </c>
      <c r="BK4" s="3">
        <v>4</v>
      </c>
      <c r="BL4" s="3">
        <v>5</v>
      </c>
      <c r="BM4" s="3">
        <v>5</v>
      </c>
      <c r="BN4" s="3">
        <v>5</v>
      </c>
      <c r="BO4" s="3">
        <v>5</v>
      </c>
      <c r="BP4" s="3">
        <v>5</v>
      </c>
      <c r="BQ4" s="3">
        <v>5</v>
      </c>
      <c r="BR4" s="3">
        <v>5</v>
      </c>
      <c r="BS4" s="3">
        <v>5</v>
      </c>
      <c r="BT4" s="3">
        <v>5</v>
      </c>
      <c r="BU4" s="3">
        <v>5</v>
      </c>
      <c r="BV4" s="3">
        <v>5</v>
      </c>
      <c r="BW4" s="3">
        <v>5</v>
      </c>
      <c r="BX4" s="3">
        <v>6</v>
      </c>
      <c r="BY4" s="3">
        <v>6</v>
      </c>
      <c r="BZ4" s="3">
        <v>6</v>
      </c>
      <c r="CA4" s="3">
        <v>6</v>
      </c>
      <c r="CB4" s="3">
        <v>6</v>
      </c>
      <c r="CC4" s="3">
        <v>6</v>
      </c>
      <c r="CD4" s="3">
        <v>6</v>
      </c>
      <c r="CE4" s="3">
        <v>6</v>
      </c>
      <c r="CF4" s="3">
        <v>6</v>
      </c>
      <c r="CG4" s="3">
        <v>6</v>
      </c>
      <c r="CH4" s="3">
        <v>6</v>
      </c>
      <c r="CI4" s="3">
        <v>6</v>
      </c>
      <c r="CJ4" s="3">
        <v>7</v>
      </c>
      <c r="CK4" s="3">
        <v>7</v>
      </c>
      <c r="CL4" s="3">
        <v>7</v>
      </c>
      <c r="CM4" s="3">
        <v>7</v>
      </c>
      <c r="CN4" s="3">
        <v>7</v>
      </c>
      <c r="CO4" s="3">
        <v>7</v>
      </c>
      <c r="CP4" s="3">
        <v>7</v>
      </c>
      <c r="CQ4" s="3">
        <v>7</v>
      </c>
      <c r="CR4" s="3">
        <v>7</v>
      </c>
      <c r="CS4" s="3">
        <v>7</v>
      </c>
      <c r="CT4" s="3">
        <v>7</v>
      </c>
      <c r="CU4" s="3">
        <v>7</v>
      </c>
      <c r="CV4" s="3">
        <v>8</v>
      </c>
      <c r="CW4" s="3">
        <v>8</v>
      </c>
      <c r="CX4" s="3">
        <v>8</v>
      </c>
      <c r="CY4" s="3">
        <v>8</v>
      </c>
      <c r="CZ4" s="3">
        <v>8</v>
      </c>
      <c r="DA4" s="3">
        <v>8</v>
      </c>
      <c r="DB4" s="3">
        <v>8</v>
      </c>
      <c r="DC4" s="3">
        <v>8</v>
      </c>
      <c r="DD4" s="3">
        <v>8</v>
      </c>
      <c r="DE4" s="3">
        <v>8</v>
      </c>
      <c r="DF4" s="3">
        <v>8</v>
      </c>
      <c r="DG4" s="3">
        <v>8</v>
      </c>
      <c r="DH4" s="3">
        <v>9</v>
      </c>
      <c r="DI4" s="3">
        <v>9</v>
      </c>
      <c r="DJ4" s="3">
        <v>9</v>
      </c>
      <c r="DK4" s="3">
        <v>9</v>
      </c>
      <c r="DL4" s="3">
        <v>9</v>
      </c>
      <c r="DM4" s="3">
        <v>9</v>
      </c>
      <c r="DN4" s="3">
        <v>9</v>
      </c>
      <c r="DO4" s="3">
        <v>9</v>
      </c>
      <c r="DP4" s="3">
        <v>9</v>
      </c>
      <c r="DQ4" s="3">
        <v>9</v>
      </c>
      <c r="DR4" s="3">
        <v>9</v>
      </c>
      <c r="DS4" s="3">
        <v>9</v>
      </c>
      <c r="DT4" s="3">
        <v>10</v>
      </c>
      <c r="DU4" s="3">
        <v>10</v>
      </c>
      <c r="DV4" s="3">
        <v>10</v>
      </c>
      <c r="DW4" s="3">
        <v>10</v>
      </c>
      <c r="DX4" s="3">
        <v>10</v>
      </c>
      <c r="DY4" s="3">
        <v>10</v>
      </c>
      <c r="DZ4" s="3">
        <v>10</v>
      </c>
      <c r="EA4" s="3">
        <v>10</v>
      </c>
      <c r="EB4" s="3">
        <v>10</v>
      </c>
      <c r="EC4" s="3">
        <v>10</v>
      </c>
      <c r="ED4" s="3">
        <v>10</v>
      </c>
      <c r="EE4" s="3">
        <v>10</v>
      </c>
      <c r="EF4" s="3">
        <v>11</v>
      </c>
      <c r="EG4" s="3">
        <v>11</v>
      </c>
      <c r="EH4" s="3">
        <v>11</v>
      </c>
      <c r="EI4" s="3">
        <v>11</v>
      </c>
      <c r="EJ4" s="3">
        <v>11</v>
      </c>
      <c r="EK4" s="3">
        <v>11</v>
      </c>
      <c r="EL4" s="3">
        <v>11</v>
      </c>
      <c r="EM4" s="3">
        <v>11</v>
      </c>
      <c r="EN4" s="3">
        <v>11</v>
      </c>
      <c r="EO4" s="3">
        <v>11</v>
      </c>
      <c r="EP4" s="3">
        <v>11</v>
      </c>
      <c r="EQ4" s="3">
        <v>11</v>
      </c>
      <c r="ER4" s="3">
        <v>12</v>
      </c>
      <c r="ES4" s="3">
        <v>12</v>
      </c>
      <c r="ET4" s="3">
        <v>12</v>
      </c>
      <c r="EU4" s="3">
        <v>12</v>
      </c>
      <c r="EV4" s="3">
        <v>12</v>
      </c>
      <c r="EW4" s="3">
        <v>12</v>
      </c>
      <c r="EX4" s="3">
        <v>12</v>
      </c>
      <c r="EY4" s="3">
        <v>12</v>
      </c>
      <c r="EZ4" s="3">
        <v>12</v>
      </c>
      <c r="FA4" s="3">
        <v>12</v>
      </c>
      <c r="FB4" s="3">
        <v>12</v>
      </c>
      <c r="FC4" s="3">
        <v>12</v>
      </c>
      <c r="FD4" s="3">
        <v>13</v>
      </c>
      <c r="FE4" s="3">
        <v>13</v>
      </c>
      <c r="FF4" s="3">
        <v>13</v>
      </c>
      <c r="FG4" s="3">
        <v>13</v>
      </c>
      <c r="FH4" s="3">
        <v>13</v>
      </c>
      <c r="FI4" s="3">
        <v>13</v>
      </c>
      <c r="FJ4" s="3">
        <v>13</v>
      </c>
      <c r="FK4" s="3">
        <v>13</v>
      </c>
      <c r="FL4" s="3">
        <v>13</v>
      </c>
      <c r="FM4" s="3">
        <v>13</v>
      </c>
      <c r="FN4" s="3">
        <v>13</v>
      </c>
      <c r="FO4" s="3">
        <v>13</v>
      </c>
      <c r="FP4" s="3">
        <v>14</v>
      </c>
      <c r="FQ4" s="3">
        <v>14</v>
      </c>
      <c r="FR4" s="3">
        <v>14</v>
      </c>
      <c r="FS4" s="3">
        <v>14</v>
      </c>
      <c r="FT4" s="3">
        <v>14</v>
      </c>
      <c r="FU4" s="3">
        <v>14</v>
      </c>
      <c r="FV4" s="3">
        <v>14</v>
      </c>
      <c r="FW4" s="3">
        <v>14</v>
      </c>
      <c r="FX4" s="3">
        <v>14</v>
      </c>
      <c r="FY4" s="3">
        <v>14</v>
      </c>
      <c r="FZ4" s="3">
        <v>14</v>
      </c>
      <c r="GA4" s="3">
        <v>14</v>
      </c>
      <c r="GB4" s="3">
        <v>15</v>
      </c>
      <c r="GC4" s="3">
        <v>15</v>
      </c>
      <c r="GD4" s="3">
        <v>15</v>
      </c>
      <c r="GE4" s="3">
        <v>15</v>
      </c>
      <c r="GF4" s="3">
        <v>15</v>
      </c>
      <c r="GG4" s="3">
        <v>15</v>
      </c>
      <c r="GH4" s="3">
        <v>15</v>
      </c>
      <c r="GI4" s="3">
        <v>15</v>
      </c>
      <c r="GJ4" s="3">
        <v>15</v>
      </c>
      <c r="GK4" s="3">
        <v>15</v>
      </c>
      <c r="GL4" s="3">
        <v>15</v>
      </c>
      <c r="GM4" s="3">
        <v>15</v>
      </c>
      <c r="GN4" s="3">
        <v>16</v>
      </c>
      <c r="GO4" s="3">
        <v>16</v>
      </c>
      <c r="GP4" s="3">
        <v>16</v>
      </c>
      <c r="GQ4" s="3">
        <v>16</v>
      </c>
      <c r="GR4" s="3">
        <v>16</v>
      </c>
      <c r="GS4" s="3">
        <v>16</v>
      </c>
      <c r="GT4" s="3">
        <v>16</v>
      </c>
      <c r="GU4" s="3">
        <v>16</v>
      </c>
      <c r="GV4" s="3">
        <v>16</v>
      </c>
      <c r="GW4" s="3">
        <v>16</v>
      </c>
      <c r="GX4" s="3">
        <v>16</v>
      </c>
      <c r="GY4" s="3">
        <v>16</v>
      </c>
      <c r="GZ4" s="3">
        <v>17</v>
      </c>
      <c r="HA4" s="3">
        <v>17</v>
      </c>
      <c r="HB4" s="3">
        <v>17</v>
      </c>
      <c r="HC4" s="3">
        <v>17</v>
      </c>
      <c r="HD4" s="3">
        <v>17</v>
      </c>
      <c r="HE4" s="3">
        <v>17</v>
      </c>
      <c r="HF4" s="3">
        <v>17</v>
      </c>
      <c r="HG4" s="3">
        <v>17</v>
      </c>
      <c r="HH4" s="3">
        <v>17</v>
      </c>
      <c r="HI4" s="3">
        <v>17</v>
      </c>
      <c r="HJ4" s="3">
        <v>17</v>
      </c>
      <c r="HK4" s="3">
        <v>17</v>
      </c>
      <c r="HL4" s="3">
        <v>18</v>
      </c>
      <c r="HM4" s="3">
        <v>18</v>
      </c>
      <c r="HN4" s="3">
        <v>18</v>
      </c>
      <c r="HO4" s="3">
        <v>18</v>
      </c>
      <c r="HP4" s="3">
        <v>18</v>
      </c>
      <c r="HQ4" s="3">
        <v>18</v>
      </c>
      <c r="HR4" s="3">
        <v>18</v>
      </c>
      <c r="HS4" s="3">
        <v>18</v>
      </c>
      <c r="HT4" s="3">
        <v>18</v>
      </c>
      <c r="HU4" s="3">
        <v>18</v>
      </c>
      <c r="HV4" s="3">
        <v>18</v>
      </c>
      <c r="HW4" s="3">
        <v>18</v>
      </c>
      <c r="HX4" s="3">
        <v>19</v>
      </c>
      <c r="HY4" s="3">
        <v>19</v>
      </c>
      <c r="HZ4" s="3">
        <v>19</v>
      </c>
      <c r="IA4" s="3">
        <v>19</v>
      </c>
      <c r="IB4" s="3">
        <v>19</v>
      </c>
      <c r="IC4" s="3">
        <v>19</v>
      </c>
      <c r="ID4" s="3">
        <v>19</v>
      </c>
      <c r="IE4" s="3">
        <v>19</v>
      </c>
      <c r="IF4" s="3">
        <v>19</v>
      </c>
      <c r="IG4" s="3">
        <v>19</v>
      </c>
      <c r="IH4" s="3">
        <v>19</v>
      </c>
      <c r="II4" s="3">
        <v>19</v>
      </c>
      <c r="IJ4" s="3">
        <v>20</v>
      </c>
      <c r="IK4" s="3">
        <v>20</v>
      </c>
      <c r="IL4" s="3">
        <v>20</v>
      </c>
      <c r="IM4" s="3">
        <v>20</v>
      </c>
      <c r="IN4" s="3">
        <v>20</v>
      </c>
      <c r="IO4" s="3">
        <v>20</v>
      </c>
      <c r="IP4" s="3">
        <v>20</v>
      </c>
      <c r="IQ4" s="3">
        <v>20</v>
      </c>
      <c r="IR4" s="3">
        <v>20</v>
      </c>
      <c r="IS4" s="3">
        <v>20</v>
      </c>
      <c r="IT4" s="3">
        <v>20</v>
      </c>
      <c r="IU4" s="3">
        <v>20</v>
      </c>
      <c r="IV4" s="3">
        <v>21</v>
      </c>
      <c r="IW4" s="3">
        <v>21</v>
      </c>
      <c r="IX4" s="3">
        <v>21</v>
      </c>
      <c r="IY4" s="3">
        <v>21</v>
      </c>
      <c r="IZ4" s="3">
        <v>21</v>
      </c>
      <c r="JA4" s="3">
        <v>21</v>
      </c>
      <c r="JB4" s="3">
        <v>21</v>
      </c>
      <c r="JC4" s="3">
        <v>21</v>
      </c>
      <c r="JD4" s="3">
        <v>21</v>
      </c>
      <c r="JE4" s="3">
        <v>21</v>
      </c>
      <c r="JF4" s="3">
        <v>21</v>
      </c>
      <c r="JG4" s="3">
        <v>21</v>
      </c>
      <c r="JH4" s="3">
        <v>22</v>
      </c>
      <c r="JI4" s="3">
        <v>22</v>
      </c>
      <c r="JJ4" s="3">
        <v>22</v>
      </c>
      <c r="JK4" s="3">
        <v>22</v>
      </c>
      <c r="JL4" s="3">
        <v>22</v>
      </c>
      <c r="JM4" s="3">
        <v>22</v>
      </c>
      <c r="JN4" s="3">
        <v>22</v>
      </c>
      <c r="JO4" s="3">
        <v>22</v>
      </c>
      <c r="JP4" s="3">
        <v>22</v>
      </c>
      <c r="JQ4" s="3">
        <v>22</v>
      </c>
      <c r="JR4" s="3">
        <v>22</v>
      </c>
      <c r="JS4" s="3">
        <v>22</v>
      </c>
      <c r="JT4" s="3">
        <v>23</v>
      </c>
      <c r="JU4" s="3">
        <v>23</v>
      </c>
      <c r="JV4" s="3">
        <v>23</v>
      </c>
      <c r="JW4" s="3">
        <v>23</v>
      </c>
      <c r="JX4" s="3">
        <v>23</v>
      </c>
      <c r="JY4" s="3">
        <v>23</v>
      </c>
      <c r="JZ4" s="3">
        <v>23</v>
      </c>
      <c r="KA4" s="3">
        <v>23</v>
      </c>
      <c r="KB4" s="3">
        <v>23</v>
      </c>
      <c r="KC4" s="3">
        <v>23</v>
      </c>
      <c r="KD4" s="3">
        <v>23</v>
      </c>
      <c r="KE4" s="3">
        <v>23</v>
      </c>
      <c r="KF4" s="3">
        <v>24</v>
      </c>
      <c r="KG4" s="3">
        <v>24</v>
      </c>
      <c r="KH4" s="3">
        <v>24</v>
      </c>
      <c r="KI4" s="3">
        <v>24</v>
      </c>
      <c r="KJ4" s="3">
        <v>24</v>
      </c>
      <c r="KK4" s="3">
        <v>24</v>
      </c>
      <c r="KL4" s="3">
        <v>24</v>
      </c>
      <c r="KM4" s="3">
        <v>24</v>
      </c>
      <c r="KN4" s="3">
        <v>24</v>
      </c>
      <c r="KO4" s="3">
        <v>24</v>
      </c>
      <c r="KP4" s="3">
        <v>24</v>
      </c>
      <c r="KQ4" s="3">
        <v>24</v>
      </c>
      <c r="KR4" s="3">
        <v>25</v>
      </c>
      <c r="KS4" s="3">
        <v>25</v>
      </c>
      <c r="KT4" s="3">
        <v>25</v>
      </c>
      <c r="KU4" s="3">
        <v>25</v>
      </c>
      <c r="KV4" s="3">
        <v>25</v>
      </c>
      <c r="KW4" s="3">
        <v>25</v>
      </c>
      <c r="KX4" s="3">
        <v>25</v>
      </c>
      <c r="KY4" s="3">
        <v>25</v>
      </c>
      <c r="KZ4" s="3">
        <v>25</v>
      </c>
      <c r="LA4" s="3">
        <v>25</v>
      </c>
      <c r="LB4" s="3">
        <v>25</v>
      </c>
      <c r="LC4" s="3">
        <v>25</v>
      </c>
      <c r="LD4" s="3">
        <v>26</v>
      </c>
      <c r="LE4" s="3">
        <v>26</v>
      </c>
      <c r="LF4" s="3">
        <v>26</v>
      </c>
      <c r="LG4" s="3">
        <v>26</v>
      </c>
      <c r="LH4" s="3">
        <v>26</v>
      </c>
      <c r="LI4" s="3">
        <v>26</v>
      </c>
      <c r="LJ4" s="3">
        <v>26</v>
      </c>
      <c r="LK4" s="3">
        <v>26</v>
      </c>
      <c r="LL4" s="3">
        <v>26</v>
      </c>
      <c r="LM4" s="3">
        <v>26</v>
      </c>
      <c r="LN4" s="3">
        <v>26</v>
      </c>
      <c r="LO4" s="3">
        <v>26</v>
      </c>
      <c r="LP4" s="3">
        <v>27</v>
      </c>
      <c r="LQ4" s="3">
        <v>27</v>
      </c>
      <c r="LR4" s="3">
        <v>27</v>
      </c>
      <c r="LS4" s="3">
        <v>27</v>
      </c>
      <c r="LT4" s="3">
        <v>27</v>
      </c>
      <c r="LU4" s="3">
        <v>27</v>
      </c>
      <c r="LV4" s="3">
        <v>27</v>
      </c>
      <c r="LW4" s="3">
        <v>27</v>
      </c>
      <c r="LX4" s="3">
        <v>27</v>
      </c>
      <c r="LY4" s="3">
        <v>27</v>
      </c>
      <c r="LZ4" s="3">
        <v>27</v>
      </c>
      <c r="MA4" s="3">
        <v>27</v>
      </c>
      <c r="MB4" s="3">
        <v>28</v>
      </c>
      <c r="MC4" s="3">
        <v>28</v>
      </c>
      <c r="MD4" s="3">
        <v>28</v>
      </c>
      <c r="ME4" s="3">
        <v>28</v>
      </c>
      <c r="MF4" s="3">
        <v>28</v>
      </c>
      <c r="MG4" s="3">
        <v>28</v>
      </c>
      <c r="MH4" s="3">
        <v>28</v>
      </c>
      <c r="MI4" s="3">
        <v>28</v>
      </c>
      <c r="MJ4" s="3">
        <v>28</v>
      </c>
      <c r="MK4" s="3">
        <v>28</v>
      </c>
      <c r="ML4" s="3">
        <v>28</v>
      </c>
      <c r="MM4" s="3">
        <v>28</v>
      </c>
      <c r="MN4" s="3">
        <v>29</v>
      </c>
      <c r="MO4" s="3">
        <v>29</v>
      </c>
      <c r="MP4" s="3">
        <v>29</v>
      </c>
      <c r="MQ4" s="3">
        <v>29</v>
      </c>
      <c r="MR4" s="3">
        <v>29</v>
      </c>
      <c r="MS4" s="3">
        <v>29</v>
      </c>
      <c r="MT4" s="3">
        <v>29</v>
      </c>
      <c r="MU4" s="3">
        <v>29</v>
      </c>
      <c r="MV4" s="3">
        <v>29</v>
      </c>
      <c r="MW4" s="3">
        <v>29</v>
      </c>
      <c r="MX4" s="3">
        <v>29</v>
      </c>
      <c r="MY4" s="3">
        <v>29</v>
      </c>
      <c r="MZ4" s="3">
        <v>30</v>
      </c>
      <c r="NA4" s="3">
        <v>30</v>
      </c>
      <c r="NB4" s="3">
        <v>30</v>
      </c>
      <c r="NC4" s="3">
        <v>30</v>
      </c>
      <c r="ND4" s="3">
        <v>30</v>
      </c>
      <c r="NE4" s="3">
        <v>30</v>
      </c>
      <c r="NF4" s="3">
        <v>30</v>
      </c>
      <c r="NG4" s="3">
        <v>30</v>
      </c>
      <c r="NH4" s="3">
        <v>30</v>
      </c>
      <c r="NI4" s="3">
        <v>30</v>
      </c>
      <c r="NJ4" s="3">
        <v>30</v>
      </c>
      <c r="NK4" s="3">
        <v>30</v>
      </c>
      <c r="NL4" s="3">
        <v>31</v>
      </c>
      <c r="NM4" s="3">
        <v>31</v>
      </c>
      <c r="NN4" s="3">
        <v>31</v>
      </c>
      <c r="NO4" s="3">
        <v>31</v>
      </c>
      <c r="NP4" s="3">
        <v>31</v>
      </c>
      <c r="NQ4" s="3">
        <v>31</v>
      </c>
      <c r="NR4" s="3">
        <v>31</v>
      </c>
      <c r="NS4" s="3">
        <v>31</v>
      </c>
      <c r="NT4" s="3">
        <v>31</v>
      </c>
      <c r="NU4" s="3">
        <v>31</v>
      </c>
      <c r="NV4" s="3">
        <v>31</v>
      </c>
      <c r="NW4" s="3">
        <v>31</v>
      </c>
      <c r="NX4" s="3">
        <v>32</v>
      </c>
      <c r="NY4" s="3">
        <v>32</v>
      </c>
      <c r="NZ4" s="3">
        <v>32</v>
      </c>
      <c r="OA4" s="3">
        <v>32</v>
      </c>
      <c r="OB4" s="3">
        <v>32</v>
      </c>
      <c r="OC4" s="3">
        <v>32</v>
      </c>
      <c r="OD4" s="3">
        <v>32</v>
      </c>
      <c r="OE4">
        <v>32</v>
      </c>
      <c r="OF4">
        <v>32</v>
      </c>
      <c r="OG4">
        <v>32</v>
      </c>
      <c r="OH4">
        <v>32</v>
      </c>
      <c r="OI4">
        <v>32</v>
      </c>
      <c r="OJ4">
        <v>33</v>
      </c>
      <c r="OK4">
        <v>33</v>
      </c>
    </row>
    <row r="5" spans="1:401" x14ac:dyDescent="0.3">
      <c r="D5" s="19" t="s">
        <v>7</v>
      </c>
      <c r="E5" s="17">
        <v>45962</v>
      </c>
      <c r="J5" s="65"/>
      <c r="K5" s="55"/>
      <c r="L5" s="66"/>
      <c r="M5" t="s">
        <v>13</v>
      </c>
      <c r="O5" s="16"/>
      <c r="P5" s="22" cm="1">
        <f t="array" ref="P5:OK5">YEAR(_xlfn.ANCHORARRAY(P2))-YEAR(GES!E5)+1</f>
        <v>1</v>
      </c>
      <c r="Q5" s="22">
        <v>1</v>
      </c>
      <c r="R5" s="22">
        <v>2</v>
      </c>
      <c r="S5" s="22">
        <v>2</v>
      </c>
      <c r="T5" s="22">
        <v>2</v>
      </c>
      <c r="U5" s="22">
        <v>2</v>
      </c>
      <c r="V5" s="22">
        <v>2</v>
      </c>
      <c r="W5" s="22">
        <v>2</v>
      </c>
      <c r="X5" s="22">
        <v>2</v>
      </c>
      <c r="Y5" s="22">
        <v>2</v>
      </c>
      <c r="Z5" s="22">
        <v>2</v>
      </c>
      <c r="AA5" s="22">
        <v>2</v>
      </c>
      <c r="AB5" s="22">
        <v>2</v>
      </c>
      <c r="AC5" s="22">
        <v>2</v>
      </c>
      <c r="AD5" s="22">
        <v>3</v>
      </c>
      <c r="AE5" s="22">
        <v>3</v>
      </c>
      <c r="AF5" s="22">
        <v>3</v>
      </c>
      <c r="AG5" s="22">
        <v>3</v>
      </c>
      <c r="AH5" s="22">
        <v>3</v>
      </c>
      <c r="AI5" s="22">
        <v>3</v>
      </c>
      <c r="AJ5" s="22">
        <v>3</v>
      </c>
      <c r="AK5" s="22">
        <v>3</v>
      </c>
      <c r="AL5" s="22">
        <v>3</v>
      </c>
      <c r="AM5" s="22">
        <v>3</v>
      </c>
      <c r="AN5" s="22">
        <v>3</v>
      </c>
      <c r="AO5" s="22">
        <v>3</v>
      </c>
      <c r="AP5" s="22">
        <v>4</v>
      </c>
      <c r="AQ5" s="22">
        <v>4</v>
      </c>
      <c r="AR5" s="22">
        <v>4</v>
      </c>
      <c r="AS5" s="22">
        <v>4</v>
      </c>
      <c r="AT5" s="22">
        <v>4</v>
      </c>
      <c r="AU5" s="22">
        <v>4</v>
      </c>
      <c r="AV5" s="22">
        <v>4</v>
      </c>
      <c r="AW5" s="22">
        <v>4</v>
      </c>
      <c r="AX5" s="22">
        <v>4</v>
      </c>
      <c r="AY5" s="22">
        <v>4</v>
      </c>
      <c r="AZ5" s="22">
        <v>4</v>
      </c>
      <c r="BA5" s="22">
        <v>4</v>
      </c>
      <c r="BB5" s="22">
        <v>5</v>
      </c>
      <c r="BC5" s="22">
        <v>5</v>
      </c>
      <c r="BD5" s="22">
        <v>5</v>
      </c>
      <c r="BE5" s="22">
        <v>5</v>
      </c>
      <c r="BF5" s="22">
        <v>5</v>
      </c>
      <c r="BG5" s="22">
        <v>5</v>
      </c>
      <c r="BH5" s="22">
        <v>5</v>
      </c>
      <c r="BI5" s="22">
        <v>5</v>
      </c>
      <c r="BJ5" s="22">
        <v>5</v>
      </c>
      <c r="BK5" s="22">
        <v>5</v>
      </c>
      <c r="BL5" s="22">
        <v>5</v>
      </c>
      <c r="BM5" s="22">
        <v>5</v>
      </c>
      <c r="BN5" s="22">
        <v>6</v>
      </c>
      <c r="BO5" s="22">
        <v>6</v>
      </c>
      <c r="BP5" s="22">
        <v>6</v>
      </c>
      <c r="BQ5" s="22">
        <v>6</v>
      </c>
      <c r="BR5" s="22">
        <v>6</v>
      </c>
      <c r="BS5" s="22">
        <v>6</v>
      </c>
      <c r="BT5" s="22">
        <v>6</v>
      </c>
      <c r="BU5" s="22">
        <v>6</v>
      </c>
      <c r="BV5" s="22">
        <v>6</v>
      </c>
      <c r="BW5" s="22">
        <v>6</v>
      </c>
      <c r="BX5" s="22">
        <v>6</v>
      </c>
      <c r="BY5" s="22">
        <v>6</v>
      </c>
      <c r="BZ5" s="22">
        <v>7</v>
      </c>
      <c r="CA5" s="22">
        <v>7</v>
      </c>
      <c r="CB5" s="22">
        <v>7</v>
      </c>
      <c r="CC5" s="22">
        <v>7</v>
      </c>
      <c r="CD5" s="22">
        <v>7</v>
      </c>
      <c r="CE5" s="22">
        <v>7</v>
      </c>
      <c r="CF5" s="22">
        <v>7</v>
      </c>
      <c r="CG5" s="22">
        <v>7</v>
      </c>
      <c r="CH5" s="22">
        <v>7</v>
      </c>
      <c r="CI5" s="22">
        <v>7</v>
      </c>
      <c r="CJ5" s="22">
        <v>7</v>
      </c>
      <c r="CK5" s="22">
        <v>7</v>
      </c>
      <c r="CL5" s="22">
        <v>8</v>
      </c>
      <c r="CM5" s="22">
        <v>8</v>
      </c>
      <c r="CN5" s="22">
        <v>8</v>
      </c>
      <c r="CO5" s="22">
        <v>8</v>
      </c>
      <c r="CP5" s="22">
        <v>8</v>
      </c>
      <c r="CQ5" s="22">
        <v>8</v>
      </c>
      <c r="CR5" s="22">
        <v>8</v>
      </c>
      <c r="CS5" s="22">
        <v>8</v>
      </c>
      <c r="CT5" s="22">
        <v>8</v>
      </c>
      <c r="CU5" s="22">
        <v>8</v>
      </c>
      <c r="CV5" s="22">
        <v>8</v>
      </c>
      <c r="CW5" s="22">
        <v>8</v>
      </c>
      <c r="CX5" s="22">
        <v>9</v>
      </c>
      <c r="CY5" s="22">
        <v>9</v>
      </c>
      <c r="CZ5" s="22">
        <v>9</v>
      </c>
      <c r="DA5" s="22">
        <v>9</v>
      </c>
      <c r="DB5" s="22">
        <v>9</v>
      </c>
      <c r="DC5" s="22">
        <v>9</v>
      </c>
      <c r="DD5" s="22">
        <v>9</v>
      </c>
      <c r="DE5" s="22">
        <v>9</v>
      </c>
      <c r="DF5" s="22">
        <v>9</v>
      </c>
      <c r="DG5" s="22">
        <v>9</v>
      </c>
      <c r="DH5" s="22">
        <v>9</v>
      </c>
      <c r="DI5" s="22">
        <v>9</v>
      </c>
      <c r="DJ5" s="22">
        <v>10</v>
      </c>
      <c r="DK5" s="22">
        <v>10</v>
      </c>
      <c r="DL5" s="22">
        <v>10</v>
      </c>
      <c r="DM5" s="22">
        <v>10</v>
      </c>
      <c r="DN5" s="22">
        <v>10</v>
      </c>
      <c r="DO5" s="22">
        <v>10</v>
      </c>
      <c r="DP5" s="22">
        <v>10</v>
      </c>
      <c r="DQ5" s="22">
        <v>10</v>
      </c>
      <c r="DR5" s="22">
        <v>10</v>
      </c>
      <c r="DS5" s="22">
        <v>10</v>
      </c>
      <c r="DT5" s="22">
        <v>10</v>
      </c>
      <c r="DU5" s="22">
        <v>10</v>
      </c>
      <c r="DV5" s="22">
        <v>11</v>
      </c>
      <c r="DW5" s="22">
        <v>11</v>
      </c>
      <c r="DX5" s="22">
        <v>11</v>
      </c>
      <c r="DY5" s="22">
        <v>11</v>
      </c>
      <c r="DZ5" s="22">
        <v>11</v>
      </c>
      <c r="EA5" s="22">
        <v>11</v>
      </c>
      <c r="EB5" s="22">
        <v>11</v>
      </c>
      <c r="EC5" s="22">
        <v>11</v>
      </c>
      <c r="ED5" s="22">
        <v>11</v>
      </c>
      <c r="EE5" s="22">
        <v>11</v>
      </c>
      <c r="EF5" s="22">
        <v>11</v>
      </c>
      <c r="EG5" s="22">
        <v>11</v>
      </c>
      <c r="EH5" s="22">
        <v>12</v>
      </c>
      <c r="EI5" s="22">
        <v>12</v>
      </c>
      <c r="EJ5" s="22">
        <v>12</v>
      </c>
      <c r="EK5" s="22">
        <v>12</v>
      </c>
      <c r="EL5" s="22">
        <v>12</v>
      </c>
      <c r="EM5" s="22">
        <v>12</v>
      </c>
      <c r="EN5" s="22">
        <v>12</v>
      </c>
      <c r="EO5" s="22">
        <v>12</v>
      </c>
      <c r="EP5" s="22">
        <v>12</v>
      </c>
      <c r="EQ5" s="22">
        <v>12</v>
      </c>
      <c r="ER5" s="22">
        <v>12</v>
      </c>
      <c r="ES5" s="22">
        <v>12</v>
      </c>
      <c r="ET5" s="22">
        <v>13</v>
      </c>
      <c r="EU5" s="22">
        <v>13</v>
      </c>
      <c r="EV5" s="22">
        <v>13</v>
      </c>
      <c r="EW5" s="22">
        <v>13</v>
      </c>
      <c r="EX5" s="22">
        <v>13</v>
      </c>
      <c r="EY5" s="22">
        <v>13</v>
      </c>
      <c r="EZ5" s="22">
        <v>13</v>
      </c>
      <c r="FA5" s="22">
        <v>13</v>
      </c>
      <c r="FB5" s="22">
        <v>13</v>
      </c>
      <c r="FC5" s="22">
        <v>13</v>
      </c>
      <c r="FD5" s="22">
        <v>13</v>
      </c>
      <c r="FE5" s="22">
        <v>13</v>
      </c>
      <c r="FF5" s="22">
        <v>14</v>
      </c>
      <c r="FG5" s="22">
        <v>14</v>
      </c>
      <c r="FH5" s="22">
        <v>14</v>
      </c>
      <c r="FI5" s="22">
        <v>14</v>
      </c>
      <c r="FJ5" s="22">
        <v>14</v>
      </c>
      <c r="FK5" s="22">
        <v>14</v>
      </c>
      <c r="FL5" s="22">
        <v>14</v>
      </c>
      <c r="FM5" s="22">
        <v>14</v>
      </c>
      <c r="FN5" s="22">
        <v>14</v>
      </c>
      <c r="FO5" s="22">
        <v>14</v>
      </c>
      <c r="FP5" s="22">
        <v>14</v>
      </c>
      <c r="FQ5" s="22">
        <v>14</v>
      </c>
      <c r="FR5" s="22">
        <v>15</v>
      </c>
      <c r="FS5" s="22">
        <v>15</v>
      </c>
      <c r="FT5" s="22">
        <v>15</v>
      </c>
      <c r="FU5" s="22">
        <v>15</v>
      </c>
      <c r="FV5" s="22">
        <v>15</v>
      </c>
      <c r="FW5" s="22">
        <v>15</v>
      </c>
      <c r="FX5" s="22">
        <v>15</v>
      </c>
      <c r="FY5" s="22">
        <v>15</v>
      </c>
      <c r="FZ5" s="22">
        <v>15</v>
      </c>
      <c r="GA5" s="22">
        <v>15</v>
      </c>
      <c r="GB5" s="22">
        <v>15</v>
      </c>
      <c r="GC5" s="22">
        <v>15</v>
      </c>
      <c r="GD5" s="22">
        <v>16</v>
      </c>
      <c r="GE5" s="22">
        <v>16</v>
      </c>
      <c r="GF5" s="22">
        <v>16</v>
      </c>
      <c r="GG5" s="22">
        <v>16</v>
      </c>
      <c r="GH5" s="22">
        <v>16</v>
      </c>
      <c r="GI5" s="22">
        <v>16</v>
      </c>
      <c r="GJ5" s="22">
        <v>16</v>
      </c>
      <c r="GK5" s="22">
        <v>16</v>
      </c>
      <c r="GL5" s="22">
        <v>16</v>
      </c>
      <c r="GM5" s="22">
        <v>16</v>
      </c>
      <c r="GN5" s="22">
        <v>16</v>
      </c>
      <c r="GO5" s="22">
        <v>16</v>
      </c>
      <c r="GP5" s="22">
        <v>17</v>
      </c>
      <c r="GQ5" s="22">
        <v>17</v>
      </c>
      <c r="GR5" s="22">
        <v>17</v>
      </c>
      <c r="GS5" s="22">
        <v>17</v>
      </c>
      <c r="GT5" s="22">
        <v>17</v>
      </c>
      <c r="GU5" s="22">
        <v>17</v>
      </c>
      <c r="GV5" s="22">
        <v>17</v>
      </c>
      <c r="GW5" s="22">
        <v>17</v>
      </c>
      <c r="GX5" s="22">
        <v>17</v>
      </c>
      <c r="GY5" s="22">
        <v>17</v>
      </c>
      <c r="GZ5" s="22">
        <v>17</v>
      </c>
      <c r="HA5" s="22">
        <v>17</v>
      </c>
      <c r="HB5" s="22">
        <v>18</v>
      </c>
      <c r="HC5" s="22">
        <v>18</v>
      </c>
      <c r="HD5" s="22">
        <v>18</v>
      </c>
      <c r="HE5" s="22">
        <v>18</v>
      </c>
      <c r="HF5" s="22">
        <v>18</v>
      </c>
      <c r="HG5" s="22">
        <v>18</v>
      </c>
      <c r="HH5" s="22">
        <v>18</v>
      </c>
      <c r="HI5" s="22">
        <v>18</v>
      </c>
      <c r="HJ5" s="22">
        <v>18</v>
      </c>
      <c r="HK5" s="22">
        <v>18</v>
      </c>
      <c r="HL5" s="22">
        <v>18</v>
      </c>
      <c r="HM5" s="22">
        <v>18</v>
      </c>
      <c r="HN5" s="22">
        <v>19</v>
      </c>
      <c r="HO5" s="22">
        <v>19</v>
      </c>
      <c r="HP5" s="22">
        <v>19</v>
      </c>
      <c r="HQ5" s="22">
        <v>19</v>
      </c>
      <c r="HR5" s="22">
        <v>19</v>
      </c>
      <c r="HS5" s="22">
        <v>19</v>
      </c>
      <c r="HT5" s="22">
        <v>19</v>
      </c>
      <c r="HU5" s="22">
        <v>19</v>
      </c>
      <c r="HV5" s="22">
        <v>19</v>
      </c>
      <c r="HW5" s="22">
        <v>19</v>
      </c>
      <c r="HX5" s="22">
        <v>19</v>
      </c>
      <c r="HY5" s="22">
        <v>19</v>
      </c>
      <c r="HZ5" s="22">
        <v>20</v>
      </c>
      <c r="IA5" s="22">
        <v>20</v>
      </c>
      <c r="IB5" s="22">
        <v>20</v>
      </c>
      <c r="IC5" s="22">
        <v>20</v>
      </c>
      <c r="ID5" s="22">
        <v>20</v>
      </c>
      <c r="IE5" s="22">
        <v>20</v>
      </c>
      <c r="IF5" s="22">
        <v>20</v>
      </c>
      <c r="IG5" s="22">
        <v>20</v>
      </c>
      <c r="IH5" s="22">
        <v>20</v>
      </c>
      <c r="II5" s="22">
        <v>20</v>
      </c>
      <c r="IJ5" s="22">
        <v>20</v>
      </c>
      <c r="IK5" s="22">
        <v>20</v>
      </c>
      <c r="IL5" s="22">
        <v>21</v>
      </c>
      <c r="IM5" s="22">
        <v>21</v>
      </c>
      <c r="IN5" s="22">
        <v>21</v>
      </c>
      <c r="IO5" s="22">
        <v>21</v>
      </c>
      <c r="IP5" s="22">
        <v>21</v>
      </c>
      <c r="IQ5" s="22">
        <v>21</v>
      </c>
      <c r="IR5" s="22">
        <v>21</v>
      </c>
      <c r="IS5" s="22">
        <v>21</v>
      </c>
      <c r="IT5" s="22">
        <v>21</v>
      </c>
      <c r="IU5" s="22">
        <v>21</v>
      </c>
      <c r="IV5" s="22">
        <v>21</v>
      </c>
      <c r="IW5" s="22">
        <v>21</v>
      </c>
      <c r="IX5" s="22">
        <v>22</v>
      </c>
      <c r="IY5" s="22">
        <v>22</v>
      </c>
      <c r="IZ5" s="22">
        <v>22</v>
      </c>
      <c r="JA5" s="22">
        <v>22</v>
      </c>
      <c r="JB5" s="22">
        <v>22</v>
      </c>
      <c r="JC5" s="22">
        <v>22</v>
      </c>
      <c r="JD5" s="22">
        <v>22</v>
      </c>
      <c r="JE5" s="22">
        <v>22</v>
      </c>
      <c r="JF5" s="22">
        <v>22</v>
      </c>
      <c r="JG5" s="22">
        <v>22</v>
      </c>
      <c r="JH5" s="22">
        <v>22</v>
      </c>
      <c r="JI5" s="22">
        <v>22</v>
      </c>
      <c r="JJ5" s="22">
        <v>23</v>
      </c>
      <c r="JK5" s="22">
        <v>23</v>
      </c>
      <c r="JL5" s="22">
        <v>23</v>
      </c>
      <c r="JM5" s="22">
        <v>23</v>
      </c>
      <c r="JN5" s="22">
        <v>23</v>
      </c>
      <c r="JO5" s="22">
        <v>23</v>
      </c>
      <c r="JP5" s="22">
        <v>23</v>
      </c>
      <c r="JQ5" s="22">
        <v>23</v>
      </c>
      <c r="JR5" s="22">
        <v>23</v>
      </c>
      <c r="JS5" s="22">
        <v>23</v>
      </c>
      <c r="JT5" s="22">
        <v>23</v>
      </c>
      <c r="JU5" s="22">
        <v>23</v>
      </c>
      <c r="JV5" s="22">
        <v>24</v>
      </c>
      <c r="JW5" s="22">
        <v>24</v>
      </c>
      <c r="JX5" s="22">
        <v>24</v>
      </c>
      <c r="JY5" s="22">
        <v>24</v>
      </c>
      <c r="JZ5" s="22">
        <v>24</v>
      </c>
      <c r="KA5" s="22">
        <v>24</v>
      </c>
      <c r="KB5" s="22">
        <v>24</v>
      </c>
      <c r="KC5" s="22">
        <v>24</v>
      </c>
      <c r="KD5" s="22">
        <v>24</v>
      </c>
      <c r="KE5" s="22">
        <v>24</v>
      </c>
      <c r="KF5" s="22">
        <v>24</v>
      </c>
      <c r="KG5" s="22">
        <v>24</v>
      </c>
      <c r="KH5" s="22">
        <v>25</v>
      </c>
      <c r="KI5" s="22">
        <v>25</v>
      </c>
      <c r="KJ5" s="22">
        <v>25</v>
      </c>
      <c r="KK5" s="22">
        <v>25</v>
      </c>
      <c r="KL5" s="22">
        <v>25</v>
      </c>
      <c r="KM5" s="22">
        <v>25</v>
      </c>
      <c r="KN5" s="22">
        <v>25</v>
      </c>
      <c r="KO5" s="22">
        <v>25</v>
      </c>
      <c r="KP5" s="22">
        <v>25</v>
      </c>
      <c r="KQ5" s="22">
        <v>25</v>
      </c>
      <c r="KR5" s="22">
        <v>25</v>
      </c>
      <c r="KS5" s="22">
        <v>25</v>
      </c>
      <c r="KT5" s="22">
        <v>26</v>
      </c>
      <c r="KU5" s="22">
        <v>26</v>
      </c>
      <c r="KV5" s="22">
        <v>26</v>
      </c>
      <c r="KW5" s="22">
        <v>26</v>
      </c>
      <c r="KX5" s="22">
        <v>26</v>
      </c>
      <c r="KY5" s="22">
        <v>26</v>
      </c>
      <c r="KZ5" s="22">
        <v>26</v>
      </c>
      <c r="LA5" s="22">
        <v>26</v>
      </c>
      <c r="LB5" s="22">
        <v>26</v>
      </c>
      <c r="LC5" s="22">
        <v>26</v>
      </c>
      <c r="LD5" s="22">
        <v>26</v>
      </c>
      <c r="LE5" s="22">
        <v>26</v>
      </c>
      <c r="LF5" s="22">
        <v>27</v>
      </c>
      <c r="LG5" s="22">
        <v>27</v>
      </c>
      <c r="LH5" s="22">
        <v>27</v>
      </c>
      <c r="LI5" s="22">
        <v>27</v>
      </c>
      <c r="LJ5" s="22">
        <v>27</v>
      </c>
      <c r="LK5" s="22">
        <v>27</v>
      </c>
      <c r="LL5" s="22">
        <v>27</v>
      </c>
      <c r="LM5" s="22">
        <v>27</v>
      </c>
      <c r="LN5" s="22">
        <v>27</v>
      </c>
      <c r="LO5" s="22">
        <v>27</v>
      </c>
      <c r="LP5" s="22">
        <v>27</v>
      </c>
      <c r="LQ5" s="22">
        <v>27</v>
      </c>
      <c r="LR5" s="22">
        <v>28</v>
      </c>
      <c r="LS5" s="22">
        <v>28</v>
      </c>
      <c r="LT5" s="22">
        <v>28</v>
      </c>
      <c r="LU5" s="22">
        <v>28</v>
      </c>
      <c r="LV5" s="22">
        <v>28</v>
      </c>
      <c r="LW5" s="22">
        <v>28</v>
      </c>
      <c r="LX5" s="22">
        <v>28</v>
      </c>
      <c r="LY5" s="22">
        <v>28</v>
      </c>
      <c r="LZ5" s="22">
        <v>28</v>
      </c>
      <c r="MA5" s="22">
        <v>28</v>
      </c>
      <c r="MB5" s="22">
        <v>28</v>
      </c>
      <c r="MC5" s="22">
        <v>28</v>
      </c>
      <c r="MD5" s="22">
        <v>29</v>
      </c>
      <c r="ME5" s="22">
        <v>29</v>
      </c>
      <c r="MF5" s="22">
        <v>29</v>
      </c>
      <c r="MG5" s="22">
        <v>29</v>
      </c>
      <c r="MH5" s="22">
        <v>29</v>
      </c>
      <c r="MI5" s="22">
        <v>29</v>
      </c>
      <c r="MJ5" s="22">
        <v>29</v>
      </c>
      <c r="MK5" s="22">
        <v>29</v>
      </c>
      <c r="ML5" s="22">
        <v>29</v>
      </c>
      <c r="MM5" s="22">
        <v>29</v>
      </c>
      <c r="MN5" s="22">
        <v>29</v>
      </c>
      <c r="MO5" s="22">
        <v>29</v>
      </c>
      <c r="MP5" s="22">
        <v>30</v>
      </c>
      <c r="MQ5" s="22">
        <v>30</v>
      </c>
      <c r="MR5" s="22">
        <v>30</v>
      </c>
      <c r="MS5" s="22">
        <v>30</v>
      </c>
      <c r="MT5" s="22">
        <v>30</v>
      </c>
      <c r="MU5" s="22">
        <v>30</v>
      </c>
      <c r="MV5" s="22">
        <v>30</v>
      </c>
      <c r="MW5" s="22">
        <v>30</v>
      </c>
      <c r="MX5" s="22">
        <v>30</v>
      </c>
      <c r="MY5" s="22">
        <v>30</v>
      </c>
      <c r="MZ5" s="22">
        <v>30</v>
      </c>
      <c r="NA5" s="22">
        <v>30</v>
      </c>
      <c r="NB5" s="22">
        <v>31</v>
      </c>
      <c r="NC5" s="22">
        <v>31</v>
      </c>
      <c r="ND5" s="22">
        <v>31</v>
      </c>
      <c r="NE5" s="22">
        <v>31</v>
      </c>
      <c r="NF5" s="22">
        <v>31</v>
      </c>
      <c r="NG5" s="22">
        <v>31</v>
      </c>
      <c r="NH5" s="22">
        <v>31</v>
      </c>
      <c r="NI5" s="22">
        <v>31</v>
      </c>
      <c r="NJ5" s="22">
        <v>31</v>
      </c>
      <c r="NK5" s="22">
        <v>31</v>
      </c>
      <c r="NL5" s="22">
        <v>31</v>
      </c>
      <c r="NM5" s="22">
        <v>31</v>
      </c>
      <c r="NN5" s="22">
        <v>32</v>
      </c>
      <c r="NO5" s="22">
        <v>32</v>
      </c>
      <c r="NP5" s="22">
        <v>32</v>
      </c>
      <c r="NQ5" s="22">
        <v>32</v>
      </c>
      <c r="NR5" s="22">
        <v>32</v>
      </c>
      <c r="NS5" s="22">
        <v>32</v>
      </c>
      <c r="NT5" s="22">
        <v>32</v>
      </c>
      <c r="NU5" s="22">
        <v>32</v>
      </c>
      <c r="NV5" s="22">
        <v>32</v>
      </c>
      <c r="NW5" s="22">
        <v>32</v>
      </c>
      <c r="NX5" s="22">
        <v>32</v>
      </c>
      <c r="NY5" s="22">
        <v>32</v>
      </c>
      <c r="NZ5" s="22">
        <v>33</v>
      </c>
      <c r="OA5" s="22">
        <v>33</v>
      </c>
      <c r="OB5" s="22">
        <v>33</v>
      </c>
      <c r="OC5" s="22">
        <v>33</v>
      </c>
      <c r="OD5" s="22">
        <v>33</v>
      </c>
      <c r="OE5">
        <v>33</v>
      </c>
      <c r="OF5">
        <v>33</v>
      </c>
      <c r="OG5">
        <v>33</v>
      </c>
      <c r="OH5">
        <v>33</v>
      </c>
      <c r="OI5">
        <v>33</v>
      </c>
      <c r="OJ5">
        <v>33</v>
      </c>
      <c r="OK5">
        <v>33</v>
      </c>
    </row>
    <row r="6" spans="1:401" x14ac:dyDescent="0.3">
      <c r="A6" s="115"/>
      <c r="B6" s="115"/>
      <c r="C6" s="115"/>
      <c r="D6" s="118" t="s">
        <v>8</v>
      </c>
      <c r="E6" s="18">
        <v>57710</v>
      </c>
      <c r="F6" s="5"/>
      <c r="G6" s="5"/>
      <c r="H6" s="5"/>
      <c r="I6" s="5"/>
      <c r="J6" s="67"/>
      <c r="K6" s="58"/>
      <c r="L6" s="68"/>
      <c r="M6" s="5" t="s">
        <v>12</v>
      </c>
      <c r="N6" s="5"/>
      <c r="O6" s="15"/>
      <c r="P6" s="3" cm="1">
        <f t="array" ref="P6:OK6">ROUNDUP(MONTH(_xlfn.ANCHORARRAY(P2))/3,0)</f>
        <v>4</v>
      </c>
      <c r="Q6" s="3">
        <v>4</v>
      </c>
      <c r="R6" s="3">
        <v>1</v>
      </c>
      <c r="S6" s="3">
        <v>1</v>
      </c>
      <c r="T6" s="3">
        <v>1</v>
      </c>
      <c r="U6" s="3">
        <v>2</v>
      </c>
      <c r="V6" s="3">
        <v>2</v>
      </c>
      <c r="W6" s="3">
        <v>2</v>
      </c>
      <c r="X6" s="3">
        <v>3</v>
      </c>
      <c r="Y6" s="3">
        <v>3</v>
      </c>
      <c r="Z6" s="3">
        <v>3</v>
      </c>
      <c r="AA6" s="3">
        <v>4</v>
      </c>
      <c r="AB6" s="3">
        <v>4</v>
      </c>
      <c r="AC6" s="3">
        <v>4</v>
      </c>
      <c r="AD6" s="3">
        <v>1</v>
      </c>
      <c r="AE6" s="3">
        <v>1</v>
      </c>
      <c r="AF6" s="3">
        <v>1</v>
      </c>
      <c r="AG6" s="3">
        <v>2</v>
      </c>
      <c r="AH6" s="3">
        <v>2</v>
      </c>
      <c r="AI6" s="3">
        <v>2</v>
      </c>
      <c r="AJ6" s="3">
        <v>3</v>
      </c>
      <c r="AK6" s="3">
        <v>3</v>
      </c>
      <c r="AL6" s="3">
        <v>3</v>
      </c>
      <c r="AM6" s="3">
        <v>4</v>
      </c>
      <c r="AN6" s="3">
        <v>4</v>
      </c>
      <c r="AO6" s="3">
        <v>4</v>
      </c>
      <c r="AP6" s="3">
        <v>1</v>
      </c>
      <c r="AQ6" s="3">
        <v>1</v>
      </c>
      <c r="AR6" s="3">
        <v>1</v>
      </c>
      <c r="AS6" s="3">
        <v>2</v>
      </c>
      <c r="AT6" s="3">
        <v>2</v>
      </c>
      <c r="AU6" s="3">
        <v>2</v>
      </c>
      <c r="AV6" s="3">
        <v>3</v>
      </c>
      <c r="AW6" s="3">
        <v>3</v>
      </c>
      <c r="AX6" s="3">
        <v>3</v>
      </c>
      <c r="AY6" s="3">
        <v>4</v>
      </c>
      <c r="AZ6" s="3">
        <v>4</v>
      </c>
      <c r="BA6" s="3">
        <v>4</v>
      </c>
      <c r="BB6" s="3">
        <v>1</v>
      </c>
      <c r="BC6" s="3">
        <v>1</v>
      </c>
      <c r="BD6" s="3">
        <v>1</v>
      </c>
      <c r="BE6" s="3">
        <v>2</v>
      </c>
      <c r="BF6" s="3">
        <v>2</v>
      </c>
      <c r="BG6" s="3">
        <v>2</v>
      </c>
      <c r="BH6" s="3">
        <v>3</v>
      </c>
      <c r="BI6" s="3">
        <v>3</v>
      </c>
      <c r="BJ6" s="3">
        <v>3</v>
      </c>
      <c r="BK6" s="3">
        <v>4</v>
      </c>
      <c r="BL6" s="3">
        <v>4</v>
      </c>
      <c r="BM6" s="3">
        <v>4</v>
      </c>
      <c r="BN6" s="3">
        <v>1</v>
      </c>
      <c r="BO6" s="3">
        <v>1</v>
      </c>
      <c r="BP6" s="3">
        <v>1</v>
      </c>
      <c r="BQ6" s="3">
        <v>2</v>
      </c>
      <c r="BR6" s="3">
        <v>2</v>
      </c>
      <c r="BS6" s="3">
        <v>2</v>
      </c>
      <c r="BT6" s="3">
        <v>3</v>
      </c>
      <c r="BU6" s="3">
        <v>3</v>
      </c>
      <c r="BV6" s="3">
        <v>3</v>
      </c>
      <c r="BW6" s="3">
        <v>4</v>
      </c>
      <c r="BX6" s="3">
        <v>4</v>
      </c>
      <c r="BY6" s="3">
        <v>4</v>
      </c>
      <c r="BZ6" s="3">
        <v>1</v>
      </c>
      <c r="CA6" s="3">
        <v>1</v>
      </c>
      <c r="CB6" s="3">
        <v>1</v>
      </c>
      <c r="CC6" s="3">
        <v>2</v>
      </c>
      <c r="CD6" s="3">
        <v>2</v>
      </c>
      <c r="CE6" s="3">
        <v>2</v>
      </c>
      <c r="CF6" s="3">
        <v>3</v>
      </c>
      <c r="CG6" s="3">
        <v>3</v>
      </c>
      <c r="CH6" s="3">
        <v>3</v>
      </c>
      <c r="CI6" s="3">
        <v>4</v>
      </c>
      <c r="CJ6" s="3">
        <v>4</v>
      </c>
      <c r="CK6" s="3">
        <v>4</v>
      </c>
      <c r="CL6" s="3">
        <v>1</v>
      </c>
      <c r="CM6" s="3">
        <v>1</v>
      </c>
      <c r="CN6" s="3">
        <v>1</v>
      </c>
      <c r="CO6" s="3">
        <v>2</v>
      </c>
      <c r="CP6" s="3">
        <v>2</v>
      </c>
      <c r="CQ6" s="3">
        <v>2</v>
      </c>
      <c r="CR6" s="3">
        <v>3</v>
      </c>
      <c r="CS6" s="3">
        <v>3</v>
      </c>
      <c r="CT6" s="3">
        <v>3</v>
      </c>
      <c r="CU6" s="3">
        <v>4</v>
      </c>
      <c r="CV6" s="3">
        <v>4</v>
      </c>
      <c r="CW6" s="3">
        <v>4</v>
      </c>
      <c r="CX6" s="3">
        <v>1</v>
      </c>
      <c r="CY6" s="3">
        <v>1</v>
      </c>
      <c r="CZ6" s="3">
        <v>1</v>
      </c>
      <c r="DA6" s="3">
        <v>2</v>
      </c>
      <c r="DB6" s="3">
        <v>2</v>
      </c>
      <c r="DC6" s="3">
        <v>2</v>
      </c>
      <c r="DD6" s="3">
        <v>3</v>
      </c>
      <c r="DE6" s="3">
        <v>3</v>
      </c>
      <c r="DF6" s="3">
        <v>3</v>
      </c>
      <c r="DG6" s="3">
        <v>4</v>
      </c>
      <c r="DH6" s="3">
        <v>4</v>
      </c>
      <c r="DI6" s="3">
        <v>4</v>
      </c>
      <c r="DJ6" s="3">
        <v>1</v>
      </c>
      <c r="DK6" s="3">
        <v>1</v>
      </c>
      <c r="DL6" s="3">
        <v>1</v>
      </c>
      <c r="DM6" s="3">
        <v>2</v>
      </c>
      <c r="DN6" s="3">
        <v>2</v>
      </c>
      <c r="DO6" s="3">
        <v>2</v>
      </c>
      <c r="DP6" s="3">
        <v>3</v>
      </c>
      <c r="DQ6" s="3">
        <v>3</v>
      </c>
      <c r="DR6" s="3">
        <v>3</v>
      </c>
      <c r="DS6" s="3">
        <v>4</v>
      </c>
      <c r="DT6" s="3">
        <v>4</v>
      </c>
      <c r="DU6" s="3">
        <v>4</v>
      </c>
      <c r="DV6" s="3">
        <v>1</v>
      </c>
      <c r="DW6" s="3">
        <v>1</v>
      </c>
      <c r="DX6" s="3">
        <v>1</v>
      </c>
      <c r="DY6" s="3">
        <v>2</v>
      </c>
      <c r="DZ6" s="3">
        <v>2</v>
      </c>
      <c r="EA6" s="3">
        <v>2</v>
      </c>
      <c r="EB6" s="3">
        <v>3</v>
      </c>
      <c r="EC6" s="3">
        <v>3</v>
      </c>
      <c r="ED6" s="3">
        <v>3</v>
      </c>
      <c r="EE6" s="3">
        <v>4</v>
      </c>
      <c r="EF6" s="3">
        <v>4</v>
      </c>
      <c r="EG6" s="3">
        <v>4</v>
      </c>
      <c r="EH6" s="3">
        <v>1</v>
      </c>
      <c r="EI6" s="3">
        <v>1</v>
      </c>
      <c r="EJ6" s="3">
        <v>1</v>
      </c>
      <c r="EK6" s="3">
        <v>2</v>
      </c>
      <c r="EL6" s="3">
        <v>2</v>
      </c>
      <c r="EM6" s="3">
        <v>2</v>
      </c>
      <c r="EN6" s="3">
        <v>3</v>
      </c>
      <c r="EO6" s="3">
        <v>3</v>
      </c>
      <c r="EP6" s="3">
        <v>3</v>
      </c>
      <c r="EQ6" s="3">
        <v>4</v>
      </c>
      <c r="ER6" s="3">
        <v>4</v>
      </c>
      <c r="ES6" s="3">
        <v>4</v>
      </c>
      <c r="ET6" s="3">
        <v>1</v>
      </c>
      <c r="EU6" s="3">
        <v>1</v>
      </c>
      <c r="EV6" s="3">
        <v>1</v>
      </c>
      <c r="EW6" s="3">
        <v>2</v>
      </c>
      <c r="EX6" s="3">
        <v>2</v>
      </c>
      <c r="EY6" s="3">
        <v>2</v>
      </c>
      <c r="EZ6" s="3">
        <v>3</v>
      </c>
      <c r="FA6" s="3">
        <v>3</v>
      </c>
      <c r="FB6" s="3">
        <v>3</v>
      </c>
      <c r="FC6" s="3">
        <v>4</v>
      </c>
      <c r="FD6" s="3">
        <v>4</v>
      </c>
      <c r="FE6" s="3">
        <v>4</v>
      </c>
      <c r="FF6" s="3">
        <v>1</v>
      </c>
      <c r="FG6" s="3">
        <v>1</v>
      </c>
      <c r="FH6" s="3">
        <v>1</v>
      </c>
      <c r="FI6" s="3">
        <v>2</v>
      </c>
      <c r="FJ6" s="3">
        <v>2</v>
      </c>
      <c r="FK6" s="3">
        <v>2</v>
      </c>
      <c r="FL6" s="3">
        <v>3</v>
      </c>
      <c r="FM6" s="3">
        <v>3</v>
      </c>
      <c r="FN6" s="3">
        <v>3</v>
      </c>
      <c r="FO6" s="3">
        <v>4</v>
      </c>
      <c r="FP6" s="3">
        <v>4</v>
      </c>
      <c r="FQ6" s="3">
        <v>4</v>
      </c>
      <c r="FR6" s="3">
        <v>1</v>
      </c>
      <c r="FS6" s="3">
        <v>1</v>
      </c>
      <c r="FT6" s="3">
        <v>1</v>
      </c>
      <c r="FU6" s="3">
        <v>2</v>
      </c>
      <c r="FV6" s="3">
        <v>2</v>
      </c>
      <c r="FW6" s="3">
        <v>2</v>
      </c>
      <c r="FX6" s="3">
        <v>3</v>
      </c>
      <c r="FY6" s="3">
        <v>3</v>
      </c>
      <c r="FZ6" s="3">
        <v>3</v>
      </c>
      <c r="GA6" s="3">
        <v>4</v>
      </c>
      <c r="GB6" s="3">
        <v>4</v>
      </c>
      <c r="GC6" s="3">
        <v>4</v>
      </c>
      <c r="GD6" s="3">
        <v>1</v>
      </c>
      <c r="GE6" s="3">
        <v>1</v>
      </c>
      <c r="GF6" s="3">
        <v>1</v>
      </c>
      <c r="GG6" s="3">
        <v>2</v>
      </c>
      <c r="GH6" s="3">
        <v>2</v>
      </c>
      <c r="GI6" s="3">
        <v>2</v>
      </c>
      <c r="GJ6" s="3">
        <v>3</v>
      </c>
      <c r="GK6" s="3">
        <v>3</v>
      </c>
      <c r="GL6" s="3">
        <v>3</v>
      </c>
      <c r="GM6" s="3">
        <v>4</v>
      </c>
      <c r="GN6" s="3">
        <v>4</v>
      </c>
      <c r="GO6" s="3">
        <v>4</v>
      </c>
      <c r="GP6" s="3">
        <v>1</v>
      </c>
      <c r="GQ6" s="3">
        <v>1</v>
      </c>
      <c r="GR6" s="3">
        <v>1</v>
      </c>
      <c r="GS6" s="3">
        <v>2</v>
      </c>
      <c r="GT6" s="3">
        <v>2</v>
      </c>
      <c r="GU6" s="3">
        <v>2</v>
      </c>
      <c r="GV6" s="3">
        <v>3</v>
      </c>
      <c r="GW6" s="3">
        <v>3</v>
      </c>
      <c r="GX6" s="3">
        <v>3</v>
      </c>
      <c r="GY6" s="3">
        <v>4</v>
      </c>
      <c r="GZ6" s="3">
        <v>4</v>
      </c>
      <c r="HA6" s="3">
        <v>4</v>
      </c>
      <c r="HB6" s="3">
        <v>1</v>
      </c>
      <c r="HC6" s="3">
        <v>1</v>
      </c>
      <c r="HD6" s="3">
        <v>1</v>
      </c>
      <c r="HE6" s="3">
        <v>2</v>
      </c>
      <c r="HF6" s="3">
        <v>2</v>
      </c>
      <c r="HG6" s="3">
        <v>2</v>
      </c>
      <c r="HH6" s="3">
        <v>3</v>
      </c>
      <c r="HI6" s="3">
        <v>3</v>
      </c>
      <c r="HJ6" s="3">
        <v>3</v>
      </c>
      <c r="HK6" s="3">
        <v>4</v>
      </c>
      <c r="HL6" s="3">
        <v>4</v>
      </c>
      <c r="HM6" s="3">
        <v>4</v>
      </c>
      <c r="HN6" s="3">
        <v>1</v>
      </c>
      <c r="HO6" s="3">
        <v>1</v>
      </c>
      <c r="HP6" s="3">
        <v>1</v>
      </c>
      <c r="HQ6" s="3">
        <v>2</v>
      </c>
      <c r="HR6" s="3">
        <v>2</v>
      </c>
      <c r="HS6" s="3">
        <v>2</v>
      </c>
      <c r="HT6" s="3">
        <v>3</v>
      </c>
      <c r="HU6" s="3">
        <v>3</v>
      </c>
      <c r="HV6" s="3">
        <v>3</v>
      </c>
      <c r="HW6" s="3">
        <v>4</v>
      </c>
      <c r="HX6" s="3">
        <v>4</v>
      </c>
      <c r="HY6" s="3">
        <v>4</v>
      </c>
      <c r="HZ6" s="3">
        <v>1</v>
      </c>
      <c r="IA6" s="3">
        <v>1</v>
      </c>
      <c r="IB6" s="3">
        <v>1</v>
      </c>
      <c r="IC6" s="3">
        <v>2</v>
      </c>
      <c r="ID6" s="3">
        <v>2</v>
      </c>
      <c r="IE6" s="3">
        <v>2</v>
      </c>
      <c r="IF6" s="3">
        <v>3</v>
      </c>
      <c r="IG6" s="3">
        <v>3</v>
      </c>
      <c r="IH6" s="3">
        <v>3</v>
      </c>
      <c r="II6" s="3">
        <v>4</v>
      </c>
      <c r="IJ6" s="3">
        <v>4</v>
      </c>
      <c r="IK6" s="3">
        <v>4</v>
      </c>
      <c r="IL6" s="3">
        <v>1</v>
      </c>
      <c r="IM6" s="3">
        <v>1</v>
      </c>
      <c r="IN6" s="3">
        <v>1</v>
      </c>
      <c r="IO6" s="3">
        <v>2</v>
      </c>
      <c r="IP6" s="3">
        <v>2</v>
      </c>
      <c r="IQ6" s="3">
        <v>2</v>
      </c>
      <c r="IR6" s="3">
        <v>3</v>
      </c>
      <c r="IS6" s="3">
        <v>3</v>
      </c>
      <c r="IT6" s="3">
        <v>3</v>
      </c>
      <c r="IU6" s="3">
        <v>4</v>
      </c>
      <c r="IV6" s="3">
        <v>4</v>
      </c>
      <c r="IW6" s="3">
        <v>4</v>
      </c>
      <c r="IX6" s="3">
        <v>1</v>
      </c>
      <c r="IY6" s="3">
        <v>1</v>
      </c>
      <c r="IZ6" s="3">
        <v>1</v>
      </c>
      <c r="JA6" s="3">
        <v>2</v>
      </c>
      <c r="JB6" s="3">
        <v>2</v>
      </c>
      <c r="JC6" s="3">
        <v>2</v>
      </c>
      <c r="JD6" s="3">
        <v>3</v>
      </c>
      <c r="JE6" s="3">
        <v>3</v>
      </c>
      <c r="JF6" s="3">
        <v>3</v>
      </c>
      <c r="JG6" s="3">
        <v>4</v>
      </c>
      <c r="JH6" s="3">
        <v>4</v>
      </c>
      <c r="JI6" s="3">
        <v>4</v>
      </c>
      <c r="JJ6" s="3">
        <v>1</v>
      </c>
      <c r="JK6" s="3">
        <v>1</v>
      </c>
      <c r="JL6" s="3">
        <v>1</v>
      </c>
      <c r="JM6" s="3">
        <v>2</v>
      </c>
      <c r="JN6" s="3">
        <v>2</v>
      </c>
      <c r="JO6" s="3">
        <v>2</v>
      </c>
      <c r="JP6" s="3">
        <v>3</v>
      </c>
      <c r="JQ6" s="3">
        <v>3</v>
      </c>
      <c r="JR6" s="3">
        <v>3</v>
      </c>
      <c r="JS6" s="3">
        <v>4</v>
      </c>
      <c r="JT6" s="3">
        <v>4</v>
      </c>
      <c r="JU6" s="3">
        <v>4</v>
      </c>
      <c r="JV6" s="3">
        <v>1</v>
      </c>
      <c r="JW6" s="3">
        <v>1</v>
      </c>
      <c r="JX6" s="3">
        <v>1</v>
      </c>
      <c r="JY6" s="3">
        <v>2</v>
      </c>
      <c r="JZ6" s="3">
        <v>2</v>
      </c>
      <c r="KA6" s="3">
        <v>2</v>
      </c>
      <c r="KB6" s="3">
        <v>3</v>
      </c>
      <c r="KC6" s="3">
        <v>3</v>
      </c>
      <c r="KD6" s="3">
        <v>3</v>
      </c>
      <c r="KE6" s="3">
        <v>4</v>
      </c>
      <c r="KF6" s="3">
        <v>4</v>
      </c>
      <c r="KG6" s="3">
        <v>4</v>
      </c>
      <c r="KH6" s="3">
        <v>1</v>
      </c>
      <c r="KI6" s="3">
        <v>1</v>
      </c>
      <c r="KJ6" s="3">
        <v>1</v>
      </c>
      <c r="KK6" s="3">
        <v>2</v>
      </c>
      <c r="KL6" s="3">
        <v>2</v>
      </c>
      <c r="KM6" s="3">
        <v>2</v>
      </c>
      <c r="KN6" s="3">
        <v>3</v>
      </c>
      <c r="KO6" s="3">
        <v>3</v>
      </c>
      <c r="KP6" s="3">
        <v>3</v>
      </c>
      <c r="KQ6" s="3">
        <v>4</v>
      </c>
      <c r="KR6" s="3">
        <v>4</v>
      </c>
      <c r="KS6" s="3">
        <v>4</v>
      </c>
      <c r="KT6" s="3">
        <v>1</v>
      </c>
      <c r="KU6" s="3">
        <v>1</v>
      </c>
      <c r="KV6" s="3">
        <v>1</v>
      </c>
      <c r="KW6" s="3">
        <v>2</v>
      </c>
      <c r="KX6" s="3">
        <v>2</v>
      </c>
      <c r="KY6" s="3">
        <v>2</v>
      </c>
      <c r="KZ6" s="3">
        <v>3</v>
      </c>
      <c r="LA6" s="3">
        <v>3</v>
      </c>
      <c r="LB6" s="3">
        <v>3</v>
      </c>
      <c r="LC6" s="3">
        <v>4</v>
      </c>
      <c r="LD6" s="3">
        <v>4</v>
      </c>
      <c r="LE6" s="3">
        <v>4</v>
      </c>
      <c r="LF6" s="3">
        <v>1</v>
      </c>
      <c r="LG6" s="3">
        <v>1</v>
      </c>
      <c r="LH6" s="3">
        <v>1</v>
      </c>
      <c r="LI6" s="3">
        <v>2</v>
      </c>
      <c r="LJ6" s="3">
        <v>2</v>
      </c>
      <c r="LK6" s="3">
        <v>2</v>
      </c>
      <c r="LL6" s="3">
        <v>3</v>
      </c>
      <c r="LM6" s="3">
        <v>3</v>
      </c>
      <c r="LN6" s="3">
        <v>3</v>
      </c>
      <c r="LO6" s="3">
        <v>4</v>
      </c>
      <c r="LP6" s="3">
        <v>4</v>
      </c>
      <c r="LQ6" s="3">
        <v>4</v>
      </c>
      <c r="LR6" s="3">
        <v>1</v>
      </c>
      <c r="LS6" s="3">
        <v>1</v>
      </c>
      <c r="LT6" s="3">
        <v>1</v>
      </c>
      <c r="LU6" s="3">
        <v>2</v>
      </c>
      <c r="LV6" s="3">
        <v>2</v>
      </c>
      <c r="LW6" s="3">
        <v>2</v>
      </c>
      <c r="LX6" s="3">
        <v>3</v>
      </c>
      <c r="LY6" s="3">
        <v>3</v>
      </c>
      <c r="LZ6" s="3">
        <v>3</v>
      </c>
      <c r="MA6" s="3">
        <v>4</v>
      </c>
      <c r="MB6" s="3">
        <v>4</v>
      </c>
      <c r="MC6" s="3">
        <v>4</v>
      </c>
      <c r="MD6" s="3">
        <v>1</v>
      </c>
      <c r="ME6" s="3">
        <v>1</v>
      </c>
      <c r="MF6" s="3">
        <v>1</v>
      </c>
      <c r="MG6" s="3">
        <v>2</v>
      </c>
      <c r="MH6" s="3">
        <v>2</v>
      </c>
      <c r="MI6" s="3">
        <v>2</v>
      </c>
      <c r="MJ6" s="3">
        <v>3</v>
      </c>
      <c r="MK6" s="3">
        <v>3</v>
      </c>
      <c r="ML6" s="3">
        <v>3</v>
      </c>
      <c r="MM6" s="3">
        <v>4</v>
      </c>
      <c r="MN6" s="3">
        <v>4</v>
      </c>
      <c r="MO6" s="3">
        <v>4</v>
      </c>
      <c r="MP6" s="3">
        <v>1</v>
      </c>
      <c r="MQ6" s="3">
        <v>1</v>
      </c>
      <c r="MR6" s="3">
        <v>1</v>
      </c>
      <c r="MS6" s="3">
        <v>2</v>
      </c>
      <c r="MT6" s="3">
        <v>2</v>
      </c>
      <c r="MU6" s="3">
        <v>2</v>
      </c>
      <c r="MV6" s="3">
        <v>3</v>
      </c>
      <c r="MW6" s="3">
        <v>3</v>
      </c>
      <c r="MX6" s="3">
        <v>3</v>
      </c>
      <c r="MY6" s="3">
        <v>4</v>
      </c>
      <c r="MZ6" s="3">
        <v>4</v>
      </c>
      <c r="NA6" s="3">
        <v>4</v>
      </c>
      <c r="NB6" s="3">
        <v>1</v>
      </c>
      <c r="NC6" s="3">
        <v>1</v>
      </c>
      <c r="ND6" s="3">
        <v>1</v>
      </c>
      <c r="NE6" s="3">
        <v>2</v>
      </c>
      <c r="NF6" s="3">
        <v>2</v>
      </c>
      <c r="NG6" s="3">
        <v>2</v>
      </c>
      <c r="NH6" s="3">
        <v>3</v>
      </c>
      <c r="NI6" s="3">
        <v>3</v>
      </c>
      <c r="NJ6" s="3">
        <v>3</v>
      </c>
      <c r="NK6" s="3">
        <v>4</v>
      </c>
      <c r="NL6" s="3">
        <v>4</v>
      </c>
      <c r="NM6" s="3">
        <v>4</v>
      </c>
      <c r="NN6" s="3">
        <v>1</v>
      </c>
      <c r="NO6" s="3">
        <v>1</v>
      </c>
      <c r="NP6" s="3">
        <v>1</v>
      </c>
      <c r="NQ6" s="3">
        <v>2</v>
      </c>
      <c r="NR6" s="3">
        <v>2</v>
      </c>
      <c r="NS6" s="3">
        <v>2</v>
      </c>
      <c r="NT6" s="3">
        <v>3</v>
      </c>
      <c r="NU6" s="3">
        <v>3</v>
      </c>
      <c r="NV6" s="3">
        <v>3</v>
      </c>
      <c r="NW6" s="3">
        <v>4</v>
      </c>
      <c r="NX6" s="3">
        <v>4</v>
      </c>
      <c r="NY6" s="3">
        <v>4</v>
      </c>
      <c r="NZ6" s="3">
        <v>1</v>
      </c>
      <c r="OA6" s="3">
        <v>1</v>
      </c>
      <c r="OB6" s="3">
        <v>1</v>
      </c>
      <c r="OC6" s="3">
        <v>2</v>
      </c>
      <c r="OD6" s="3">
        <v>2</v>
      </c>
      <c r="OE6">
        <v>2</v>
      </c>
      <c r="OF6">
        <v>3</v>
      </c>
      <c r="OG6">
        <v>3</v>
      </c>
      <c r="OH6">
        <v>3</v>
      </c>
      <c r="OI6">
        <v>4</v>
      </c>
      <c r="OJ6">
        <v>4</v>
      </c>
      <c r="OK6">
        <v>4</v>
      </c>
    </row>
    <row r="7" spans="1:401" ht="14.4" customHeight="1" thickBot="1" x14ac:dyDescent="0.35">
      <c r="D7" s="114"/>
      <c r="F7" s="9" t="s">
        <v>54</v>
      </c>
      <c r="G7" s="106"/>
      <c r="I7" s="6"/>
      <c r="J7" s="65"/>
      <c r="K7" s="55"/>
      <c r="L7" s="55"/>
      <c r="M7" s="105"/>
      <c r="N7" s="55"/>
      <c r="O7" s="55"/>
      <c r="P7" s="55"/>
    </row>
    <row r="8" spans="1:401" ht="14.4" thickBot="1" x14ac:dyDescent="0.35">
      <c r="A8" s="325" t="s">
        <v>16</v>
      </c>
      <c r="B8" s="326"/>
      <c r="C8" s="326"/>
      <c r="D8" s="326"/>
      <c r="E8" s="107" t="s">
        <v>17</v>
      </c>
      <c r="F8" s="108" t="s">
        <v>19</v>
      </c>
      <c r="G8" s="76"/>
      <c r="H8" s="56" t="s">
        <v>30</v>
      </c>
      <c r="I8" s="59" t="s">
        <v>53</v>
      </c>
      <c r="J8" s="65"/>
      <c r="K8" s="55"/>
      <c r="L8" s="55"/>
      <c r="M8" s="55"/>
      <c r="N8" s="55"/>
      <c r="O8" s="55"/>
      <c r="P8" s="55"/>
    </row>
    <row r="9" spans="1:401" x14ac:dyDescent="0.3">
      <c r="A9" s="14"/>
      <c r="C9" s="14"/>
      <c r="D9" s="119"/>
      <c r="E9" s="109"/>
      <c r="F9" s="109"/>
      <c r="G9" s="76"/>
      <c r="H9" s="110"/>
      <c r="I9" s="111"/>
      <c r="J9" s="65"/>
      <c r="K9" s="55"/>
      <c r="L9" s="55"/>
      <c r="M9" s="55"/>
      <c r="N9" s="55"/>
      <c r="O9" s="55"/>
      <c r="P9" s="55"/>
    </row>
    <row r="10" spans="1:401" x14ac:dyDescent="0.3">
      <c r="A10" s="14"/>
      <c r="B10" s="114" t="s">
        <v>194</v>
      </c>
      <c r="C10" s="14"/>
      <c r="D10" s="119"/>
      <c r="E10" s="109"/>
      <c r="F10" s="109"/>
      <c r="G10" s="76"/>
      <c r="H10" s="110"/>
      <c r="I10" s="111"/>
      <c r="J10" s="65"/>
      <c r="K10" s="55"/>
      <c r="L10" s="55"/>
      <c r="M10" s="55"/>
      <c r="N10" s="55"/>
      <c r="O10" s="55"/>
      <c r="P10" s="55"/>
    </row>
    <row r="11" spans="1:401" outlineLevel="1" x14ac:dyDescent="0.3">
      <c r="A11" s="14"/>
      <c r="C11" s="14"/>
      <c r="D11" s="119" t="s">
        <v>304</v>
      </c>
      <c r="E11" s="199">
        <f>E5</f>
        <v>45962</v>
      </c>
      <c r="F11" s="198" t="s">
        <v>246</v>
      </c>
      <c r="G11" s="76"/>
      <c r="H11" s="110"/>
      <c r="I11" s="111"/>
      <c r="J11" s="65"/>
      <c r="K11" s="55"/>
      <c r="L11" s="55"/>
      <c r="M11" s="55"/>
      <c r="N11" s="212" t="s">
        <v>302</v>
      </c>
      <c r="O11" s="212" t="s">
        <v>303</v>
      </c>
      <c r="P11" s="213" cm="1">
        <f t="array" ref="P11:OK11">_xlfn.ANCHORARRAY(P2)</f>
        <v>45962</v>
      </c>
      <c r="Q11" s="211">
        <v>45992</v>
      </c>
      <c r="R11" s="211">
        <v>46023</v>
      </c>
      <c r="S11" s="211">
        <v>46054</v>
      </c>
      <c r="T11" s="211">
        <v>46082</v>
      </c>
      <c r="U11" s="211">
        <v>46113</v>
      </c>
      <c r="V11" s="211">
        <v>46143</v>
      </c>
      <c r="W11" s="211">
        <v>46174</v>
      </c>
      <c r="X11" s="211">
        <v>46204</v>
      </c>
      <c r="Y11" s="211">
        <v>46235</v>
      </c>
      <c r="Z11" s="211">
        <v>46266</v>
      </c>
      <c r="AA11" s="211">
        <v>46296</v>
      </c>
      <c r="AB11" s="211">
        <v>46327</v>
      </c>
      <c r="AC11" s="211">
        <v>46357</v>
      </c>
      <c r="AD11" s="211">
        <v>46388</v>
      </c>
      <c r="AE11" s="211">
        <v>46419</v>
      </c>
      <c r="AF11" s="211">
        <v>46447</v>
      </c>
      <c r="AG11" s="211">
        <v>46478</v>
      </c>
      <c r="AH11" s="211">
        <v>46508</v>
      </c>
      <c r="AI11" s="211">
        <v>46539</v>
      </c>
      <c r="AJ11" s="211">
        <v>46569</v>
      </c>
      <c r="AK11" s="211">
        <v>46600</v>
      </c>
      <c r="AL11" s="211">
        <v>46631</v>
      </c>
      <c r="AM11" s="211">
        <v>46661</v>
      </c>
      <c r="AN11" s="211">
        <v>46692</v>
      </c>
      <c r="AO11" s="211">
        <v>46722</v>
      </c>
      <c r="AP11" s="211">
        <v>46753</v>
      </c>
      <c r="AQ11" s="211">
        <v>46784</v>
      </c>
      <c r="AR11" s="211">
        <v>46813</v>
      </c>
      <c r="AS11" s="211">
        <v>46844</v>
      </c>
      <c r="AT11" s="211">
        <v>46874</v>
      </c>
      <c r="AU11" s="211">
        <v>46905</v>
      </c>
      <c r="AV11" s="211">
        <v>46935</v>
      </c>
      <c r="AW11" s="211">
        <v>46966</v>
      </c>
      <c r="AX11" s="211">
        <v>46997</v>
      </c>
      <c r="AY11" s="211">
        <v>47027</v>
      </c>
      <c r="AZ11" s="211">
        <v>47058</v>
      </c>
      <c r="BA11" s="211">
        <v>47088</v>
      </c>
      <c r="BB11" s="211">
        <v>47119</v>
      </c>
      <c r="BC11" s="211">
        <v>47150</v>
      </c>
      <c r="BD11" s="211">
        <v>47178</v>
      </c>
      <c r="BE11" s="211">
        <v>47209</v>
      </c>
      <c r="BF11" s="211">
        <v>47239</v>
      </c>
      <c r="BG11" s="211">
        <v>47270</v>
      </c>
      <c r="BH11" s="211">
        <v>47300</v>
      </c>
      <c r="BI11" s="211">
        <v>47331</v>
      </c>
      <c r="BJ11" s="211">
        <v>47362</v>
      </c>
      <c r="BK11" s="211">
        <v>47392</v>
      </c>
      <c r="BL11" s="211">
        <v>47423</v>
      </c>
      <c r="BM11" s="211">
        <v>47453</v>
      </c>
      <c r="BN11" s="211">
        <v>47484</v>
      </c>
      <c r="BO11" s="211">
        <v>47515</v>
      </c>
      <c r="BP11" s="211">
        <v>47543</v>
      </c>
      <c r="BQ11" s="211">
        <v>47574</v>
      </c>
      <c r="BR11" s="211">
        <v>47604</v>
      </c>
      <c r="BS11" s="211">
        <v>47635</v>
      </c>
      <c r="BT11" s="211">
        <v>47665</v>
      </c>
      <c r="BU11" s="211">
        <v>47696</v>
      </c>
      <c r="BV11" s="211">
        <v>47727</v>
      </c>
      <c r="BW11" s="211">
        <v>47757</v>
      </c>
      <c r="BX11" s="211">
        <v>47788</v>
      </c>
      <c r="BY11" s="211">
        <v>47818</v>
      </c>
      <c r="BZ11" s="211">
        <v>47849</v>
      </c>
      <c r="CA11" s="211">
        <v>47880</v>
      </c>
      <c r="CB11" s="211">
        <v>47908</v>
      </c>
      <c r="CC11" s="211">
        <v>47939</v>
      </c>
      <c r="CD11" s="211">
        <v>47969</v>
      </c>
      <c r="CE11" s="211">
        <v>48000</v>
      </c>
      <c r="CF11" s="211">
        <v>48030</v>
      </c>
      <c r="CG11" s="211">
        <v>48061</v>
      </c>
      <c r="CH11" s="211">
        <v>48092</v>
      </c>
      <c r="CI11" s="211">
        <v>48122</v>
      </c>
      <c r="CJ11" s="211">
        <v>48153</v>
      </c>
      <c r="CK11" s="211">
        <v>48183</v>
      </c>
      <c r="CL11" s="211">
        <v>48214</v>
      </c>
      <c r="CM11" s="211">
        <v>48245</v>
      </c>
      <c r="CN11" s="211">
        <v>48274</v>
      </c>
      <c r="CO11" s="211">
        <v>48305</v>
      </c>
      <c r="CP11" s="211">
        <v>48335</v>
      </c>
      <c r="CQ11" s="211">
        <v>48366</v>
      </c>
      <c r="CR11" s="211">
        <v>48396</v>
      </c>
      <c r="CS11" s="211">
        <v>48427</v>
      </c>
      <c r="CT11" s="211">
        <v>48458</v>
      </c>
      <c r="CU11" s="211">
        <v>48488</v>
      </c>
      <c r="CV11" s="211">
        <v>48519</v>
      </c>
      <c r="CW11" s="211">
        <v>48549</v>
      </c>
      <c r="CX11" s="211">
        <v>48580</v>
      </c>
      <c r="CY11" s="211">
        <v>48611</v>
      </c>
      <c r="CZ11" s="211">
        <v>48639</v>
      </c>
      <c r="DA11" s="211">
        <v>48670</v>
      </c>
      <c r="DB11" s="211">
        <v>48700</v>
      </c>
      <c r="DC11" s="211">
        <v>48731</v>
      </c>
      <c r="DD11" s="211">
        <v>48761</v>
      </c>
      <c r="DE11" s="211">
        <v>48792</v>
      </c>
      <c r="DF11" s="211">
        <v>48823</v>
      </c>
      <c r="DG11" s="211">
        <v>48853</v>
      </c>
      <c r="DH11" s="211">
        <v>48884</v>
      </c>
      <c r="DI11" s="211">
        <v>48914</v>
      </c>
      <c r="DJ11" s="211">
        <v>48945</v>
      </c>
      <c r="DK11" s="211">
        <v>48976</v>
      </c>
      <c r="DL11" s="211">
        <v>49004</v>
      </c>
      <c r="DM11" s="211">
        <v>49035</v>
      </c>
      <c r="DN11" s="211">
        <v>49065</v>
      </c>
      <c r="DO11" s="211">
        <v>49096</v>
      </c>
      <c r="DP11" s="211">
        <v>49126</v>
      </c>
      <c r="DQ11" s="211">
        <v>49157</v>
      </c>
      <c r="DR11" s="211">
        <v>49188</v>
      </c>
      <c r="DS11" s="211">
        <v>49218</v>
      </c>
      <c r="DT11" s="211">
        <v>49249</v>
      </c>
      <c r="DU11" s="211">
        <v>49279</v>
      </c>
      <c r="DV11" s="211">
        <v>49310</v>
      </c>
      <c r="DW11" s="211">
        <v>49341</v>
      </c>
      <c r="DX11" s="211">
        <v>49369</v>
      </c>
      <c r="DY11" s="211">
        <v>49400</v>
      </c>
      <c r="DZ11" s="211">
        <v>49430</v>
      </c>
      <c r="EA11" s="211">
        <v>49461</v>
      </c>
      <c r="EB11" s="211">
        <v>49491</v>
      </c>
      <c r="EC11" s="211">
        <v>49522</v>
      </c>
      <c r="ED11" s="211">
        <v>49553</v>
      </c>
      <c r="EE11" s="211">
        <v>49583</v>
      </c>
      <c r="EF11" s="211">
        <v>49614</v>
      </c>
      <c r="EG11" s="211">
        <v>49644</v>
      </c>
      <c r="EH11" s="211">
        <v>49675</v>
      </c>
      <c r="EI11" s="211">
        <v>49706</v>
      </c>
      <c r="EJ11" s="211">
        <v>49735</v>
      </c>
      <c r="EK11" s="211">
        <v>49766</v>
      </c>
      <c r="EL11" s="211">
        <v>49796</v>
      </c>
      <c r="EM11" s="211">
        <v>49827</v>
      </c>
      <c r="EN11" s="211">
        <v>49857</v>
      </c>
      <c r="EO11" s="211">
        <v>49888</v>
      </c>
      <c r="EP11" s="211">
        <v>49919</v>
      </c>
      <c r="EQ11" s="211">
        <v>49949</v>
      </c>
      <c r="ER11" s="211">
        <v>49980</v>
      </c>
      <c r="ES11" s="211">
        <v>50010</v>
      </c>
      <c r="ET11" s="211">
        <v>50041</v>
      </c>
      <c r="EU11" s="211">
        <v>50072</v>
      </c>
      <c r="EV11" s="211">
        <v>50100</v>
      </c>
      <c r="EW11" s="211">
        <v>50131</v>
      </c>
      <c r="EX11" s="211">
        <v>50161</v>
      </c>
      <c r="EY11" s="211">
        <v>50192</v>
      </c>
      <c r="EZ11" s="211">
        <v>50222</v>
      </c>
      <c r="FA11" s="211">
        <v>50253</v>
      </c>
      <c r="FB11" s="211">
        <v>50284</v>
      </c>
      <c r="FC11" s="211">
        <v>50314</v>
      </c>
      <c r="FD11" s="211">
        <v>50345</v>
      </c>
      <c r="FE11" s="211">
        <v>50375</v>
      </c>
      <c r="FF11" s="211">
        <v>50406</v>
      </c>
      <c r="FG11" s="211">
        <v>50437</v>
      </c>
      <c r="FH11" s="211">
        <v>50465</v>
      </c>
      <c r="FI11" s="211">
        <v>50496</v>
      </c>
      <c r="FJ11" s="211">
        <v>50526</v>
      </c>
      <c r="FK11" s="211">
        <v>50557</v>
      </c>
      <c r="FL11" s="211">
        <v>50587</v>
      </c>
      <c r="FM11" s="211">
        <v>50618</v>
      </c>
      <c r="FN11" s="211">
        <v>50649</v>
      </c>
      <c r="FO11" s="211">
        <v>50679</v>
      </c>
      <c r="FP11" s="211">
        <v>50710</v>
      </c>
      <c r="FQ11" s="211">
        <v>50740</v>
      </c>
      <c r="FR11" s="211">
        <v>50771</v>
      </c>
      <c r="FS11" s="211">
        <v>50802</v>
      </c>
      <c r="FT11" s="211">
        <v>50830</v>
      </c>
      <c r="FU11" s="211">
        <v>50861</v>
      </c>
      <c r="FV11" s="211">
        <v>50891</v>
      </c>
      <c r="FW11" s="211">
        <v>50922</v>
      </c>
      <c r="FX11" s="211">
        <v>50952</v>
      </c>
      <c r="FY11" s="211">
        <v>50983</v>
      </c>
      <c r="FZ11" s="211">
        <v>51014</v>
      </c>
      <c r="GA11" s="211">
        <v>51044</v>
      </c>
      <c r="GB11" s="211">
        <v>51075</v>
      </c>
      <c r="GC11" s="211">
        <v>51105</v>
      </c>
      <c r="GD11" s="211">
        <v>51136</v>
      </c>
      <c r="GE11" s="211">
        <v>51167</v>
      </c>
      <c r="GF11" s="211">
        <v>51196</v>
      </c>
      <c r="GG11" s="211">
        <v>51227</v>
      </c>
      <c r="GH11" s="211">
        <v>51257</v>
      </c>
      <c r="GI11" s="211">
        <v>51288</v>
      </c>
      <c r="GJ11" s="211">
        <v>51318</v>
      </c>
      <c r="GK11" s="211">
        <v>51349</v>
      </c>
      <c r="GL11" s="211">
        <v>51380</v>
      </c>
      <c r="GM11" s="211">
        <v>51410</v>
      </c>
      <c r="GN11" s="211">
        <v>51441</v>
      </c>
      <c r="GO11" s="211">
        <v>51471</v>
      </c>
      <c r="GP11" s="211">
        <v>51502</v>
      </c>
      <c r="GQ11" s="211">
        <v>51533</v>
      </c>
      <c r="GR11" s="211">
        <v>51561</v>
      </c>
      <c r="GS11" s="211">
        <v>51592</v>
      </c>
      <c r="GT11" s="211">
        <v>51622</v>
      </c>
      <c r="GU11" s="211">
        <v>51653</v>
      </c>
      <c r="GV11" s="211">
        <v>51683</v>
      </c>
      <c r="GW11" s="211">
        <v>51714</v>
      </c>
      <c r="GX11" s="211">
        <v>51745</v>
      </c>
      <c r="GY11" s="211">
        <v>51775</v>
      </c>
      <c r="GZ11" s="211">
        <v>51806</v>
      </c>
      <c r="HA11" s="211">
        <v>51836</v>
      </c>
      <c r="HB11" s="211">
        <v>51867</v>
      </c>
      <c r="HC11" s="211">
        <v>51898</v>
      </c>
      <c r="HD11" s="211">
        <v>51926</v>
      </c>
      <c r="HE11" s="211">
        <v>51957</v>
      </c>
      <c r="HF11" s="211">
        <v>51987</v>
      </c>
      <c r="HG11" s="211">
        <v>52018</v>
      </c>
      <c r="HH11" s="211">
        <v>52048</v>
      </c>
      <c r="HI11" s="211">
        <v>52079</v>
      </c>
      <c r="HJ11" s="211">
        <v>52110</v>
      </c>
      <c r="HK11" s="211">
        <v>52140</v>
      </c>
      <c r="HL11" s="211">
        <v>52171</v>
      </c>
      <c r="HM11" s="211">
        <v>52201</v>
      </c>
      <c r="HN11" s="211">
        <v>52232</v>
      </c>
      <c r="HO11" s="211">
        <v>52263</v>
      </c>
      <c r="HP11" s="211">
        <v>52291</v>
      </c>
      <c r="HQ11" s="211">
        <v>52322</v>
      </c>
      <c r="HR11" s="211">
        <v>52352</v>
      </c>
      <c r="HS11" s="211">
        <v>52383</v>
      </c>
      <c r="HT11" s="211">
        <v>52413</v>
      </c>
      <c r="HU11" s="211">
        <v>52444</v>
      </c>
      <c r="HV11" s="211">
        <v>52475</v>
      </c>
      <c r="HW11" s="211">
        <v>52505</v>
      </c>
      <c r="HX11" s="211">
        <v>52536</v>
      </c>
      <c r="HY11" s="211">
        <v>52566</v>
      </c>
      <c r="HZ11" s="211">
        <v>52597</v>
      </c>
      <c r="IA11" s="211">
        <v>52628</v>
      </c>
      <c r="IB11" s="211">
        <v>52657</v>
      </c>
      <c r="IC11" s="211">
        <v>52688</v>
      </c>
      <c r="ID11" s="211">
        <v>52718</v>
      </c>
      <c r="IE11" s="211">
        <v>52749</v>
      </c>
      <c r="IF11" s="211">
        <v>52779</v>
      </c>
      <c r="IG11" s="211">
        <v>52810</v>
      </c>
      <c r="IH11" s="211">
        <v>52841</v>
      </c>
      <c r="II11" s="211">
        <v>52871</v>
      </c>
      <c r="IJ11" s="211">
        <v>52902</v>
      </c>
      <c r="IK11" s="211">
        <v>52932</v>
      </c>
      <c r="IL11" s="211">
        <v>52963</v>
      </c>
      <c r="IM11" s="211">
        <v>52994</v>
      </c>
      <c r="IN11" s="211">
        <v>53022</v>
      </c>
      <c r="IO11" s="211">
        <v>53053</v>
      </c>
      <c r="IP11" s="211">
        <v>53083</v>
      </c>
      <c r="IQ11" s="211">
        <v>53114</v>
      </c>
      <c r="IR11" s="211">
        <v>53144</v>
      </c>
      <c r="IS11" s="211">
        <v>53175</v>
      </c>
      <c r="IT11" s="211">
        <v>53206</v>
      </c>
      <c r="IU11" s="211">
        <v>53236</v>
      </c>
      <c r="IV11" s="211">
        <v>53267</v>
      </c>
      <c r="IW11" s="211">
        <v>53297</v>
      </c>
      <c r="IX11" s="211">
        <v>53328</v>
      </c>
      <c r="IY11" s="211">
        <v>53359</v>
      </c>
      <c r="IZ11" s="211">
        <v>53387</v>
      </c>
      <c r="JA11" s="211">
        <v>53418</v>
      </c>
      <c r="JB11" s="211">
        <v>53448</v>
      </c>
      <c r="JC11" s="211">
        <v>53479</v>
      </c>
      <c r="JD11" s="211">
        <v>53509</v>
      </c>
      <c r="JE11" s="211">
        <v>53540</v>
      </c>
      <c r="JF11" s="211">
        <v>53571</v>
      </c>
      <c r="JG11" s="211">
        <v>53601</v>
      </c>
      <c r="JH11" s="211">
        <v>53632</v>
      </c>
      <c r="JI11" s="211">
        <v>53662</v>
      </c>
      <c r="JJ11" s="211">
        <v>53693</v>
      </c>
      <c r="JK11" s="211">
        <v>53724</v>
      </c>
      <c r="JL11" s="211">
        <v>53752</v>
      </c>
      <c r="JM11" s="211">
        <v>53783</v>
      </c>
      <c r="JN11" s="211">
        <v>53813</v>
      </c>
      <c r="JO11" s="211">
        <v>53844</v>
      </c>
      <c r="JP11" s="211">
        <v>53874</v>
      </c>
      <c r="JQ11" s="211">
        <v>53905</v>
      </c>
      <c r="JR11" s="211">
        <v>53936</v>
      </c>
      <c r="JS11" s="211">
        <v>53966</v>
      </c>
      <c r="JT11" s="211">
        <v>53997</v>
      </c>
      <c r="JU11" s="211">
        <v>54027</v>
      </c>
      <c r="JV11" s="211">
        <v>54058</v>
      </c>
      <c r="JW11" s="211">
        <v>54089</v>
      </c>
      <c r="JX11" s="211">
        <v>54118</v>
      </c>
      <c r="JY11" s="211">
        <v>54149</v>
      </c>
      <c r="JZ11" s="211">
        <v>54179</v>
      </c>
      <c r="KA11" s="211">
        <v>54210</v>
      </c>
      <c r="KB11" s="211">
        <v>54240</v>
      </c>
      <c r="KC11" s="211">
        <v>54271</v>
      </c>
      <c r="KD11" s="211">
        <v>54302</v>
      </c>
      <c r="KE11" s="211">
        <v>54332</v>
      </c>
      <c r="KF11" s="211">
        <v>54363</v>
      </c>
      <c r="KG11" s="211">
        <v>54393</v>
      </c>
      <c r="KH11" s="211">
        <v>54424</v>
      </c>
      <c r="KI11" s="211">
        <v>54455</v>
      </c>
      <c r="KJ11" s="211">
        <v>54483</v>
      </c>
      <c r="KK11" s="211">
        <v>54514</v>
      </c>
      <c r="KL11" s="211">
        <v>54544</v>
      </c>
      <c r="KM11" s="211">
        <v>54575</v>
      </c>
      <c r="KN11" s="211">
        <v>54605</v>
      </c>
      <c r="KO11" s="211">
        <v>54636</v>
      </c>
      <c r="KP11" s="211">
        <v>54667</v>
      </c>
      <c r="KQ11" s="211">
        <v>54697</v>
      </c>
      <c r="KR11" s="211">
        <v>54728</v>
      </c>
      <c r="KS11" s="211">
        <v>54758</v>
      </c>
      <c r="KT11" s="211">
        <v>54789</v>
      </c>
      <c r="KU11" s="211">
        <v>54820</v>
      </c>
      <c r="KV11" s="211">
        <v>54848</v>
      </c>
      <c r="KW11" s="211">
        <v>54879</v>
      </c>
      <c r="KX11" s="211">
        <v>54909</v>
      </c>
      <c r="KY11" s="211">
        <v>54940</v>
      </c>
      <c r="KZ11" s="211">
        <v>54970</v>
      </c>
      <c r="LA11" s="211">
        <v>55001</v>
      </c>
      <c r="LB11" s="211">
        <v>55032</v>
      </c>
      <c r="LC11" s="211">
        <v>55062</v>
      </c>
      <c r="LD11" s="211">
        <v>55093</v>
      </c>
      <c r="LE11" s="211">
        <v>55123</v>
      </c>
      <c r="LF11" s="211">
        <v>55154</v>
      </c>
      <c r="LG11" s="211">
        <v>55185</v>
      </c>
      <c r="LH11" s="211">
        <v>55213</v>
      </c>
      <c r="LI11" s="211">
        <v>55244</v>
      </c>
      <c r="LJ11" s="211">
        <v>55274</v>
      </c>
      <c r="LK11" s="211">
        <v>55305</v>
      </c>
      <c r="LL11" s="211">
        <v>55335</v>
      </c>
      <c r="LM11" s="211">
        <v>55366</v>
      </c>
      <c r="LN11" s="211">
        <v>55397</v>
      </c>
      <c r="LO11" s="211">
        <v>55427</v>
      </c>
      <c r="LP11" s="211">
        <v>55458</v>
      </c>
      <c r="LQ11" s="211">
        <v>55488</v>
      </c>
      <c r="LR11" s="211">
        <v>55519</v>
      </c>
      <c r="LS11" s="211">
        <v>55550</v>
      </c>
      <c r="LT11" s="211">
        <v>55579</v>
      </c>
      <c r="LU11" s="211">
        <v>55610</v>
      </c>
      <c r="LV11" s="211">
        <v>55640</v>
      </c>
      <c r="LW11" s="211">
        <v>55671</v>
      </c>
      <c r="LX11" s="211">
        <v>55701</v>
      </c>
      <c r="LY11" s="211">
        <v>55732</v>
      </c>
      <c r="LZ11" s="211">
        <v>55763</v>
      </c>
      <c r="MA11" s="211">
        <v>55793</v>
      </c>
      <c r="MB11" s="211">
        <v>55824</v>
      </c>
      <c r="MC11" s="211">
        <v>55854</v>
      </c>
      <c r="MD11" s="211">
        <v>55885</v>
      </c>
      <c r="ME11" s="211">
        <v>55916</v>
      </c>
      <c r="MF11" s="211">
        <v>55944</v>
      </c>
      <c r="MG11" s="211">
        <v>55975</v>
      </c>
      <c r="MH11" s="211">
        <v>56005</v>
      </c>
      <c r="MI11" s="211">
        <v>56036</v>
      </c>
      <c r="MJ11" s="211">
        <v>56066</v>
      </c>
      <c r="MK11" s="211">
        <v>56097</v>
      </c>
      <c r="ML11" s="211">
        <v>56128</v>
      </c>
      <c r="MM11" s="211">
        <v>56158</v>
      </c>
      <c r="MN11" s="211">
        <v>56189</v>
      </c>
      <c r="MO11" s="211">
        <v>56219</v>
      </c>
      <c r="MP11" s="211">
        <v>56250</v>
      </c>
      <c r="MQ11" s="211">
        <v>56281</v>
      </c>
      <c r="MR11" s="211">
        <v>56309</v>
      </c>
      <c r="MS11" s="211">
        <v>56340</v>
      </c>
      <c r="MT11" s="211">
        <v>56370</v>
      </c>
      <c r="MU11" s="211">
        <v>56401</v>
      </c>
      <c r="MV11" s="211">
        <v>56431</v>
      </c>
      <c r="MW11" s="211">
        <v>56462</v>
      </c>
      <c r="MX11" s="211">
        <v>56493</v>
      </c>
      <c r="MY11" s="211">
        <v>56523</v>
      </c>
      <c r="MZ11" s="211">
        <v>56554</v>
      </c>
      <c r="NA11" s="211">
        <v>56584</v>
      </c>
      <c r="NB11" s="211">
        <v>56615</v>
      </c>
      <c r="NC11" s="211">
        <v>56646</v>
      </c>
      <c r="ND11" s="211">
        <v>56674</v>
      </c>
      <c r="NE11" s="211">
        <v>56705</v>
      </c>
      <c r="NF11" s="211">
        <v>56735</v>
      </c>
      <c r="NG11" s="211">
        <v>56766</v>
      </c>
      <c r="NH11" s="211">
        <v>56796</v>
      </c>
      <c r="NI11" s="211">
        <v>56827</v>
      </c>
      <c r="NJ11" s="211">
        <v>56858</v>
      </c>
      <c r="NK11" s="211">
        <v>56888</v>
      </c>
      <c r="NL11" s="211">
        <v>56919</v>
      </c>
      <c r="NM11" s="211">
        <v>56949</v>
      </c>
      <c r="NN11" s="211">
        <v>56980</v>
      </c>
      <c r="NO11" s="211">
        <v>57011</v>
      </c>
      <c r="NP11" s="211">
        <v>57040</v>
      </c>
      <c r="NQ11" s="211">
        <v>57071</v>
      </c>
      <c r="NR11" s="211">
        <v>57101</v>
      </c>
      <c r="NS11" s="211">
        <v>57132</v>
      </c>
      <c r="NT11" s="211">
        <v>57162</v>
      </c>
      <c r="NU11" s="211">
        <v>57193</v>
      </c>
      <c r="NV11" s="211">
        <v>57224</v>
      </c>
      <c r="NW11" s="211">
        <v>57254</v>
      </c>
      <c r="NX11" s="211">
        <v>57285</v>
      </c>
      <c r="NY11" s="211">
        <v>57315</v>
      </c>
      <c r="NZ11" s="211">
        <v>57346</v>
      </c>
      <c r="OA11" s="211">
        <v>57377</v>
      </c>
      <c r="OB11" s="211">
        <v>57405</v>
      </c>
      <c r="OC11" s="211">
        <v>57436</v>
      </c>
      <c r="OD11" s="211">
        <v>57466</v>
      </c>
      <c r="OE11">
        <v>57497</v>
      </c>
      <c r="OF11">
        <v>57527</v>
      </c>
      <c r="OG11">
        <v>57558</v>
      </c>
      <c r="OH11">
        <v>57589</v>
      </c>
      <c r="OI11">
        <v>57619</v>
      </c>
      <c r="OJ11">
        <v>57650</v>
      </c>
      <c r="OK11">
        <v>57680</v>
      </c>
    </row>
    <row r="12" spans="1:401" outlineLevel="1" x14ac:dyDescent="0.3">
      <c r="A12" s="14"/>
      <c r="C12" s="14" t="s">
        <v>178</v>
      </c>
      <c r="D12" s="119"/>
      <c r="E12" s="109"/>
      <c r="F12" s="109"/>
      <c r="G12" s="76"/>
      <c r="H12" s="110"/>
      <c r="I12" s="111"/>
      <c r="J12" s="65"/>
      <c r="K12" s="55"/>
      <c r="L12" s="66"/>
      <c r="M12" s="77" t="s">
        <v>178</v>
      </c>
      <c r="N12" s="206">
        <f>E11</f>
        <v>45962</v>
      </c>
      <c r="O12" s="207">
        <f>MAX(O13:O20)</f>
        <v>46322</v>
      </c>
      <c r="P12" t="str" cm="1">
        <f t="array" ref="P12:OK12">IF((N12&lt;=_xlfn.ANCHORARRAY($P$2))*(_xlfn.ANCHORARRAY($P$2)&lt;O12)," ","")</f>
        <v xml:space="preserve"> </v>
      </c>
      <c r="Q12" t="str">
        <v xml:space="preserve"> </v>
      </c>
      <c r="R12" t="str">
        <v xml:space="preserve"> </v>
      </c>
      <c r="S12" t="str">
        <v xml:space="preserve"> </v>
      </c>
      <c r="T12" t="str">
        <v xml:space="preserve"> </v>
      </c>
      <c r="U12" t="str">
        <v xml:space="preserve"> </v>
      </c>
      <c r="V12" t="str">
        <v xml:space="preserve"> </v>
      </c>
      <c r="W12" t="str">
        <v xml:space="preserve"> </v>
      </c>
      <c r="X12" t="str">
        <v xml:space="preserve"> </v>
      </c>
      <c r="Y12" t="str">
        <v xml:space="preserve"> </v>
      </c>
      <c r="Z12" t="str">
        <v xml:space="preserve"> </v>
      </c>
      <c r="AA12" t="str">
        <v xml:space="preserve"> </v>
      </c>
      <c r="AB12" t="str">
        <v/>
      </c>
      <c r="AC12" t="str">
        <v/>
      </c>
      <c r="AD12" t="str">
        <v/>
      </c>
      <c r="AE12" t="str">
        <v/>
      </c>
      <c r="AF12" t="str">
        <v/>
      </c>
      <c r="AG12" t="str">
        <v/>
      </c>
      <c r="AH12" t="str">
        <v/>
      </c>
      <c r="AI12" t="str">
        <v/>
      </c>
      <c r="AJ12" t="str">
        <v/>
      </c>
      <c r="AK12" t="str">
        <v/>
      </c>
      <c r="AL12" t="str">
        <v/>
      </c>
      <c r="AM12" t="str">
        <v/>
      </c>
      <c r="AN12" t="str">
        <v/>
      </c>
      <c r="AO12" t="str">
        <v/>
      </c>
      <c r="AP12" t="str">
        <v/>
      </c>
      <c r="AQ12" t="str">
        <v/>
      </c>
      <c r="AR12" t="str">
        <v/>
      </c>
      <c r="AS12" t="str">
        <v/>
      </c>
      <c r="AT12" t="str">
        <v/>
      </c>
      <c r="AU12" t="str">
        <v/>
      </c>
      <c r="AV12" t="str">
        <v/>
      </c>
      <c r="AW12" t="str">
        <v/>
      </c>
      <c r="AX12" t="str">
        <v/>
      </c>
      <c r="AY12" t="str">
        <v/>
      </c>
      <c r="AZ12" t="str">
        <v/>
      </c>
      <c r="BA12" t="str">
        <v/>
      </c>
      <c r="BB12" t="str">
        <v/>
      </c>
      <c r="BC12" t="str">
        <v/>
      </c>
      <c r="BD12" t="str">
        <v/>
      </c>
      <c r="BE12" t="str">
        <v/>
      </c>
      <c r="BF12" t="str">
        <v/>
      </c>
      <c r="BG12" t="str">
        <v/>
      </c>
      <c r="BH12" t="str">
        <v/>
      </c>
      <c r="BI12" t="str">
        <v/>
      </c>
      <c r="BJ12" t="str">
        <v/>
      </c>
      <c r="BK12" t="str">
        <v/>
      </c>
      <c r="BL12" t="str">
        <v/>
      </c>
      <c r="BM12" t="str">
        <v/>
      </c>
      <c r="BN12" t="str">
        <v/>
      </c>
      <c r="BO12" t="str">
        <v/>
      </c>
      <c r="BP12" t="str">
        <v/>
      </c>
      <c r="BQ12" t="str">
        <v/>
      </c>
      <c r="BR12" t="str">
        <v/>
      </c>
      <c r="BS12" t="str">
        <v/>
      </c>
      <c r="BT12" t="str">
        <v/>
      </c>
      <c r="BU12" t="str">
        <v/>
      </c>
      <c r="BV12" t="str">
        <v/>
      </c>
      <c r="BW12" t="str">
        <v/>
      </c>
      <c r="BX12" t="str">
        <v/>
      </c>
      <c r="BY12" t="str">
        <v/>
      </c>
      <c r="BZ12" t="str">
        <v/>
      </c>
      <c r="CA12" t="str">
        <v/>
      </c>
      <c r="CB12" t="str">
        <v/>
      </c>
      <c r="CC12" t="str">
        <v/>
      </c>
      <c r="CD12" t="str">
        <v/>
      </c>
      <c r="CE12" t="str">
        <v/>
      </c>
      <c r="CF12" t="str">
        <v/>
      </c>
      <c r="CG12" t="str">
        <v/>
      </c>
      <c r="CH12" t="str">
        <v/>
      </c>
      <c r="CI12" t="str">
        <v/>
      </c>
      <c r="CJ12" t="str">
        <v/>
      </c>
      <c r="CK12" t="str">
        <v/>
      </c>
      <c r="CL12" t="str">
        <v/>
      </c>
      <c r="CM12" t="str">
        <v/>
      </c>
      <c r="CN12" t="str">
        <v/>
      </c>
      <c r="CO12" t="str">
        <v/>
      </c>
      <c r="CP12" t="str">
        <v/>
      </c>
      <c r="CQ12" t="str">
        <v/>
      </c>
      <c r="CR12" t="str">
        <v/>
      </c>
      <c r="CS12" t="str">
        <v/>
      </c>
      <c r="CT12" t="str">
        <v/>
      </c>
      <c r="CU12" t="str">
        <v/>
      </c>
      <c r="CV12" t="str">
        <v/>
      </c>
      <c r="CW12" t="str">
        <v/>
      </c>
      <c r="CX12" t="str">
        <v/>
      </c>
      <c r="CY12" t="str">
        <v/>
      </c>
      <c r="CZ12" t="str">
        <v/>
      </c>
      <c r="DA12" t="str">
        <v/>
      </c>
      <c r="DB12" t="str">
        <v/>
      </c>
      <c r="DC12" t="str">
        <v/>
      </c>
      <c r="DD12" t="str">
        <v/>
      </c>
      <c r="DE12" t="str">
        <v/>
      </c>
      <c r="DF12" t="str">
        <v/>
      </c>
      <c r="DG12" t="str">
        <v/>
      </c>
      <c r="DH12" t="str">
        <v/>
      </c>
      <c r="DI12" t="str">
        <v/>
      </c>
      <c r="DJ12" t="str">
        <v/>
      </c>
      <c r="DK12" t="str">
        <v/>
      </c>
      <c r="DL12" t="str">
        <v/>
      </c>
      <c r="DM12" t="str">
        <v/>
      </c>
      <c r="DN12" t="str">
        <v/>
      </c>
      <c r="DO12" t="str">
        <v/>
      </c>
      <c r="DP12" t="str">
        <v/>
      </c>
      <c r="DQ12" t="str">
        <v/>
      </c>
      <c r="DR12" t="str">
        <v/>
      </c>
      <c r="DS12" t="str">
        <v/>
      </c>
      <c r="DT12" t="str">
        <v/>
      </c>
      <c r="DU12" t="str">
        <v/>
      </c>
      <c r="DV12" t="str">
        <v/>
      </c>
      <c r="DW12" t="str">
        <v/>
      </c>
      <c r="DX12" t="str">
        <v/>
      </c>
      <c r="DY12" t="str">
        <v/>
      </c>
      <c r="DZ12" t="str">
        <v/>
      </c>
      <c r="EA12" t="str">
        <v/>
      </c>
      <c r="EB12" t="str">
        <v/>
      </c>
      <c r="EC12" t="str">
        <v/>
      </c>
      <c r="ED12" t="str">
        <v/>
      </c>
      <c r="EE12" t="str">
        <v/>
      </c>
      <c r="EF12" t="str">
        <v/>
      </c>
      <c r="EG12" t="str">
        <v/>
      </c>
      <c r="EH12" t="str">
        <v/>
      </c>
      <c r="EI12" t="str">
        <v/>
      </c>
      <c r="EJ12" t="str">
        <v/>
      </c>
      <c r="EK12" t="str">
        <v/>
      </c>
      <c r="EL12" t="str">
        <v/>
      </c>
      <c r="EM12" t="str">
        <v/>
      </c>
      <c r="EN12" t="str">
        <v/>
      </c>
      <c r="EO12" t="str">
        <v/>
      </c>
      <c r="EP12" t="str">
        <v/>
      </c>
      <c r="EQ12" t="str">
        <v/>
      </c>
      <c r="ER12" t="str">
        <v/>
      </c>
      <c r="ES12" t="str">
        <v/>
      </c>
      <c r="ET12" t="str">
        <v/>
      </c>
      <c r="EU12" t="str">
        <v/>
      </c>
      <c r="EV12" t="str">
        <v/>
      </c>
      <c r="EW12" t="str">
        <v/>
      </c>
      <c r="EX12" t="str">
        <v/>
      </c>
      <c r="EY12" t="str">
        <v/>
      </c>
      <c r="EZ12" t="str">
        <v/>
      </c>
      <c r="FA12" t="str">
        <v/>
      </c>
      <c r="FB12" t="str">
        <v/>
      </c>
      <c r="FC12" t="str">
        <v/>
      </c>
      <c r="FD12" t="str">
        <v/>
      </c>
      <c r="FE12" t="str">
        <v/>
      </c>
      <c r="FF12" t="str">
        <v/>
      </c>
      <c r="FG12" t="str">
        <v/>
      </c>
      <c r="FH12" t="str">
        <v/>
      </c>
      <c r="FI12" t="str">
        <v/>
      </c>
      <c r="FJ12" t="str">
        <v/>
      </c>
      <c r="FK12" t="str">
        <v/>
      </c>
      <c r="FL12" t="str">
        <v/>
      </c>
      <c r="FM12" t="str">
        <v/>
      </c>
      <c r="FN12" t="str">
        <v/>
      </c>
      <c r="FO12" t="str">
        <v/>
      </c>
      <c r="FP12" t="str">
        <v/>
      </c>
      <c r="FQ12" t="str">
        <v/>
      </c>
      <c r="FR12" t="str">
        <v/>
      </c>
      <c r="FS12" t="str">
        <v/>
      </c>
      <c r="FT12" t="str">
        <v/>
      </c>
      <c r="FU12" t="str">
        <v/>
      </c>
      <c r="FV12" t="str">
        <v/>
      </c>
      <c r="FW12" t="str">
        <v/>
      </c>
      <c r="FX12" t="str">
        <v/>
      </c>
      <c r="FY12" t="str">
        <v/>
      </c>
      <c r="FZ12" t="str">
        <v/>
      </c>
      <c r="GA12" t="str">
        <v/>
      </c>
      <c r="GB12" t="str">
        <v/>
      </c>
      <c r="GC12" t="str">
        <v/>
      </c>
      <c r="GD12" t="str">
        <v/>
      </c>
      <c r="GE12" t="str">
        <v/>
      </c>
      <c r="GF12" t="str">
        <v/>
      </c>
      <c r="GG12" t="str">
        <v/>
      </c>
      <c r="GH12" t="str">
        <v/>
      </c>
      <c r="GI12" t="str">
        <v/>
      </c>
      <c r="GJ12" t="str">
        <v/>
      </c>
      <c r="GK12" t="str">
        <v/>
      </c>
      <c r="GL12" t="str">
        <v/>
      </c>
      <c r="GM12" t="str">
        <v/>
      </c>
      <c r="GN12" t="str">
        <v/>
      </c>
      <c r="GO12" t="str">
        <v/>
      </c>
      <c r="GP12" t="str">
        <v/>
      </c>
      <c r="GQ12" t="str">
        <v/>
      </c>
      <c r="GR12" t="str">
        <v/>
      </c>
      <c r="GS12" t="str">
        <v/>
      </c>
      <c r="GT12" t="str">
        <v/>
      </c>
      <c r="GU12" t="str">
        <v/>
      </c>
      <c r="GV12" t="str">
        <v/>
      </c>
      <c r="GW12" t="str">
        <v/>
      </c>
      <c r="GX12" t="str">
        <v/>
      </c>
      <c r="GY12" t="str">
        <v/>
      </c>
      <c r="GZ12" t="str">
        <v/>
      </c>
      <c r="HA12" t="str">
        <v/>
      </c>
      <c r="HB12" t="str">
        <v/>
      </c>
      <c r="HC12" t="str">
        <v/>
      </c>
      <c r="HD12" t="str">
        <v/>
      </c>
      <c r="HE12" t="str">
        <v/>
      </c>
      <c r="HF12" t="str">
        <v/>
      </c>
      <c r="HG12" t="str">
        <v/>
      </c>
      <c r="HH12" t="str">
        <v/>
      </c>
      <c r="HI12" t="str">
        <v/>
      </c>
      <c r="HJ12" t="str">
        <v/>
      </c>
      <c r="HK12" t="str">
        <v/>
      </c>
      <c r="HL12" t="str">
        <v/>
      </c>
      <c r="HM12" t="str">
        <v/>
      </c>
      <c r="HN12" t="str">
        <v/>
      </c>
      <c r="HO12" t="str">
        <v/>
      </c>
      <c r="HP12" t="str">
        <v/>
      </c>
      <c r="HQ12" t="str">
        <v/>
      </c>
      <c r="HR12" t="str">
        <v/>
      </c>
      <c r="HS12" t="str">
        <v/>
      </c>
      <c r="HT12" t="str">
        <v/>
      </c>
      <c r="HU12" t="str">
        <v/>
      </c>
      <c r="HV12" t="str">
        <v/>
      </c>
      <c r="HW12" t="str">
        <v/>
      </c>
      <c r="HX12" t="str">
        <v/>
      </c>
      <c r="HY12" t="str">
        <v/>
      </c>
      <c r="HZ12" t="str">
        <v/>
      </c>
      <c r="IA12" t="str">
        <v/>
      </c>
      <c r="IB12" t="str">
        <v/>
      </c>
      <c r="IC12" t="str">
        <v/>
      </c>
      <c r="ID12" t="str">
        <v/>
      </c>
      <c r="IE12" t="str">
        <v/>
      </c>
      <c r="IF12" t="str">
        <v/>
      </c>
      <c r="IG12" t="str">
        <v/>
      </c>
      <c r="IH12" t="str">
        <v/>
      </c>
      <c r="II12" t="str">
        <v/>
      </c>
      <c r="IJ12" t="str">
        <v/>
      </c>
      <c r="IK12" t="str">
        <v/>
      </c>
      <c r="IL12" t="str">
        <v/>
      </c>
      <c r="IM12" t="str">
        <v/>
      </c>
      <c r="IN12" t="str">
        <v/>
      </c>
      <c r="IO12" t="str">
        <v/>
      </c>
      <c r="IP12" t="str">
        <v/>
      </c>
      <c r="IQ12" t="str">
        <v/>
      </c>
      <c r="IR12" t="str">
        <v/>
      </c>
      <c r="IS12" t="str">
        <v/>
      </c>
      <c r="IT12" t="str">
        <v/>
      </c>
      <c r="IU12" t="str">
        <v/>
      </c>
      <c r="IV12" t="str">
        <v/>
      </c>
      <c r="IW12" t="str">
        <v/>
      </c>
      <c r="IX12" t="str">
        <v/>
      </c>
      <c r="IY12" t="str">
        <v/>
      </c>
      <c r="IZ12" t="str">
        <v/>
      </c>
      <c r="JA12" t="str">
        <v/>
      </c>
      <c r="JB12" t="str">
        <v/>
      </c>
      <c r="JC12" t="str">
        <v/>
      </c>
      <c r="JD12" t="str">
        <v/>
      </c>
      <c r="JE12" t="str">
        <v/>
      </c>
      <c r="JF12" t="str">
        <v/>
      </c>
      <c r="JG12" t="str">
        <v/>
      </c>
      <c r="JH12" t="str">
        <v/>
      </c>
      <c r="JI12" t="str">
        <v/>
      </c>
      <c r="JJ12" t="str">
        <v/>
      </c>
      <c r="JK12" t="str">
        <v/>
      </c>
      <c r="JL12" t="str">
        <v/>
      </c>
      <c r="JM12" t="str">
        <v/>
      </c>
      <c r="JN12" t="str">
        <v/>
      </c>
      <c r="JO12" t="str">
        <v/>
      </c>
      <c r="JP12" t="str">
        <v/>
      </c>
      <c r="JQ12" t="str">
        <v/>
      </c>
      <c r="JR12" t="str">
        <v/>
      </c>
      <c r="JS12" t="str">
        <v/>
      </c>
      <c r="JT12" t="str">
        <v/>
      </c>
      <c r="JU12" t="str">
        <v/>
      </c>
      <c r="JV12" t="str">
        <v/>
      </c>
      <c r="JW12" t="str">
        <v/>
      </c>
      <c r="JX12" t="str">
        <v/>
      </c>
      <c r="JY12" t="str">
        <v/>
      </c>
      <c r="JZ12" t="str">
        <v/>
      </c>
      <c r="KA12" t="str">
        <v/>
      </c>
      <c r="KB12" t="str">
        <v/>
      </c>
      <c r="KC12" t="str">
        <v/>
      </c>
      <c r="KD12" t="str">
        <v/>
      </c>
      <c r="KE12" t="str">
        <v/>
      </c>
      <c r="KF12" t="str">
        <v/>
      </c>
      <c r="KG12" t="str">
        <v/>
      </c>
      <c r="KH12" t="str">
        <v/>
      </c>
      <c r="KI12" t="str">
        <v/>
      </c>
      <c r="KJ12" t="str">
        <v/>
      </c>
      <c r="KK12" t="str">
        <v/>
      </c>
      <c r="KL12" t="str">
        <v/>
      </c>
      <c r="KM12" t="str">
        <v/>
      </c>
      <c r="KN12" t="str">
        <v/>
      </c>
      <c r="KO12" t="str">
        <v/>
      </c>
      <c r="KP12" t="str">
        <v/>
      </c>
      <c r="KQ12" t="str">
        <v/>
      </c>
      <c r="KR12" t="str">
        <v/>
      </c>
      <c r="KS12" t="str">
        <v/>
      </c>
      <c r="KT12" t="str">
        <v/>
      </c>
      <c r="KU12" t="str">
        <v/>
      </c>
      <c r="KV12" t="str">
        <v/>
      </c>
      <c r="KW12" t="str">
        <v/>
      </c>
      <c r="KX12" t="str">
        <v/>
      </c>
      <c r="KY12" t="str">
        <v/>
      </c>
      <c r="KZ12" t="str">
        <v/>
      </c>
      <c r="LA12" t="str">
        <v/>
      </c>
      <c r="LB12" t="str">
        <v/>
      </c>
      <c r="LC12" t="str">
        <v/>
      </c>
      <c r="LD12" t="str">
        <v/>
      </c>
      <c r="LE12" t="str">
        <v/>
      </c>
      <c r="LF12" t="str">
        <v/>
      </c>
      <c r="LG12" t="str">
        <v/>
      </c>
      <c r="LH12" t="str">
        <v/>
      </c>
      <c r="LI12" t="str">
        <v/>
      </c>
      <c r="LJ12" t="str">
        <v/>
      </c>
      <c r="LK12" t="str">
        <v/>
      </c>
      <c r="LL12" t="str">
        <v/>
      </c>
      <c r="LM12" t="str">
        <v/>
      </c>
      <c r="LN12" t="str">
        <v/>
      </c>
      <c r="LO12" t="str">
        <v/>
      </c>
      <c r="LP12" t="str">
        <v/>
      </c>
      <c r="LQ12" t="str">
        <v/>
      </c>
      <c r="LR12" t="str">
        <v/>
      </c>
      <c r="LS12" t="str">
        <v/>
      </c>
      <c r="LT12" t="str">
        <v/>
      </c>
      <c r="LU12" t="str">
        <v/>
      </c>
      <c r="LV12" t="str">
        <v/>
      </c>
      <c r="LW12" t="str">
        <v/>
      </c>
      <c r="LX12" t="str">
        <v/>
      </c>
      <c r="LY12" t="str">
        <v/>
      </c>
      <c r="LZ12" t="str">
        <v/>
      </c>
      <c r="MA12" t="str">
        <v/>
      </c>
      <c r="MB12" t="str">
        <v/>
      </c>
      <c r="MC12" t="str">
        <v/>
      </c>
      <c r="MD12" t="str">
        <v/>
      </c>
      <c r="ME12" t="str">
        <v/>
      </c>
      <c r="MF12" t="str">
        <v/>
      </c>
      <c r="MG12" t="str">
        <v/>
      </c>
      <c r="MH12" t="str">
        <v/>
      </c>
      <c r="MI12" t="str">
        <v/>
      </c>
      <c r="MJ12" t="str">
        <v/>
      </c>
      <c r="MK12" t="str">
        <v/>
      </c>
      <c r="ML12" t="str">
        <v/>
      </c>
      <c r="MM12" t="str">
        <v/>
      </c>
      <c r="MN12" t="str">
        <v/>
      </c>
      <c r="MO12" t="str">
        <v/>
      </c>
      <c r="MP12" t="str">
        <v/>
      </c>
      <c r="MQ12" t="str">
        <v/>
      </c>
      <c r="MR12" t="str">
        <v/>
      </c>
      <c r="MS12" t="str">
        <v/>
      </c>
      <c r="MT12" t="str">
        <v/>
      </c>
      <c r="MU12" t="str">
        <v/>
      </c>
      <c r="MV12" t="str">
        <v/>
      </c>
      <c r="MW12" t="str">
        <v/>
      </c>
      <c r="MX12" t="str">
        <v/>
      </c>
      <c r="MY12" t="str">
        <v/>
      </c>
      <c r="MZ12" t="str">
        <v/>
      </c>
      <c r="NA12" t="str">
        <v/>
      </c>
      <c r="NB12" t="str">
        <v/>
      </c>
      <c r="NC12" t="str">
        <v/>
      </c>
      <c r="ND12" t="str">
        <v/>
      </c>
      <c r="NE12" t="str">
        <v/>
      </c>
      <c r="NF12" t="str">
        <v/>
      </c>
      <c r="NG12" t="str">
        <v/>
      </c>
      <c r="NH12" t="str">
        <v/>
      </c>
      <c r="NI12" t="str">
        <v/>
      </c>
      <c r="NJ12" t="str">
        <v/>
      </c>
      <c r="NK12" t="str">
        <v/>
      </c>
      <c r="NL12" t="str">
        <v/>
      </c>
      <c r="NM12" t="str">
        <v/>
      </c>
      <c r="NN12" t="str">
        <v/>
      </c>
      <c r="NO12" t="str">
        <v/>
      </c>
      <c r="NP12" t="str">
        <v/>
      </c>
      <c r="NQ12" t="str">
        <v/>
      </c>
      <c r="NR12" t="str">
        <v/>
      </c>
      <c r="NS12" t="str">
        <v/>
      </c>
      <c r="NT12" t="str">
        <v/>
      </c>
      <c r="NU12" t="str">
        <v/>
      </c>
      <c r="NV12" t="str">
        <v/>
      </c>
      <c r="NW12" t="str">
        <v/>
      </c>
      <c r="NX12" t="str">
        <v/>
      </c>
      <c r="NY12" t="str">
        <v/>
      </c>
      <c r="NZ12" t="str">
        <v/>
      </c>
      <c r="OA12" t="str">
        <v/>
      </c>
      <c r="OB12" t="str">
        <v/>
      </c>
      <c r="OC12" t="str">
        <v/>
      </c>
      <c r="OD12" t="str">
        <v/>
      </c>
      <c r="OE12" t="str">
        <v/>
      </c>
      <c r="OF12" t="str">
        <v/>
      </c>
      <c r="OG12" t="str">
        <v/>
      </c>
      <c r="OH12" t="str">
        <v/>
      </c>
      <c r="OI12" t="str">
        <v/>
      </c>
      <c r="OJ12" t="str">
        <v/>
      </c>
      <c r="OK12" t="str">
        <v/>
      </c>
    </row>
    <row r="13" spans="1:401" outlineLevel="1" x14ac:dyDescent="0.3">
      <c r="A13" s="14"/>
      <c r="D13" s="119" t="s">
        <v>290</v>
      </c>
      <c r="E13" s="197">
        <v>360</v>
      </c>
      <c r="F13" s="198" t="s">
        <v>291</v>
      </c>
      <c r="G13" s="76"/>
      <c r="H13" s="110"/>
      <c r="I13" s="111"/>
      <c r="J13" s="65"/>
      <c r="K13" s="55"/>
      <c r="L13" s="66"/>
      <c r="M13" t="s">
        <v>334</v>
      </c>
      <c r="N13" s="8">
        <f>E11</f>
        <v>45962</v>
      </c>
      <c r="O13" s="208">
        <f>N13+E13</f>
        <v>46322</v>
      </c>
      <c r="P13" t="str" cm="1">
        <f t="array" ref="P13:OK13">IF((N13&lt;=_xlfn.ANCHORARRAY($P$2))*(_xlfn.ANCHORARRAY($P$2)&lt;O13)," ","")</f>
        <v xml:space="preserve"> </v>
      </c>
      <c r="Q13" t="str">
        <v xml:space="preserve"> </v>
      </c>
      <c r="R13" t="str">
        <v xml:space="preserve"> </v>
      </c>
      <c r="S13" t="str">
        <v xml:space="preserve"> </v>
      </c>
      <c r="T13" t="str">
        <v xml:space="preserve"> </v>
      </c>
      <c r="U13" t="str">
        <v xml:space="preserve"> </v>
      </c>
      <c r="V13" t="str">
        <v xml:space="preserve"> </v>
      </c>
      <c r="W13" t="str">
        <v xml:space="preserve"> </v>
      </c>
      <c r="X13" t="str">
        <v xml:space="preserve"> </v>
      </c>
      <c r="Y13" t="str">
        <v xml:space="preserve"> </v>
      </c>
      <c r="Z13" t="str">
        <v xml:space="preserve"> </v>
      </c>
      <c r="AA13" t="str">
        <v xml:space="preserve"> </v>
      </c>
      <c r="AB13" t="str">
        <v/>
      </c>
      <c r="AC13" t="str">
        <v/>
      </c>
      <c r="AD13" t="str">
        <v/>
      </c>
      <c r="AE13" t="str">
        <v/>
      </c>
      <c r="AF13" t="str">
        <v/>
      </c>
      <c r="AG13" t="str">
        <v/>
      </c>
      <c r="AH13" t="str">
        <v/>
      </c>
      <c r="AI13" t="str">
        <v/>
      </c>
      <c r="AJ13" t="str">
        <v/>
      </c>
      <c r="AK13" t="str">
        <v/>
      </c>
      <c r="AL13" t="str">
        <v/>
      </c>
      <c r="AM13" t="str">
        <v/>
      </c>
      <c r="AN13" t="str">
        <v/>
      </c>
      <c r="AO13" t="str">
        <v/>
      </c>
      <c r="AP13" t="str">
        <v/>
      </c>
      <c r="AQ13" t="str">
        <v/>
      </c>
      <c r="AR13" t="str">
        <v/>
      </c>
      <c r="AS13" t="str">
        <v/>
      </c>
      <c r="AT13" t="str">
        <v/>
      </c>
      <c r="AU13" t="str">
        <v/>
      </c>
      <c r="AV13" t="str">
        <v/>
      </c>
      <c r="AW13" t="str">
        <v/>
      </c>
      <c r="AX13" t="str">
        <v/>
      </c>
      <c r="AY13" t="str">
        <v/>
      </c>
      <c r="AZ13" t="str">
        <v/>
      </c>
      <c r="BA13" t="str">
        <v/>
      </c>
      <c r="BB13" t="str">
        <v/>
      </c>
      <c r="BC13" t="str">
        <v/>
      </c>
      <c r="BD13" t="str">
        <v/>
      </c>
      <c r="BE13" t="str">
        <v/>
      </c>
      <c r="BF13" t="str">
        <v/>
      </c>
      <c r="BG13" t="str">
        <v/>
      </c>
      <c r="BH13" t="str">
        <v/>
      </c>
      <c r="BI13" t="str">
        <v/>
      </c>
      <c r="BJ13" t="str">
        <v/>
      </c>
      <c r="BK13" t="str">
        <v/>
      </c>
      <c r="BL13" t="str">
        <v/>
      </c>
      <c r="BM13" t="str">
        <v/>
      </c>
      <c r="BN13" t="str">
        <v/>
      </c>
      <c r="BO13" t="str">
        <v/>
      </c>
      <c r="BP13" t="str">
        <v/>
      </c>
      <c r="BQ13" t="str">
        <v/>
      </c>
      <c r="BR13" t="str">
        <v/>
      </c>
      <c r="BS13" t="str">
        <v/>
      </c>
      <c r="BT13" t="str">
        <v/>
      </c>
      <c r="BU13" t="str">
        <v/>
      </c>
      <c r="BV13" t="str">
        <v/>
      </c>
      <c r="BW13" t="str">
        <v/>
      </c>
      <c r="BX13" t="str">
        <v/>
      </c>
      <c r="BY13" t="str">
        <v/>
      </c>
      <c r="BZ13" t="str">
        <v/>
      </c>
      <c r="CA13" t="str">
        <v/>
      </c>
      <c r="CB13" t="str">
        <v/>
      </c>
      <c r="CC13" t="str">
        <v/>
      </c>
      <c r="CD13" t="str">
        <v/>
      </c>
      <c r="CE13" t="str">
        <v/>
      </c>
      <c r="CF13" t="str">
        <v/>
      </c>
      <c r="CG13" t="str">
        <v/>
      </c>
      <c r="CH13" t="str">
        <v/>
      </c>
      <c r="CI13" t="str">
        <v/>
      </c>
      <c r="CJ13" t="str">
        <v/>
      </c>
      <c r="CK13" t="str">
        <v/>
      </c>
      <c r="CL13" t="str">
        <v/>
      </c>
      <c r="CM13" t="str">
        <v/>
      </c>
      <c r="CN13" t="str">
        <v/>
      </c>
      <c r="CO13" t="str">
        <v/>
      </c>
      <c r="CP13" t="str">
        <v/>
      </c>
      <c r="CQ13" t="str">
        <v/>
      </c>
      <c r="CR13" t="str">
        <v/>
      </c>
      <c r="CS13" t="str">
        <v/>
      </c>
      <c r="CT13" t="str">
        <v/>
      </c>
      <c r="CU13" t="str">
        <v/>
      </c>
      <c r="CV13" t="str">
        <v/>
      </c>
      <c r="CW13" t="str">
        <v/>
      </c>
      <c r="CX13" t="str">
        <v/>
      </c>
      <c r="CY13" t="str">
        <v/>
      </c>
      <c r="CZ13" t="str">
        <v/>
      </c>
      <c r="DA13" t="str">
        <v/>
      </c>
      <c r="DB13" t="str">
        <v/>
      </c>
      <c r="DC13" t="str">
        <v/>
      </c>
      <c r="DD13" t="str">
        <v/>
      </c>
      <c r="DE13" t="str">
        <v/>
      </c>
      <c r="DF13" t="str">
        <v/>
      </c>
      <c r="DG13" t="str">
        <v/>
      </c>
      <c r="DH13" t="str">
        <v/>
      </c>
      <c r="DI13" t="str">
        <v/>
      </c>
      <c r="DJ13" t="str">
        <v/>
      </c>
      <c r="DK13" t="str">
        <v/>
      </c>
      <c r="DL13" t="str">
        <v/>
      </c>
      <c r="DM13" t="str">
        <v/>
      </c>
      <c r="DN13" t="str">
        <v/>
      </c>
      <c r="DO13" t="str">
        <v/>
      </c>
      <c r="DP13" t="str">
        <v/>
      </c>
      <c r="DQ13" t="str">
        <v/>
      </c>
      <c r="DR13" t="str">
        <v/>
      </c>
      <c r="DS13" t="str">
        <v/>
      </c>
      <c r="DT13" t="str">
        <v/>
      </c>
      <c r="DU13" t="str">
        <v/>
      </c>
      <c r="DV13" t="str">
        <v/>
      </c>
      <c r="DW13" t="str">
        <v/>
      </c>
      <c r="DX13" t="str">
        <v/>
      </c>
      <c r="DY13" t="str">
        <v/>
      </c>
      <c r="DZ13" t="str">
        <v/>
      </c>
      <c r="EA13" t="str">
        <v/>
      </c>
      <c r="EB13" t="str">
        <v/>
      </c>
      <c r="EC13" t="str">
        <v/>
      </c>
      <c r="ED13" t="str">
        <v/>
      </c>
      <c r="EE13" t="str">
        <v/>
      </c>
      <c r="EF13" t="str">
        <v/>
      </c>
      <c r="EG13" t="str">
        <v/>
      </c>
      <c r="EH13" t="str">
        <v/>
      </c>
      <c r="EI13" t="str">
        <v/>
      </c>
      <c r="EJ13" t="str">
        <v/>
      </c>
      <c r="EK13" t="str">
        <v/>
      </c>
      <c r="EL13" t="str">
        <v/>
      </c>
      <c r="EM13" t="str">
        <v/>
      </c>
      <c r="EN13" t="str">
        <v/>
      </c>
      <c r="EO13" t="str">
        <v/>
      </c>
      <c r="EP13" t="str">
        <v/>
      </c>
      <c r="EQ13" t="str">
        <v/>
      </c>
      <c r="ER13" t="str">
        <v/>
      </c>
      <c r="ES13" t="str">
        <v/>
      </c>
      <c r="ET13" t="str">
        <v/>
      </c>
      <c r="EU13" t="str">
        <v/>
      </c>
      <c r="EV13" t="str">
        <v/>
      </c>
      <c r="EW13" t="str">
        <v/>
      </c>
      <c r="EX13" t="str">
        <v/>
      </c>
      <c r="EY13" t="str">
        <v/>
      </c>
      <c r="EZ13" t="str">
        <v/>
      </c>
      <c r="FA13" t="str">
        <v/>
      </c>
      <c r="FB13" t="str">
        <v/>
      </c>
      <c r="FC13" t="str">
        <v/>
      </c>
      <c r="FD13" t="str">
        <v/>
      </c>
      <c r="FE13" t="str">
        <v/>
      </c>
      <c r="FF13" t="str">
        <v/>
      </c>
      <c r="FG13" t="str">
        <v/>
      </c>
      <c r="FH13" t="str">
        <v/>
      </c>
      <c r="FI13" t="str">
        <v/>
      </c>
      <c r="FJ13" t="str">
        <v/>
      </c>
      <c r="FK13" t="str">
        <v/>
      </c>
      <c r="FL13" t="str">
        <v/>
      </c>
      <c r="FM13" t="str">
        <v/>
      </c>
      <c r="FN13" t="str">
        <v/>
      </c>
      <c r="FO13" t="str">
        <v/>
      </c>
      <c r="FP13" t="str">
        <v/>
      </c>
      <c r="FQ13" t="str">
        <v/>
      </c>
      <c r="FR13" t="str">
        <v/>
      </c>
      <c r="FS13" t="str">
        <v/>
      </c>
      <c r="FT13" t="str">
        <v/>
      </c>
      <c r="FU13" t="str">
        <v/>
      </c>
      <c r="FV13" t="str">
        <v/>
      </c>
      <c r="FW13" t="str">
        <v/>
      </c>
      <c r="FX13" t="str">
        <v/>
      </c>
      <c r="FY13" t="str">
        <v/>
      </c>
      <c r="FZ13" t="str">
        <v/>
      </c>
      <c r="GA13" t="str">
        <v/>
      </c>
      <c r="GB13" t="str">
        <v/>
      </c>
      <c r="GC13" t="str">
        <v/>
      </c>
      <c r="GD13" t="str">
        <v/>
      </c>
      <c r="GE13" t="str">
        <v/>
      </c>
      <c r="GF13" t="str">
        <v/>
      </c>
      <c r="GG13" t="str">
        <v/>
      </c>
      <c r="GH13" t="str">
        <v/>
      </c>
      <c r="GI13" t="str">
        <v/>
      </c>
      <c r="GJ13" t="str">
        <v/>
      </c>
      <c r="GK13" t="str">
        <v/>
      </c>
      <c r="GL13" t="str">
        <v/>
      </c>
      <c r="GM13" t="str">
        <v/>
      </c>
      <c r="GN13" t="str">
        <v/>
      </c>
      <c r="GO13" t="str">
        <v/>
      </c>
      <c r="GP13" t="str">
        <v/>
      </c>
      <c r="GQ13" t="str">
        <v/>
      </c>
      <c r="GR13" t="str">
        <v/>
      </c>
      <c r="GS13" t="str">
        <v/>
      </c>
      <c r="GT13" t="str">
        <v/>
      </c>
      <c r="GU13" t="str">
        <v/>
      </c>
      <c r="GV13" t="str">
        <v/>
      </c>
      <c r="GW13" t="str">
        <v/>
      </c>
      <c r="GX13" t="str">
        <v/>
      </c>
      <c r="GY13" t="str">
        <v/>
      </c>
      <c r="GZ13" t="str">
        <v/>
      </c>
      <c r="HA13" t="str">
        <v/>
      </c>
      <c r="HB13" t="str">
        <v/>
      </c>
      <c r="HC13" t="str">
        <v/>
      </c>
      <c r="HD13" t="str">
        <v/>
      </c>
      <c r="HE13" t="str">
        <v/>
      </c>
      <c r="HF13" t="str">
        <v/>
      </c>
      <c r="HG13" t="str">
        <v/>
      </c>
      <c r="HH13" t="str">
        <v/>
      </c>
      <c r="HI13" t="str">
        <v/>
      </c>
      <c r="HJ13" t="str">
        <v/>
      </c>
      <c r="HK13" t="str">
        <v/>
      </c>
      <c r="HL13" t="str">
        <v/>
      </c>
      <c r="HM13" t="str">
        <v/>
      </c>
      <c r="HN13" t="str">
        <v/>
      </c>
      <c r="HO13" t="str">
        <v/>
      </c>
      <c r="HP13" t="str">
        <v/>
      </c>
      <c r="HQ13" t="str">
        <v/>
      </c>
      <c r="HR13" t="str">
        <v/>
      </c>
      <c r="HS13" t="str">
        <v/>
      </c>
      <c r="HT13" t="str">
        <v/>
      </c>
      <c r="HU13" t="str">
        <v/>
      </c>
      <c r="HV13" t="str">
        <v/>
      </c>
      <c r="HW13" t="str">
        <v/>
      </c>
      <c r="HX13" t="str">
        <v/>
      </c>
      <c r="HY13" t="str">
        <v/>
      </c>
      <c r="HZ13" t="str">
        <v/>
      </c>
      <c r="IA13" t="str">
        <v/>
      </c>
      <c r="IB13" t="str">
        <v/>
      </c>
      <c r="IC13" t="str">
        <v/>
      </c>
      <c r="ID13" t="str">
        <v/>
      </c>
      <c r="IE13" t="str">
        <v/>
      </c>
      <c r="IF13" t="str">
        <v/>
      </c>
      <c r="IG13" t="str">
        <v/>
      </c>
      <c r="IH13" t="str">
        <v/>
      </c>
      <c r="II13" t="str">
        <v/>
      </c>
      <c r="IJ13" t="str">
        <v/>
      </c>
      <c r="IK13" t="str">
        <v/>
      </c>
      <c r="IL13" t="str">
        <v/>
      </c>
      <c r="IM13" t="str">
        <v/>
      </c>
      <c r="IN13" t="str">
        <v/>
      </c>
      <c r="IO13" t="str">
        <v/>
      </c>
      <c r="IP13" t="str">
        <v/>
      </c>
      <c r="IQ13" t="str">
        <v/>
      </c>
      <c r="IR13" t="str">
        <v/>
      </c>
      <c r="IS13" t="str">
        <v/>
      </c>
      <c r="IT13" t="str">
        <v/>
      </c>
      <c r="IU13" t="str">
        <v/>
      </c>
      <c r="IV13" t="str">
        <v/>
      </c>
      <c r="IW13" t="str">
        <v/>
      </c>
      <c r="IX13" t="str">
        <v/>
      </c>
      <c r="IY13" t="str">
        <v/>
      </c>
      <c r="IZ13" t="str">
        <v/>
      </c>
      <c r="JA13" t="str">
        <v/>
      </c>
      <c r="JB13" t="str">
        <v/>
      </c>
      <c r="JC13" t="str">
        <v/>
      </c>
      <c r="JD13" t="str">
        <v/>
      </c>
      <c r="JE13" t="str">
        <v/>
      </c>
      <c r="JF13" t="str">
        <v/>
      </c>
      <c r="JG13" t="str">
        <v/>
      </c>
      <c r="JH13" t="str">
        <v/>
      </c>
      <c r="JI13" t="str">
        <v/>
      </c>
      <c r="JJ13" t="str">
        <v/>
      </c>
      <c r="JK13" t="str">
        <v/>
      </c>
      <c r="JL13" t="str">
        <v/>
      </c>
      <c r="JM13" t="str">
        <v/>
      </c>
      <c r="JN13" t="str">
        <v/>
      </c>
      <c r="JO13" t="str">
        <v/>
      </c>
      <c r="JP13" t="str">
        <v/>
      </c>
      <c r="JQ13" t="str">
        <v/>
      </c>
      <c r="JR13" t="str">
        <v/>
      </c>
      <c r="JS13" t="str">
        <v/>
      </c>
      <c r="JT13" t="str">
        <v/>
      </c>
      <c r="JU13" t="str">
        <v/>
      </c>
      <c r="JV13" t="str">
        <v/>
      </c>
      <c r="JW13" t="str">
        <v/>
      </c>
      <c r="JX13" t="str">
        <v/>
      </c>
      <c r="JY13" t="str">
        <v/>
      </c>
      <c r="JZ13" t="str">
        <v/>
      </c>
      <c r="KA13" t="str">
        <v/>
      </c>
      <c r="KB13" t="str">
        <v/>
      </c>
      <c r="KC13" t="str">
        <v/>
      </c>
      <c r="KD13" t="str">
        <v/>
      </c>
      <c r="KE13" t="str">
        <v/>
      </c>
      <c r="KF13" t="str">
        <v/>
      </c>
      <c r="KG13" t="str">
        <v/>
      </c>
      <c r="KH13" t="str">
        <v/>
      </c>
      <c r="KI13" t="str">
        <v/>
      </c>
      <c r="KJ13" t="str">
        <v/>
      </c>
      <c r="KK13" t="str">
        <v/>
      </c>
      <c r="KL13" t="str">
        <v/>
      </c>
      <c r="KM13" t="str">
        <v/>
      </c>
      <c r="KN13" t="str">
        <v/>
      </c>
      <c r="KO13" t="str">
        <v/>
      </c>
      <c r="KP13" t="str">
        <v/>
      </c>
      <c r="KQ13" t="str">
        <v/>
      </c>
      <c r="KR13" t="str">
        <v/>
      </c>
      <c r="KS13" t="str">
        <v/>
      </c>
      <c r="KT13" t="str">
        <v/>
      </c>
      <c r="KU13" t="str">
        <v/>
      </c>
      <c r="KV13" t="str">
        <v/>
      </c>
      <c r="KW13" t="str">
        <v/>
      </c>
      <c r="KX13" t="str">
        <v/>
      </c>
      <c r="KY13" t="str">
        <v/>
      </c>
      <c r="KZ13" t="str">
        <v/>
      </c>
      <c r="LA13" t="str">
        <v/>
      </c>
      <c r="LB13" t="str">
        <v/>
      </c>
      <c r="LC13" t="str">
        <v/>
      </c>
      <c r="LD13" t="str">
        <v/>
      </c>
      <c r="LE13" t="str">
        <v/>
      </c>
      <c r="LF13" t="str">
        <v/>
      </c>
      <c r="LG13" t="str">
        <v/>
      </c>
      <c r="LH13" t="str">
        <v/>
      </c>
      <c r="LI13" t="str">
        <v/>
      </c>
      <c r="LJ13" t="str">
        <v/>
      </c>
      <c r="LK13" t="str">
        <v/>
      </c>
      <c r="LL13" t="str">
        <v/>
      </c>
      <c r="LM13" t="str">
        <v/>
      </c>
      <c r="LN13" t="str">
        <v/>
      </c>
      <c r="LO13" t="str">
        <v/>
      </c>
      <c r="LP13" t="str">
        <v/>
      </c>
      <c r="LQ13" t="str">
        <v/>
      </c>
      <c r="LR13" t="str">
        <v/>
      </c>
      <c r="LS13" t="str">
        <v/>
      </c>
      <c r="LT13" t="str">
        <v/>
      </c>
      <c r="LU13" t="str">
        <v/>
      </c>
      <c r="LV13" t="str">
        <v/>
      </c>
      <c r="LW13" t="str">
        <v/>
      </c>
      <c r="LX13" t="str">
        <v/>
      </c>
      <c r="LY13" t="str">
        <v/>
      </c>
      <c r="LZ13" t="str">
        <v/>
      </c>
      <c r="MA13" t="str">
        <v/>
      </c>
      <c r="MB13" t="str">
        <v/>
      </c>
      <c r="MC13" t="str">
        <v/>
      </c>
      <c r="MD13" t="str">
        <v/>
      </c>
      <c r="ME13" t="str">
        <v/>
      </c>
      <c r="MF13" t="str">
        <v/>
      </c>
      <c r="MG13" t="str">
        <v/>
      </c>
      <c r="MH13" t="str">
        <v/>
      </c>
      <c r="MI13" t="str">
        <v/>
      </c>
      <c r="MJ13" t="str">
        <v/>
      </c>
      <c r="MK13" t="str">
        <v/>
      </c>
      <c r="ML13" t="str">
        <v/>
      </c>
      <c r="MM13" t="str">
        <v/>
      </c>
      <c r="MN13" t="str">
        <v/>
      </c>
      <c r="MO13" t="str">
        <v/>
      </c>
      <c r="MP13" t="str">
        <v/>
      </c>
      <c r="MQ13" t="str">
        <v/>
      </c>
      <c r="MR13" t="str">
        <v/>
      </c>
      <c r="MS13" t="str">
        <v/>
      </c>
      <c r="MT13" t="str">
        <v/>
      </c>
      <c r="MU13" t="str">
        <v/>
      </c>
      <c r="MV13" t="str">
        <v/>
      </c>
      <c r="MW13" t="str">
        <v/>
      </c>
      <c r="MX13" t="str">
        <v/>
      </c>
      <c r="MY13" t="str">
        <v/>
      </c>
      <c r="MZ13" t="str">
        <v/>
      </c>
      <c r="NA13" t="str">
        <v/>
      </c>
      <c r="NB13" t="str">
        <v/>
      </c>
      <c r="NC13" t="str">
        <v/>
      </c>
      <c r="ND13" t="str">
        <v/>
      </c>
      <c r="NE13" t="str">
        <v/>
      </c>
      <c r="NF13" t="str">
        <v/>
      </c>
      <c r="NG13" t="str">
        <v/>
      </c>
      <c r="NH13" t="str">
        <v/>
      </c>
      <c r="NI13" t="str">
        <v/>
      </c>
      <c r="NJ13" t="str">
        <v/>
      </c>
      <c r="NK13" t="str">
        <v/>
      </c>
      <c r="NL13" t="str">
        <v/>
      </c>
      <c r="NM13" t="str">
        <v/>
      </c>
      <c r="NN13" t="str">
        <v/>
      </c>
      <c r="NO13" t="str">
        <v/>
      </c>
      <c r="NP13" t="str">
        <v/>
      </c>
      <c r="NQ13" t="str">
        <v/>
      </c>
      <c r="NR13" t="str">
        <v/>
      </c>
      <c r="NS13" t="str">
        <v/>
      </c>
      <c r="NT13" t="str">
        <v/>
      </c>
      <c r="NU13" t="str">
        <v/>
      </c>
      <c r="NV13" t="str">
        <v/>
      </c>
      <c r="NW13" t="str">
        <v/>
      </c>
      <c r="NX13" t="str">
        <v/>
      </c>
      <c r="NY13" t="str">
        <v/>
      </c>
      <c r="NZ13" t="str">
        <v/>
      </c>
      <c r="OA13" t="str">
        <v/>
      </c>
      <c r="OB13" t="str">
        <v/>
      </c>
      <c r="OC13" t="str">
        <v/>
      </c>
      <c r="OD13" t="str">
        <v/>
      </c>
      <c r="OE13" t="str">
        <v/>
      </c>
      <c r="OF13" t="str">
        <v/>
      </c>
      <c r="OG13" t="str">
        <v/>
      </c>
      <c r="OH13" t="str">
        <v/>
      </c>
      <c r="OI13" t="str">
        <v/>
      </c>
      <c r="OJ13" t="str">
        <v/>
      </c>
      <c r="OK13" t="str">
        <v/>
      </c>
    </row>
    <row r="14" spans="1:401" outlineLevel="1" x14ac:dyDescent="0.3">
      <c r="A14" s="14"/>
      <c r="D14" s="119" t="s">
        <v>322</v>
      </c>
      <c r="E14" s="197"/>
      <c r="F14" s="198" t="s">
        <v>291</v>
      </c>
      <c r="G14" s="76"/>
      <c r="H14" s="110"/>
      <c r="I14" s="111"/>
      <c r="J14" s="65"/>
      <c r="K14" s="55"/>
      <c r="L14" s="66"/>
      <c r="M14" t="s">
        <v>323</v>
      </c>
      <c r="N14" s="8"/>
      <c r="O14" s="208"/>
      <c r="P14" t="str" cm="1">
        <f t="array" ref="P14:OK14">IF((N14&lt;=_xlfn.ANCHORARRAY($P$2))*(_xlfn.ANCHORARRAY($P$2)&lt;O14)," ","")</f>
        <v/>
      </c>
      <c r="Q14" t="str">
        <v/>
      </c>
      <c r="R14" t="str">
        <v/>
      </c>
      <c r="S14" t="str">
        <v/>
      </c>
      <c r="T14" t="str">
        <v/>
      </c>
      <c r="U14" t="str">
        <v/>
      </c>
      <c r="V14" t="str">
        <v/>
      </c>
      <c r="W14" t="str">
        <v/>
      </c>
      <c r="X14" t="str">
        <v/>
      </c>
      <c r="Y14" t="str">
        <v/>
      </c>
      <c r="Z14" t="str">
        <v/>
      </c>
      <c r="AA14" t="str">
        <v/>
      </c>
      <c r="AB14" t="str">
        <v/>
      </c>
      <c r="AC14" t="str">
        <v/>
      </c>
      <c r="AD14" t="str">
        <v/>
      </c>
      <c r="AE14" t="str">
        <v/>
      </c>
      <c r="AF14" t="str">
        <v/>
      </c>
      <c r="AG14" t="str">
        <v/>
      </c>
      <c r="AH14" t="str">
        <v/>
      </c>
      <c r="AI14" t="str">
        <v/>
      </c>
      <c r="AJ14" t="str">
        <v/>
      </c>
      <c r="AK14" t="str">
        <v/>
      </c>
      <c r="AL14" t="str">
        <v/>
      </c>
      <c r="AM14" t="str">
        <v/>
      </c>
      <c r="AN14" t="str">
        <v/>
      </c>
      <c r="AO14" t="str">
        <v/>
      </c>
      <c r="AP14" t="str">
        <v/>
      </c>
      <c r="AQ14" t="str">
        <v/>
      </c>
      <c r="AR14" t="str">
        <v/>
      </c>
      <c r="AS14" t="str">
        <v/>
      </c>
      <c r="AT14" t="str">
        <v/>
      </c>
      <c r="AU14" t="str">
        <v/>
      </c>
      <c r="AV14" t="str">
        <v/>
      </c>
      <c r="AW14" t="str">
        <v/>
      </c>
      <c r="AX14" t="str">
        <v/>
      </c>
      <c r="AY14" t="str">
        <v/>
      </c>
      <c r="AZ14" t="str">
        <v/>
      </c>
      <c r="BA14" t="str">
        <v/>
      </c>
      <c r="BB14" t="str">
        <v/>
      </c>
      <c r="BC14" t="str">
        <v/>
      </c>
      <c r="BD14" t="str">
        <v/>
      </c>
      <c r="BE14" t="str">
        <v/>
      </c>
      <c r="BF14" t="str">
        <v/>
      </c>
      <c r="BG14" t="str">
        <v/>
      </c>
      <c r="BH14" t="str">
        <v/>
      </c>
      <c r="BI14" t="str">
        <v/>
      </c>
      <c r="BJ14" t="str">
        <v/>
      </c>
      <c r="BK14" t="str">
        <v/>
      </c>
      <c r="BL14" t="str">
        <v/>
      </c>
      <c r="BM14" t="str">
        <v/>
      </c>
      <c r="BN14" t="str">
        <v/>
      </c>
      <c r="BO14" t="str">
        <v/>
      </c>
      <c r="BP14" t="str">
        <v/>
      </c>
      <c r="BQ14" t="str">
        <v/>
      </c>
      <c r="BR14" t="str">
        <v/>
      </c>
      <c r="BS14" t="str">
        <v/>
      </c>
      <c r="BT14" t="str">
        <v/>
      </c>
      <c r="BU14" t="str">
        <v/>
      </c>
      <c r="BV14" t="str">
        <v/>
      </c>
      <c r="BW14" t="str">
        <v/>
      </c>
      <c r="BX14" t="str">
        <v/>
      </c>
      <c r="BY14" t="str">
        <v/>
      </c>
      <c r="BZ14" t="str">
        <v/>
      </c>
      <c r="CA14" t="str">
        <v/>
      </c>
      <c r="CB14" t="str">
        <v/>
      </c>
      <c r="CC14" t="str">
        <v/>
      </c>
      <c r="CD14" t="str">
        <v/>
      </c>
      <c r="CE14" t="str">
        <v/>
      </c>
      <c r="CF14" t="str">
        <v/>
      </c>
      <c r="CG14" t="str">
        <v/>
      </c>
      <c r="CH14" t="str">
        <v/>
      </c>
      <c r="CI14" t="str">
        <v/>
      </c>
      <c r="CJ14" t="str">
        <v/>
      </c>
      <c r="CK14" t="str">
        <v/>
      </c>
      <c r="CL14" t="str">
        <v/>
      </c>
      <c r="CM14" t="str">
        <v/>
      </c>
      <c r="CN14" t="str">
        <v/>
      </c>
      <c r="CO14" t="str">
        <v/>
      </c>
      <c r="CP14" t="str">
        <v/>
      </c>
      <c r="CQ14" t="str">
        <v/>
      </c>
      <c r="CR14" t="str">
        <v/>
      </c>
      <c r="CS14" t="str">
        <v/>
      </c>
      <c r="CT14" t="str">
        <v/>
      </c>
      <c r="CU14" t="str">
        <v/>
      </c>
      <c r="CV14" t="str">
        <v/>
      </c>
      <c r="CW14" t="str">
        <v/>
      </c>
      <c r="CX14" t="str">
        <v/>
      </c>
      <c r="CY14" t="str">
        <v/>
      </c>
      <c r="CZ14" t="str">
        <v/>
      </c>
      <c r="DA14" t="str">
        <v/>
      </c>
      <c r="DB14" t="str">
        <v/>
      </c>
      <c r="DC14" t="str">
        <v/>
      </c>
      <c r="DD14" t="str">
        <v/>
      </c>
      <c r="DE14" t="str">
        <v/>
      </c>
      <c r="DF14" t="str">
        <v/>
      </c>
      <c r="DG14" t="str">
        <v/>
      </c>
      <c r="DH14" t="str">
        <v/>
      </c>
      <c r="DI14" t="str">
        <v/>
      </c>
      <c r="DJ14" t="str">
        <v/>
      </c>
      <c r="DK14" t="str">
        <v/>
      </c>
      <c r="DL14" t="str">
        <v/>
      </c>
      <c r="DM14" t="str">
        <v/>
      </c>
      <c r="DN14" t="str">
        <v/>
      </c>
      <c r="DO14" t="str">
        <v/>
      </c>
      <c r="DP14" t="str">
        <v/>
      </c>
      <c r="DQ14" t="str">
        <v/>
      </c>
      <c r="DR14" t="str">
        <v/>
      </c>
      <c r="DS14" t="str">
        <v/>
      </c>
      <c r="DT14" t="str">
        <v/>
      </c>
      <c r="DU14" t="str">
        <v/>
      </c>
      <c r="DV14" t="str">
        <v/>
      </c>
      <c r="DW14" t="str">
        <v/>
      </c>
      <c r="DX14" t="str">
        <v/>
      </c>
      <c r="DY14" t="str">
        <v/>
      </c>
      <c r="DZ14" t="str">
        <v/>
      </c>
      <c r="EA14" t="str">
        <v/>
      </c>
      <c r="EB14" t="str">
        <v/>
      </c>
      <c r="EC14" t="str">
        <v/>
      </c>
      <c r="ED14" t="str">
        <v/>
      </c>
      <c r="EE14" t="str">
        <v/>
      </c>
      <c r="EF14" t="str">
        <v/>
      </c>
      <c r="EG14" t="str">
        <v/>
      </c>
      <c r="EH14" t="str">
        <v/>
      </c>
      <c r="EI14" t="str">
        <v/>
      </c>
      <c r="EJ14" t="str">
        <v/>
      </c>
      <c r="EK14" t="str">
        <v/>
      </c>
      <c r="EL14" t="str">
        <v/>
      </c>
      <c r="EM14" t="str">
        <v/>
      </c>
      <c r="EN14" t="str">
        <v/>
      </c>
      <c r="EO14" t="str">
        <v/>
      </c>
      <c r="EP14" t="str">
        <v/>
      </c>
      <c r="EQ14" t="str">
        <v/>
      </c>
      <c r="ER14" t="str">
        <v/>
      </c>
      <c r="ES14" t="str">
        <v/>
      </c>
      <c r="ET14" t="str">
        <v/>
      </c>
      <c r="EU14" t="str">
        <v/>
      </c>
      <c r="EV14" t="str">
        <v/>
      </c>
      <c r="EW14" t="str">
        <v/>
      </c>
      <c r="EX14" t="str">
        <v/>
      </c>
      <c r="EY14" t="str">
        <v/>
      </c>
      <c r="EZ14" t="str">
        <v/>
      </c>
      <c r="FA14" t="str">
        <v/>
      </c>
      <c r="FB14" t="str">
        <v/>
      </c>
      <c r="FC14" t="str">
        <v/>
      </c>
      <c r="FD14" t="str">
        <v/>
      </c>
      <c r="FE14" t="str">
        <v/>
      </c>
      <c r="FF14" t="str">
        <v/>
      </c>
      <c r="FG14" t="str">
        <v/>
      </c>
      <c r="FH14" t="str">
        <v/>
      </c>
      <c r="FI14" t="str">
        <v/>
      </c>
      <c r="FJ14" t="str">
        <v/>
      </c>
      <c r="FK14" t="str">
        <v/>
      </c>
      <c r="FL14" t="str">
        <v/>
      </c>
      <c r="FM14" t="str">
        <v/>
      </c>
      <c r="FN14" t="str">
        <v/>
      </c>
      <c r="FO14" t="str">
        <v/>
      </c>
      <c r="FP14" t="str">
        <v/>
      </c>
      <c r="FQ14" t="str">
        <v/>
      </c>
      <c r="FR14" t="str">
        <v/>
      </c>
      <c r="FS14" t="str">
        <v/>
      </c>
      <c r="FT14" t="str">
        <v/>
      </c>
      <c r="FU14" t="str">
        <v/>
      </c>
      <c r="FV14" t="str">
        <v/>
      </c>
      <c r="FW14" t="str">
        <v/>
      </c>
      <c r="FX14" t="str">
        <v/>
      </c>
      <c r="FY14" t="str">
        <v/>
      </c>
      <c r="FZ14" t="str">
        <v/>
      </c>
      <c r="GA14" t="str">
        <v/>
      </c>
      <c r="GB14" t="str">
        <v/>
      </c>
      <c r="GC14" t="str">
        <v/>
      </c>
      <c r="GD14" t="str">
        <v/>
      </c>
      <c r="GE14" t="str">
        <v/>
      </c>
      <c r="GF14" t="str">
        <v/>
      </c>
      <c r="GG14" t="str">
        <v/>
      </c>
      <c r="GH14" t="str">
        <v/>
      </c>
      <c r="GI14" t="str">
        <v/>
      </c>
      <c r="GJ14" t="str">
        <v/>
      </c>
      <c r="GK14" t="str">
        <v/>
      </c>
      <c r="GL14" t="str">
        <v/>
      </c>
      <c r="GM14" t="str">
        <v/>
      </c>
      <c r="GN14" t="str">
        <v/>
      </c>
      <c r="GO14" t="str">
        <v/>
      </c>
      <c r="GP14" t="str">
        <v/>
      </c>
      <c r="GQ14" t="str">
        <v/>
      </c>
      <c r="GR14" t="str">
        <v/>
      </c>
      <c r="GS14" t="str">
        <v/>
      </c>
      <c r="GT14" t="str">
        <v/>
      </c>
      <c r="GU14" t="str">
        <v/>
      </c>
      <c r="GV14" t="str">
        <v/>
      </c>
      <c r="GW14" t="str">
        <v/>
      </c>
      <c r="GX14" t="str">
        <v/>
      </c>
      <c r="GY14" t="str">
        <v/>
      </c>
      <c r="GZ14" t="str">
        <v/>
      </c>
      <c r="HA14" t="str">
        <v/>
      </c>
      <c r="HB14" t="str">
        <v/>
      </c>
      <c r="HC14" t="str">
        <v/>
      </c>
      <c r="HD14" t="str">
        <v/>
      </c>
      <c r="HE14" t="str">
        <v/>
      </c>
      <c r="HF14" t="str">
        <v/>
      </c>
      <c r="HG14" t="str">
        <v/>
      </c>
      <c r="HH14" t="str">
        <v/>
      </c>
      <c r="HI14" t="str">
        <v/>
      </c>
      <c r="HJ14" t="str">
        <v/>
      </c>
      <c r="HK14" t="str">
        <v/>
      </c>
      <c r="HL14" t="str">
        <v/>
      </c>
      <c r="HM14" t="str">
        <v/>
      </c>
      <c r="HN14" t="str">
        <v/>
      </c>
      <c r="HO14" t="str">
        <v/>
      </c>
      <c r="HP14" t="str">
        <v/>
      </c>
      <c r="HQ14" t="str">
        <v/>
      </c>
      <c r="HR14" t="str">
        <v/>
      </c>
      <c r="HS14" t="str">
        <v/>
      </c>
      <c r="HT14" t="str">
        <v/>
      </c>
      <c r="HU14" t="str">
        <v/>
      </c>
      <c r="HV14" t="str">
        <v/>
      </c>
      <c r="HW14" t="str">
        <v/>
      </c>
      <c r="HX14" t="str">
        <v/>
      </c>
      <c r="HY14" t="str">
        <v/>
      </c>
      <c r="HZ14" t="str">
        <v/>
      </c>
      <c r="IA14" t="str">
        <v/>
      </c>
      <c r="IB14" t="str">
        <v/>
      </c>
      <c r="IC14" t="str">
        <v/>
      </c>
      <c r="ID14" t="str">
        <v/>
      </c>
      <c r="IE14" t="str">
        <v/>
      </c>
      <c r="IF14" t="str">
        <v/>
      </c>
      <c r="IG14" t="str">
        <v/>
      </c>
      <c r="IH14" t="str">
        <v/>
      </c>
      <c r="II14" t="str">
        <v/>
      </c>
      <c r="IJ14" t="str">
        <v/>
      </c>
      <c r="IK14" t="str">
        <v/>
      </c>
      <c r="IL14" t="str">
        <v/>
      </c>
      <c r="IM14" t="str">
        <v/>
      </c>
      <c r="IN14" t="str">
        <v/>
      </c>
      <c r="IO14" t="str">
        <v/>
      </c>
      <c r="IP14" t="str">
        <v/>
      </c>
      <c r="IQ14" t="str">
        <v/>
      </c>
      <c r="IR14" t="str">
        <v/>
      </c>
      <c r="IS14" t="str">
        <v/>
      </c>
      <c r="IT14" t="str">
        <v/>
      </c>
      <c r="IU14" t="str">
        <v/>
      </c>
      <c r="IV14" t="str">
        <v/>
      </c>
      <c r="IW14" t="str">
        <v/>
      </c>
      <c r="IX14" t="str">
        <v/>
      </c>
      <c r="IY14" t="str">
        <v/>
      </c>
      <c r="IZ14" t="str">
        <v/>
      </c>
      <c r="JA14" t="str">
        <v/>
      </c>
      <c r="JB14" t="str">
        <v/>
      </c>
      <c r="JC14" t="str">
        <v/>
      </c>
      <c r="JD14" t="str">
        <v/>
      </c>
      <c r="JE14" t="str">
        <v/>
      </c>
      <c r="JF14" t="str">
        <v/>
      </c>
      <c r="JG14" t="str">
        <v/>
      </c>
      <c r="JH14" t="str">
        <v/>
      </c>
      <c r="JI14" t="str">
        <v/>
      </c>
      <c r="JJ14" t="str">
        <v/>
      </c>
      <c r="JK14" t="str">
        <v/>
      </c>
      <c r="JL14" t="str">
        <v/>
      </c>
      <c r="JM14" t="str">
        <v/>
      </c>
      <c r="JN14" t="str">
        <v/>
      </c>
      <c r="JO14" t="str">
        <v/>
      </c>
      <c r="JP14" t="str">
        <v/>
      </c>
      <c r="JQ14" t="str">
        <v/>
      </c>
      <c r="JR14" t="str">
        <v/>
      </c>
      <c r="JS14" t="str">
        <v/>
      </c>
      <c r="JT14" t="str">
        <v/>
      </c>
      <c r="JU14" t="str">
        <v/>
      </c>
      <c r="JV14" t="str">
        <v/>
      </c>
      <c r="JW14" t="str">
        <v/>
      </c>
      <c r="JX14" t="str">
        <v/>
      </c>
      <c r="JY14" t="str">
        <v/>
      </c>
      <c r="JZ14" t="str">
        <v/>
      </c>
      <c r="KA14" t="str">
        <v/>
      </c>
      <c r="KB14" t="str">
        <v/>
      </c>
      <c r="KC14" t="str">
        <v/>
      </c>
      <c r="KD14" t="str">
        <v/>
      </c>
      <c r="KE14" t="str">
        <v/>
      </c>
      <c r="KF14" t="str">
        <v/>
      </c>
      <c r="KG14" t="str">
        <v/>
      </c>
      <c r="KH14" t="str">
        <v/>
      </c>
      <c r="KI14" t="str">
        <v/>
      </c>
      <c r="KJ14" t="str">
        <v/>
      </c>
      <c r="KK14" t="str">
        <v/>
      </c>
      <c r="KL14" t="str">
        <v/>
      </c>
      <c r="KM14" t="str">
        <v/>
      </c>
      <c r="KN14" t="str">
        <v/>
      </c>
      <c r="KO14" t="str">
        <v/>
      </c>
      <c r="KP14" t="str">
        <v/>
      </c>
      <c r="KQ14" t="str">
        <v/>
      </c>
      <c r="KR14" t="str">
        <v/>
      </c>
      <c r="KS14" t="str">
        <v/>
      </c>
      <c r="KT14" t="str">
        <v/>
      </c>
      <c r="KU14" t="str">
        <v/>
      </c>
      <c r="KV14" t="str">
        <v/>
      </c>
      <c r="KW14" t="str">
        <v/>
      </c>
      <c r="KX14" t="str">
        <v/>
      </c>
      <c r="KY14" t="str">
        <v/>
      </c>
      <c r="KZ14" t="str">
        <v/>
      </c>
      <c r="LA14" t="str">
        <v/>
      </c>
      <c r="LB14" t="str">
        <v/>
      </c>
      <c r="LC14" t="str">
        <v/>
      </c>
      <c r="LD14" t="str">
        <v/>
      </c>
      <c r="LE14" t="str">
        <v/>
      </c>
      <c r="LF14" t="str">
        <v/>
      </c>
      <c r="LG14" t="str">
        <v/>
      </c>
      <c r="LH14" t="str">
        <v/>
      </c>
      <c r="LI14" t="str">
        <v/>
      </c>
      <c r="LJ14" t="str">
        <v/>
      </c>
      <c r="LK14" t="str">
        <v/>
      </c>
      <c r="LL14" t="str">
        <v/>
      </c>
      <c r="LM14" t="str">
        <v/>
      </c>
      <c r="LN14" t="str">
        <v/>
      </c>
      <c r="LO14" t="str">
        <v/>
      </c>
      <c r="LP14" t="str">
        <v/>
      </c>
      <c r="LQ14" t="str">
        <v/>
      </c>
      <c r="LR14" t="str">
        <v/>
      </c>
      <c r="LS14" t="str">
        <v/>
      </c>
      <c r="LT14" t="str">
        <v/>
      </c>
      <c r="LU14" t="str">
        <v/>
      </c>
      <c r="LV14" t="str">
        <v/>
      </c>
      <c r="LW14" t="str">
        <v/>
      </c>
      <c r="LX14" t="str">
        <v/>
      </c>
      <c r="LY14" t="str">
        <v/>
      </c>
      <c r="LZ14" t="str">
        <v/>
      </c>
      <c r="MA14" t="str">
        <v/>
      </c>
      <c r="MB14" t="str">
        <v/>
      </c>
      <c r="MC14" t="str">
        <v/>
      </c>
      <c r="MD14" t="str">
        <v/>
      </c>
      <c r="ME14" t="str">
        <v/>
      </c>
      <c r="MF14" t="str">
        <v/>
      </c>
      <c r="MG14" t="str">
        <v/>
      </c>
      <c r="MH14" t="str">
        <v/>
      </c>
      <c r="MI14" t="str">
        <v/>
      </c>
      <c r="MJ14" t="str">
        <v/>
      </c>
      <c r="MK14" t="str">
        <v/>
      </c>
      <c r="ML14" t="str">
        <v/>
      </c>
      <c r="MM14" t="str">
        <v/>
      </c>
      <c r="MN14" t="str">
        <v/>
      </c>
      <c r="MO14" t="str">
        <v/>
      </c>
      <c r="MP14" t="str">
        <v/>
      </c>
      <c r="MQ14" t="str">
        <v/>
      </c>
      <c r="MR14" t="str">
        <v/>
      </c>
      <c r="MS14" t="str">
        <v/>
      </c>
      <c r="MT14" t="str">
        <v/>
      </c>
      <c r="MU14" t="str">
        <v/>
      </c>
      <c r="MV14" t="str">
        <v/>
      </c>
      <c r="MW14" t="str">
        <v/>
      </c>
      <c r="MX14" t="str">
        <v/>
      </c>
      <c r="MY14" t="str">
        <v/>
      </c>
      <c r="MZ14" t="str">
        <v/>
      </c>
      <c r="NA14" t="str">
        <v/>
      </c>
      <c r="NB14" t="str">
        <v/>
      </c>
      <c r="NC14" t="str">
        <v/>
      </c>
      <c r="ND14" t="str">
        <v/>
      </c>
      <c r="NE14" t="str">
        <v/>
      </c>
      <c r="NF14" t="str">
        <v/>
      </c>
      <c r="NG14" t="str">
        <v/>
      </c>
      <c r="NH14" t="str">
        <v/>
      </c>
      <c r="NI14" t="str">
        <v/>
      </c>
      <c r="NJ14" t="str">
        <v/>
      </c>
      <c r="NK14" t="str">
        <v/>
      </c>
      <c r="NL14" t="str">
        <v/>
      </c>
      <c r="NM14" t="str">
        <v/>
      </c>
      <c r="NN14" t="str">
        <v/>
      </c>
      <c r="NO14" t="str">
        <v/>
      </c>
      <c r="NP14" t="str">
        <v/>
      </c>
      <c r="NQ14" t="str">
        <v/>
      </c>
      <c r="NR14" t="str">
        <v/>
      </c>
      <c r="NS14" t="str">
        <v/>
      </c>
      <c r="NT14" t="str">
        <v/>
      </c>
      <c r="NU14" t="str">
        <v/>
      </c>
      <c r="NV14" t="str">
        <v/>
      </c>
      <c r="NW14" t="str">
        <v/>
      </c>
      <c r="NX14" t="str">
        <v/>
      </c>
      <c r="NY14" t="str">
        <v/>
      </c>
      <c r="NZ14" t="str">
        <v/>
      </c>
      <c r="OA14" t="str">
        <v/>
      </c>
      <c r="OB14" t="str">
        <v/>
      </c>
      <c r="OC14" t="str">
        <v/>
      </c>
      <c r="OD14" t="str">
        <v/>
      </c>
      <c r="OE14" t="str">
        <v/>
      </c>
      <c r="OF14" t="str">
        <v/>
      </c>
      <c r="OG14" t="str">
        <v/>
      </c>
      <c r="OH14" t="str">
        <v/>
      </c>
      <c r="OI14" t="str">
        <v/>
      </c>
      <c r="OJ14" t="str">
        <v/>
      </c>
      <c r="OK14" t="str">
        <v/>
      </c>
    </row>
    <row r="15" spans="1:401" outlineLevel="1" x14ac:dyDescent="0.3">
      <c r="A15" s="14"/>
      <c r="D15" s="119" t="s">
        <v>324</v>
      </c>
      <c r="E15" s="197"/>
      <c r="F15" s="198" t="s">
        <v>291</v>
      </c>
      <c r="G15" s="76"/>
      <c r="H15" s="110"/>
      <c r="I15" s="111"/>
      <c r="J15" s="65"/>
      <c r="K15" s="55"/>
      <c r="L15" s="66"/>
      <c r="M15" t="s">
        <v>325</v>
      </c>
      <c r="N15" s="8"/>
      <c r="O15" s="208"/>
      <c r="P15" t="str" cm="1">
        <f t="array" ref="P15:OK15">IF((N15&lt;=_xlfn.ANCHORARRAY($P$2))*(_xlfn.ANCHORARRAY($P$2)&lt;O15)," ","")</f>
        <v/>
      </c>
      <c r="Q15" t="str">
        <v/>
      </c>
      <c r="R15" t="str">
        <v/>
      </c>
      <c r="S15" t="str">
        <v/>
      </c>
      <c r="T15" t="str">
        <v/>
      </c>
      <c r="U15" t="str">
        <v/>
      </c>
      <c r="V15" t="str">
        <v/>
      </c>
      <c r="W15" t="str">
        <v/>
      </c>
      <c r="X15" t="str">
        <v/>
      </c>
      <c r="Y15" t="str">
        <v/>
      </c>
      <c r="Z15" t="str">
        <v/>
      </c>
      <c r="AA15" t="str">
        <v/>
      </c>
      <c r="AB15" t="str">
        <v/>
      </c>
      <c r="AC15" t="str">
        <v/>
      </c>
      <c r="AD15" t="str">
        <v/>
      </c>
      <c r="AE15" t="str">
        <v/>
      </c>
      <c r="AF15" t="str">
        <v/>
      </c>
      <c r="AG15" t="str">
        <v/>
      </c>
      <c r="AH15" t="str">
        <v/>
      </c>
      <c r="AI15" t="str">
        <v/>
      </c>
      <c r="AJ15" t="str">
        <v/>
      </c>
      <c r="AK15" t="str">
        <v/>
      </c>
      <c r="AL15" t="str">
        <v/>
      </c>
      <c r="AM15" t="str">
        <v/>
      </c>
      <c r="AN15" t="str">
        <v/>
      </c>
      <c r="AO15" t="str">
        <v/>
      </c>
      <c r="AP15" t="str">
        <v/>
      </c>
      <c r="AQ15" t="str">
        <v/>
      </c>
      <c r="AR15" t="str">
        <v/>
      </c>
      <c r="AS15" t="str">
        <v/>
      </c>
      <c r="AT15" t="str">
        <v/>
      </c>
      <c r="AU15" t="str">
        <v/>
      </c>
      <c r="AV15" t="str">
        <v/>
      </c>
      <c r="AW15" t="str">
        <v/>
      </c>
      <c r="AX15" t="str">
        <v/>
      </c>
      <c r="AY15" t="str">
        <v/>
      </c>
      <c r="AZ15" t="str">
        <v/>
      </c>
      <c r="BA15" t="str">
        <v/>
      </c>
      <c r="BB15" t="str">
        <v/>
      </c>
      <c r="BC15" t="str">
        <v/>
      </c>
      <c r="BD15" t="str">
        <v/>
      </c>
      <c r="BE15" t="str">
        <v/>
      </c>
      <c r="BF15" t="str">
        <v/>
      </c>
      <c r="BG15" t="str">
        <v/>
      </c>
      <c r="BH15" t="str">
        <v/>
      </c>
      <c r="BI15" t="str">
        <v/>
      </c>
      <c r="BJ15" t="str">
        <v/>
      </c>
      <c r="BK15" t="str">
        <v/>
      </c>
      <c r="BL15" t="str">
        <v/>
      </c>
      <c r="BM15" t="str">
        <v/>
      </c>
      <c r="BN15" t="str">
        <v/>
      </c>
      <c r="BO15" t="str">
        <v/>
      </c>
      <c r="BP15" t="str">
        <v/>
      </c>
      <c r="BQ15" t="str">
        <v/>
      </c>
      <c r="BR15" t="str">
        <v/>
      </c>
      <c r="BS15" t="str">
        <v/>
      </c>
      <c r="BT15" t="str">
        <v/>
      </c>
      <c r="BU15" t="str">
        <v/>
      </c>
      <c r="BV15" t="str">
        <v/>
      </c>
      <c r="BW15" t="str">
        <v/>
      </c>
      <c r="BX15" t="str">
        <v/>
      </c>
      <c r="BY15" t="str">
        <v/>
      </c>
      <c r="BZ15" t="str">
        <v/>
      </c>
      <c r="CA15" t="str">
        <v/>
      </c>
      <c r="CB15" t="str">
        <v/>
      </c>
      <c r="CC15" t="str">
        <v/>
      </c>
      <c r="CD15" t="str">
        <v/>
      </c>
      <c r="CE15" t="str">
        <v/>
      </c>
      <c r="CF15" t="str">
        <v/>
      </c>
      <c r="CG15" t="str">
        <v/>
      </c>
      <c r="CH15" t="str">
        <v/>
      </c>
      <c r="CI15" t="str">
        <v/>
      </c>
      <c r="CJ15" t="str">
        <v/>
      </c>
      <c r="CK15" t="str">
        <v/>
      </c>
      <c r="CL15" t="str">
        <v/>
      </c>
      <c r="CM15" t="str">
        <v/>
      </c>
      <c r="CN15" t="str">
        <v/>
      </c>
      <c r="CO15" t="str">
        <v/>
      </c>
      <c r="CP15" t="str">
        <v/>
      </c>
      <c r="CQ15" t="str">
        <v/>
      </c>
      <c r="CR15" t="str">
        <v/>
      </c>
      <c r="CS15" t="str">
        <v/>
      </c>
      <c r="CT15" t="str">
        <v/>
      </c>
      <c r="CU15" t="str">
        <v/>
      </c>
      <c r="CV15" t="str">
        <v/>
      </c>
      <c r="CW15" t="str">
        <v/>
      </c>
      <c r="CX15" t="str">
        <v/>
      </c>
      <c r="CY15" t="str">
        <v/>
      </c>
      <c r="CZ15" t="str">
        <v/>
      </c>
      <c r="DA15" t="str">
        <v/>
      </c>
      <c r="DB15" t="str">
        <v/>
      </c>
      <c r="DC15" t="str">
        <v/>
      </c>
      <c r="DD15" t="str">
        <v/>
      </c>
      <c r="DE15" t="str">
        <v/>
      </c>
      <c r="DF15" t="str">
        <v/>
      </c>
      <c r="DG15" t="str">
        <v/>
      </c>
      <c r="DH15" t="str">
        <v/>
      </c>
      <c r="DI15" t="str">
        <v/>
      </c>
      <c r="DJ15" t="str">
        <v/>
      </c>
      <c r="DK15" t="str">
        <v/>
      </c>
      <c r="DL15" t="str">
        <v/>
      </c>
      <c r="DM15" t="str">
        <v/>
      </c>
      <c r="DN15" t="str">
        <v/>
      </c>
      <c r="DO15" t="str">
        <v/>
      </c>
      <c r="DP15" t="str">
        <v/>
      </c>
      <c r="DQ15" t="str">
        <v/>
      </c>
      <c r="DR15" t="str">
        <v/>
      </c>
      <c r="DS15" t="str">
        <v/>
      </c>
      <c r="DT15" t="str">
        <v/>
      </c>
      <c r="DU15" t="str">
        <v/>
      </c>
      <c r="DV15" t="str">
        <v/>
      </c>
      <c r="DW15" t="str">
        <v/>
      </c>
      <c r="DX15" t="str">
        <v/>
      </c>
      <c r="DY15" t="str">
        <v/>
      </c>
      <c r="DZ15" t="str">
        <v/>
      </c>
      <c r="EA15" t="str">
        <v/>
      </c>
      <c r="EB15" t="str">
        <v/>
      </c>
      <c r="EC15" t="str">
        <v/>
      </c>
      <c r="ED15" t="str">
        <v/>
      </c>
      <c r="EE15" t="str">
        <v/>
      </c>
      <c r="EF15" t="str">
        <v/>
      </c>
      <c r="EG15" t="str">
        <v/>
      </c>
      <c r="EH15" t="str">
        <v/>
      </c>
      <c r="EI15" t="str">
        <v/>
      </c>
      <c r="EJ15" t="str">
        <v/>
      </c>
      <c r="EK15" t="str">
        <v/>
      </c>
      <c r="EL15" t="str">
        <v/>
      </c>
      <c r="EM15" t="str">
        <v/>
      </c>
      <c r="EN15" t="str">
        <v/>
      </c>
      <c r="EO15" t="str">
        <v/>
      </c>
      <c r="EP15" t="str">
        <v/>
      </c>
      <c r="EQ15" t="str">
        <v/>
      </c>
      <c r="ER15" t="str">
        <v/>
      </c>
      <c r="ES15" t="str">
        <v/>
      </c>
      <c r="ET15" t="str">
        <v/>
      </c>
      <c r="EU15" t="str">
        <v/>
      </c>
      <c r="EV15" t="str">
        <v/>
      </c>
      <c r="EW15" t="str">
        <v/>
      </c>
      <c r="EX15" t="str">
        <v/>
      </c>
      <c r="EY15" t="str">
        <v/>
      </c>
      <c r="EZ15" t="str">
        <v/>
      </c>
      <c r="FA15" t="str">
        <v/>
      </c>
      <c r="FB15" t="str">
        <v/>
      </c>
      <c r="FC15" t="str">
        <v/>
      </c>
      <c r="FD15" t="str">
        <v/>
      </c>
      <c r="FE15" t="str">
        <v/>
      </c>
      <c r="FF15" t="str">
        <v/>
      </c>
      <c r="FG15" t="str">
        <v/>
      </c>
      <c r="FH15" t="str">
        <v/>
      </c>
      <c r="FI15" t="str">
        <v/>
      </c>
      <c r="FJ15" t="str">
        <v/>
      </c>
      <c r="FK15" t="str">
        <v/>
      </c>
      <c r="FL15" t="str">
        <v/>
      </c>
      <c r="FM15" t="str">
        <v/>
      </c>
      <c r="FN15" t="str">
        <v/>
      </c>
      <c r="FO15" t="str">
        <v/>
      </c>
      <c r="FP15" t="str">
        <v/>
      </c>
      <c r="FQ15" t="str">
        <v/>
      </c>
      <c r="FR15" t="str">
        <v/>
      </c>
      <c r="FS15" t="str">
        <v/>
      </c>
      <c r="FT15" t="str">
        <v/>
      </c>
      <c r="FU15" t="str">
        <v/>
      </c>
      <c r="FV15" t="str">
        <v/>
      </c>
      <c r="FW15" t="str">
        <v/>
      </c>
      <c r="FX15" t="str">
        <v/>
      </c>
      <c r="FY15" t="str">
        <v/>
      </c>
      <c r="FZ15" t="str">
        <v/>
      </c>
      <c r="GA15" t="str">
        <v/>
      </c>
      <c r="GB15" t="str">
        <v/>
      </c>
      <c r="GC15" t="str">
        <v/>
      </c>
      <c r="GD15" t="str">
        <v/>
      </c>
      <c r="GE15" t="str">
        <v/>
      </c>
      <c r="GF15" t="str">
        <v/>
      </c>
      <c r="GG15" t="str">
        <v/>
      </c>
      <c r="GH15" t="str">
        <v/>
      </c>
      <c r="GI15" t="str">
        <v/>
      </c>
      <c r="GJ15" t="str">
        <v/>
      </c>
      <c r="GK15" t="str">
        <v/>
      </c>
      <c r="GL15" t="str">
        <v/>
      </c>
      <c r="GM15" t="str">
        <v/>
      </c>
      <c r="GN15" t="str">
        <v/>
      </c>
      <c r="GO15" t="str">
        <v/>
      </c>
      <c r="GP15" t="str">
        <v/>
      </c>
      <c r="GQ15" t="str">
        <v/>
      </c>
      <c r="GR15" t="str">
        <v/>
      </c>
      <c r="GS15" t="str">
        <v/>
      </c>
      <c r="GT15" t="str">
        <v/>
      </c>
      <c r="GU15" t="str">
        <v/>
      </c>
      <c r="GV15" t="str">
        <v/>
      </c>
      <c r="GW15" t="str">
        <v/>
      </c>
      <c r="GX15" t="str">
        <v/>
      </c>
      <c r="GY15" t="str">
        <v/>
      </c>
      <c r="GZ15" t="str">
        <v/>
      </c>
      <c r="HA15" t="str">
        <v/>
      </c>
      <c r="HB15" t="str">
        <v/>
      </c>
      <c r="HC15" t="str">
        <v/>
      </c>
      <c r="HD15" t="str">
        <v/>
      </c>
      <c r="HE15" t="str">
        <v/>
      </c>
      <c r="HF15" t="str">
        <v/>
      </c>
      <c r="HG15" t="str">
        <v/>
      </c>
      <c r="HH15" t="str">
        <v/>
      </c>
      <c r="HI15" t="str">
        <v/>
      </c>
      <c r="HJ15" t="str">
        <v/>
      </c>
      <c r="HK15" t="str">
        <v/>
      </c>
      <c r="HL15" t="str">
        <v/>
      </c>
      <c r="HM15" t="str">
        <v/>
      </c>
      <c r="HN15" t="str">
        <v/>
      </c>
      <c r="HO15" t="str">
        <v/>
      </c>
      <c r="HP15" t="str">
        <v/>
      </c>
      <c r="HQ15" t="str">
        <v/>
      </c>
      <c r="HR15" t="str">
        <v/>
      </c>
      <c r="HS15" t="str">
        <v/>
      </c>
      <c r="HT15" t="str">
        <v/>
      </c>
      <c r="HU15" t="str">
        <v/>
      </c>
      <c r="HV15" t="str">
        <v/>
      </c>
      <c r="HW15" t="str">
        <v/>
      </c>
      <c r="HX15" t="str">
        <v/>
      </c>
      <c r="HY15" t="str">
        <v/>
      </c>
      <c r="HZ15" t="str">
        <v/>
      </c>
      <c r="IA15" t="str">
        <v/>
      </c>
      <c r="IB15" t="str">
        <v/>
      </c>
      <c r="IC15" t="str">
        <v/>
      </c>
      <c r="ID15" t="str">
        <v/>
      </c>
      <c r="IE15" t="str">
        <v/>
      </c>
      <c r="IF15" t="str">
        <v/>
      </c>
      <c r="IG15" t="str">
        <v/>
      </c>
      <c r="IH15" t="str">
        <v/>
      </c>
      <c r="II15" t="str">
        <v/>
      </c>
      <c r="IJ15" t="str">
        <v/>
      </c>
      <c r="IK15" t="str">
        <v/>
      </c>
      <c r="IL15" t="str">
        <v/>
      </c>
      <c r="IM15" t="str">
        <v/>
      </c>
      <c r="IN15" t="str">
        <v/>
      </c>
      <c r="IO15" t="str">
        <v/>
      </c>
      <c r="IP15" t="str">
        <v/>
      </c>
      <c r="IQ15" t="str">
        <v/>
      </c>
      <c r="IR15" t="str">
        <v/>
      </c>
      <c r="IS15" t="str">
        <v/>
      </c>
      <c r="IT15" t="str">
        <v/>
      </c>
      <c r="IU15" t="str">
        <v/>
      </c>
      <c r="IV15" t="str">
        <v/>
      </c>
      <c r="IW15" t="str">
        <v/>
      </c>
      <c r="IX15" t="str">
        <v/>
      </c>
      <c r="IY15" t="str">
        <v/>
      </c>
      <c r="IZ15" t="str">
        <v/>
      </c>
      <c r="JA15" t="str">
        <v/>
      </c>
      <c r="JB15" t="str">
        <v/>
      </c>
      <c r="JC15" t="str">
        <v/>
      </c>
      <c r="JD15" t="str">
        <v/>
      </c>
      <c r="JE15" t="str">
        <v/>
      </c>
      <c r="JF15" t="str">
        <v/>
      </c>
      <c r="JG15" t="str">
        <v/>
      </c>
      <c r="JH15" t="str">
        <v/>
      </c>
      <c r="JI15" t="str">
        <v/>
      </c>
      <c r="JJ15" t="str">
        <v/>
      </c>
      <c r="JK15" t="str">
        <v/>
      </c>
      <c r="JL15" t="str">
        <v/>
      </c>
      <c r="JM15" t="str">
        <v/>
      </c>
      <c r="JN15" t="str">
        <v/>
      </c>
      <c r="JO15" t="str">
        <v/>
      </c>
      <c r="JP15" t="str">
        <v/>
      </c>
      <c r="JQ15" t="str">
        <v/>
      </c>
      <c r="JR15" t="str">
        <v/>
      </c>
      <c r="JS15" t="str">
        <v/>
      </c>
      <c r="JT15" t="str">
        <v/>
      </c>
      <c r="JU15" t="str">
        <v/>
      </c>
      <c r="JV15" t="str">
        <v/>
      </c>
      <c r="JW15" t="str">
        <v/>
      </c>
      <c r="JX15" t="str">
        <v/>
      </c>
      <c r="JY15" t="str">
        <v/>
      </c>
      <c r="JZ15" t="str">
        <v/>
      </c>
      <c r="KA15" t="str">
        <v/>
      </c>
      <c r="KB15" t="str">
        <v/>
      </c>
      <c r="KC15" t="str">
        <v/>
      </c>
      <c r="KD15" t="str">
        <v/>
      </c>
      <c r="KE15" t="str">
        <v/>
      </c>
      <c r="KF15" t="str">
        <v/>
      </c>
      <c r="KG15" t="str">
        <v/>
      </c>
      <c r="KH15" t="str">
        <v/>
      </c>
      <c r="KI15" t="str">
        <v/>
      </c>
      <c r="KJ15" t="str">
        <v/>
      </c>
      <c r="KK15" t="str">
        <v/>
      </c>
      <c r="KL15" t="str">
        <v/>
      </c>
      <c r="KM15" t="str">
        <v/>
      </c>
      <c r="KN15" t="str">
        <v/>
      </c>
      <c r="KO15" t="str">
        <v/>
      </c>
      <c r="KP15" t="str">
        <v/>
      </c>
      <c r="KQ15" t="str">
        <v/>
      </c>
      <c r="KR15" t="str">
        <v/>
      </c>
      <c r="KS15" t="str">
        <v/>
      </c>
      <c r="KT15" t="str">
        <v/>
      </c>
      <c r="KU15" t="str">
        <v/>
      </c>
      <c r="KV15" t="str">
        <v/>
      </c>
      <c r="KW15" t="str">
        <v/>
      </c>
      <c r="KX15" t="str">
        <v/>
      </c>
      <c r="KY15" t="str">
        <v/>
      </c>
      <c r="KZ15" t="str">
        <v/>
      </c>
      <c r="LA15" t="str">
        <v/>
      </c>
      <c r="LB15" t="str">
        <v/>
      </c>
      <c r="LC15" t="str">
        <v/>
      </c>
      <c r="LD15" t="str">
        <v/>
      </c>
      <c r="LE15" t="str">
        <v/>
      </c>
      <c r="LF15" t="str">
        <v/>
      </c>
      <c r="LG15" t="str">
        <v/>
      </c>
      <c r="LH15" t="str">
        <v/>
      </c>
      <c r="LI15" t="str">
        <v/>
      </c>
      <c r="LJ15" t="str">
        <v/>
      </c>
      <c r="LK15" t="str">
        <v/>
      </c>
      <c r="LL15" t="str">
        <v/>
      </c>
      <c r="LM15" t="str">
        <v/>
      </c>
      <c r="LN15" t="str">
        <v/>
      </c>
      <c r="LO15" t="str">
        <v/>
      </c>
      <c r="LP15" t="str">
        <v/>
      </c>
      <c r="LQ15" t="str">
        <v/>
      </c>
      <c r="LR15" t="str">
        <v/>
      </c>
      <c r="LS15" t="str">
        <v/>
      </c>
      <c r="LT15" t="str">
        <v/>
      </c>
      <c r="LU15" t="str">
        <v/>
      </c>
      <c r="LV15" t="str">
        <v/>
      </c>
      <c r="LW15" t="str">
        <v/>
      </c>
      <c r="LX15" t="str">
        <v/>
      </c>
      <c r="LY15" t="str">
        <v/>
      </c>
      <c r="LZ15" t="str">
        <v/>
      </c>
      <c r="MA15" t="str">
        <v/>
      </c>
      <c r="MB15" t="str">
        <v/>
      </c>
      <c r="MC15" t="str">
        <v/>
      </c>
      <c r="MD15" t="str">
        <v/>
      </c>
      <c r="ME15" t="str">
        <v/>
      </c>
      <c r="MF15" t="str">
        <v/>
      </c>
      <c r="MG15" t="str">
        <v/>
      </c>
      <c r="MH15" t="str">
        <v/>
      </c>
      <c r="MI15" t="str">
        <v/>
      </c>
      <c r="MJ15" t="str">
        <v/>
      </c>
      <c r="MK15" t="str">
        <v/>
      </c>
      <c r="ML15" t="str">
        <v/>
      </c>
      <c r="MM15" t="str">
        <v/>
      </c>
      <c r="MN15" t="str">
        <v/>
      </c>
      <c r="MO15" t="str">
        <v/>
      </c>
      <c r="MP15" t="str">
        <v/>
      </c>
      <c r="MQ15" t="str">
        <v/>
      </c>
      <c r="MR15" t="str">
        <v/>
      </c>
      <c r="MS15" t="str">
        <v/>
      </c>
      <c r="MT15" t="str">
        <v/>
      </c>
      <c r="MU15" t="str">
        <v/>
      </c>
      <c r="MV15" t="str">
        <v/>
      </c>
      <c r="MW15" t="str">
        <v/>
      </c>
      <c r="MX15" t="str">
        <v/>
      </c>
      <c r="MY15" t="str">
        <v/>
      </c>
      <c r="MZ15" t="str">
        <v/>
      </c>
      <c r="NA15" t="str">
        <v/>
      </c>
      <c r="NB15" t="str">
        <v/>
      </c>
      <c r="NC15" t="str">
        <v/>
      </c>
      <c r="ND15" t="str">
        <v/>
      </c>
      <c r="NE15" t="str">
        <v/>
      </c>
      <c r="NF15" t="str">
        <v/>
      </c>
      <c r="NG15" t="str">
        <v/>
      </c>
      <c r="NH15" t="str">
        <v/>
      </c>
      <c r="NI15" t="str">
        <v/>
      </c>
      <c r="NJ15" t="str">
        <v/>
      </c>
      <c r="NK15" t="str">
        <v/>
      </c>
      <c r="NL15" t="str">
        <v/>
      </c>
      <c r="NM15" t="str">
        <v/>
      </c>
      <c r="NN15" t="str">
        <v/>
      </c>
      <c r="NO15" t="str">
        <v/>
      </c>
      <c r="NP15" t="str">
        <v/>
      </c>
      <c r="NQ15" t="str">
        <v/>
      </c>
      <c r="NR15" t="str">
        <v/>
      </c>
      <c r="NS15" t="str">
        <v/>
      </c>
      <c r="NT15" t="str">
        <v/>
      </c>
      <c r="NU15" t="str">
        <v/>
      </c>
      <c r="NV15" t="str">
        <v/>
      </c>
      <c r="NW15" t="str">
        <v/>
      </c>
      <c r="NX15" t="str">
        <v/>
      </c>
      <c r="NY15" t="str">
        <v/>
      </c>
      <c r="NZ15" t="str">
        <v/>
      </c>
      <c r="OA15" t="str">
        <v/>
      </c>
      <c r="OB15" t="str">
        <v/>
      </c>
      <c r="OC15" t="str">
        <v/>
      </c>
      <c r="OD15" t="str">
        <v/>
      </c>
      <c r="OE15" t="str">
        <v/>
      </c>
      <c r="OF15" t="str">
        <v/>
      </c>
      <c r="OG15" t="str">
        <v/>
      </c>
      <c r="OH15" t="str">
        <v/>
      </c>
      <c r="OI15" t="str">
        <v/>
      </c>
      <c r="OJ15" t="str">
        <v/>
      </c>
      <c r="OK15" t="str">
        <v/>
      </c>
    </row>
    <row r="16" spans="1:401" outlineLevel="1" x14ac:dyDescent="0.3">
      <c r="A16" s="14"/>
      <c r="D16" s="19" t="s">
        <v>326</v>
      </c>
      <c r="E16" s="197"/>
      <c r="F16" s="198" t="s">
        <v>291</v>
      </c>
      <c r="G16" s="76"/>
      <c r="H16" s="110"/>
      <c r="I16" s="111"/>
      <c r="J16" s="65"/>
      <c r="K16" s="55"/>
      <c r="L16" s="66"/>
      <c r="M16" t="s">
        <v>331</v>
      </c>
      <c r="N16" s="8"/>
      <c r="O16" s="208"/>
      <c r="P16" t="str" cm="1">
        <f t="array" ref="P16:OK16">IF((N16&lt;=_xlfn.ANCHORARRAY($P$2))*(_xlfn.ANCHORARRAY($P$2)&lt;O16)," ","")</f>
        <v/>
      </c>
      <c r="Q16" t="str">
        <v/>
      </c>
      <c r="R16" t="str">
        <v/>
      </c>
      <c r="S16" t="str">
        <v/>
      </c>
      <c r="T16" t="str">
        <v/>
      </c>
      <c r="U16" t="str">
        <v/>
      </c>
      <c r="V16" t="str">
        <v/>
      </c>
      <c r="W16" t="str">
        <v/>
      </c>
      <c r="X16" t="str">
        <v/>
      </c>
      <c r="Y16" t="str">
        <v/>
      </c>
      <c r="Z16" t="str">
        <v/>
      </c>
      <c r="AA16" t="str">
        <v/>
      </c>
      <c r="AB16" t="str">
        <v/>
      </c>
      <c r="AC16" t="str">
        <v/>
      </c>
      <c r="AD16" t="str">
        <v/>
      </c>
      <c r="AE16" t="str">
        <v/>
      </c>
      <c r="AF16" t="str">
        <v/>
      </c>
      <c r="AG16" t="str">
        <v/>
      </c>
      <c r="AH16" t="str">
        <v/>
      </c>
      <c r="AI16" t="str">
        <v/>
      </c>
      <c r="AJ16" t="str">
        <v/>
      </c>
      <c r="AK16" t="str">
        <v/>
      </c>
      <c r="AL16" t="str">
        <v/>
      </c>
      <c r="AM16" t="str">
        <v/>
      </c>
      <c r="AN16" t="str">
        <v/>
      </c>
      <c r="AO16" t="str">
        <v/>
      </c>
      <c r="AP16" t="str">
        <v/>
      </c>
      <c r="AQ16" t="str">
        <v/>
      </c>
      <c r="AR16" t="str">
        <v/>
      </c>
      <c r="AS16" t="str">
        <v/>
      </c>
      <c r="AT16" t="str">
        <v/>
      </c>
      <c r="AU16" t="str">
        <v/>
      </c>
      <c r="AV16" t="str">
        <v/>
      </c>
      <c r="AW16" t="str">
        <v/>
      </c>
      <c r="AX16" t="str">
        <v/>
      </c>
      <c r="AY16" t="str">
        <v/>
      </c>
      <c r="AZ16" t="str">
        <v/>
      </c>
      <c r="BA16" t="str">
        <v/>
      </c>
      <c r="BB16" t="str">
        <v/>
      </c>
      <c r="BC16" t="str">
        <v/>
      </c>
      <c r="BD16" t="str">
        <v/>
      </c>
      <c r="BE16" t="str">
        <v/>
      </c>
      <c r="BF16" t="str">
        <v/>
      </c>
      <c r="BG16" t="str">
        <v/>
      </c>
      <c r="BH16" t="str">
        <v/>
      </c>
      <c r="BI16" t="str">
        <v/>
      </c>
      <c r="BJ16" t="str">
        <v/>
      </c>
      <c r="BK16" t="str">
        <v/>
      </c>
      <c r="BL16" t="str">
        <v/>
      </c>
      <c r="BM16" t="str">
        <v/>
      </c>
      <c r="BN16" t="str">
        <v/>
      </c>
      <c r="BO16" t="str">
        <v/>
      </c>
      <c r="BP16" t="str">
        <v/>
      </c>
      <c r="BQ16" t="str">
        <v/>
      </c>
      <c r="BR16" t="str">
        <v/>
      </c>
      <c r="BS16" t="str">
        <v/>
      </c>
      <c r="BT16" t="str">
        <v/>
      </c>
      <c r="BU16" t="str">
        <v/>
      </c>
      <c r="BV16" t="str">
        <v/>
      </c>
      <c r="BW16" t="str">
        <v/>
      </c>
      <c r="BX16" t="str">
        <v/>
      </c>
      <c r="BY16" t="str">
        <v/>
      </c>
      <c r="BZ16" t="str">
        <v/>
      </c>
      <c r="CA16" t="str">
        <v/>
      </c>
      <c r="CB16" t="str">
        <v/>
      </c>
      <c r="CC16" t="str">
        <v/>
      </c>
      <c r="CD16" t="str">
        <v/>
      </c>
      <c r="CE16" t="str">
        <v/>
      </c>
      <c r="CF16" t="str">
        <v/>
      </c>
      <c r="CG16" t="str">
        <v/>
      </c>
      <c r="CH16" t="str">
        <v/>
      </c>
      <c r="CI16" t="str">
        <v/>
      </c>
      <c r="CJ16" t="str">
        <v/>
      </c>
      <c r="CK16" t="str">
        <v/>
      </c>
      <c r="CL16" t="str">
        <v/>
      </c>
      <c r="CM16" t="str">
        <v/>
      </c>
      <c r="CN16" t="str">
        <v/>
      </c>
      <c r="CO16" t="str">
        <v/>
      </c>
      <c r="CP16" t="str">
        <v/>
      </c>
      <c r="CQ16" t="str">
        <v/>
      </c>
      <c r="CR16" t="str">
        <v/>
      </c>
      <c r="CS16" t="str">
        <v/>
      </c>
      <c r="CT16" t="str">
        <v/>
      </c>
      <c r="CU16" t="str">
        <v/>
      </c>
      <c r="CV16" t="str">
        <v/>
      </c>
      <c r="CW16" t="str">
        <v/>
      </c>
      <c r="CX16" t="str">
        <v/>
      </c>
      <c r="CY16" t="str">
        <v/>
      </c>
      <c r="CZ16" t="str">
        <v/>
      </c>
      <c r="DA16" t="str">
        <v/>
      </c>
      <c r="DB16" t="str">
        <v/>
      </c>
      <c r="DC16" t="str">
        <v/>
      </c>
      <c r="DD16" t="str">
        <v/>
      </c>
      <c r="DE16" t="str">
        <v/>
      </c>
      <c r="DF16" t="str">
        <v/>
      </c>
      <c r="DG16" t="str">
        <v/>
      </c>
      <c r="DH16" t="str">
        <v/>
      </c>
      <c r="DI16" t="str">
        <v/>
      </c>
      <c r="DJ16" t="str">
        <v/>
      </c>
      <c r="DK16" t="str">
        <v/>
      </c>
      <c r="DL16" t="str">
        <v/>
      </c>
      <c r="DM16" t="str">
        <v/>
      </c>
      <c r="DN16" t="str">
        <v/>
      </c>
      <c r="DO16" t="str">
        <v/>
      </c>
      <c r="DP16" t="str">
        <v/>
      </c>
      <c r="DQ16" t="str">
        <v/>
      </c>
      <c r="DR16" t="str">
        <v/>
      </c>
      <c r="DS16" t="str">
        <v/>
      </c>
      <c r="DT16" t="str">
        <v/>
      </c>
      <c r="DU16" t="str">
        <v/>
      </c>
      <c r="DV16" t="str">
        <v/>
      </c>
      <c r="DW16" t="str">
        <v/>
      </c>
      <c r="DX16" t="str">
        <v/>
      </c>
      <c r="DY16" t="str">
        <v/>
      </c>
      <c r="DZ16" t="str">
        <v/>
      </c>
      <c r="EA16" t="str">
        <v/>
      </c>
      <c r="EB16" t="str">
        <v/>
      </c>
      <c r="EC16" t="str">
        <v/>
      </c>
      <c r="ED16" t="str">
        <v/>
      </c>
      <c r="EE16" t="str">
        <v/>
      </c>
      <c r="EF16" t="str">
        <v/>
      </c>
      <c r="EG16" t="str">
        <v/>
      </c>
      <c r="EH16" t="str">
        <v/>
      </c>
      <c r="EI16" t="str">
        <v/>
      </c>
      <c r="EJ16" t="str">
        <v/>
      </c>
      <c r="EK16" t="str">
        <v/>
      </c>
      <c r="EL16" t="str">
        <v/>
      </c>
      <c r="EM16" t="str">
        <v/>
      </c>
      <c r="EN16" t="str">
        <v/>
      </c>
      <c r="EO16" t="str">
        <v/>
      </c>
      <c r="EP16" t="str">
        <v/>
      </c>
      <c r="EQ16" t="str">
        <v/>
      </c>
      <c r="ER16" t="str">
        <v/>
      </c>
      <c r="ES16" t="str">
        <v/>
      </c>
      <c r="ET16" t="str">
        <v/>
      </c>
      <c r="EU16" t="str">
        <v/>
      </c>
      <c r="EV16" t="str">
        <v/>
      </c>
      <c r="EW16" t="str">
        <v/>
      </c>
      <c r="EX16" t="str">
        <v/>
      </c>
      <c r="EY16" t="str">
        <v/>
      </c>
      <c r="EZ16" t="str">
        <v/>
      </c>
      <c r="FA16" t="str">
        <v/>
      </c>
      <c r="FB16" t="str">
        <v/>
      </c>
      <c r="FC16" t="str">
        <v/>
      </c>
      <c r="FD16" t="str">
        <v/>
      </c>
      <c r="FE16" t="str">
        <v/>
      </c>
      <c r="FF16" t="str">
        <v/>
      </c>
      <c r="FG16" t="str">
        <v/>
      </c>
      <c r="FH16" t="str">
        <v/>
      </c>
      <c r="FI16" t="str">
        <v/>
      </c>
      <c r="FJ16" t="str">
        <v/>
      </c>
      <c r="FK16" t="str">
        <v/>
      </c>
      <c r="FL16" t="str">
        <v/>
      </c>
      <c r="FM16" t="str">
        <v/>
      </c>
      <c r="FN16" t="str">
        <v/>
      </c>
      <c r="FO16" t="str">
        <v/>
      </c>
      <c r="FP16" t="str">
        <v/>
      </c>
      <c r="FQ16" t="str">
        <v/>
      </c>
      <c r="FR16" t="str">
        <v/>
      </c>
      <c r="FS16" t="str">
        <v/>
      </c>
      <c r="FT16" t="str">
        <v/>
      </c>
      <c r="FU16" t="str">
        <v/>
      </c>
      <c r="FV16" t="str">
        <v/>
      </c>
      <c r="FW16" t="str">
        <v/>
      </c>
      <c r="FX16" t="str">
        <v/>
      </c>
      <c r="FY16" t="str">
        <v/>
      </c>
      <c r="FZ16" t="str">
        <v/>
      </c>
      <c r="GA16" t="str">
        <v/>
      </c>
      <c r="GB16" t="str">
        <v/>
      </c>
      <c r="GC16" t="str">
        <v/>
      </c>
      <c r="GD16" t="str">
        <v/>
      </c>
      <c r="GE16" t="str">
        <v/>
      </c>
      <c r="GF16" t="str">
        <v/>
      </c>
      <c r="GG16" t="str">
        <v/>
      </c>
      <c r="GH16" t="str">
        <v/>
      </c>
      <c r="GI16" t="str">
        <v/>
      </c>
      <c r="GJ16" t="str">
        <v/>
      </c>
      <c r="GK16" t="str">
        <v/>
      </c>
      <c r="GL16" t="str">
        <v/>
      </c>
      <c r="GM16" t="str">
        <v/>
      </c>
      <c r="GN16" t="str">
        <v/>
      </c>
      <c r="GO16" t="str">
        <v/>
      </c>
      <c r="GP16" t="str">
        <v/>
      </c>
      <c r="GQ16" t="str">
        <v/>
      </c>
      <c r="GR16" t="str">
        <v/>
      </c>
      <c r="GS16" t="str">
        <v/>
      </c>
      <c r="GT16" t="str">
        <v/>
      </c>
      <c r="GU16" t="str">
        <v/>
      </c>
      <c r="GV16" t="str">
        <v/>
      </c>
      <c r="GW16" t="str">
        <v/>
      </c>
      <c r="GX16" t="str">
        <v/>
      </c>
      <c r="GY16" t="str">
        <v/>
      </c>
      <c r="GZ16" t="str">
        <v/>
      </c>
      <c r="HA16" t="str">
        <v/>
      </c>
      <c r="HB16" t="str">
        <v/>
      </c>
      <c r="HC16" t="str">
        <v/>
      </c>
      <c r="HD16" t="str">
        <v/>
      </c>
      <c r="HE16" t="str">
        <v/>
      </c>
      <c r="HF16" t="str">
        <v/>
      </c>
      <c r="HG16" t="str">
        <v/>
      </c>
      <c r="HH16" t="str">
        <v/>
      </c>
      <c r="HI16" t="str">
        <v/>
      </c>
      <c r="HJ16" t="str">
        <v/>
      </c>
      <c r="HK16" t="str">
        <v/>
      </c>
      <c r="HL16" t="str">
        <v/>
      </c>
      <c r="HM16" t="str">
        <v/>
      </c>
      <c r="HN16" t="str">
        <v/>
      </c>
      <c r="HO16" t="str">
        <v/>
      </c>
      <c r="HP16" t="str">
        <v/>
      </c>
      <c r="HQ16" t="str">
        <v/>
      </c>
      <c r="HR16" t="str">
        <v/>
      </c>
      <c r="HS16" t="str">
        <v/>
      </c>
      <c r="HT16" t="str">
        <v/>
      </c>
      <c r="HU16" t="str">
        <v/>
      </c>
      <c r="HV16" t="str">
        <v/>
      </c>
      <c r="HW16" t="str">
        <v/>
      </c>
      <c r="HX16" t="str">
        <v/>
      </c>
      <c r="HY16" t="str">
        <v/>
      </c>
      <c r="HZ16" t="str">
        <v/>
      </c>
      <c r="IA16" t="str">
        <v/>
      </c>
      <c r="IB16" t="str">
        <v/>
      </c>
      <c r="IC16" t="str">
        <v/>
      </c>
      <c r="ID16" t="str">
        <v/>
      </c>
      <c r="IE16" t="str">
        <v/>
      </c>
      <c r="IF16" t="str">
        <v/>
      </c>
      <c r="IG16" t="str">
        <v/>
      </c>
      <c r="IH16" t="str">
        <v/>
      </c>
      <c r="II16" t="str">
        <v/>
      </c>
      <c r="IJ16" t="str">
        <v/>
      </c>
      <c r="IK16" t="str">
        <v/>
      </c>
      <c r="IL16" t="str">
        <v/>
      </c>
      <c r="IM16" t="str">
        <v/>
      </c>
      <c r="IN16" t="str">
        <v/>
      </c>
      <c r="IO16" t="str">
        <v/>
      </c>
      <c r="IP16" t="str">
        <v/>
      </c>
      <c r="IQ16" t="str">
        <v/>
      </c>
      <c r="IR16" t="str">
        <v/>
      </c>
      <c r="IS16" t="str">
        <v/>
      </c>
      <c r="IT16" t="str">
        <v/>
      </c>
      <c r="IU16" t="str">
        <v/>
      </c>
      <c r="IV16" t="str">
        <v/>
      </c>
      <c r="IW16" t="str">
        <v/>
      </c>
      <c r="IX16" t="str">
        <v/>
      </c>
      <c r="IY16" t="str">
        <v/>
      </c>
      <c r="IZ16" t="str">
        <v/>
      </c>
      <c r="JA16" t="str">
        <v/>
      </c>
      <c r="JB16" t="str">
        <v/>
      </c>
      <c r="JC16" t="str">
        <v/>
      </c>
      <c r="JD16" t="str">
        <v/>
      </c>
      <c r="JE16" t="str">
        <v/>
      </c>
      <c r="JF16" t="str">
        <v/>
      </c>
      <c r="JG16" t="str">
        <v/>
      </c>
      <c r="JH16" t="str">
        <v/>
      </c>
      <c r="JI16" t="str">
        <v/>
      </c>
      <c r="JJ16" t="str">
        <v/>
      </c>
      <c r="JK16" t="str">
        <v/>
      </c>
      <c r="JL16" t="str">
        <v/>
      </c>
      <c r="JM16" t="str">
        <v/>
      </c>
      <c r="JN16" t="str">
        <v/>
      </c>
      <c r="JO16" t="str">
        <v/>
      </c>
      <c r="JP16" t="str">
        <v/>
      </c>
      <c r="JQ16" t="str">
        <v/>
      </c>
      <c r="JR16" t="str">
        <v/>
      </c>
      <c r="JS16" t="str">
        <v/>
      </c>
      <c r="JT16" t="str">
        <v/>
      </c>
      <c r="JU16" t="str">
        <v/>
      </c>
      <c r="JV16" t="str">
        <v/>
      </c>
      <c r="JW16" t="str">
        <v/>
      </c>
      <c r="JX16" t="str">
        <v/>
      </c>
      <c r="JY16" t="str">
        <v/>
      </c>
      <c r="JZ16" t="str">
        <v/>
      </c>
      <c r="KA16" t="str">
        <v/>
      </c>
      <c r="KB16" t="str">
        <v/>
      </c>
      <c r="KC16" t="str">
        <v/>
      </c>
      <c r="KD16" t="str">
        <v/>
      </c>
      <c r="KE16" t="str">
        <v/>
      </c>
      <c r="KF16" t="str">
        <v/>
      </c>
      <c r="KG16" t="str">
        <v/>
      </c>
      <c r="KH16" t="str">
        <v/>
      </c>
      <c r="KI16" t="str">
        <v/>
      </c>
      <c r="KJ16" t="str">
        <v/>
      </c>
      <c r="KK16" t="str">
        <v/>
      </c>
      <c r="KL16" t="str">
        <v/>
      </c>
      <c r="KM16" t="str">
        <v/>
      </c>
      <c r="KN16" t="str">
        <v/>
      </c>
      <c r="KO16" t="str">
        <v/>
      </c>
      <c r="KP16" t="str">
        <v/>
      </c>
      <c r="KQ16" t="str">
        <v/>
      </c>
      <c r="KR16" t="str">
        <v/>
      </c>
      <c r="KS16" t="str">
        <v/>
      </c>
      <c r="KT16" t="str">
        <v/>
      </c>
      <c r="KU16" t="str">
        <v/>
      </c>
      <c r="KV16" t="str">
        <v/>
      </c>
      <c r="KW16" t="str">
        <v/>
      </c>
      <c r="KX16" t="str">
        <v/>
      </c>
      <c r="KY16" t="str">
        <v/>
      </c>
      <c r="KZ16" t="str">
        <v/>
      </c>
      <c r="LA16" t="str">
        <v/>
      </c>
      <c r="LB16" t="str">
        <v/>
      </c>
      <c r="LC16" t="str">
        <v/>
      </c>
      <c r="LD16" t="str">
        <v/>
      </c>
      <c r="LE16" t="str">
        <v/>
      </c>
      <c r="LF16" t="str">
        <v/>
      </c>
      <c r="LG16" t="str">
        <v/>
      </c>
      <c r="LH16" t="str">
        <v/>
      </c>
      <c r="LI16" t="str">
        <v/>
      </c>
      <c r="LJ16" t="str">
        <v/>
      </c>
      <c r="LK16" t="str">
        <v/>
      </c>
      <c r="LL16" t="str">
        <v/>
      </c>
      <c r="LM16" t="str">
        <v/>
      </c>
      <c r="LN16" t="str">
        <v/>
      </c>
      <c r="LO16" t="str">
        <v/>
      </c>
      <c r="LP16" t="str">
        <v/>
      </c>
      <c r="LQ16" t="str">
        <v/>
      </c>
      <c r="LR16" t="str">
        <v/>
      </c>
      <c r="LS16" t="str">
        <v/>
      </c>
      <c r="LT16" t="str">
        <v/>
      </c>
      <c r="LU16" t="str">
        <v/>
      </c>
      <c r="LV16" t="str">
        <v/>
      </c>
      <c r="LW16" t="str">
        <v/>
      </c>
      <c r="LX16" t="str">
        <v/>
      </c>
      <c r="LY16" t="str">
        <v/>
      </c>
      <c r="LZ16" t="str">
        <v/>
      </c>
      <c r="MA16" t="str">
        <v/>
      </c>
      <c r="MB16" t="str">
        <v/>
      </c>
      <c r="MC16" t="str">
        <v/>
      </c>
      <c r="MD16" t="str">
        <v/>
      </c>
      <c r="ME16" t="str">
        <v/>
      </c>
      <c r="MF16" t="str">
        <v/>
      </c>
      <c r="MG16" t="str">
        <v/>
      </c>
      <c r="MH16" t="str">
        <v/>
      </c>
      <c r="MI16" t="str">
        <v/>
      </c>
      <c r="MJ16" t="str">
        <v/>
      </c>
      <c r="MK16" t="str">
        <v/>
      </c>
      <c r="ML16" t="str">
        <v/>
      </c>
      <c r="MM16" t="str">
        <v/>
      </c>
      <c r="MN16" t="str">
        <v/>
      </c>
      <c r="MO16" t="str">
        <v/>
      </c>
      <c r="MP16" t="str">
        <v/>
      </c>
      <c r="MQ16" t="str">
        <v/>
      </c>
      <c r="MR16" t="str">
        <v/>
      </c>
      <c r="MS16" t="str">
        <v/>
      </c>
      <c r="MT16" t="str">
        <v/>
      </c>
      <c r="MU16" t="str">
        <v/>
      </c>
      <c r="MV16" t="str">
        <v/>
      </c>
      <c r="MW16" t="str">
        <v/>
      </c>
      <c r="MX16" t="str">
        <v/>
      </c>
      <c r="MY16" t="str">
        <v/>
      </c>
      <c r="MZ16" t="str">
        <v/>
      </c>
      <c r="NA16" t="str">
        <v/>
      </c>
      <c r="NB16" t="str">
        <v/>
      </c>
      <c r="NC16" t="str">
        <v/>
      </c>
      <c r="ND16" t="str">
        <v/>
      </c>
      <c r="NE16" t="str">
        <v/>
      </c>
      <c r="NF16" t="str">
        <v/>
      </c>
      <c r="NG16" t="str">
        <v/>
      </c>
      <c r="NH16" t="str">
        <v/>
      </c>
      <c r="NI16" t="str">
        <v/>
      </c>
      <c r="NJ16" t="str">
        <v/>
      </c>
      <c r="NK16" t="str">
        <v/>
      </c>
      <c r="NL16" t="str">
        <v/>
      </c>
      <c r="NM16" t="str">
        <v/>
      </c>
      <c r="NN16" t="str">
        <v/>
      </c>
      <c r="NO16" t="str">
        <v/>
      </c>
      <c r="NP16" t="str">
        <v/>
      </c>
      <c r="NQ16" t="str">
        <v/>
      </c>
      <c r="NR16" t="str">
        <v/>
      </c>
      <c r="NS16" t="str">
        <v/>
      </c>
      <c r="NT16" t="str">
        <v/>
      </c>
      <c r="NU16" t="str">
        <v/>
      </c>
      <c r="NV16" t="str">
        <v/>
      </c>
      <c r="NW16" t="str">
        <v/>
      </c>
      <c r="NX16" t="str">
        <v/>
      </c>
      <c r="NY16" t="str">
        <v/>
      </c>
      <c r="NZ16" t="str">
        <v/>
      </c>
      <c r="OA16" t="str">
        <v/>
      </c>
      <c r="OB16" t="str">
        <v/>
      </c>
      <c r="OC16" t="str">
        <v/>
      </c>
      <c r="OD16" t="str">
        <v/>
      </c>
      <c r="OE16" t="str">
        <v/>
      </c>
      <c r="OF16" t="str">
        <v/>
      </c>
      <c r="OG16" t="str">
        <v/>
      </c>
      <c r="OH16" t="str">
        <v/>
      </c>
      <c r="OI16" t="str">
        <v/>
      </c>
      <c r="OJ16" t="str">
        <v/>
      </c>
      <c r="OK16" t="str">
        <v/>
      </c>
    </row>
    <row r="17" spans="1:401" outlineLevel="1" x14ac:dyDescent="0.3">
      <c r="A17" s="14"/>
      <c r="D17" s="19" t="s">
        <v>327</v>
      </c>
      <c r="E17" s="197"/>
      <c r="F17" s="198" t="s">
        <v>291</v>
      </c>
      <c r="G17" s="76"/>
      <c r="H17" s="110"/>
      <c r="I17" s="111"/>
      <c r="J17" s="65"/>
      <c r="K17" s="55"/>
      <c r="L17" s="66"/>
      <c r="M17" t="s">
        <v>330</v>
      </c>
      <c r="N17" s="8"/>
      <c r="O17" s="208"/>
      <c r="P17" t="str" cm="1">
        <f t="array" ref="P17:OK17">IF((N17&lt;=_xlfn.ANCHORARRAY($P$2))*(_xlfn.ANCHORARRAY($P$2)&lt;O17)," ","")</f>
        <v/>
      </c>
      <c r="Q17" t="str">
        <v/>
      </c>
      <c r="R17" t="str">
        <v/>
      </c>
      <c r="S17" t="str">
        <v/>
      </c>
      <c r="T17" t="str">
        <v/>
      </c>
      <c r="U17" t="str">
        <v/>
      </c>
      <c r="V17" t="str">
        <v/>
      </c>
      <c r="W17" t="str">
        <v/>
      </c>
      <c r="X17" t="str">
        <v/>
      </c>
      <c r="Y17" t="str">
        <v/>
      </c>
      <c r="Z17" t="str">
        <v/>
      </c>
      <c r="AA17" t="str">
        <v/>
      </c>
      <c r="AB17" t="str">
        <v/>
      </c>
      <c r="AC17" t="str">
        <v/>
      </c>
      <c r="AD17" t="str">
        <v/>
      </c>
      <c r="AE17" t="str">
        <v/>
      </c>
      <c r="AF17" t="str">
        <v/>
      </c>
      <c r="AG17" t="str">
        <v/>
      </c>
      <c r="AH17" t="str">
        <v/>
      </c>
      <c r="AI17" t="str">
        <v/>
      </c>
      <c r="AJ17" t="str">
        <v/>
      </c>
      <c r="AK17" t="str">
        <v/>
      </c>
      <c r="AL17" t="str">
        <v/>
      </c>
      <c r="AM17" t="str">
        <v/>
      </c>
      <c r="AN17" t="str">
        <v/>
      </c>
      <c r="AO17" t="str">
        <v/>
      </c>
      <c r="AP17" t="str">
        <v/>
      </c>
      <c r="AQ17" t="str">
        <v/>
      </c>
      <c r="AR17" t="str">
        <v/>
      </c>
      <c r="AS17" t="str">
        <v/>
      </c>
      <c r="AT17" t="str">
        <v/>
      </c>
      <c r="AU17" t="str">
        <v/>
      </c>
      <c r="AV17" t="str">
        <v/>
      </c>
      <c r="AW17" t="str">
        <v/>
      </c>
      <c r="AX17" t="str">
        <v/>
      </c>
      <c r="AY17" t="str">
        <v/>
      </c>
      <c r="AZ17" t="str">
        <v/>
      </c>
      <c r="BA17" t="str">
        <v/>
      </c>
      <c r="BB17" t="str">
        <v/>
      </c>
      <c r="BC17" t="str">
        <v/>
      </c>
      <c r="BD17" t="str">
        <v/>
      </c>
      <c r="BE17" t="str">
        <v/>
      </c>
      <c r="BF17" t="str">
        <v/>
      </c>
      <c r="BG17" t="str">
        <v/>
      </c>
      <c r="BH17" t="str">
        <v/>
      </c>
      <c r="BI17" t="str">
        <v/>
      </c>
      <c r="BJ17" t="str">
        <v/>
      </c>
      <c r="BK17" t="str">
        <v/>
      </c>
      <c r="BL17" t="str">
        <v/>
      </c>
      <c r="BM17" t="str">
        <v/>
      </c>
      <c r="BN17" t="str">
        <v/>
      </c>
      <c r="BO17" t="str">
        <v/>
      </c>
      <c r="BP17" t="str">
        <v/>
      </c>
      <c r="BQ17" t="str">
        <v/>
      </c>
      <c r="BR17" t="str">
        <v/>
      </c>
      <c r="BS17" t="str">
        <v/>
      </c>
      <c r="BT17" t="str">
        <v/>
      </c>
      <c r="BU17" t="str">
        <v/>
      </c>
      <c r="BV17" t="str">
        <v/>
      </c>
      <c r="BW17" t="str">
        <v/>
      </c>
      <c r="BX17" t="str">
        <v/>
      </c>
      <c r="BY17" t="str">
        <v/>
      </c>
      <c r="BZ17" t="str">
        <v/>
      </c>
      <c r="CA17" t="str">
        <v/>
      </c>
      <c r="CB17" t="str">
        <v/>
      </c>
      <c r="CC17" t="str">
        <v/>
      </c>
      <c r="CD17" t="str">
        <v/>
      </c>
      <c r="CE17" t="str">
        <v/>
      </c>
      <c r="CF17" t="str">
        <v/>
      </c>
      <c r="CG17" t="str">
        <v/>
      </c>
      <c r="CH17" t="str">
        <v/>
      </c>
      <c r="CI17" t="str">
        <v/>
      </c>
      <c r="CJ17" t="str">
        <v/>
      </c>
      <c r="CK17" t="str">
        <v/>
      </c>
      <c r="CL17" t="str">
        <v/>
      </c>
      <c r="CM17" t="str">
        <v/>
      </c>
      <c r="CN17" t="str">
        <v/>
      </c>
      <c r="CO17" t="str">
        <v/>
      </c>
      <c r="CP17" t="str">
        <v/>
      </c>
      <c r="CQ17" t="str">
        <v/>
      </c>
      <c r="CR17" t="str">
        <v/>
      </c>
      <c r="CS17" t="str">
        <v/>
      </c>
      <c r="CT17" t="str">
        <v/>
      </c>
      <c r="CU17" t="str">
        <v/>
      </c>
      <c r="CV17" t="str">
        <v/>
      </c>
      <c r="CW17" t="str">
        <v/>
      </c>
      <c r="CX17" t="str">
        <v/>
      </c>
      <c r="CY17" t="str">
        <v/>
      </c>
      <c r="CZ17" t="str">
        <v/>
      </c>
      <c r="DA17" t="str">
        <v/>
      </c>
      <c r="DB17" t="str">
        <v/>
      </c>
      <c r="DC17" t="str">
        <v/>
      </c>
      <c r="DD17" t="str">
        <v/>
      </c>
      <c r="DE17" t="str">
        <v/>
      </c>
      <c r="DF17" t="str">
        <v/>
      </c>
      <c r="DG17" t="str">
        <v/>
      </c>
      <c r="DH17" t="str">
        <v/>
      </c>
      <c r="DI17" t="str">
        <v/>
      </c>
      <c r="DJ17" t="str">
        <v/>
      </c>
      <c r="DK17" t="str">
        <v/>
      </c>
      <c r="DL17" t="str">
        <v/>
      </c>
      <c r="DM17" t="str">
        <v/>
      </c>
      <c r="DN17" t="str">
        <v/>
      </c>
      <c r="DO17" t="str">
        <v/>
      </c>
      <c r="DP17" t="str">
        <v/>
      </c>
      <c r="DQ17" t="str">
        <v/>
      </c>
      <c r="DR17" t="str">
        <v/>
      </c>
      <c r="DS17" t="str">
        <v/>
      </c>
      <c r="DT17" t="str">
        <v/>
      </c>
      <c r="DU17" t="str">
        <v/>
      </c>
      <c r="DV17" t="str">
        <v/>
      </c>
      <c r="DW17" t="str">
        <v/>
      </c>
      <c r="DX17" t="str">
        <v/>
      </c>
      <c r="DY17" t="str">
        <v/>
      </c>
      <c r="DZ17" t="str">
        <v/>
      </c>
      <c r="EA17" t="str">
        <v/>
      </c>
      <c r="EB17" t="str">
        <v/>
      </c>
      <c r="EC17" t="str">
        <v/>
      </c>
      <c r="ED17" t="str">
        <v/>
      </c>
      <c r="EE17" t="str">
        <v/>
      </c>
      <c r="EF17" t="str">
        <v/>
      </c>
      <c r="EG17" t="str">
        <v/>
      </c>
      <c r="EH17" t="str">
        <v/>
      </c>
      <c r="EI17" t="str">
        <v/>
      </c>
      <c r="EJ17" t="str">
        <v/>
      </c>
      <c r="EK17" t="str">
        <v/>
      </c>
      <c r="EL17" t="str">
        <v/>
      </c>
      <c r="EM17" t="str">
        <v/>
      </c>
      <c r="EN17" t="str">
        <v/>
      </c>
      <c r="EO17" t="str">
        <v/>
      </c>
      <c r="EP17" t="str">
        <v/>
      </c>
      <c r="EQ17" t="str">
        <v/>
      </c>
      <c r="ER17" t="str">
        <v/>
      </c>
      <c r="ES17" t="str">
        <v/>
      </c>
      <c r="ET17" t="str">
        <v/>
      </c>
      <c r="EU17" t="str">
        <v/>
      </c>
      <c r="EV17" t="str">
        <v/>
      </c>
      <c r="EW17" t="str">
        <v/>
      </c>
      <c r="EX17" t="str">
        <v/>
      </c>
      <c r="EY17" t="str">
        <v/>
      </c>
      <c r="EZ17" t="str">
        <v/>
      </c>
      <c r="FA17" t="str">
        <v/>
      </c>
      <c r="FB17" t="str">
        <v/>
      </c>
      <c r="FC17" t="str">
        <v/>
      </c>
      <c r="FD17" t="str">
        <v/>
      </c>
      <c r="FE17" t="str">
        <v/>
      </c>
      <c r="FF17" t="str">
        <v/>
      </c>
      <c r="FG17" t="str">
        <v/>
      </c>
      <c r="FH17" t="str">
        <v/>
      </c>
      <c r="FI17" t="str">
        <v/>
      </c>
      <c r="FJ17" t="str">
        <v/>
      </c>
      <c r="FK17" t="str">
        <v/>
      </c>
      <c r="FL17" t="str">
        <v/>
      </c>
      <c r="FM17" t="str">
        <v/>
      </c>
      <c r="FN17" t="str">
        <v/>
      </c>
      <c r="FO17" t="str">
        <v/>
      </c>
      <c r="FP17" t="str">
        <v/>
      </c>
      <c r="FQ17" t="str">
        <v/>
      </c>
      <c r="FR17" t="str">
        <v/>
      </c>
      <c r="FS17" t="str">
        <v/>
      </c>
      <c r="FT17" t="str">
        <v/>
      </c>
      <c r="FU17" t="str">
        <v/>
      </c>
      <c r="FV17" t="str">
        <v/>
      </c>
      <c r="FW17" t="str">
        <v/>
      </c>
      <c r="FX17" t="str">
        <v/>
      </c>
      <c r="FY17" t="str">
        <v/>
      </c>
      <c r="FZ17" t="str">
        <v/>
      </c>
      <c r="GA17" t="str">
        <v/>
      </c>
      <c r="GB17" t="str">
        <v/>
      </c>
      <c r="GC17" t="str">
        <v/>
      </c>
      <c r="GD17" t="str">
        <v/>
      </c>
      <c r="GE17" t="str">
        <v/>
      </c>
      <c r="GF17" t="str">
        <v/>
      </c>
      <c r="GG17" t="str">
        <v/>
      </c>
      <c r="GH17" t="str">
        <v/>
      </c>
      <c r="GI17" t="str">
        <v/>
      </c>
      <c r="GJ17" t="str">
        <v/>
      </c>
      <c r="GK17" t="str">
        <v/>
      </c>
      <c r="GL17" t="str">
        <v/>
      </c>
      <c r="GM17" t="str">
        <v/>
      </c>
      <c r="GN17" t="str">
        <v/>
      </c>
      <c r="GO17" t="str">
        <v/>
      </c>
      <c r="GP17" t="str">
        <v/>
      </c>
      <c r="GQ17" t="str">
        <v/>
      </c>
      <c r="GR17" t="str">
        <v/>
      </c>
      <c r="GS17" t="str">
        <v/>
      </c>
      <c r="GT17" t="str">
        <v/>
      </c>
      <c r="GU17" t="str">
        <v/>
      </c>
      <c r="GV17" t="str">
        <v/>
      </c>
      <c r="GW17" t="str">
        <v/>
      </c>
      <c r="GX17" t="str">
        <v/>
      </c>
      <c r="GY17" t="str">
        <v/>
      </c>
      <c r="GZ17" t="str">
        <v/>
      </c>
      <c r="HA17" t="str">
        <v/>
      </c>
      <c r="HB17" t="str">
        <v/>
      </c>
      <c r="HC17" t="str">
        <v/>
      </c>
      <c r="HD17" t="str">
        <v/>
      </c>
      <c r="HE17" t="str">
        <v/>
      </c>
      <c r="HF17" t="str">
        <v/>
      </c>
      <c r="HG17" t="str">
        <v/>
      </c>
      <c r="HH17" t="str">
        <v/>
      </c>
      <c r="HI17" t="str">
        <v/>
      </c>
      <c r="HJ17" t="str">
        <v/>
      </c>
      <c r="HK17" t="str">
        <v/>
      </c>
      <c r="HL17" t="str">
        <v/>
      </c>
      <c r="HM17" t="str">
        <v/>
      </c>
      <c r="HN17" t="str">
        <v/>
      </c>
      <c r="HO17" t="str">
        <v/>
      </c>
      <c r="HP17" t="str">
        <v/>
      </c>
      <c r="HQ17" t="str">
        <v/>
      </c>
      <c r="HR17" t="str">
        <v/>
      </c>
      <c r="HS17" t="str">
        <v/>
      </c>
      <c r="HT17" t="str">
        <v/>
      </c>
      <c r="HU17" t="str">
        <v/>
      </c>
      <c r="HV17" t="str">
        <v/>
      </c>
      <c r="HW17" t="str">
        <v/>
      </c>
      <c r="HX17" t="str">
        <v/>
      </c>
      <c r="HY17" t="str">
        <v/>
      </c>
      <c r="HZ17" t="str">
        <v/>
      </c>
      <c r="IA17" t="str">
        <v/>
      </c>
      <c r="IB17" t="str">
        <v/>
      </c>
      <c r="IC17" t="str">
        <v/>
      </c>
      <c r="ID17" t="str">
        <v/>
      </c>
      <c r="IE17" t="str">
        <v/>
      </c>
      <c r="IF17" t="str">
        <v/>
      </c>
      <c r="IG17" t="str">
        <v/>
      </c>
      <c r="IH17" t="str">
        <v/>
      </c>
      <c r="II17" t="str">
        <v/>
      </c>
      <c r="IJ17" t="str">
        <v/>
      </c>
      <c r="IK17" t="str">
        <v/>
      </c>
      <c r="IL17" t="str">
        <v/>
      </c>
      <c r="IM17" t="str">
        <v/>
      </c>
      <c r="IN17" t="str">
        <v/>
      </c>
      <c r="IO17" t="str">
        <v/>
      </c>
      <c r="IP17" t="str">
        <v/>
      </c>
      <c r="IQ17" t="str">
        <v/>
      </c>
      <c r="IR17" t="str">
        <v/>
      </c>
      <c r="IS17" t="str">
        <v/>
      </c>
      <c r="IT17" t="str">
        <v/>
      </c>
      <c r="IU17" t="str">
        <v/>
      </c>
      <c r="IV17" t="str">
        <v/>
      </c>
      <c r="IW17" t="str">
        <v/>
      </c>
      <c r="IX17" t="str">
        <v/>
      </c>
      <c r="IY17" t="str">
        <v/>
      </c>
      <c r="IZ17" t="str">
        <v/>
      </c>
      <c r="JA17" t="str">
        <v/>
      </c>
      <c r="JB17" t="str">
        <v/>
      </c>
      <c r="JC17" t="str">
        <v/>
      </c>
      <c r="JD17" t="str">
        <v/>
      </c>
      <c r="JE17" t="str">
        <v/>
      </c>
      <c r="JF17" t="str">
        <v/>
      </c>
      <c r="JG17" t="str">
        <v/>
      </c>
      <c r="JH17" t="str">
        <v/>
      </c>
      <c r="JI17" t="str">
        <v/>
      </c>
      <c r="JJ17" t="str">
        <v/>
      </c>
      <c r="JK17" t="str">
        <v/>
      </c>
      <c r="JL17" t="str">
        <v/>
      </c>
      <c r="JM17" t="str">
        <v/>
      </c>
      <c r="JN17" t="str">
        <v/>
      </c>
      <c r="JO17" t="str">
        <v/>
      </c>
      <c r="JP17" t="str">
        <v/>
      </c>
      <c r="JQ17" t="str">
        <v/>
      </c>
      <c r="JR17" t="str">
        <v/>
      </c>
      <c r="JS17" t="str">
        <v/>
      </c>
      <c r="JT17" t="str">
        <v/>
      </c>
      <c r="JU17" t="str">
        <v/>
      </c>
      <c r="JV17" t="str">
        <v/>
      </c>
      <c r="JW17" t="str">
        <v/>
      </c>
      <c r="JX17" t="str">
        <v/>
      </c>
      <c r="JY17" t="str">
        <v/>
      </c>
      <c r="JZ17" t="str">
        <v/>
      </c>
      <c r="KA17" t="str">
        <v/>
      </c>
      <c r="KB17" t="str">
        <v/>
      </c>
      <c r="KC17" t="str">
        <v/>
      </c>
      <c r="KD17" t="str">
        <v/>
      </c>
      <c r="KE17" t="str">
        <v/>
      </c>
      <c r="KF17" t="str">
        <v/>
      </c>
      <c r="KG17" t="str">
        <v/>
      </c>
      <c r="KH17" t="str">
        <v/>
      </c>
      <c r="KI17" t="str">
        <v/>
      </c>
      <c r="KJ17" t="str">
        <v/>
      </c>
      <c r="KK17" t="str">
        <v/>
      </c>
      <c r="KL17" t="str">
        <v/>
      </c>
      <c r="KM17" t="str">
        <v/>
      </c>
      <c r="KN17" t="str">
        <v/>
      </c>
      <c r="KO17" t="str">
        <v/>
      </c>
      <c r="KP17" t="str">
        <v/>
      </c>
      <c r="KQ17" t="str">
        <v/>
      </c>
      <c r="KR17" t="str">
        <v/>
      </c>
      <c r="KS17" t="str">
        <v/>
      </c>
      <c r="KT17" t="str">
        <v/>
      </c>
      <c r="KU17" t="str">
        <v/>
      </c>
      <c r="KV17" t="str">
        <v/>
      </c>
      <c r="KW17" t="str">
        <v/>
      </c>
      <c r="KX17" t="str">
        <v/>
      </c>
      <c r="KY17" t="str">
        <v/>
      </c>
      <c r="KZ17" t="str">
        <v/>
      </c>
      <c r="LA17" t="str">
        <v/>
      </c>
      <c r="LB17" t="str">
        <v/>
      </c>
      <c r="LC17" t="str">
        <v/>
      </c>
      <c r="LD17" t="str">
        <v/>
      </c>
      <c r="LE17" t="str">
        <v/>
      </c>
      <c r="LF17" t="str">
        <v/>
      </c>
      <c r="LG17" t="str">
        <v/>
      </c>
      <c r="LH17" t="str">
        <v/>
      </c>
      <c r="LI17" t="str">
        <v/>
      </c>
      <c r="LJ17" t="str">
        <v/>
      </c>
      <c r="LK17" t="str">
        <v/>
      </c>
      <c r="LL17" t="str">
        <v/>
      </c>
      <c r="LM17" t="str">
        <v/>
      </c>
      <c r="LN17" t="str">
        <v/>
      </c>
      <c r="LO17" t="str">
        <v/>
      </c>
      <c r="LP17" t="str">
        <v/>
      </c>
      <c r="LQ17" t="str">
        <v/>
      </c>
      <c r="LR17" t="str">
        <v/>
      </c>
      <c r="LS17" t="str">
        <v/>
      </c>
      <c r="LT17" t="str">
        <v/>
      </c>
      <c r="LU17" t="str">
        <v/>
      </c>
      <c r="LV17" t="str">
        <v/>
      </c>
      <c r="LW17" t="str">
        <v/>
      </c>
      <c r="LX17" t="str">
        <v/>
      </c>
      <c r="LY17" t="str">
        <v/>
      </c>
      <c r="LZ17" t="str">
        <v/>
      </c>
      <c r="MA17" t="str">
        <v/>
      </c>
      <c r="MB17" t="str">
        <v/>
      </c>
      <c r="MC17" t="str">
        <v/>
      </c>
      <c r="MD17" t="str">
        <v/>
      </c>
      <c r="ME17" t="str">
        <v/>
      </c>
      <c r="MF17" t="str">
        <v/>
      </c>
      <c r="MG17" t="str">
        <v/>
      </c>
      <c r="MH17" t="str">
        <v/>
      </c>
      <c r="MI17" t="str">
        <v/>
      </c>
      <c r="MJ17" t="str">
        <v/>
      </c>
      <c r="MK17" t="str">
        <v/>
      </c>
      <c r="ML17" t="str">
        <v/>
      </c>
      <c r="MM17" t="str">
        <v/>
      </c>
      <c r="MN17" t="str">
        <v/>
      </c>
      <c r="MO17" t="str">
        <v/>
      </c>
      <c r="MP17" t="str">
        <v/>
      </c>
      <c r="MQ17" t="str">
        <v/>
      </c>
      <c r="MR17" t="str">
        <v/>
      </c>
      <c r="MS17" t="str">
        <v/>
      </c>
      <c r="MT17" t="str">
        <v/>
      </c>
      <c r="MU17" t="str">
        <v/>
      </c>
      <c r="MV17" t="str">
        <v/>
      </c>
      <c r="MW17" t="str">
        <v/>
      </c>
      <c r="MX17" t="str">
        <v/>
      </c>
      <c r="MY17" t="str">
        <v/>
      </c>
      <c r="MZ17" t="str">
        <v/>
      </c>
      <c r="NA17" t="str">
        <v/>
      </c>
      <c r="NB17" t="str">
        <v/>
      </c>
      <c r="NC17" t="str">
        <v/>
      </c>
      <c r="ND17" t="str">
        <v/>
      </c>
      <c r="NE17" t="str">
        <v/>
      </c>
      <c r="NF17" t="str">
        <v/>
      </c>
      <c r="NG17" t="str">
        <v/>
      </c>
      <c r="NH17" t="str">
        <v/>
      </c>
      <c r="NI17" t="str">
        <v/>
      </c>
      <c r="NJ17" t="str">
        <v/>
      </c>
      <c r="NK17" t="str">
        <v/>
      </c>
      <c r="NL17" t="str">
        <v/>
      </c>
      <c r="NM17" t="str">
        <v/>
      </c>
      <c r="NN17" t="str">
        <v/>
      </c>
      <c r="NO17" t="str">
        <v/>
      </c>
      <c r="NP17" t="str">
        <v/>
      </c>
      <c r="NQ17" t="str">
        <v/>
      </c>
      <c r="NR17" t="str">
        <v/>
      </c>
      <c r="NS17" t="str">
        <v/>
      </c>
      <c r="NT17" t="str">
        <v/>
      </c>
      <c r="NU17" t="str">
        <v/>
      </c>
      <c r="NV17" t="str">
        <v/>
      </c>
      <c r="NW17" t="str">
        <v/>
      </c>
      <c r="NX17" t="str">
        <v/>
      </c>
      <c r="NY17" t="str">
        <v/>
      </c>
      <c r="NZ17" t="str">
        <v/>
      </c>
      <c r="OA17" t="str">
        <v/>
      </c>
      <c r="OB17" t="str">
        <v/>
      </c>
      <c r="OC17" t="str">
        <v/>
      </c>
      <c r="OD17" t="str">
        <v/>
      </c>
      <c r="OE17" t="str">
        <v/>
      </c>
      <c r="OF17" t="str">
        <v/>
      </c>
      <c r="OG17" t="str">
        <v/>
      </c>
      <c r="OH17" t="str">
        <v/>
      </c>
      <c r="OI17" t="str">
        <v/>
      </c>
      <c r="OJ17" t="str">
        <v/>
      </c>
      <c r="OK17" t="str">
        <v/>
      </c>
    </row>
    <row r="18" spans="1:401" outlineLevel="1" x14ac:dyDescent="0.3">
      <c r="A18" s="14"/>
      <c r="D18" s="19" t="s">
        <v>328</v>
      </c>
      <c r="E18" s="197"/>
      <c r="F18" s="198" t="s">
        <v>291</v>
      </c>
      <c r="G18" s="76"/>
      <c r="H18" s="110"/>
      <c r="I18" s="111"/>
      <c r="J18" s="65"/>
      <c r="K18" s="55"/>
      <c r="L18" s="66"/>
      <c r="M18" t="s">
        <v>329</v>
      </c>
      <c r="N18" s="8"/>
      <c r="O18" s="208"/>
      <c r="P18" t="str" cm="1">
        <f t="array" ref="P18:OK18">IF((N18&lt;=_xlfn.ANCHORARRAY($P$2))*(_xlfn.ANCHORARRAY($P$2)&lt;O18)," ","")</f>
        <v/>
      </c>
      <c r="Q18" t="str">
        <v/>
      </c>
      <c r="R18" t="str">
        <v/>
      </c>
      <c r="S18" t="str">
        <v/>
      </c>
      <c r="T18" t="str">
        <v/>
      </c>
      <c r="U18" t="str">
        <v/>
      </c>
      <c r="V18" t="str">
        <v/>
      </c>
      <c r="W18" t="str">
        <v/>
      </c>
      <c r="X18" t="str">
        <v/>
      </c>
      <c r="Y18" t="str">
        <v/>
      </c>
      <c r="Z18" t="str">
        <v/>
      </c>
      <c r="AA18" t="str">
        <v/>
      </c>
      <c r="AB18" t="str">
        <v/>
      </c>
      <c r="AC18" t="str">
        <v/>
      </c>
      <c r="AD18" t="str">
        <v/>
      </c>
      <c r="AE18" t="str">
        <v/>
      </c>
      <c r="AF18" t="str">
        <v/>
      </c>
      <c r="AG18" t="str">
        <v/>
      </c>
      <c r="AH18" t="str">
        <v/>
      </c>
      <c r="AI18" t="str">
        <v/>
      </c>
      <c r="AJ18" t="str">
        <v/>
      </c>
      <c r="AK18" t="str">
        <v/>
      </c>
      <c r="AL18" t="str">
        <v/>
      </c>
      <c r="AM18" t="str">
        <v/>
      </c>
      <c r="AN18" t="str">
        <v/>
      </c>
      <c r="AO18" t="str">
        <v/>
      </c>
      <c r="AP18" t="str">
        <v/>
      </c>
      <c r="AQ18" t="str">
        <v/>
      </c>
      <c r="AR18" t="str">
        <v/>
      </c>
      <c r="AS18" t="str">
        <v/>
      </c>
      <c r="AT18" t="str">
        <v/>
      </c>
      <c r="AU18" t="str">
        <v/>
      </c>
      <c r="AV18" t="str">
        <v/>
      </c>
      <c r="AW18" t="str">
        <v/>
      </c>
      <c r="AX18" t="str">
        <v/>
      </c>
      <c r="AY18" t="str">
        <v/>
      </c>
      <c r="AZ18" t="str">
        <v/>
      </c>
      <c r="BA18" t="str">
        <v/>
      </c>
      <c r="BB18" t="str">
        <v/>
      </c>
      <c r="BC18" t="str">
        <v/>
      </c>
      <c r="BD18" t="str">
        <v/>
      </c>
      <c r="BE18" t="str">
        <v/>
      </c>
      <c r="BF18" t="str">
        <v/>
      </c>
      <c r="BG18" t="str">
        <v/>
      </c>
      <c r="BH18" t="str">
        <v/>
      </c>
      <c r="BI18" t="str">
        <v/>
      </c>
      <c r="BJ18" t="str">
        <v/>
      </c>
      <c r="BK18" t="str">
        <v/>
      </c>
      <c r="BL18" t="str">
        <v/>
      </c>
      <c r="BM18" t="str">
        <v/>
      </c>
      <c r="BN18" t="str">
        <v/>
      </c>
      <c r="BO18" t="str">
        <v/>
      </c>
      <c r="BP18" t="str">
        <v/>
      </c>
      <c r="BQ18" t="str">
        <v/>
      </c>
      <c r="BR18" t="str">
        <v/>
      </c>
      <c r="BS18" t="str">
        <v/>
      </c>
      <c r="BT18" t="str">
        <v/>
      </c>
      <c r="BU18" t="str">
        <v/>
      </c>
      <c r="BV18" t="str">
        <v/>
      </c>
      <c r="BW18" t="str">
        <v/>
      </c>
      <c r="BX18" t="str">
        <v/>
      </c>
      <c r="BY18" t="str">
        <v/>
      </c>
      <c r="BZ18" t="str">
        <v/>
      </c>
      <c r="CA18" t="str">
        <v/>
      </c>
      <c r="CB18" t="str">
        <v/>
      </c>
      <c r="CC18" t="str">
        <v/>
      </c>
      <c r="CD18" t="str">
        <v/>
      </c>
      <c r="CE18" t="str">
        <v/>
      </c>
      <c r="CF18" t="str">
        <v/>
      </c>
      <c r="CG18" t="str">
        <v/>
      </c>
      <c r="CH18" t="str">
        <v/>
      </c>
      <c r="CI18" t="str">
        <v/>
      </c>
      <c r="CJ18" t="str">
        <v/>
      </c>
      <c r="CK18" t="str">
        <v/>
      </c>
      <c r="CL18" t="str">
        <v/>
      </c>
      <c r="CM18" t="str">
        <v/>
      </c>
      <c r="CN18" t="str">
        <v/>
      </c>
      <c r="CO18" t="str">
        <v/>
      </c>
      <c r="CP18" t="str">
        <v/>
      </c>
      <c r="CQ18" t="str">
        <v/>
      </c>
      <c r="CR18" t="str">
        <v/>
      </c>
      <c r="CS18" t="str">
        <v/>
      </c>
      <c r="CT18" t="str">
        <v/>
      </c>
      <c r="CU18" t="str">
        <v/>
      </c>
      <c r="CV18" t="str">
        <v/>
      </c>
      <c r="CW18" t="str">
        <v/>
      </c>
      <c r="CX18" t="str">
        <v/>
      </c>
      <c r="CY18" t="str">
        <v/>
      </c>
      <c r="CZ18" t="str">
        <v/>
      </c>
      <c r="DA18" t="str">
        <v/>
      </c>
      <c r="DB18" t="str">
        <v/>
      </c>
      <c r="DC18" t="str">
        <v/>
      </c>
      <c r="DD18" t="str">
        <v/>
      </c>
      <c r="DE18" t="str">
        <v/>
      </c>
      <c r="DF18" t="str">
        <v/>
      </c>
      <c r="DG18" t="str">
        <v/>
      </c>
      <c r="DH18" t="str">
        <v/>
      </c>
      <c r="DI18" t="str">
        <v/>
      </c>
      <c r="DJ18" t="str">
        <v/>
      </c>
      <c r="DK18" t="str">
        <v/>
      </c>
      <c r="DL18" t="str">
        <v/>
      </c>
      <c r="DM18" t="str">
        <v/>
      </c>
      <c r="DN18" t="str">
        <v/>
      </c>
      <c r="DO18" t="str">
        <v/>
      </c>
      <c r="DP18" t="str">
        <v/>
      </c>
      <c r="DQ18" t="str">
        <v/>
      </c>
      <c r="DR18" t="str">
        <v/>
      </c>
      <c r="DS18" t="str">
        <v/>
      </c>
      <c r="DT18" t="str">
        <v/>
      </c>
      <c r="DU18" t="str">
        <v/>
      </c>
      <c r="DV18" t="str">
        <v/>
      </c>
      <c r="DW18" t="str">
        <v/>
      </c>
      <c r="DX18" t="str">
        <v/>
      </c>
      <c r="DY18" t="str">
        <v/>
      </c>
      <c r="DZ18" t="str">
        <v/>
      </c>
      <c r="EA18" t="str">
        <v/>
      </c>
      <c r="EB18" t="str">
        <v/>
      </c>
      <c r="EC18" t="str">
        <v/>
      </c>
      <c r="ED18" t="str">
        <v/>
      </c>
      <c r="EE18" t="str">
        <v/>
      </c>
      <c r="EF18" t="str">
        <v/>
      </c>
      <c r="EG18" t="str">
        <v/>
      </c>
      <c r="EH18" t="str">
        <v/>
      </c>
      <c r="EI18" t="str">
        <v/>
      </c>
      <c r="EJ18" t="str">
        <v/>
      </c>
      <c r="EK18" t="str">
        <v/>
      </c>
      <c r="EL18" t="str">
        <v/>
      </c>
      <c r="EM18" t="str">
        <v/>
      </c>
      <c r="EN18" t="str">
        <v/>
      </c>
      <c r="EO18" t="str">
        <v/>
      </c>
      <c r="EP18" t="str">
        <v/>
      </c>
      <c r="EQ18" t="str">
        <v/>
      </c>
      <c r="ER18" t="str">
        <v/>
      </c>
      <c r="ES18" t="str">
        <v/>
      </c>
      <c r="ET18" t="str">
        <v/>
      </c>
      <c r="EU18" t="str">
        <v/>
      </c>
      <c r="EV18" t="str">
        <v/>
      </c>
      <c r="EW18" t="str">
        <v/>
      </c>
      <c r="EX18" t="str">
        <v/>
      </c>
      <c r="EY18" t="str">
        <v/>
      </c>
      <c r="EZ18" t="str">
        <v/>
      </c>
      <c r="FA18" t="str">
        <v/>
      </c>
      <c r="FB18" t="str">
        <v/>
      </c>
      <c r="FC18" t="str">
        <v/>
      </c>
      <c r="FD18" t="str">
        <v/>
      </c>
      <c r="FE18" t="str">
        <v/>
      </c>
      <c r="FF18" t="str">
        <v/>
      </c>
      <c r="FG18" t="str">
        <v/>
      </c>
      <c r="FH18" t="str">
        <v/>
      </c>
      <c r="FI18" t="str">
        <v/>
      </c>
      <c r="FJ18" t="str">
        <v/>
      </c>
      <c r="FK18" t="str">
        <v/>
      </c>
      <c r="FL18" t="str">
        <v/>
      </c>
      <c r="FM18" t="str">
        <v/>
      </c>
      <c r="FN18" t="str">
        <v/>
      </c>
      <c r="FO18" t="str">
        <v/>
      </c>
      <c r="FP18" t="str">
        <v/>
      </c>
      <c r="FQ18" t="str">
        <v/>
      </c>
      <c r="FR18" t="str">
        <v/>
      </c>
      <c r="FS18" t="str">
        <v/>
      </c>
      <c r="FT18" t="str">
        <v/>
      </c>
      <c r="FU18" t="str">
        <v/>
      </c>
      <c r="FV18" t="str">
        <v/>
      </c>
      <c r="FW18" t="str">
        <v/>
      </c>
      <c r="FX18" t="str">
        <v/>
      </c>
      <c r="FY18" t="str">
        <v/>
      </c>
      <c r="FZ18" t="str">
        <v/>
      </c>
      <c r="GA18" t="str">
        <v/>
      </c>
      <c r="GB18" t="str">
        <v/>
      </c>
      <c r="GC18" t="str">
        <v/>
      </c>
      <c r="GD18" t="str">
        <v/>
      </c>
      <c r="GE18" t="str">
        <v/>
      </c>
      <c r="GF18" t="str">
        <v/>
      </c>
      <c r="GG18" t="str">
        <v/>
      </c>
      <c r="GH18" t="str">
        <v/>
      </c>
      <c r="GI18" t="str">
        <v/>
      </c>
      <c r="GJ18" t="str">
        <v/>
      </c>
      <c r="GK18" t="str">
        <v/>
      </c>
      <c r="GL18" t="str">
        <v/>
      </c>
      <c r="GM18" t="str">
        <v/>
      </c>
      <c r="GN18" t="str">
        <v/>
      </c>
      <c r="GO18" t="str">
        <v/>
      </c>
      <c r="GP18" t="str">
        <v/>
      </c>
      <c r="GQ18" t="str">
        <v/>
      </c>
      <c r="GR18" t="str">
        <v/>
      </c>
      <c r="GS18" t="str">
        <v/>
      </c>
      <c r="GT18" t="str">
        <v/>
      </c>
      <c r="GU18" t="str">
        <v/>
      </c>
      <c r="GV18" t="str">
        <v/>
      </c>
      <c r="GW18" t="str">
        <v/>
      </c>
      <c r="GX18" t="str">
        <v/>
      </c>
      <c r="GY18" t="str">
        <v/>
      </c>
      <c r="GZ18" t="str">
        <v/>
      </c>
      <c r="HA18" t="str">
        <v/>
      </c>
      <c r="HB18" t="str">
        <v/>
      </c>
      <c r="HC18" t="str">
        <v/>
      </c>
      <c r="HD18" t="str">
        <v/>
      </c>
      <c r="HE18" t="str">
        <v/>
      </c>
      <c r="HF18" t="str">
        <v/>
      </c>
      <c r="HG18" t="str">
        <v/>
      </c>
      <c r="HH18" t="str">
        <v/>
      </c>
      <c r="HI18" t="str">
        <v/>
      </c>
      <c r="HJ18" t="str">
        <v/>
      </c>
      <c r="HK18" t="str">
        <v/>
      </c>
      <c r="HL18" t="str">
        <v/>
      </c>
      <c r="HM18" t="str">
        <v/>
      </c>
      <c r="HN18" t="str">
        <v/>
      </c>
      <c r="HO18" t="str">
        <v/>
      </c>
      <c r="HP18" t="str">
        <v/>
      </c>
      <c r="HQ18" t="str">
        <v/>
      </c>
      <c r="HR18" t="str">
        <v/>
      </c>
      <c r="HS18" t="str">
        <v/>
      </c>
      <c r="HT18" t="str">
        <v/>
      </c>
      <c r="HU18" t="str">
        <v/>
      </c>
      <c r="HV18" t="str">
        <v/>
      </c>
      <c r="HW18" t="str">
        <v/>
      </c>
      <c r="HX18" t="str">
        <v/>
      </c>
      <c r="HY18" t="str">
        <v/>
      </c>
      <c r="HZ18" t="str">
        <v/>
      </c>
      <c r="IA18" t="str">
        <v/>
      </c>
      <c r="IB18" t="str">
        <v/>
      </c>
      <c r="IC18" t="str">
        <v/>
      </c>
      <c r="ID18" t="str">
        <v/>
      </c>
      <c r="IE18" t="str">
        <v/>
      </c>
      <c r="IF18" t="str">
        <v/>
      </c>
      <c r="IG18" t="str">
        <v/>
      </c>
      <c r="IH18" t="str">
        <v/>
      </c>
      <c r="II18" t="str">
        <v/>
      </c>
      <c r="IJ18" t="str">
        <v/>
      </c>
      <c r="IK18" t="str">
        <v/>
      </c>
      <c r="IL18" t="str">
        <v/>
      </c>
      <c r="IM18" t="str">
        <v/>
      </c>
      <c r="IN18" t="str">
        <v/>
      </c>
      <c r="IO18" t="str">
        <v/>
      </c>
      <c r="IP18" t="str">
        <v/>
      </c>
      <c r="IQ18" t="str">
        <v/>
      </c>
      <c r="IR18" t="str">
        <v/>
      </c>
      <c r="IS18" t="str">
        <v/>
      </c>
      <c r="IT18" t="str">
        <v/>
      </c>
      <c r="IU18" t="str">
        <v/>
      </c>
      <c r="IV18" t="str">
        <v/>
      </c>
      <c r="IW18" t="str">
        <v/>
      </c>
      <c r="IX18" t="str">
        <v/>
      </c>
      <c r="IY18" t="str">
        <v/>
      </c>
      <c r="IZ18" t="str">
        <v/>
      </c>
      <c r="JA18" t="str">
        <v/>
      </c>
      <c r="JB18" t="str">
        <v/>
      </c>
      <c r="JC18" t="str">
        <v/>
      </c>
      <c r="JD18" t="str">
        <v/>
      </c>
      <c r="JE18" t="str">
        <v/>
      </c>
      <c r="JF18" t="str">
        <v/>
      </c>
      <c r="JG18" t="str">
        <v/>
      </c>
      <c r="JH18" t="str">
        <v/>
      </c>
      <c r="JI18" t="str">
        <v/>
      </c>
      <c r="JJ18" t="str">
        <v/>
      </c>
      <c r="JK18" t="str">
        <v/>
      </c>
      <c r="JL18" t="str">
        <v/>
      </c>
      <c r="JM18" t="str">
        <v/>
      </c>
      <c r="JN18" t="str">
        <v/>
      </c>
      <c r="JO18" t="str">
        <v/>
      </c>
      <c r="JP18" t="str">
        <v/>
      </c>
      <c r="JQ18" t="str">
        <v/>
      </c>
      <c r="JR18" t="str">
        <v/>
      </c>
      <c r="JS18" t="str">
        <v/>
      </c>
      <c r="JT18" t="str">
        <v/>
      </c>
      <c r="JU18" t="str">
        <v/>
      </c>
      <c r="JV18" t="str">
        <v/>
      </c>
      <c r="JW18" t="str">
        <v/>
      </c>
      <c r="JX18" t="str">
        <v/>
      </c>
      <c r="JY18" t="str">
        <v/>
      </c>
      <c r="JZ18" t="str">
        <v/>
      </c>
      <c r="KA18" t="str">
        <v/>
      </c>
      <c r="KB18" t="str">
        <v/>
      </c>
      <c r="KC18" t="str">
        <v/>
      </c>
      <c r="KD18" t="str">
        <v/>
      </c>
      <c r="KE18" t="str">
        <v/>
      </c>
      <c r="KF18" t="str">
        <v/>
      </c>
      <c r="KG18" t="str">
        <v/>
      </c>
      <c r="KH18" t="str">
        <v/>
      </c>
      <c r="KI18" t="str">
        <v/>
      </c>
      <c r="KJ18" t="str">
        <v/>
      </c>
      <c r="KK18" t="str">
        <v/>
      </c>
      <c r="KL18" t="str">
        <v/>
      </c>
      <c r="KM18" t="str">
        <v/>
      </c>
      <c r="KN18" t="str">
        <v/>
      </c>
      <c r="KO18" t="str">
        <v/>
      </c>
      <c r="KP18" t="str">
        <v/>
      </c>
      <c r="KQ18" t="str">
        <v/>
      </c>
      <c r="KR18" t="str">
        <v/>
      </c>
      <c r="KS18" t="str">
        <v/>
      </c>
      <c r="KT18" t="str">
        <v/>
      </c>
      <c r="KU18" t="str">
        <v/>
      </c>
      <c r="KV18" t="str">
        <v/>
      </c>
      <c r="KW18" t="str">
        <v/>
      </c>
      <c r="KX18" t="str">
        <v/>
      </c>
      <c r="KY18" t="str">
        <v/>
      </c>
      <c r="KZ18" t="str">
        <v/>
      </c>
      <c r="LA18" t="str">
        <v/>
      </c>
      <c r="LB18" t="str">
        <v/>
      </c>
      <c r="LC18" t="str">
        <v/>
      </c>
      <c r="LD18" t="str">
        <v/>
      </c>
      <c r="LE18" t="str">
        <v/>
      </c>
      <c r="LF18" t="str">
        <v/>
      </c>
      <c r="LG18" t="str">
        <v/>
      </c>
      <c r="LH18" t="str">
        <v/>
      </c>
      <c r="LI18" t="str">
        <v/>
      </c>
      <c r="LJ18" t="str">
        <v/>
      </c>
      <c r="LK18" t="str">
        <v/>
      </c>
      <c r="LL18" t="str">
        <v/>
      </c>
      <c r="LM18" t="str">
        <v/>
      </c>
      <c r="LN18" t="str">
        <v/>
      </c>
      <c r="LO18" t="str">
        <v/>
      </c>
      <c r="LP18" t="str">
        <v/>
      </c>
      <c r="LQ18" t="str">
        <v/>
      </c>
      <c r="LR18" t="str">
        <v/>
      </c>
      <c r="LS18" t="str">
        <v/>
      </c>
      <c r="LT18" t="str">
        <v/>
      </c>
      <c r="LU18" t="str">
        <v/>
      </c>
      <c r="LV18" t="str">
        <v/>
      </c>
      <c r="LW18" t="str">
        <v/>
      </c>
      <c r="LX18" t="str">
        <v/>
      </c>
      <c r="LY18" t="str">
        <v/>
      </c>
      <c r="LZ18" t="str">
        <v/>
      </c>
      <c r="MA18" t="str">
        <v/>
      </c>
      <c r="MB18" t="str">
        <v/>
      </c>
      <c r="MC18" t="str">
        <v/>
      </c>
      <c r="MD18" t="str">
        <v/>
      </c>
      <c r="ME18" t="str">
        <v/>
      </c>
      <c r="MF18" t="str">
        <v/>
      </c>
      <c r="MG18" t="str">
        <v/>
      </c>
      <c r="MH18" t="str">
        <v/>
      </c>
      <c r="MI18" t="str">
        <v/>
      </c>
      <c r="MJ18" t="str">
        <v/>
      </c>
      <c r="MK18" t="str">
        <v/>
      </c>
      <c r="ML18" t="str">
        <v/>
      </c>
      <c r="MM18" t="str">
        <v/>
      </c>
      <c r="MN18" t="str">
        <v/>
      </c>
      <c r="MO18" t="str">
        <v/>
      </c>
      <c r="MP18" t="str">
        <v/>
      </c>
      <c r="MQ18" t="str">
        <v/>
      </c>
      <c r="MR18" t="str">
        <v/>
      </c>
      <c r="MS18" t="str">
        <v/>
      </c>
      <c r="MT18" t="str">
        <v/>
      </c>
      <c r="MU18" t="str">
        <v/>
      </c>
      <c r="MV18" t="str">
        <v/>
      </c>
      <c r="MW18" t="str">
        <v/>
      </c>
      <c r="MX18" t="str">
        <v/>
      </c>
      <c r="MY18" t="str">
        <v/>
      </c>
      <c r="MZ18" t="str">
        <v/>
      </c>
      <c r="NA18" t="str">
        <v/>
      </c>
      <c r="NB18" t="str">
        <v/>
      </c>
      <c r="NC18" t="str">
        <v/>
      </c>
      <c r="ND18" t="str">
        <v/>
      </c>
      <c r="NE18" t="str">
        <v/>
      </c>
      <c r="NF18" t="str">
        <v/>
      </c>
      <c r="NG18" t="str">
        <v/>
      </c>
      <c r="NH18" t="str">
        <v/>
      </c>
      <c r="NI18" t="str">
        <v/>
      </c>
      <c r="NJ18" t="str">
        <v/>
      </c>
      <c r="NK18" t="str">
        <v/>
      </c>
      <c r="NL18" t="str">
        <v/>
      </c>
      <c r="NM18" t="str">
        <v/>
      </c>
      <c r="NN18" t="str">
        <v/>
      </c>
      <c r="NO18" t="str">
        <v/>
      </c>
      <c r="NP18" t="str">
        <v/>
      </c>
      <c r="NQ18" t="str">
        <v/>
      </c>
      <c r="NR18" t="str">
        <v/>
      </c>
      <c r="NS18" t="str">
        <v/>
      </c>
      <c r="NT18" t="str">
        <v/>
      </c>
      <c r="NU18" t="str">
        <v/>
      </c>
      <c r="NV18" t="str">
        <v/>
      </c>
      <c r="NW18" t="str">
        <v/>
      </c>
      <c r="NX18" t="str">
        <v/>
      </c>
      <c r="NY18" t="str">
        <v/>
      </c>
      <c r="NZ18" t="str">
        <v/>
      </c>
      <c r="OA18" t="str">
        <v/>
      </c>
      <c r="OB18" t="str">
        <v/>
      </c>
      <c r="OC18" t="str">
        <v/>
      </c>
      <c r="OD18" t="str">
        <v/>
      </c>
      <c r="OE18" t="str">
        <v/>
      </c>
      <c r="OF18" t="str">
        <v/>
      </c>
      <c r="OG18" t="str">
        <v/>
      </c>
      <c r="OH18" t="str">
        <v/>
      </c>
      <c r="OI18" t="str">
        <v/>
      </c>
      <c r="OJ18" t="str">
        <v/>
      </c>
      <c r="OK18" t="str">
        <v/>
      </c>
    </row>
    <row r="19" spans="1:401" outlineLevel="1" x14ac:dyDescent="0.3">
      <c r="A19" s="14"/>
      <c r="D19" s="19" t="s">
        <v>332</v>
      </c>
      <c r="E19" s="197"/>
      <c r="F19" s="198" t="s">
        <v>291</v>
      </c>
      <c r="G19" s="76"/>
      <c r="H19" s="110"/>
      <c r="I19" s="111"/>
      <c r="J19" s="65"/>
      <c r="K19" s="55"/>
      <c r="L19" s="66"/>
      <c r="M19" t="s">
        <v>333</v>
      </c>
      <c r="N19" s="8"/>
      <c r="O19" s="208"/>
      <c r="P19" t="str" cm="1">
        <f t="array" ref="P19:OK19">IF((N19&lt;=_xlfn.ANCHORARRAY($P$2))*(_xlfn.ANCHORARRAY($P$2)&lt;O19)," ","")</f>
        <v/>
      </c>
      <c r="Q19" t="str">
        <v/>
      </c>
      <c r="R19" t="str">
        <v/>
      </c>
      <c r="S19" t="str">
        <v/>
      </c>
      <c r="T19" t="str">
        <v/>
      </c>
      <c r="U19" t="str">
        <v/>
      </c>
      <c r="V19" t="str">
        <v/>
      </c>
      <c r="W19" t="str">
        <v/>
      </c>
      <c r="X19" t="str">
        <v/>
      </c>
      <c r="Y19" t="str">
        <v/>
      </c>
      <c r="Z19" t="str">
        <v/>
      </c>
      <c r="AA19" t="str">
        <v/>
      </c>
      <c r="AB19" t="str">
        <v/>
      </c>
      <c r="AC19" t="str">
        <v/>
      </c>
      <c r="AD19" t="str">
        <v/>
      </c>
      <c r="AE19" t="str">
        <v/>
      </c>
      <c r="AF19" t="str">
        <v/>
      </c>
      <c r="AG19" t="str">
        <v/>
      </c>
      <c r="AH19" t="str">
        <v/>
      </c>
      <c r="AI19" t="str">
        <v/>
      </c>
      <c r="AJ19" t="str">
        <v/>
      </c>
      <c r="AK19" t="str">
        <v/>
      </c>
      <c r="AL19" t="str">
        <v/>
      </c>
      <c r="AM19" t="str">
        <v/>
      </c>
      <c r="AN19" t="str">
        <v/>
      </c>
      <c r="AO19" t="str">
        <v/>
      </c>
      <c r="AP19" t="str">
        <v/>
      </c>
      <c r="AQ19" t="str">
        <v/>
      </c>
      <c r="AR19" t="str">
        <v/>
      </c>
      <c r="AS19" t="str">
        <v/>
      </c>
      <c r="AT19" t="str">
        <v/>
      </c>
      <c r="AU19" t="str">
        <v/>
      </c>
      <c r="AV19" t="str">
        <v/>
      </c>
      <c r="AW19" t="str">
        <v/>
      </c>
      <c r="AX19" t="str">
        <v/>
      </c>
      <c r="AY19" t="str">
        <v/>
      </c>
      <c r="AZ19" t="str">
        <v/>
      </c>
      <c r="BA19" t="str">
        <v/>
      </c>
      <c r="BB19" t="str">
        <v/>
      </c>
      <c r="BC19" t="str">
        <v/>
      </c>
      <c r="BD19" t="str">
        <v/>
      </c>
      <c r="BE19" t="str">
        <v/>
      </c>
      <c r="BF19" t="str">
        <v/>
      </c>
      <c r="BG19" t="str">
        <v/>
      </c>
      <c r="BH19" t="str">
        <v/>
      </c>
      <c r="BI19" t="str">
        <v/>
      </c>
      <c r="BJ19" t="str">
        <v/>
      </c>
      <c r="BK19" t="str">
        <v/>
      </c>
      <c r="BL19" t="str">
        <v/>
      </c>
      <c r="BM19" t="str">
        <v/>
      </c>
      <c r="BN19" t="str">
        <v/>
      </c>
      <c r="BO19" t="str">
        <v/>
      </c>
      <c r="BP19" t="str">
        <v/>
      </c>
      <c r="BQ19" t="str">
        <v/>
      </c>
      <c r="BR19" t="str">
        <v/>
      </c>
      <c r="BS19" t="str">
        <v/>
      </c>
      <c r="BT19" t="str">
        <v/>
      </c>
      <c r="BU19" t="str">
        <v/>
      </c>
      <c r="BV19" t="str">
        <v/>
      </c>
      <c r="BW19" t="str">
        <v/>
      </c>
      <c r="BX19" t="str">
        <v/>
      </c>
      <c r="BY19" t="str">
        <v/>
      </c>
      <c r="BZ19" t="str">
        <v/>
      </c>
      <c r="CA19" t="str">
        <v/>
      </c>
      <c r="CB19" t="str">
        <v/>
      </c>
      <c r="CC19" t="str">
        <v/>
      </c>
      <c r="CD19" t="str">
        <v/>
      </c>
      <c r="CE19" t="str">
        <v/>
      </c>
      <c r="CF19" t="str">
        <v/>
      </c>
      <c r="CG19" t="str">
        <v/>
      </c>
      <c r="CH19" t="str">
        <v/>
      </c>
      <c r="CI19" t="str">
        <v/>
      </c>
      <c r="CJ19" t="str">
        <v/>
      </c>
      <c r="CK19" t="str">
        <v/>
      </c>
      <c r="CL19" t="str">
        <v/>
      </c>
      <c r="CM19" t="str">
        <v/>
      </c>
      <c r="CN19" t="str">
        <v/>
      </c>
      <c r="CO19" t="str">
        <v/>
      </c>
      <c r="CP19" t="str">
        <v/>
      </c>
      <c r="CQ19" t="str">
        <v/>
      </c>
      <c r="CR19" t="str">
        <v/>
      </c>
      <c r="CS19" t="str">
        <v/>
      </c>
      <c r="CT19" t="str">
        <v/>
      </c>
      <c r="CU19" t="str">
        <v/>
      </c>
      <c r="CV19" t="str">
        <v/>
      </c>
      <c r="CW19" t="str">
        <v/>
      </c>
      <c r="CX19" t="str">
        <v/>
      </c>
      <c r="CY19" t="str">
        <v/>
      </c>
      <c r="CZ19" t="str">
        <v/>
      </c>
      <c r="DA19" t="str">
        <v/>
      </c>
      <c r="DB19" t="str">
        <v/>
      </c>
      <c r="DC19" t="str">
        <v/>
      </c>
      <c r="DD19" t="str">
        <v/>
      </c>
      <c r="DE19" t="str">
        <v/>
      </c>
      <c r="DF19" t="str">
        <v/>
      </c>
      <c r="DG19" t="str">
        <v/>
      </c>
      <c r="DH19" t="str">
        <v/>
      </c>
      <c r="DI19" t="str">
        <v/>
      </c>
      <c r="DJ19" t="str">
        <v/>
      </c>
      <c r="DK19" t="str">
        <v/>
      </c>
      <c r="DL19" t="str">
        <v/>
      </c>
      <c r="DM19" t="str">
        <v/>
      </c>
      <c r="DN19" t="str">
        <v/>
      </c>
      <c r="DO19" t="str">
        <v/>
      </c>
      <c r="DP19" t="str">
        <v/>
      </c>
      <c r="DQ19" t="str">
        <v/>
      </c>
      <c r="DR19" t="str">
        <v/>
      </c>
      <c r="DS19" t="str">
        <v/>
      </c>
      <c r="DT19" t="str">
        <v/>
      </c>
      <c r="DU19" t="str">
        <v/>
      </c>
      <c r="DV19" t="str">
        <v/>
      </c>
      <c r="DW19" t="str">
        <v/>
      </c>
      <c r="DX19" t="str">
        <v/>
      </c>
      <c r="DY19" t="str">
        <v/>
      </c>
      <c r="DZ19" t="str">
        <v/>
      </c>
      <c r="EA19" t="str">
        <v/>
      </c>
      <c r="EB19" t="str">
        <v/>
      </c>
      <c r="EC19" t="str">
        <v/>
      </c>
      <c r="ED19" t="str">
        <v/>
      </c>
      <c r="EE19" t="str">
        <v/>
      </c>
      <c r="EF19" t="str">
        <v/>
      </c>
      <c r="EG19" t="str">
        <v/>
      </c>
      <c r="EH19" t="str">
        <v/>
      </c>
      <c r="EI19" t="str">
        <v/>
      </c>
      <c r="EJ19" t="str">
        <v/>
      </c>
      <c r="EK19" t="str">
        <v/>
      </c>
      <c r="EL19" t="str">
        <v/>
      </c>
      <c r="EM19" t="str">
        <v/>
      </c>
      <c r="EN19" t="str">
        <v/>
      </c>
      <c r="EO19" t="str">
        <v/>
      </c>
      <c r="EP19" t="str">
        <v/>
      </c>
      <c r="EQ19" t="str">
        <v/>
      </c>
      <c r="ER19" t="str">
        <v/>
      </c>
      <c r="ES19" t="str">
        <v/>
      </c>
      <c r="ET19" t="str">
        <v/>
      </c>
      <c r="EU19" t="str">
        <v/>
      </c>
      <c r="EV19" t="str">
        <v/>
      </c>
      <c r="EW19" t="str">
        <v/>
      </c>
      <c r="EX19" t="str">
        <v/>
      </c>
      <c r="EY19" t="str">
        <v/>
      </c>
      <c r="EZ19" t="str">
        <v/>
      </c>
      <c r="FA19" t="str">
        <v/>
      </c>
      <c r="FB19" t="str">
        <v/>
      </c>
      <c r="FC19" t="str">
        <v/>
      </c>
      <c r="FD19" t="str">
        <v/>
      </c>
      <c r="FE19" t="str">
        <v/>
      </c>
      <c r="FF19" t="str">
        <v/>
      </c>
      <c r="FG19" t="str">
        <v/>
      </c>
      <c r="FH19" t="str">
        <v/>
      </c>
      <c r="FI19" t="str">
        <v/>
      </c>
      <c r="FJ19" t="str">
        <v/>
      </c>
      <c r="FK19" t="str">
        <v/>
      </c>
      <c r="FL19" t="str">
        <v/>
      </c>
      <c r="FM19" t="str">
        <v/>
      </c>
      <c r="FN19" t="str">
        <v/>
      </c>
      <c r="FO19" t="str">
        <v/>
      </c>
      <c r="FP19" t="str">
        <v/>
      </c>
      <c r="FQ19" t="str">
        <v/>
      </c>
      <c r="FR19" t="str">
        <v/>
      </c>
      <c r="FS19" t="str">
        <v/>
      </c>
      <c r="FT19" t="str">
        <v/>
      </c>
      <c r="FU19" t="str">
        <v/>
      </c>
      <c r="FV19" t="str">
        <v/>
      </c>
      <c r="FW19" t="str">
        <v/>
      </c>
      <c r="FX19" t="str">
        <v/>
      </c>
      <c r="FY19" t="str">
        <v/>
      </c>
      <c r="FZ19" t="str">
        <v/>
      </c>
      <c r="GA19" t="str">
        <v/>
      </c>
      <c r="GB19" t="str">
        <v/>
      </c>
      <c r="GC19" t="str">
        <v/>
      </c>
      <c r="GD19" t="str">
        <v/>
      </c>
      <c r="GE19" t="str">
        <v/>
      </c>
      <c r="GF19" t="str">
        <v/>
      </c>
      <c r="GG19" t="str">
        <v/>
      </c>
      <c r="GH19" t="str">
        <v/>
      </c>
      <c r="GI19" t="str">
        <v/>
      </c>
      <c r="GJ19" t="str">
        <v/>
      </c>
      <c r="GK19" t="str">
        <v/>
      </c>
      <c r="GL19" t="str">
        <v/>
      </c>
      <c r="GM19" t="str">
        <v/>
      </c>
      <c r="GN19" t="str">
        <v/>
      </c>
      <c r="GO19" t="str">
        <v/>
      </c>
      <c r="GP19" t="str">
        <v/>
      </c>
      <c r="GQ19" t="str">
        <v/>
      </c>
      <c r="GR19" t="str">
        <v/>
      </c>
      <c r="GS19" t="str">
        <v/>
      </c>
      <c r="GT19" t="str">
        <v/>
      </c>
      <c r="GU19" t="str">
        <v/>
      </c>
      <c r="GV19" t="str">
        <v/>
      </c>
      <c r="GW19" t="str">
        <v/>
      </c>
      <c r="GX19" t="str">
        <v/>
      </c>
      <c r="GY19" t="str">
        <v/>
      </c>
      <c r="GZ19" t="str">
        <v/>
      </c>
      <c r="HA19" t="str">
        <v/>
      </c>
      <c r="HB19" t="str">
        <v/>
      </c>
      <c r="HC19" t="str">
        <v/>
      </c>
      <c r="HD19" t="str">
        <v/>
      </c>
      <c r="HE19" t="str">
        <v/>
      </c>
      <c r="HF19" t="str">
        <v/>
      </c>
      <c r="HG19" t="str">
        <v/>
      </c>
      <c r="HH19" t="str">
        <v/>
      </c>
      <c r="HI19" t="str">
        <v/>
      </c>
      <c r="HJ19" t="str">
        <v/>
      </c>
      <c r="HK19" t="str">
        <v/>
      </c>
      <c r="HL19" t="str">
        <v/>
      </c>
      <c r="HM19" t="str">
        <v/>
      </c>
      <c r="HN19" t="str">
        <v/>
      </c>
      <c r="HO19" t="str">
        <v/>
      </c>
      <c r="HP19" t="str">
        <v/>
      </c>
      <c r="HQ19" t="str">
        <v/>
      </c>
      <c r="HR19" t="str">
        <v/>
      </c>
      <c r="HS19" t="str">
        <v/>
      </c>
      <c r="HT19" t="str">
        <v/>
      </c>
      <c r="HU19" t="str">
        <v/>
      </c>
      <c r="HV19" t="str">
        <v/>
      </c>
      <c r="HW19" t="str">
        <v/>
      </c>
      <c r="HX19" t="str">
        <v/>
      </c>
      <c r="HY19" t="str">
        <v/>
      </c>
      <c r="HZ19" t="str">
        <v/>
      </c>
      <c r="IA19" t="str">
        <v/>
      </c>
      <c r="IB19" t="str">
        <v/>
      </c>
      <c r="IC19" t="str">
        <v/>
      </c>
      <c r="ID19" t="str">
        <v/>
      </c>
      <c r="IE19" t="str">
        <v/>
      </c>
      <c r="IF19" t="str">
        <v/>
      </c>
      <c r="IG19" t="str">
        <v/>
      </c>
      <c r="IH19" t="str">
        <v/>
      </c>
      <c r="II19" t="str">
        <v/>
      </c>
      <c r="IJ19" t="str">
        <v/>
      </c>
      <c r="IK19" t="str">
        <v/>
      </c>
      <c r="IL19" t="str">
        <v/>
      </c>
      <c r="IM19" t="str">
        <v/>
      </c>
      <c r="IN19" t="str">
        <v/>
      </c>
      <c r="IO19" t="str">
        <v/>
      </c>
      <c r="IP19" t="str">
        <v/>
      </c>
      <c r="IQ19" t="str">
        <v/>
      </c>
      <c r="IR19" t="str">
        <v/>
      </c>
      <c r="IS19" t="str">
        <v/>
      </c>
      <c r="IT19" t="str">
        <v/>
      </c>
      <c r="IU19" t="str">
        <v/>
      </c>
      <c r="IV19" t="str">
        <v/>
      </c>
      <c r="IW19" t="str">
        <v/>
      </c>
      <c r="IX19" t="str">
        <v/>
      </c>
      <c r="IY19" t="str">
        <v/>
      </c>
      <c r="IZ19" t="str">
        <v/>
      </c>
      <c r="JA19" t="str">
        <v/>
      </c>
      <c r="JB19" t="str">
        <v/>
      </c>
      <c r="JC19" t="str">
        <v/>
      </c>
      <c r="JD19" t="str">
        <v/>
      </c>
      <c r="JE19" t="str">
        <v/>
      </c>
      <c r="JF19" t="str">
        <v/>
      </c>
      <c r="JG19" t="str">
        <v/>
      </c>
      <c r="JH19" t="str">
        <v/>
      </c>
      <c r="JI19" t="str">
        <v/>
      </c>
      <c r="JJ19" t="str">
        <v/>
      </c>
      <c r="JK19" t="str">
        <v/>
      </c>
      <c r="JL19" t="str">
        <v/>
      </c>
      <c r="JM19" t="str">
        <v/>
      </c>
      <c r="JN19" t="str">
        <v/>
      </c>
      <c r="JO19" t="str">
        <v/>
      </c>
      <c r="JP19" t="str">
        <v/>
      </c>
      <c r="JQ19" t="str">
        <v/>
      </c>
      <c r="JR19" t="str">
        <v/>
      </c>
      <c r="JS19" t="str">
        <v/>
      </c>
      <c r="JT19" t="str">
        <v/>
      </c>
      <c r="JU19" t="str">
        <v/>
      </c>
      <c r="JV19" t="str">
        <v/>
      </c>
      <c r="JW19" t="str">
        <v/>
      </c>
      <c r="JX19" t="str">
        <v/>
      </c>
      <c r="JY19" t="str">
        <v/>
      </c>
      <c r="JZ19" t="str">
        <v/>
      </c>
      <c r="KA19" t="str">
        <v/>
      </c>
      <c r="KB19" t="str">
        <v/>
      </c>
      <c r="KC19" t="str">
        <v/>
      </c>
      <c r="KD19" t="str">
        <v/>
      </c>
      <c r="KE19" t="str">
        <v/>
      </c>
      <c r="KF19" t="str">
        <v/>
      </c>
      <c r="KG19" t="str">
        <v/>
      </c>
      <c r="KH19" t="str">
        <v/>
      </c>
      <c r="KI19" t="str">
        <v/>
      </c>
      <c r="KJ19" t="str">
        <v/>
      </c>
      <c r="KK19" t="str">
        <v/>
      </c>
      <c r="KL19" t="str">
        <v/>
      </c>
      <c r="KM19" t="str">
        <v/>
      </c>
      <c r="KN19" t="str">
        <v/>
      </c>
      <c r="KO19" t="str">
        <v/>
      </c>
      <c r="KP19" t="str">
        <v/>
      </c>
      <c r="KQ19" t="str">
        <v/>
      </c>
      <c r="KR19" t="str">
        <v/>
      </c>
      <c r="KS19" t="str">
        <v/>
      </c>
      <c r="KT19" t="str">
        <v/>
      </c>
      <c r="KU19" t="str">
        <v/>
      </c>
      <c r="KV19" t="str">
        <v/>
      </c>
      <c r="KW19" t="str">
        <v/>
      </c>
      <c r="KX19" t="str">
        <v/>
      </c>
      <c r="KY19" t="str">
        <v/>
      </c>
      <c r="KZ19" t="str">
        <v/>
      </c>
      <c r="LA19" t="str">
        <v/>
      </c>
      <c r="LB19" t="str">
        <v/>
      </c>
      <c r="LC19" t="str">
        <v/>
      </c>
      <c r="LD19" t="str">
        <v/>
      </c>
      <c r="LE19" t="str">
        <v/>
      </c>
      <c r="LF19" t="str">
        <v/>
      </c>
      <c r="LG19" t="str">
        <v/>
      </c>
      <c r="LH19" t="str">
        <v/>
      </c>
      <c r="LI19" t="str">
        <v/>
      </c>
      <c r="LJ19" t="str">
        <v/>
      </c>
      <c r="LK19" t="str">
        <v/>
      </c>
      <c r="LL19" t="str">
        <v/>
      </c>
      <c r="LM19" t="str">
        <v/>
      </c>
      <c r="LN19" t="str">
        <v/>
      </c>
      <c r="LO19" t="str">
        <v/>
      </c>
      <c r="LP19" t="str">
        <v/>
      </c>
      <c r="LQ19" t="str">
        <v/>
      </c>
      <c r="LR19" t="str">
        <v/>
      </c>
      <c r="LS19" t="str">
        <v/>
      </c>
      <c r="LT19" t="str">
        <v/>
      </c>
      <c r="LU19" t="str">
        <v/>
      </c>
      <c r="LV19" t="str">
        <v/>
      </c>
      <c r="LW19" t="str">
        <v/>
      </c>
      <c r="LX19" t="str">
        <v/>
      </c>
      <c r="LY19" t="str">
        <v/>
      </c>
      <c r="LZ19" t="str">
        <v/>
      </c>
      <c r="MA19" t="str">
        <v/>
      </c>
      <c r="MB19" t="str">
        <v/>
      </c>
      <c r="MC19" t="str">
        <v/>
      </c>
      <c r="MD19" t="str">
        <v/>
      </c>
      <c r="ME19" t="str">
        <v/>
      </c>
      <c r="MF19" t="str">
        <v/>
      </c>
      <c r="MG19" t="str">
        <v/>
      </c>
      <c r="MH19" t="str">
        <v/>
      </c>
      <c r="MI19" t="str">
        <v/>
      </c>
      <c r="MJ19" t="str">
        <v/>
      </c>
      <c r="MK19" t="str">
        <v/>
      </c>
      <c r="ML19" t="str">
        <v/>
      </c>
      <c r="MM19" t="str">
        <v/>
      </c>
      <c r="MN19" t="str">
        <v/>
      </c>
      <c r="MO19" t="str">
        <v/>
      </c>
      <c r="MP19" t="str">
        <v/>
      </c>
      <c r="MQ19" t="str">
        <v/>
      </c>
      <c r="MR19" t="str">
        <v/>
      </c>
      <c r="MS19" t="str">
        <v/>
      </c>
      <c r="MT19" t="str">
        <v/>
      </c>
      <c r="MU19" t="str">
        <v/>
      </c>
      <c r="MV19" t="str">
        <v/>
      </c>
      <c r="MW19" t="str">
        <v/>
      </c>
      <c r="MX19" t="str">
        <v/>
      </c>
      <c r="MY19" t="str">
        <v/>
      </c>
      <c r="MZ19" t="str">
        <v/>
      </c>
      <c r="NA19" t="str">
        <v/>
      </c>
      <c r="NB19" t="str">
        <v/>
      </c>
      <c r="NC19" t="str">
        <v/>
      </c>
      <c r="ND19" t="str">
        <v/>
      </c>
      <c r="NE19" t="str">
        <v/>
      </c>
      <c r="NF19" t="str">
        <v/>
      </c>
      <c r="NG19" t="str">
        <v/>
      </c>
      <c r="NH19" t="str">
        <v/>
      </c>
      <c r="NI19" t="str">
        <v/>
      </c>
      <c r="NJ19" t="str">
        <v/>
      </c>
      <c r="NK19" t="str">
        <v/>
      </c>
      <c r="NL19" t="str">
        <v/>
      </c>
      <c r="NM19" t="str">
        <v/>
      </c>
      <c r="NN19" t="str">
        <v/>
      </c>
      <c r="NO19" t="str">
        <v/>
      </c>
      <c r="NP19" t="str">
        <v/>
      </c>
      <c r="NQ19" t="str">
        <v/>
      </c>
      <c r="NR19" t="str">
        <v/>
      </c>
      <c r="NS19" t="str">
        <v/>
      </c>
      <c r="NT19" t="str">
        <v/>
      </c>
      <c r="NU19" t="str">
        <v/>
      </c>
      <c r="NV19" t="str">
        <v/>
      </c>
      <c r="NW19" t="str">
        <v/>
      </c>
      <c r="NX19" t="str">
        <v/>
      </c>
      <c r="NY19" t="str">
        <v/>
      </c>
      <c r="NZ19" t="str">
        <v/>
      </c>
      <c r="OA19" t="str">
        <v/>
      </c>
      <c r="OB19" t="str">
        <v/>
      </c>
      <c r="OC19" t="str">
        <v/>
      </c>
      <c r="OD19" t="str">
        <v/>
      </c>
      <c r="OE19" t="str">
        <v/>
      </c>
      <c r="OF19" t="str">
        <v/>
      </c>
      <c r="OG19" t="str">
        <v/>
      </c>
      <c r="OH19" t="str">
        <v/>
      </c>
      <c r="OI19" t="str">
        <v/>
      </c>
      <c r="OJ19" t="str">
        <v/>
      </c>
      <c r="OK19" t="str">
        <v/>
      </c>
    </row>
    <row r="20" spans="1:401" outlineLevel="1" x14ac:dyDescent="0.3">
      <c r="A20" s="14"/>
      <c r="C20"/>
      <c r="D20" s="119" t="s">
        <v>289</v>
      </c>
      <c r="E20" s="197">
        <v>30</v>
      </c>
      <c r="F20" s="198" t="s">
        <v>291</v>
      </c>
      <c r="G20" s="76"/>
      <c r="H20" s="110"/>
      <c r="I20" s="111"/>
      <c r="J20" s="65"/>
      <c r="K20" s="55"/>
      <c r="L20" s="66"/>
      <c r="M20" s="5" t="s">
        <v>296</v>
      </c>
      <c r="N20" s="209"/>
      <c r="O20" s="210"/>
      <c r="P20" t="str" cm="1">
        <f t="array" ref="P20:OK20">IF((N20&lt;=_xlfn.ANCHORARRAY($P$2))*(_xlfn.ANCHORARRAY($P$2)&lt;O20)," ","")</f>
        <v/>
      </c>
      <c r="Q20" t="str">
        <v/>
      </c>
      <c r="R20" t="str">
        <v/>
      </c>
      <c r="S20" t="str">
        <v/>
      </c>
      <c r="T20" t="str">
        <v/>
      </c>
      <c r="U20" t="str">
        <v/>
      </c>
      <c r="V20" t="str">
        <v/>
      </c>
      <c r="W20" t="str">
        <v/>
      </c>
      <c r="X20" t="str">
        <v/>
      </c>
      <c r="Y20" t="str">
        <v/>
      </c>
      <c r="Z20" t="str">
        <v/>
      </c>
      <c r="AA20" t="str">
        <v/>
      </c>
      <c r="AB20" t="str">
        <v/>
      </c>
      <c r="AC20" t="str">
        <v/>
      </c>
      <c r="AD20" t="str">
        <v/>
      </c>
      <c r="AE20" t="str">
        <v/>
      </c>
      <c r="AF20" t="str">
        <v/>
      </c>
      <c r="AG20" t="str">
        <v/>
      </c>
      <c r="AH20" t="str">
        <v/>
      </c>
      <c r="AI20" t="str">
        <v/>
      </c>
      <c r="AJ20" t="str">
        <v/>
      </c>
      <c r="AK20" t="str">
        <v/>
      </c>
      <c r="AL20" t="str">
        <v/>
      </c>
      <c r="AM20" t="str">
        <v/>
      </c>
      <c r="AN20" t="str">
        <v/>
      </c>
      <c r="AO20" t="str">
        <v/>
      </c>
      <c r="AP20" t="str">
        <v/>
      </c>
      <c r="AQ20" t="str">
        <v/>
      </c>
      <c r="AR20" t="str">
        <v/>
      </c>
      <c r="AS20" t="str">
        <v/>
      </c>
      <c r="AT20" t="str">
        <v/>
      </c>
      <c r="AU20" t="str">
        <v/>
      </c>
      <c r="AV20" t="str">
        <v/>
      </c>
      <c r="AW20" t="str">
        <v/>
      </c>
      <c r="AX20" t="str">
        <v/>
      </c>
      <c r="AY20" t="str">
        <v/>
      </c>
      <c r="AZ20" t="str">
        <v/>
      </c>
      <c r="BA20" t="str">
        <v/>
      </c>
      <c r="BB20" t="str">
        <v/>
      </c>
      <c r="BC20" t="str">
        <v/>
      </c>
      <c r="BD20" t="str">
        <v/>
      </c>
      <c r="BE20" t="str">
        <v/>
      </c>
      <c r="BF20" t="str">
        <v/>
      </c>
      <c r="BG20" t="str">
        <v/>
      </c>
      <c r="BH20" t="str">
        <v/>
      </c>
      <c r="BI20" t="str">
        <v/>
      </c>
      <c r="BJ20" t="str">
        <v/>
      </c>
      <c r="BK20" t="str">
        <v/>
      </c>
      <c r="BL20" t="str">
        <v/>
      </c>
      <c r="BM20" t="str">
        <v/>
      </c>
      <c r="BN20" t="str">
        <v/>
      </c>
      <c r="BO20" t="str">
        <v/>
      </c>
      <c r="BP20" t="str">
        <v/>
      </c>
      <c r="BQ20" t="str">
        <v/>
      </c>
      <c r="BR20" t="str">
        <v/>
      </c>
      <c r="BS20" t="str">
        <v/>
      </c>
      <c r="BT20" t="str">
        <v/>
      </c>
      <c r="BU20" t="str">
        <v/>
      </c>
      <c r="BV20" t="str">
        <v/>
      </c>
      <c r="BW20" t="str">
        <v/>
      </c>
      <c r="BX20" t="str">
        <v/>
      </c>
      <c r="BY20" t="str">
        <v/>
      </c>
      <c r="BZ20" t="str">
        <v/>
      </c>
      <c r="CA20" t="str">
        <v/>
      </c>
      <c r="CB20" t="str">
        <v/>
      </c>
      <c r="CC20" t="str">
        <v/>
      </c>
      <c r="CD20" t="str">
        <v/>
      </c>
      <c r="CE20" t="str">
        <v/>
      </c>
      <c r="CF20" t="str">
        <v/>
      </c>
      <c r="CG20" t="str">
        <v/>
      </c>
      <c r="CH20" t="str">
        <v/>
      </c>
      <c r="CI20" t="str">
        <v/>
      </c>
      <c r="CJ20" t="str">
        <v/>
      </c>
      <c r="CK20" t="str">
        <v/>
      </c>
      <c r="CL20" t="str">
        <v/>
      </c>
      <c r="CM20" t="str">
        <v/>
      </c>
      <c r="CN20" t="str">
        <v/>
      </c>
      <c r="CO20" t="str">
        <v/>
      </c>
      <c r="CP20" t="str">
        <v/>
      </c>
      <c r="CQ20" t="str">
        <v/>
      </c>
      <c r="CR20" t="str">
        <v/>
      </c>
      <c r="CS20" t="str">
        <v/>
      </c>
      <c r="CT20" t="str">
        <v/>
      </c>
      <c r="CU20" t="str">
        <v/>
      </c>
      <c r="CV20" t="str">
        <v/>
      </c>
      <c r="CW20" t="str">
        <v/>
      </c>
      <c r="CX20" t="str">
        <v/>
      </c>
      <c r="CY20" t="str">
        <v/>
      </c>
      <c r="CZ20" t="str">
        <v/>
      </c>
      <c r="DA20" t="str">
        <v/>
      </c>
      <c r="DB20" t="str">
        <v/>
      </c>
      <c r="DC20" t="str">
        <v/>
      </c>
      <c r="DD20" t="str">
        <v/>
      </c>
      <c r="DE20" t="str">
        <v/>
      </c>
      <c r="DF20" t="str">
        <v/>
      </c>
      <c r="DG20" t="str">
        <v/>
      </c>
      <c r="DH20" t="str">
        <v/>
      </c>
      <c r="DI20" t="str">
        <v/>
      </c>
      <c r="DJ20" t="str">
        <v/>
      </c>
      <c r="DK20" t="str">
        <v/>
      </c>
      <c r="DL20" t="str">
        <v/>
      </c>
      <c r="DM20" t="str">
        <v/>
      </c>
      <c r="DN20" t="str">
        <v/>
      </c>
      <c r="DO20" t="str">
        <v/>
      </c>
      <c r="DP20" t="str">
        <v/>
      </c>
      <c r="DQ20" t="str">
        <v/>
      </c>
      <c r="DR20" t="str">
        <v/>
      </c>
      <c r="DS20" t="str">
        <v/>
      </c>
      <c r="DT20" t="str">
        <v/>
      </c>
      <c r="DU20" t="str">
        <v/>
      </c>
      <c r="DV20" t="str">
        <v/>
      </c>
      <c r="DW20" t="str">
        <v/>
      </c>
      <c r="DX20" t="str">
        <v/>
      </c>
      <c r="DY20" t="str">
        <v/>
      </c>
      <c r="DZ20" t="str">
        <v/>
      </c>
      <c r="EA20" t="str">
        <v/>
      </c>
      <c r="EB20" t="str">
        <v/>
      </c>
      <c r="EC20" t="str">
        <v/>
      </c>
      <c r="ED20" t="str">
        <v/>
      </c>
      <c r="EE20" t="str">
        <v/>
      </c>
      <c r="EF20" t="str">
        <v/>
      </c>
      <c r="EG20" t="str">
        <v/>
      </c>
      <c r="EH20" t="str">
        <v/>
      </c>
      <c r="EI20" t="str">
        <v/>
      </c>
      <c r="EJ20" t="str">
        <v/>
      </c>
      <c r="EK20" t="str">
        <v/>
      </c>
      <c r="EL20" t="str">
        <v/>
      </c>
      <c r="EM20" t="str">
        <v/>
      </c>
      <c r="EN20" t="str">
        <v/>
      </c>
      <c r="EO20" t="str">
        <v/>
      </c>
      <c r="EP20" t="str">
        <v/>
      </c>
      <c r="EQ20" t="str">
        <v/>
      </c>
      <c r="ER20" t="str">
        <v/>
      </c>
      <c r="ES20" t="str">
        <v/>
      </c>
      <c r="ET20" t="str">
        <v/>
      </c>
      <c r="EU20" t="str">
        <v/>
      </c>
      <c r="EV20" t="str">
        <v/>
      </c>
      <c r="EW20" t="str">
        <v/>
      </c>
      <c r="EX20" t="str">
        <v/>
      </c>
      <c r="EY20" t="str">
        <v/>
      </c>
      <c r="EZ20" t="str">
        <v/>
      </c>
      <c r="FA20" t="str">
        <v/>
      </c>
      <c r="FB20" t="str">
        <v/>
      </c>
      <c r="FC20" t="str">
        <v/>
      </c>
      <c r="FD20" t="str">
        <v/>
      </c>
      <c r="FE20" t="str">
        <v/>
      </c>
      <c r="FF20" t="str">
        <v/>
      </c>
      <c r="FG20" t="str">
        <v/>
      </c>
      <c r="FH20" t="str">
        <v/>
      </c>
      <c r="FI20" t="str">
        <v/>
      </c>
      <c r="FJ20" t="str">
        <v/>
      </c>
      <c r="FK20" t="str">
        <v/>
      </c>
      <c r="FL20" t="str">
        <v/>
      </c>
      <c r="FM20" t="str">
        <v/>
      </c>
      <c r="FN20" t="str">
        <v/>
      </c>
      <c r="FO20" t="str">
        <v/>
      </c>
      <c r="FP20" t="str">
        <v/>
      </c>
      <c r="FQ20" t="str">
        <v/>
      </c>
      <c r="FR20" t="str">
        <v/>
      </c>
      <c r="FS20" t="str">
        <v/>
      </c>
      <c r="FT20" t="str">
        <v/>
      </c>
      <c r="FU20" t="str">
        <v/>
      </c>
      <c r="FV20" t="str">
        <v/>
      </c>
      <c r="FW20" t="str">
        <v/>
      </c>
      <c r="FX20" t="str">
        <v/>
      </c>
      <c r="FY20" t="str">
        <v/>
      </c>
      <c r="FZ20" t="str">
        <v/>
      </c>
      <c r="GA20" t="str">
        <v/>
      </c>
      <c r="GB20" t="str">
        <v/>
      </c>
      <c r="GC20" t="str">
        <v/>
      </c>
      <c r="GD20" t="str">
        <v/>
      </c>
      <c r="GE20" t="str">
        <v/>
      </c>
      <c r="GF20" t="str">
        <v/>
      </c>
      <c r="GG20" t="str">
        <v/>
      </c>
      <c r="GH20" t="str">
        <v/>
      </c>
      <c r="GI20" t="str">
        <v/>
      </c>
      <c r="GJ20" t="str">
        <v/>
      </c>
      <c r="GK20" t="str">
        <v/>
      </c>
      <c r="GL20" t="str">
        <v/>
      </c>
      <c r="GM20" t="str">
        <v/>
      </c>
      <c r="GN20" t="str">
        <v/>
      </c>
      <c r="GO20" t="str">
        <v/>
      </c>
      <c r="GP20" t="str">
        <v/>
      </c>
      <c r="GQ20" t="str">
        <v/>
      </c>
      <c r="GR20" t="str">
        <v/>
      </c>
      <c r="GS20" t="str">
        <v/>
      </c>
      <c r="GT20" t="str">
        <v/>
      </c>
      <c r="GU20" t="str">
        <v/>
      </c>
      <c r="GV20" t="str">
        <v/>
      </c>
      <c r="GW20" t="str">
        <v/>
      </c>
      <c r="GX20" t="str">
        <v/>
      </c>
      <c r="GY20" t="str">
        <v/>
      </c>
      <c r="GZ20" t="str">
        <v/>
      </c>
      <c r="HA20" t="str">
        <v/>
      </c>
      <c r="HB20" t="str">
        <v/>
      </c>
      <c r="HC20" t="str">
        <v/>
      </c>
      <c r="HD20" t="str">
        <v/>
      </c>
      <c r="HE20" t="str">
        <v/>
      </c>
      <c r="HF20" t="str">
        <v/>
      </c>
      <c r="HG20" t="str">
        <v/>
      </c>
      <c r="HH20" t="str">
        <v/>
      </c>
      <c r="HI20" t="str">
        <v/>
      </c>
      <c r="HJ20" t="str">
        <v/>
      </c>
      <c r="HK20" t="str">
        <v/>
      </c>
      <c r="HL20" t="str">
        <v/>
      </c>
      <c r="HM20" t="str">
        <v/>
      </c>
      <c r="HN20" t="str">
        <v/>
      </c>
      <c r="HO20" t="str">
        <v/>
      </c>
      <c r="HP20" t="str">
        <v/>
      </c>
      <c r="HQ20" t="str">
        <v/>
      </c>
      <c r="HR20" t="str">
        <v/>
      </c>
      <c r="HS20" t="str">
        <v/>
      </c>
      <c r="HT20" t="str">
        <v/>
      </c>
      <c r="HU20" t="str">
        <v/>
      </c>
      <c r="HV20" t="str">
        <v/>
      </c>
      <c r="HW20" t="str">
        <v/>
      </c>
      <c r="HX20" t="str">
        <v/>
      </c>
      <c r="HY20" t="str">
        <v/>
      </c>
      <c r="HZ20" t="str">
        <v/>
      </c>
      <c r="IA20" t="str">
        <v/>
      </c>
      <c r="IB20" t="str">
        <v/>
      </c>
      <c r="IC20" t="str">
        <v/>
      </c>
      <c r="ID20" t="str">
        <v/>
      </c>
      <c r="IE20" t="str">
        <v/>
      </c>
      <c r="IF20" t="str">
        <v/>
      </c>
      <c r="IG20" t="str">
        <v/>
      </c>
      <c r="IH20" t="str">
        <v/>
      </c>
      <c r="II20" t="str">
        <v/>
      </c>
      <c r="IJ20" t="str">
        <v/>
      </c>
      <c r="IK20" t="str">
        <v/>
      </c>
      <c r="IL20" t="str">
        <v/>
      </c>
      <c r="IM20" t="str">
        <v/>
      </c>
      <c r="IN20" t="str">
        <v/>
      </c>
      <c r="IO20" t="str">
        <v/>
      </c>
      <c r="IP20" t="str">
        <v/>
      </c>
      <c r="IQ20" t="str">
        <v/>
      </c>
      <c r="IR20" t="str">
        <v/>
      </c>
      <c r="IS20" t="str">
        <v/>
      </c>
      <c r="IT20" t="str">
        <v/>
      </c>
      <c r="IU20" t="str">
        <v/>
      </c>
      <c r="IV20" t="str">
        <v/>
      </c>
      <c r="IW20" t="str">
        <v/>
      </c>
      <c r="IX20" t="str">
        <v/>
      </c>
      <c r="IY20" t="str">
        <v/>
      </c>
      <c r="IZ20" t="str">
        <v/>
      </c>
      <c r="JA20" t="str">
        <v/>
      </c>
      <c r="JB20" t="str">
        <v/>
      </c>
      <c r="JC20" t="str">
        <v/>
      </c>
      <c r="JD20" t="str">
        <v/>
      </c>
      <c r="JE20" t="str">
        <v/>
      </c>
      <c r="JF20" t="str">
        <v/>
      </c>
      <c r="JG20" t="str">
        <v/>
      </c>
      <c r="JH20" t="str">
        <v/>
      </c>
      <c r="JI20" t="str">
        <v/>
      </c>
      <c r="JJ20" t="str">
        <v/>
      </c>
      <c r="JK20" t="str">
        <v/>
      </c>
      <c r="JL20" t="str">
        <v/>
      </c>
      <c r="JM20" t="str">
        <v/>
      </c>
      <c r="JN20" t="str">
        <v/>
      </c>
      <c r="JO20" t="str">
        <v/>
      </c>
      <c r="JP20" t="str">
        <v/>
      </c>
      <c r="JQ20" t="str">
        <v/>
      </c>
      <c r="JR20" t="str">
        <v/>
      </c>
      <c r="JS20" t="str">
        <v/>
      </c>
      <c r="JT20" t="str">
        <v/>
      </c>
      <c r="JU20" t="str">
        <v/>
      </c>
      <c r="JV20" t="str">
        <v/>
      </c>
      <c r="JW20" t="str">
        <v/>
      </c>
      <c r="JX20" t="str">
        <v/>
      </c>
      <c r="JY20" t="str">
        <v/>
      </c>
      <c r="JZ20" t="str">
        <v/>
      </c>
      <c r="KA20" t="str">
        <v/>
      </c>
      <c r="KB20" t="str">
        <v/>
      </c>
      <c r="KC20" t="str">
        <v/>
      </c>
      <c r="KD20" t="str">
        <v/>
      </c>
      <c r="KE20" t="str">
        <v/>
      </c>
      <c r="KF20" t="str">
        <v/>
      </c>
      <c r="KG20" t="str">
        <v/>
      </c>
      <c r="KH20" t="str">
        <v/>
      </c>
      <c r="KI20" t="str">
        <v/>
      </c>
      <c r="KJ20" t="str">
        <v/>
      </c>
      <c r="KK20" t="str">
        <v/>
      </c>
      <c r="KL20" t="str">
        <v/>
      </c>
      <c r="KM20" t="str">
        <v/>
      </c>
      <c r="KN20" t="str">
        <v/>
      </c>
      <c r="KO20" t="str">
        <v/>
      </c>
      <c r="KP20" t="str">
        <v/>
      </c>
      <c r="KQ20" t="str">
        <v/>
      </c>
      <c r="KR20" t="str">
        <v/>
      </c>
      <c r="KS20" t="str">
        <v/>
      </c>
      <c r="KT20" t="str">
        <v/>
      </c>
      <c r="KU20" t="str">
        <v/>
      </c>
      <c r="KV20" t="str">
        <v/>
      </c>
      <c r="KW20" t="str">
        <v/>
      </c>
      <c r="KX20" t="str">
        <v/>
      </c>
      <c r="KY20" t="str">
        <v/>
      </c>
      <c r="KZ20" t="str">
        <v/>
      </c>
      <c r="LA20" t="str">
        <v/>
      </c>
      <c r="LB20" t="str">
        <v/>
      </c>
      <c r="LC20" t="str">
        <v/>
      </c>
      <c r="LD20" t="str">
        <v/>
      </c>
      <c r="LE20" t="str">
        <v/>
      </c>
      <c r="LF20" t="str">
        <v/>
      </c>
      <c r="LG20" t="str">
        <v/>
      </c>
      <c r="LH20" t="str">
        <v/>
      </c>
      <c r="LI20" t="str">
        <v/>
      </c>
      <c r="LJ20" t="str">
        <v/>
      </c>
      <c r="LK20" t="str">
        <v/>
      </c>
      <c r="LL20" t="str">
        <v/>
      </c>
      <c r="LM20" t="str">
        <v/>
      </c>
      <c r="LN20" t="str">
        <v/>
      </c>
      <c r="LO20" t="str">
        <v/>
      </c>
      <c r="LP20" t="str">
        <v/>
      </c>
      <c r="LQ20" t="str">
        <v/>
      </c>
      <c r="LR20" t="str">
        <v/>
      </c>
      <c r="LS20" t="str">
        <v/>
      </c>
      <c r="LT20" t="str">
        <v/>
      </c>
      <c r="LU20" t="str">
        <v/>
      </c>
      <c r="LV20" t="str">
        <v/>
      </c>
      <c r="LW20" t="str">
        <v/>
      </c>
      <c r="LX20" t="str">
        <v/>
      </c>
      <c r="LY20" t="str">
        <v/>
      </c>
      <c r="LZ20" t="str">
        <v/>
      </c>
      <c r="MA20" t="str">
        <v/>
      </c>
      <c r="MB20" t="str">
        <v/>
      </c>
      <c r="MC20" t="str">
        <v/>
      </c>
      <c r="MD20" t="str">
        <v/>
      </c>
      <c r="ME20" t="str">
        <v/>
      </c>
      <c r="MF20" t="str">
        <v/>
      </c>
      <c r="MG20" t="str">
        <v/>
      </c>
      <c r="MH20" t="str">
        <v/>
      </c>
      <c r="MI20" t="str">
        <v/>
      </c>
      <c r="MJ20" t="str">
        <v/>
      </c>
      <c r="MK20" t="str">
        <v/>
      </c>
      <c r="ML20" t="str">
        <v/>
      </c>
      <c r="MM20" t="str">
        <v/>
      </c>
      <c r="MN20" t="str">
        <v/>
      </c>
      <c r="MO20" t="str">
        <v/>
      </c>
      <c r="MP20" t="str">
        <v/>
      </c>
      <c r="MQ20" t="str">
        <v/>
      </c>
      <c r="MR20" t="str">
        <v/>
      </c>
      <c r="MS20" t="str">
        <v/>
      </c>
      <c r="MT20" t="str">
        <v/>
      </c>
      <c r="MU20" t="str">
        <v/>
      </c>
      <c r="MV20" t="str">
        <v/>
      </c>
      <c r="MW20" t="str">
        <v/>
      </c>
      <c r="MX20" t="str">
        <v/>
      </c>
      <c r="MY20" t="str">
        <v/>
      </c>
      <c r="MZ20" t="str">
        <v/>
      </c>
      <c r="NA20" t="str">
        <v/>
      </c>
      <c r="NB20" t="str">
        <v/>
      </c>
      <c r="NC20" t="str">
        <v/>
      </c>
      <c r="ND20" t="str">
        <v/>
      </c>
      <c r="NE20" t="str">
        <v/>
      </c>
      <c r="NF20" t="str">
        <v/>
      </c>
      <c r="NG20" t="str">
        <v/>
      </c>
      <c r="NH20" t="str">
        <v/>
      </c>
      <c r="NI20" t="str">
        <v/>
      </c>
      <c r="NJ20" t="str">
        <v/>
      </c>
      <c r="NK20" t="str">
        <v/>
      </c>
      <c r="NL20" t="str">
        <v/>
      </c>
      <c r="NM20" t="str">
        <v/>
      </c>
      <c r="NN20" t="str">
        <v/>
      </c>
      <c r="NO20" t="str">
        <v/>
      </c>
      <c r="NP20" t="str">
        <v/>
      </c>
      <c r="NQ20" t="str">
        <v/>
      </c>
      <c r="NR20" t="str">
        <v/>
      </c>
      <c r="NS20" t="str">
        <v/>
      </c>
      <c r="NT20" t="str">
        <v/>
      </c>
      <c r="NU20" t="str">
        <v/>
      </c>
      <c r="NV20" t="str">
        <v/>
      </c>
      <c r="NW20" t="str">
        <v/>
      </c>
      <c r="NX20" t="str">
        <v/>
      </c>
      <c r="NY20" t="str">
        <v/>
      </c>
      <c r="NZ20" t="str">
        <v/>
      </c>
      <c r="OA20" t="str">
        <v/>
      </c>
      <c r="OB20" t="str">
        <v/>
      </c>
      <c r="OC20" t="str">
        <v/>
      </c>
      <c r="OD20" t="str">
        <v/>
      </c>
      <c r="OE20" t="str">
        <v/>
      </c>
      <c r="OF20" t="str">
        <v/>
      </c>
      <c r="OG20" t="str">
        <v/>
      </c>
      <c r="OH20" t="str">
        <v/>
      </c>
      <c r="OI20" t="str">
        <v/>
      </c>
      <c r="OJ20" t="str">
        <v/>
      </c>
      <c r="OK20" t="str">
        <v/>
      </c>
    </row>
    <row r="21" spans="1:401" outlineLevel="1" x14ac:dyDescent="0.3">
      <c r="A21" s="14"/>
      <c r="C21" s="14" t="s">
        <v>187</v>
      </c>
      <c r="D21" s="119"/>
      <c r="E21" s="119"/>
      <c r="F21" s="119"/>
      <c r="G21" s="76"/>
      <c r="H21" s="110"/>
      <c r="I21" s="111"/>
      <c r="J21" s="65"/>
      <c r="K21" s="55"/>
      <c r="L21" s="66"/>
      <c r="M21" s="76" t="s">
        <v>187</v>
      </c>
      <c r="N21" s="8"/>
      <c r="O21" s="208"/>
      <c r="P21" t="str" cm="1">
        <f t="array" ref="P21:OK21">IF((N21&lt;=_xlfn.ANCHORARRAY($P$2))*(_xlfn.ANCHORARRAY($P$2)&lt;O21)," ","")</f>
        <v/>
      </c>
      <c r="Q21" t="str">
        <v/>
      </c>
      <c r="R21" t="str">
        <v/>
      </c>
      <c r="S21" t="str">
        <v/>
      </c>
      <c r="T21" t="str">
        <v/>
      </c>
      <c r="U21" t="str">
        <v/>
      </c>
      <c r="V21" t="str">
        <v/>
      </c>
      <c r="W21" t="str">
        <v/>
      </c>
      <c r="X21" t="str">
        <v/>
      </c>
      <c r="Y21" t="str">
        <v/>
      </c>
      <c r="Z21" t="str">
        <v/>
      </c>
      <c r="AA21" t="str">
        <v/>
      </c>
      <c r="AB21" t="str">
        <v/>
      </c>
      <c r="AC21" t="str">
        <v/>
      </c>
      <c r="AD21" t="str">
        <v/>
      </c>
      <c r="AE21" t="str">
        <v/>
      </c>
      <c r="AF21" t="str">
        <v/>
      </c>
      <c r="AG21" t="str">
        <v/>
      </c>
      <c r="AH21" t="str">
        <v/>
      </c>
      <c r="AI21" t="str">
        <v/>
      </c>
      <c r="AJ21" t="str">
        <v/>
      </c>
      <c r="AK21" t="str">
        <v/>
      </c>
      <c r="AL21" t="str">
        <v/>
      </c>
      <c r="AM21" t="str">
        <v/>
      </c>
      <c r="AN21" t="str">
        <v/>
      </c>
      <c r="AO21" t="str">
        <v/>
      </c>
      <c r="AP21" t="str">
        <v/>
      </c>
      <c r="AQ21" t="str">
        <v/>
      </c>
      <c r="AR21" t="str">
        <v/>
      </c>
      <c r="AS21" t="str">
        <v/>
      </c>
      <c r="AT21" t="str">
        <v/>
      </c>
      <c r="AU21" t="str">
        <v/>
      </c>
      <c r="AV21" t="str">
        <v/>
      </c>
      <c r="AW21" t="str">
        <v/>
      </c>
      <c r="AX21" t="str">
        <v/>
      </c>
      <c r="AY21" t="str">
        <v/>
      </c>
      <c r="AZ21" t="str">
        <v/>
      </c>
      <c r="BA21" t="str">
        <v/>
      </c>
      <c r="BB21" t="str">
        <v/>
      </c>
      <c r="BC21" t="str">
        <v/>
      </c>
      <c r="BD21" t="str">
        <v/>
      </c>
      <c r="BE21" t="str">
        <v/>
      </c>
      <c r="BF21" t="str">
        <v/>
      </c>
      <c r="BG21" t="str">
        <v/>
      </c>
      <c r="BH21" t="str">
        <v/>
      </c>
      <c r="BI21" t="str">
        <v/>
      </c>
      <c r="BJ21" t="str">
        <v/>
      </c>
      <c r="BK21" t="str">
        <v/>
      </c>
      <c r="BL21" t="str">
        <v/>
      </c>
      <c r="BM21" t="str">
        <v/>
      </c>
      <c r="BN21" t="str">
        <v/>
      </c>
      <c r="BO21" t="str">
        <v/>
      </c>
      <c r="BP21" t="str">
        <v/>
      </c>
      <c r="BQ21" t="str">
        <v/>
      </c>
      <c r="BR21" t="str">
        <v/>
      </c>
      <c r="BS21" t="str">
        <v/>
      </c>
      <c r="BT21" t="str">
        <v/>
      </c>
      <c r="BU21" t="str">
        <v/>
      </c>
      <c r="BV21" t="str">
        <v/>
      </c>
      <c r="BW21" t="str">
        <v/>
      </c>
      <c r="BX21" t="str">
        <v/>
      </c>
      <c r="BY21" t="str">
        <v/>
      </c>
      <c r="BZ21" t="str">
        <v/>
      </c>
      <c r="CA21" t="str">
        <v/>
      </c>
      <c r="CB21" t="str">
        <v/>
      </c>
      <c r="CC21" t="str">
        <v/>
      </c>
      <c r="CD21" t="str">
        <v/>
      </c>
      <c r="CE21" t="str">
        <v/>
      </c>
      <c r="CF21" t="str">
        <v/>
      </c>
      <c r="CG21" t="str">
        <v/>
      </c>
      <c r="CH21" t="str">
        <v/>
      </c>
      <c r="CI21" t="str">
        <v/>
      </c>
      <c r="CJ21" t="str">
        <v/>
      </c>
      <c r="CK21" t="str">
        <v/>
      </c>
      <c r="CL21" t="str">
        <v/>
      </c>
      <c r="CM21" t="str">
        <v/>
      </c>
      <c r="CN21" t="str">
        <v/>
      </c>
      <c r="CO21" t="str">
        <v/>
      </c>
      <c r="CP21" t="str">
        <v/>
      </c>
      <c r="CQ21" t="str">
        <v/>
      </c>
      <c r="CR21" t="str">
        <v/>
      </c>
      <c r="CS21" t="str">
        <v/>
      </c>
      <c r="CT21" t="str">
        <v/>
      </c>
      <c r="CU21" t="str">
        <v/>
      </c>
      <c r="CV21" t="str">
        <v/>
      </c>
      <c r="CW21" t="str">
        <v/>
      </c>
      <c r="CX21" t="str">
        <v/>
      </c>
      <c r="CY21" t="str">
        <v/>
      </c>
      <c r="CZ21" t="str">
        <v/>
      </c>
      <c r="DA21" t="str">
        <v/>
      </c>
      <c r="DB21" t="str">
        <v/>
      </c>
      <c r="DC21" t="str">
        <v/>
      </c>
      <c r="DD21" t="str">
        <v/>
      </c>
      <c r="DE21" t="str">
        <v/>
      </c>
      <c r="DF21" t="str">
        <v/>
      </c>
      <c r="DG21" t="str">
        <v/>
      </c>
      <c r="DH21" t="str">
        <v/>
      </c>
      <c r="DI21" t="str">
        <v/>
      </c>
      <c r="DJ21" t="str">
        <v/>
      </c>
      <c r="DK21" t="str">
        <v/>
      </c>
      <c r="DL21" t="str">
        <v/>
      </c>
      <c r="DM21" t="str">
        <v/>
      </c>
      <c r="DN21" t="str">
        <v/>
      </c>
      <c r="DO21" t="str">
        <v/>
      </c>
      <c r="DP21" t="str">
        <v/>
      </c>
      <c r="DQ21" t="str">
        <v/>
      </c>
      <c r="DR21" t="str">
        <v/>
      </c>
      <c r="DS21" t="str">
        <v/>
      </c>
      <c r="DT21" t="str">
        <v/>
      </c>
      <c r="DU21" t="str">
        <v/>
      </c>
      <c r="DV21" t="str">
        <v/>
      </c>
      <c r="DW21" t="str">
        <v/>
      </c>
      <c r="DX21" t="str">
        <v/>
      </c>
      <c r="DY21" t="str">
        <v/>
      </c>
      <c r="DZ21" t="str">
        <v/>
      </c>
      <c r="EA21" t="str">
        <v/>
      </c>
      <c r="EB21" t="str">
        <v/>
      </c>
      <c r="EC21" t="str">
        <v/>
      </c>
      <c r="ED21" t="str">
        <v/>
      </c>
      <c r="EE21" t="str">
        <v/>
      </c>
      <c r="EF21" t="str">
        <v/>
      </c>
      <c r="EG21" t="str">
        <v/>
      </c>
      <c r="EH21" t="str">
        <v/>
      </c>
      <c r="EI21" t="str">
        <v/>
      </c>
      <c r="EJ21" t="str">
        <v/>
      </c>
      <c r="EK21" t="str">
        <v/>
      </c>
      <c r="EL21" t="str">
        <v/>
      </c>
      <c r="EM21" t="str">
        <v/>
      </c>
      <c r="EN21" t="str">
        <v/>
      </c>
      <c r="EO21" t="str">
        <v/>
      </c>
      <c r="EP21" t="str">
        <v/>
      </c>
      <c r="EQ21" t="str">
        <v/>
      </c>
      <c r="ER21" t="str">
        <v/>
      </c>
      <c r="ES21" t="str">
        <v/>
      </c>
      <c r="ET21" t="str">
        <v/>
      </c>
      <c r="EU21" t="str">
        <v/>
      </c>
      <c r="EV21" t="str">
        <v/>
      </c>
      <c r="EW21" t="str">
        <v/>
      </c>
      <c r="EX21" t="str">
        <v/>
      </c>
      <c r="EY21" t="str">
        <v/>
      </c>
      <c r="EZ21" t="str">
        <v/>
      </c>
      <c r="FA21" t="str">
        <v/>
      </c>
      <c r="FB21" t="str">
        <v/>
      </c>
      <c r="FC21" t="str">
        <v/>
      </c>
      <c r="FD21" t="str">
        <v/>
      </c>
      <c r="FE21" t="str">
        <v/>
      </c>
      <c r="FF21" t="str">
        <v/>
      </c>
      <c r="FG21" t="str">
        <v/>
      </c>
      <c r="FH21" t="str">
        <v/>
      </c>
      <c r="FI21" t="str">
        <v/>
      </c>
      <c r="FJ21" t="str">
        <v/>
      </c>
      <c r="FK21" t="str">
        <v/>
      </c>
      <c r="FL21" t="str">
        <v/>
      </c>
      <c r="FM21" t="str">
        <v/>
      </c>
      <c r="FN21" t="str">
        <v/>
      </c>
      <c r="FO21" t="str">
        <v/>
      </c>
      <c r="FP21" t="str">
        <v/>
      </c>
      <c r="FQ21" t="str">
        <v/>
      </c>
      <c r="FR21" t="str">
        <v/>
      </c>
      <c r="FS21" t="str">
        <v/>
      </c>
      <c r="FT21" t="str">
        <v/>
      </c>
      <c r="FU21" t="str">
        <v/>
      </c>
      <c r="FV21" t="str">
        <v/>
      </c>
      <c r="FW21" t="str">
        <v/>
      </c>
      <c r="FX21" t="str">
        <v/>
      </c>
      <c r="FY21" t="str">
        <v/>
      </c>
      <c r="FZ21" t="str">
        <v/>
      </c>
      <c r="GA21" t="str">
        <v/>
      </c>
      <c r="GB21" t="str">
        <v/>
      </c>
      <c r="GC21" t="str">
        <v/>
      </c>
      <c r="GD21" t="str">
        <v/>
      </c>
      <c r="GE21" t="str">
        <v/>
      </c>
      <c r="GF21" t="str">
        <v/>
      </c>
      <c r="GG21" t="str">
        <v/>
      </c>
      <c r="GH21" t="str">
        <v/>
      </c>
      <c r="GI21" t="str">
        <v/>
      </c>
      <c r="GJ21" t="str">
        <v/>
      </c>
      <c r="GK21" t="str">
        <v/>
      </c>
      <c r="GL21" t="str">
        <v/>
      </c>
      <c r="GM21" t="str">
        <v/>
      </c>
      <c r="GN21" t="str">
        <v/>
      </c>
      <c r="GO21" t="str">
        <v/>
      </c>
      <c r="GP21" t="str">
        <v/>
      </c>
      <c r="GQ21" t="str">
        <v/>
      </c>
      <c r="GR21" t="str">
        <v/>
      </c>
      <c r="GS21" t="str">
        <v/>
      </c>
      <c r="GT21" t="str">
        <v/>
      </c>
      <c r="GU21" t="str">
        <v/>
      </c>
      <c r="GV21" t="str">
        <v/>
      </c>
      <c r="GW21" t="str">
        <v/>
      </c>
      <c r="GX21" t="str">
        <v/>
      </c>
      <c r="GY21" t="str">
        <v/>
      </c>
      <c r="GZ21" t="str">
        <v/>
      </c>
      <c r="HA21" t="str">
        <v/>
      </c>
      <c r="HB21" t="str">
        <v/>
      </c>
      <c r="HC21" t="str">
        <v/>
      </c>
      <c r="HD21" t="str">
        <v/>
      </c>
      <c r="HE21" t="str">
        <v/>
      </c>
      <c r="HF21" t="str">
        <v/>
      </c>
      <c r="HG21" t="str">
        <v/>
      </c>
      <c r="HH21" t="str">
        <v/>
      </c>
      <c r="HI21" t="str">
        <v/>
      </c>
      <c r="HJ21" t="str">
        <v/>
      </c>
      <c r="HK21" t="str">
        <v/>
      </c>
      <c r="HL21" t="str">
        <v/>
      </c>
      <c r="HM21" t="str">
        <v/>
      </c>
      <c r="HN21" t="str">
        <v/>
      </c>
      <c r="HO21" t="str">
        <v/>
      </c>
      <c r="HP21" t="str">
        <v/>
      </c>
      <c r="HQ21" t="str">
        <v/>
      </c>
      <c r="HR21" t="str">
        <v/>
      </c>
      <c r="HS21" t="str">
        <v/>
      </c>
      <c r="HT21" t="str">
        <v/>
      </c>
      <c r="HU21" t="str">
        <v/>
      </c>
      <c r="HV21" t="str">
        <v/>
      </c>
      <c r="HW21" t="str">
        <v/>
      </c>
      <c r="HX21" t="str">
        <v/>
      </c>
      <c r="HY21" t="str">
        <v/>
      </c>
      <c r="HZ21" t="str">
        <v/>
      </c>
      <c r="IA21" t="str">
        <v/>
      </c>
      <c r="IB21" t="str">
        <v/>
      </c>
      <c r="IC21" t="str">
        <v/>
      </c>
      <c r="ID21" t="str">
        <v/>
      </c>
      <c r="IE21" t="str">
        <v/>
      </c>
      <c r="IF21" t="str">
        <v/>
      </c>
      <c r="IG21" t="str">
        <v/>
      </c>
      <c r="IH21" t="str">
        <v/>
      </c>
      <c r="II21" t="str">
        <v/>
      </c>
      <c r="IJ21" t="str">
        <v/>
      </c>
      <c r="IK21" t="str">
        <v/>
      </c>
      <c r="IL21" t="str">
        <v/>
      </c>
      <c r="IM21" t="str">
        <v/>
      </c>
      <c r="IN21" t="str">
        <v/>
      </c>
      <c r="IO21" t="str">
        <v/>
      </c>
      <c r="IP21" t="str">
        <v/>
      </c>
      <c r="IQ21" t="str">
        <v/>
      </c>
      <c r="IR21" t="str">
        <v/>
      </c>
      <c r="IS21" t="str">
        <v/>
      </c>
      <c r="IT21" t="str">
        <v/>
      </c>
      <c r="IU21" t="str">
        <v/>
      </c>
      <c r="IV21" t="str">
        <v/>
      </c>
      <c r="IW21" t="str">
        <v/>
      </c>
      <c r="IX21" t="str">
        <v/>
      </c>
      <c r="IY21" t="str">
        <v/>
      </c>
      <c r="IZ21" t="str">
        <v/>
      </c>
      <c r="JA21" t="str">
        <v/>
      </c>
      <c r="JB21" t="str">
        <v/>
      </c>
      <c r="JC21" t="str">
        <v/>
      </c>
      <c r="JD21" t="str">
        <v/>
      </c>
      <c r="JE21" t="str">
        <v/>
      </c>
      <c r="JF21" t="str">
        <v/>
      </c>
      <c r="JG21" t="str">
        <v/>
      </c>
      <c r="JH21" t="str">
        <v/>
      </c>
      <c r="JI21" t="str">
        <v/>
      </c>
      <c r="JJ21" t="str">
        <v/>
      </c>
      <c r="JK21" t="str">
        <v/>
      </c>
      <c r="JL21" t="str">
        <v/>
      </c>
      <c r="JM21" t="str">
        <v/>
      </c>
      <c r="JN21" t="str">
        <v/>
      </c>
      <c r="JO21" t="str">
        <v/>
      </c>
      <c r="JP21" t="str">
        <v/>
      </c>
      <c r="JQ21" t="str">
        <v/>
      </c>
      <c r="JR21" t="str">
        <v/>
      </c>
      <c r="JS21" t="str">
        <v/>
      </c>
      <c r="JT21" t="str">
        <v/>
      </c>
      <c r="JU21" t="str">
        <v/>
      </c>
      <c r="JV21" t="str">
        <v/>
      </c>
      <c r="JW21" t="str">
        <v/>
      </c>
      <c r="JX21" t="str">
        <v/>
      </c>
      <c r="JY21" t="str">
        <v/>
      </c>
      <c r="JZ21" t="str">
        <v/>
      </c>
      <c r="KA21" t="str">
        <v/>
      </c>
      <c r="KB21" t="str">
        <v/>
      </c>
      <c r="KC21" t="str">
        <v/>
      </c>
      <c r="KD21" t="str">
        <v/>
      </c>
      <c r="KE21" t="str">
        <v/>
      </c>
      <c r="KF21" t="str">
        <v/>
      </c>
      <c r="KG21" t="str">
        <v/>
      </c>
      <c r="KH21" t="str">
        <v/>
      </c>
      <c r="KI21" t="str">
        <v/>
      </c>
      <c r="KJ21" t="str">
        <v/>
      </c>
      <c r="KK21" t="str">
        <v/>
      </c>
      <c r="KL21" t="str">
        <v/>
      </c>
      <c r="KM21" t="str">
        <v/>
      </c>
      <c r="KN21" t="str">
        <v/>
      </c>
      <c r="KO21" t="str">
        <v/>
      </c>
      <c r="KP21" t="str">
        <v/>
      </c>
      <c r="KQ21" t="str">
        <v/>
      </c>
      <c r="KR21" t="str">
        <v/>
      </c>
      <c r="KS21" t="str">
        <v/>
      </c>
      <c r="KT21" t="str">
        <v/>
      </c>
      <c r="KU21" t="str">
        <v/>
      </c>
      <c r="KV21" t="str">
        <v/>
      </c>
      <c r="KW21" t="str">
        <v/>
      </c>
      <c r="KX21" t="str">
        <v/>
      </c>
      <c r="KY21" t="str">
        <v/>
      </c>
      <c r="KZ21" t="str">
        <v/>
      </c>
      <c r="LA21" t="str">
        <v/>
      </c>
      <c r="LB21" t="str">
        <v/>
      </c>
      <c r="LC21" t="str">
        <v/>
      </c>
      <c r="LD21" t="str">
        <v/>
      </c>
      <c r="LE21" t="str">
        <v/>
      </c>
      <c r="LF21" t="str">
        <v/>
      </c>
      <c r="LG21" t="str">
        <v/>
      </c>
      <c r="LH21" t="str">
        <v/>
      </c>
      <c r="LI21" t="str">
        <v/>
      </c>
      <c r="LJ21" t="str">
        <v/>
      </c>
      <c r="LK21" t="str">
        <v/>
      </c>
      <c r="LL21" t="str">
        <v/>
      </c>
      <c r="LM21" t="str">
        <v/>
      </c>
      <c r="LN21" t="str">
        <v/>
      </c>
      <c r="LO21" t="str">
        <v/>
      </c>
      <c r="LP21" t="str">
        <v/>
      </c>
      <c r="LQ21" t="str">
        <v/>
      </c>
      <c r="LR21" t="str">
        <v/>
      </c>
      <c r="LS21" t="str">
        <v/>
      </c>
      <c r="LT21" t="str">
        <v/>
      </c>
      <c r="LU21" t="str">
        <v/>
      </c>
      <c r="LV21" t="str">
        <v/>
      </c>
      <c r="LW21" t="str">
        <v/>
      </c>
      <c r="LX21" t="str">
        <v/>
      </c>
      <c r="LY21" t="str">
        <v/>
      </c>
      <c r="LZ21" t="str">
        <v/>
      </c>
      <c r="MA21" t="str">
        <v/>
      </c>
      <c r="MB21" t="str">
        <v/>
      </c>
      <c r="MC21" t="str">
        <v/>
      </c>
      <c r="MD21" t="str">
        <v/>
      </c>
      <c r="ME21" t="str">
        <v/>
      </c>
      <c r="MF21" t="str">
        <v/>
      </c>
      <c r="MG21" t="str">
        <v/>
      </c>
      <c r="MH21" t="str">
        <v/>
      </c>
      <c r="MI21" t="str">
        <v/>
      </c>
      <c r="MJ21" t="str">
        <v/>
      </c>
      <c r="MK21" t="str">
        <v/>
      </c>
      <c r="ML21" t="str">
        <v/>
      </c>
      <c r="MM21" t="str">
        <v/>
      </c>
      <c r="MN21" t="str">
        <v/>
      </c>
      <c r="MO21" t="str">
        <v/>
      </c>
      <c r="MP21" t="str">
        <v/>
      </c>
      <c r="MQ21" t="str">
        <v/>
      </c>
      <c r="MR21" t="str">
        <v/>
      </c>
      <c r="MS21" t="str">
        <v/>
      </c>
      <c r="MT21" t="str">
        <v/>
      </c>
      <c r="MU21" t="str">
        <v/>
      </c>
      <c r="MV21" t="str">
        <v/>
      </c>
      <c r="MW21" t="str">
        <v/>
      </c>
      <c r="MX21" t="str">
        <v/>
      </c>
      <c r="MY21" t="str">
        <v/>
      </c>
      <c r="MZ21" t="str">
        <v/>
      </c>
      <c r="NA21" t="str">
        <v/>
      </c>
      <c r="NB21" t="str">
        <v/>
      </c>
      <c r="NC21" t="str">
        <v/>
      </c>
      <c r="ND21" t="str">
        <v/>
      </c>
      <c r="NE21" t="str">
        <v/>
      </c>
      <c r="NF21" t="str">
        <v/>
      </c>
      <c r="NG21" t="str">
        <v/>
      </c>
      <c r="NH21" t="str">
        <v/>
      </c>
      <c r="NI21" t="str">
        <v/>
      </c>
      <c r="NJ21" t="str">
        <v/>
      </c>
      <c r="NK21" t="str">
        <v/>
      </c>
      <c r="NL21" t="str">
        <v/>
      </c>
      <c r="NM21" t="str">
        <v/>
      </c>
      <c r="NN21" t="str">
        <v/>
      </c>
      <c r="NO21" t="str">
        <v/>
      </c>
      <c r="NP21" t="str">
        <v/>
      </c>
      <c r="NQ21" t="str">
        <v/>
      </c>
      <c r="NR21" t="str">
        <v/>
      </c>
      <c r="NS21" t="str">
        <v/>
      </c>
      <c r="NT21" t="str">
        <v/>
      </c>
      <c r="NU21" t="str">
        <v/>
      </c>
      <c r="NV21" t="str">
        <v/>
      </c>
      <c r="NW21" t="str">
        <v/>
      </c>
      <c r="NX21" t="str">
        <v/>
      </c>
      <c r="NY21" t="str">
        <v/>
      </c>
      <c r="NZ21" t="str">
        <v/>
      </c>
      <c r="OA21" t="str">
        <v/>
      </c>
      <c r="OB21" t="str">
        <v/>
      </c>
      <c r="OC21" t="str">
        <v/>
      </c>
      <c r="OD21" t="str">
        <v/>
      </c>
      <c r="OE21" t="str">
        <v/>
      </c>
      <c r="OF21" t="str">
        <v/>
      </c>
      <c r="OG21" t="str">
        <v/>
      </c>
      <c r="OH21" t="str">
        <v/>
      </c>
      <c r="OI21" t="str">
        <v/>
      </c>
      <c r="OJ21" t="str">
        <v/>
      </c>
      <c r="OK21" t="str">
        <v/>
      </c>
    </row>
    <row r="22" spans="1:401" outlineLevel="1" x14ac:dyDescent="0.3">
      <c r="A22" s="14"/>
      <c r="D22" s="119" t="s">
        <v>300</v>
      </c>
      <c r="E22" s="197"/>
      <c r="F22" s="198" t="s">
        <v>291</v>
      </c>
      <c r="G22" s="76"/>
      <c r="H22" s="110"/>
      <c r="I22" s="111"/>
      <c r="J22" s="65"/>
      <c r="K22" s="55"/>
      <c r="L22" s="66"/>
      <c r="M22" t="s">
        <v>301</v>
      </c>
      <c r="N22" s="8"/>
      <c r="O22" s="208"/>
      <c r="P22" t="str" cm="1">
        <f t="array" ref="P22:OK22">IF((N22&lt;=_xlfn.ANCHORARRAY($P$2))*(_xlfn.ANCHORARRAY($P$2)&lt;O22)," ","")</f>
        <v/>
      </c>
      <c r="Q22" t="str">
        <v/>
      </c>
      <c r="R22" t="str">
        <v/>
      </c>
      <c r="S22" t="str">
        <v/>
      </c>
      <c r="T22" t="str">
        <v/>
      </c>
      <c r="U22" t="str">
        <v/>
      </c>
      <c r="V22" t="str">
        <v/>
      </c>
      <c r="W22" t="str">
        <v/>
      </c>
      <c r="X22" t="str">
        <v/>
      </c>
      <c r="Y22" t="str">
        <v/>
      </c>
      <c r="Z22" t="str">
        <v/>
      </c>
      <c r="AA22" t="str">
        <v/>
      </c>
      <c r="AB22" t="str">
        <v/>
      </c>
      <c r="AC22" t="str">
        <v/>
      </c>
      <c r="AD22" t="str">
        <v/>
      </c>
      <c r="AE22" t="str">
        <v/>
      </c>
      <c r="AF22" t="str">
        <v/>
      </c>
      <c r="AG22" t="str">
        <v/>
      </c>
      <c r="AH22" t="str">
        <v/>
      </c>
      <c r="AI22" t="str">
        <v/>
      </c>
      <c r="AJ22" t="str">
        <v/>
      </c>
      <c r="AK22" t="str">
        <v/>
      </c>
      <c r="AL22" t="str">
        <v/>
      </c>
      <c r="AM22" t="str">
        <v/>
      </c>
      <c r="AN22" t="str">
        <v/>
      </c>
      <c r="AO22" t="str">
        <v/>
      </c>
      <c r="AP22" t="str">
        <v/>
      </c>
      <c r="AQ22" t="str">
        <v/>
      </c>
      <c r="AR22" t="str">
        <v/>
      </c>
      <c r="AS22" t="str">
        <v/>
      </c>
      <c r="AT22" t="str">
        <v/>
      </c>
      <c r="AU22" t="str">
        <v/>
      </c>
      <c r="AV22" t="str">
        <v/>
      </c>
      <c r="AW22" t="str">
        <v/>
      </c>
      <c r="AX22" t="str">
        <v/>
      </c>
      <c r="AY22" t="str">
        <v/>
      </c>
      <c r="AZ22" t="str">
        <v/>
      </c>
      <c r="BA22" t="str">
        <v/>
      </c>
      <c r="BB22" t="str">
        <v/>
      </c>
      <c r="BC22" t="str">
        <v/>
      </c>
      <c r="BD22" t="str">
        <v/>
      </c>
      <c r="BE22" t="str">
        <v/>
      </c>
      <c r="BF22" t="str">
        <v/>
      </c>
      <c r="BG22" t="str">
        <v/>
      </c>
      <c r="BH22" t="str">
        <v/>
      </c>
      <c r="BI22" t="str">
        <v/>
      </c>
      <c r="BJ22" t="str">
        <v/>
      </c>
      <c r="BK22" t="str">
        <v/>
      </c>
      <c r="BL22" t="str">
        <v/>
      </c>
      <c r="BM22" t="str">
        <v/>
      </c>
      <c r="BN22" t="str">
        <v/>
      </c>
      <c r="BO22" t="str">
        <v/>
      </c>
      <c r="BP22" t="str">
        <v/>
      </c>
      <c r="BQ22" t="str">
        <v/>
      </c>
      <c r="BR22" t="str">
        <v/>
      </c>
      <c r="BS22" t="str">
        <v/>
      </c>
      <c r="BT22" t="str">
        <v/>
      </c>
      <c r="BU22" t="str">
        <v/>
      </c>
      <c r="BV22" t="str">
        <v/>
      </c>
      <c r="BW22" t="str">
        <v/>
      </c>
      <c r="BX22" t="str">
        <v/>
      </c>
      <c r="BY22" t="str">
        <v/>
      </c>
      <c r="BZ22" t="str">
        <v/>
      </c>
      <c r="CA22" t="str">
        <v/>
      </c>
      <c r="CB22" t="str">
        <v/>
      </c>
      <c r="CC22" t="str">
        <v/>
      </c>
      <c r="CD22" t="str">
        <v/>
      </c>
      <c r="CE22" t="str">
        <v/>
      </c>
      <c r="CF22" t="str">
        <v/>
      </c>
      <c r="CG22" t="str">
        <v/>
      </c>
      <c r="CH22" t="str">
        <v/>
      </c>
      <c r="CI22" t="str">
        <v/>
      </c>
      <c r="CJ22" t="str">
        <v/>
      </c>
      <c r="CK22" t="str">
        <v/>
      </c>
      <c r="CL22" t="str">
        <v/>
      </c>
      <c r="CM22" t="str">
        <v/>
      </c>
      <c r="CN22" t="str">
        <v/>
      </c>
      <c r="CO22" t="str">
        <v/>
      </c>
      <c r="CP22" t="str">
        <v/>
      </c>
      <c r="CQ22" t="str">
        <v/>
      </c>
      <c r="CR22" t="str">
        <v/>
      </c>
      <c r="CS22" t="str">
        <v/>
      </c>
      <c r="CT22" t="str">
        <v/>
      </c>
      <c r="CU22" t="str">
        <v/>
      </c>
      <c r="CV22" t="str">
        <v/>
      </c>
      <c r="CW22" t="str">
        <v/>
      </c>
      <c r="CX22" t="str">
        <v/>
      </c>
      <c r="CY22" t="str">
        <v/>
      </c>
      <c r="CZ22" t="str">
        <v/>
      </c>
      <c r="DA22" t="str">
        <v/>
      </c>
      <c r="DB22" t="str">
        <v/>
      </c>
      <c r="DC22" t="str">
        <v/>
      </c>
      <c r="DD22" t="str">
        <v/>
      </c>
      <c r="DE22" t="str">
        <v/>
      </c>
      <c r="DF22" t="str">
        <v/>
      </c>
      <c r="DG22" t="str">
        <v/>
      </c>
      <c r="DH22" t="str">
        <v/>
      </c>
      <c r="DI22" t="str">
        <v/>
      </c>
      <c r="DJ22" t="str">
        <v/>
      </c>
      <c r="DK22" t="str">
        <v/>
      </c>
      <c r="DL22" t="str">
        <v/>
      </c>
      <c r="DM22" t="str">
        <v/>
      </c>
      <c r="DN22" t="str">
        <v/>
      </c>
      <c r="DO22" t="str">
        <v/>
      </c>
      <c r="DP22" t="str">
        <v/>
      </c>
      <c r="DQ22" t="str">
        <v/>
      </c>
      <c r="DR22" t="str">
        <v/>
      </c>
      <c r="DS22" t="str">
        <v/>
      </c>
      <c r="DT22" t="str">
        <v/>
      </c>
      <c r="DU22" t="str">
        <v/>
      </c>
      <c r="DV22" t="str">
        <v/>
      </c>
      <c r="DW22" t="str">
        <v/>
      </c>
      <c r="DX22" t="str">
        <v/>
      </c>
      <c r="DY22" t="str">
        <v/>
      </c>
      <c r="DZ22" t="str">
        <v/>
      </c>
      <c r="EA22" t="str">
        <v/>
      </c>
      <c r="EB22" t="str">
        <v/>
      </c>
      <c r="EC22" t="str">
        <v/>
      </c>
      <c r="ED22" t="str">
        <v/>
      </c>
      <c r="EE22" t="str">
        <v/>
      </c>
      <c r="EF22" t="str">
        <v/>
      </c>
      <c r="EG22" t="str">
        <v/>
      </c>
      <c r="EH22" t="str">
        <v/>
      </c>
      <c r="EI22" t="str">
        <v/>
      </c>
      <c r="EJ22" t="str">
        <v/>
      </c>
      <c r="EK22" t="str">
        <v/>
      </c>
      <c r="EL22" t="str">
        <v/>
      </c>
      <c r="EM22" t="str">
        <v/>
      </c>
      <c r="EN22" t="str">
        <v/>
      </c>
      <c r="EO22" t="str">
        <v/>
      </c>
      <c r="EP22" t="str">
        <v/>
      </c>
      <c r="EQ22" t="str">
        <v/>
      </c>
      <c r="ER22" t="str">
        <v/>
      </c>
      <c r="ES22" t="str">
        <v/>
      </c>
      <c r="ET22" t="str">
        <v/>
      </c>
      <c r="EU22" t="str">
        <v/>
      </c>
      <c r="EV22" t="str">
        <v/>
      </c>
      <c r="EW22" t="str">
        <v/>
      </c>
      <c r="EX22" t="str">
        <v/>
      </c>
      <c r="EY22" t="str">
        <v/>
      </c>
      <c r="EZ22" t="str">
        <v/>
      </c>
      <c r="FA22" t="str">
        <v/>
      </c>
      <c r="FB22" t="str">
        <v/>
      </c>
      <c r="FC22" t="str">
        <v/>
      </c>
      <c r="FD22" t="str">
        <v/>
      </c>
      <c r="FE22" t="str">
        <v/>
      </c>
      <c r="FF22" t="str">
        <v/>
      </c>
      <c r="FG22" t="str">
        <v/>
      </c>
      <c r="FH22" t="str">
        <v/>
      </c>
      <c r="FI22" t="str">
        <v/>
      </c>
      <c r="FJ22" t="str">
        <v/>
      </c>
      <c r="FK22" t="str">
        <v/>
      </c>
      <c r="FL22" t="str">
        <v/>
      </c>
      <c r="FM22" t="str">
        <v/>
      </c>
      <c r="FN22" t="str">
        <v/>
      </c>
      <c r="FO22" t="str">
        <v/>
      </c>
      <c r="FP22" t="str">
        <v/>
      </c>
      <c r="FQ22" t="str">
        <v/>
      </c>
      <c r="FR22" t="str">
        <v/>
      </c>
      <c r="FS22" t="str">
        <v/>
      </c>
      <c r="FT22" t="str">
        <v/>
      </c>
      <c r="FU22" t="str">
        <v/>
      </c>
      <c r="FV22" t="str">
        <v/>
      </c>
      <c r="FW22" t="str">
        <v/>
      </c>
      <c r="FX22" t="str">
        <v/>
      </c>
      <c r="FY22" t="str">
        <v/>
      </c>
      <c r="FZ22" t="str">
        <v/>
      </c>
      <c r="GA22" t="str">
        <v/>
      </c>
      <c r="GB22" t="str">
        <v/>
      </c>
      <c r="GC22" t="str">
        <v/>
      </c>
      <c r="GD22" t="str">
        <v/>
      </c>
      <c r="GE22" t="str">
        <v/>
      </c>
      <c r="GF22" t="str">
        <v/>
      </c>
      <c r="GG22" t="str">
        <v/>
      </c>
      <c r="GH22" t="str">
        <v/>
      </c>
      <c r="GI22" t="str">
        <v/>
      </c>
      <c r="GJ22" t="str">
        <v/>
      </c>
      <c r="GK22" t="str">
        <v/>
      </c>
      <c r="GL22" t="str">
        <v/>
      </c>
      <c r="GM22" t="str">
        <v/>
      </c>
      <c r="GN22" t="str">
        <v/>
      </c>
      <c r="GO22" t="str">
        <v/>
      </c>
      <c r="GP22" t="str">
        <v/>
      </c>
      <c r="GQ22" t="str">
        <v/>
      </c>
      <c r="GR22" t="str">
        <v/>
      </c>
      <c r="GS22" t="str">
        <v/>
      </c>
      <c r="GT22" t="str">
        <v/>
      </c>
      <c r="GU22" t="str">
        <v/>
      </c>
      <c r="GV22" t="str">
        <v/>
      </c>
      <c r="GW22" t="str">
        <v/>
      </c>
      <c r="GX22" t="str">
        <v/>
      </c>
      <c r="GY22" t="str">
        <v/>
      </c>
      <c r="GZ22" t="str">
        <v/>
      </c>
      <c r="HA22" t="str">
        <v/>
      </c>
      <c r="HB22" t="str">
        <v/>
      </c>
      <c r="HC22" t="str">
        <v/>
      </c>
      <c r="HD22" t="str">
        <v/>
      </c>
      <c r="HE22" t="str">
        <v/>
      </c>
      <c r="HF22" t="str">
        <v/>
      </c>
      <c r="HG22" t="str">
        <v/>
      </c>
      <c r="HH22" t="str">
        <v/>
      </c>
      <c r="HI22" t="str">
        <v/>
      </c>
      <c r="HJ22" t="str">
        <v/>
      </c>
      <c r="HK22" t="str">
        <v/>
      </c>
      <c r="HL22" t="str">
        <v/>
      </c>
      <c r="HM22" t="str">
        <v/>
      </c>
      <c r="HN22" t="str">
        <v/>
      </c>
      <c r="HO22" t="str">
        <v/>
      </c>
      <c r="HP22" t="str">
        <v/>
      </c>
      <c r="HQ22" t="str">
        <v/>
      </c>
      <c r="HR22" t="str">
        <v/>
      </c>
      <c r="HS22" t="str">
        <v/>
      </c>
      <c r="HT22" t="str">
        <v/>
      </c>
      <c r="HU22" t="str">
        <v/>
      </c>
      <c r="HV22" t="str">
        <v/>
      </c>
      <c r="HW22" t="str">
        <v/>
      </c>
      <c r="HX22" t="str">
        <v/>
      </c>
      <c r="HY22" t="str">
        <v/>
      </c>
      <c r="HZ22" t="str">
        <v/>
      </c>
      <c r="IA22" t="str">
        <v/>
      </c>
      <c r="IB22" t="str">
        <v/>
      </c>
      <c r="IC22" t="str">
        <v/>
      </c>
      <c r="ID22" t="str">
        <v/>
      </c>
      <c r="IE22" t="str">
        <v/>
      </c>
      <c r="IF22" t="str">
        <v/>
      </c>
      <c r="IG22" t="str">
        <v/>
      </c>
      <c r="IH22" t="str">
        <v/>
      </c>
      <c r="II22" t="str">
        <v/>
      </c>
      <c r="IJ22" t="str">
        <v/>
      </c>
      <c r="IK22" t="str">
        <v/>
      </c>
      <c r="IL22" t="str">
        <v/>
      </c>
      <c r="IM22" t="str">
        <v/>
      </c>
      <c r="IN22" t="str">
        <v/>
      </c>
      <c r="IO22" t="str">
        <v/>
      </c>
      <c r="IP22" t="str">
        <v/>
      </c>
      <c r="IQ22" t="str">
        <v/>
      </c>
      <c r="IR22" t="str">
        <v/>
      </c>
      <c r="IS22" t="str">
        <v/>
      </c>
      <c r="IT22" t="str">
        <v/>
      </c>
      <c r="IU22" t="str">
        <v/>
      </c>
      <c r="IV22" t="str">
        <v/>
      </c>
      <c r="IW22" t="str">
        <v/>
      </c>
      <c r="IX22" t="str">
        <v/>
      </c>
      <c r="IY22" t="str">
        <v/>
      </c>
      <c r="IZ22" t="str">
        <v/>
      </c>
      <c r="JA22" t="str">
        <v/>
      </c>
      <c r="JB22" t="str">
        <v/>
      </c>
      <c r="JC22" t="str">
        <v/>
      </c>
      <c r="JD22" t="str">
        <v/>
      </c>
      <c r="JE22" t="str">
        <v/>
      </c>
      <c r="JF22" t="str">
        <v/>
      </c>
      <c r="JG22" t="str">
        <v/>
      </c>
      <c r="JH22" t="str">
        <v/>
      </c>
      <c r="JI22" t="str">
        <v/>
      </c>
      <c r="JJ22" t="str">
        <v/>
      </c>
      <c r="JK22" t="str">
        <v/>
      </c>
      <c r="JL22" t="str">
        <v/>
      </c>
      <c r="JM22" t="str">
        <v/>
      </c>
      <c r="JN22" t="str">
        <v/>
      </c>
      <c r="JO22" t="str">
        <v/>
      </c>
      <c r="JP22" t="str">
        <v/>
      </c>
      <c r="JQ22" t="str">
        <v/>
      </c>
      <c r="JR22" t="str">
        <v/>
      </c>
      <c r="JS22" t="str">
        <v/>
      </c>
      <c r="JT22" t="str">
        <v/>
      </c>
      <c r="JU22" t="str">
        <v/>
      </c>
      <c r="JV22" t="str">
        <v/>
      </c>
      <c r="JW22" t="str">
        <v/>
      </c>
      <c r="JX22" t="str">
        <v/>
      </c>
      <c r="JY22" t="str">
        <v/>
      </c>
      <c r="JZ22" t="str">
        <v/>
      </c>
      <c r="KA22" t="str">
        <v/>
      </c>
      <c r="KB22" t="str">
        <v/>
      </c>
      <c r="KC22" t="str">
        <v/>
      </c>
      <c r="KD22" t="str">
        <v/>
      </c>
      <c r="KE22" t="str">
        <v/>
      </c>
      <c r="KF22" t="str">
        <v/>
      </c>
      <c r="KG22" t="str">
        <v/>
      </c>
      <c r="KH22" t="str">
        <v/>
      </c>
      <c r="KI22" t="str">
        <v/>
      </c>
      <c r="KJ22" t="str">
        <v/>
      </c>
      <c r="KK22" t="str">
        <v/>
      </c>
      <c r="KL22" t="str">
        <v/>
      </c>
      <c r="KM22" t="str">
        <v/>
      </c>
      <c r="KN22" t="str">
        <v/>
      </c>
      <c r="KO22" t="str">
        <v/>
      </c>
      <c r="KP22" t="str">
        <v/>
      </c>
      <c r="KQ22" t="str">
        <v/>
      </c>
      <c r="KR22" t="str">
        <v/>
      </c>
      <c r="KS22" t="str">
        <v/>
      </c>
      <c r="KT22" t="str">
        <v/>
      </c>
      <c r="KU22" t="str">
        <v/>
      </c>
      <c r="KV22" t="str">
        <v/>
      </c>
      <c r="KW22" t="str">
        <v/>
      </c>
      <c r="KX22" t="str">
        <v/>
      </c>
      <c r="KY22" t="str">
        <v/>
      </c>
      <c r="KZ22" t="str">
        <v/>
      </c>
      <c r="LA22" t="str">
        <v/>
      </c>
      <c r="LB22" t="str">
        <v/>
      </c>
      <c r="LC22" t="str">
        <v/>
      </c>
      <c r="LD22" t="str">
        <v/>
      </c>
      <c r="LE22" t="str">
        <v/>
      </c>
      <c r="LF22" t="str">
        <v/>
      </c>
      <c r="LG22" t="str">
        <v/>
      </c>
      <c r="LH22" t="str">
        <v/>
      </c>
      <c r="LI22" t="str">
        <v/>
      </c>
      <c r="LJ22" t="str">
        <v/>
      </c>
      <c r="LK22" t="str">
        <v/>
      </c>
      <c r="LL22" t="str">
        <v/>
      </c>
      <c r="LM22" t="str">
        <v/>
      </c>
      <c r="LN22" t="str">
        <v/>
      </c>
      <c r="LO22" t="str">
        <v/>
      </c>
      <c r="LP22" t="str">
        <v/>
      </c>
      <c r="LQ22" t="str">
        <v/>
      </c>
      <c r="LR22" t="str">
        <v/>
      </c>
      <c r="LS22" t="str">
        <v/>
      </c>
      <c r="LT22" t="str">
        <v/>
      </c>
      <c r="LU22" t="str">
        <v/>
      </c>
      <c r="LV22" t="str">
        <v/>
      </c>
      <c r="LW22" t="str">
        <v/>
      </c>
      <c r="LX22" t="str">
        <v/>
      </c>
      <c r="LY22" t="str">
        <v/>
      </c>
      <c r="LZ22" t="str">
        <v/>
      </c>
      <c r="MA22" t="str">
        <v/>
      </c>
      <c r="MB22" t="str">
        <v/>
      </c>
      <c r="MC22" t="str">
        <v/>
      </c>
      <c r="MD22" t="str">
        <v/>
      </c>
      <c r="ME22" t="str">
        <v/>
      </c>
      <c r="MF22" t="str">
        <v/>
      </c>
      <c r="MG22" t="str">
        <v/>
      </c>
      <c r="MH22" t="str">
        <v/>
      </c>
      <c r="MI22" t="str">
        <v/>
      </c>
      <c r="MJ22" t="str">
        <v/>
      </c>
      <c r="MK22" t="str">
        <v/>
      </c>
      <c r="ML22" t="str">
        <v/>
      </c>
      <c r="MM22" t="str">
        <v/>
      </c>
      <c r="MN22" t="str">
        <v/>
      </c>
      <c r="MO22" t="str">
        <v/>
      </c>
      <c r="MP22" t="str">
        <v/>
      </c>
      <c r="MQ22" t="str">
        <v/>
      </c>
      <c r="MR22" t="str">
        <v/>
      </c>
      <c r="MS22" t="str">
        <v/>
      </c>
      <c r="MT22" t="str">
        <v/>
      </c>
      <c r="MU22" t="str">
        <v/>
      </c>
      <c r="MV22" t="str">
        <v/>
      </c>
      <c r="MW22" t="str">
        <v/>
      </c>
      <c r="MX22" t="str">
        <v/>
      </c>
      <c r="MY22" t="str">
        <v/>
      </c>
      <c r="MZ22" t="str">
        <v/>
      </c>
      <c r="NA22" t="str">
        <v/>
      </c>
      <c r="NB22" t="str">
        <v/>
      </c>
      <c r="NC22" t="str">
        <v/>
      </c>
      <c r="ND22" t="str">
        <v/>
      </c>
      <c r="NE22" t="str">
        <v/>
      </c>
      <c r="NF22" t="str">
        <v/>
      </c>
      <c r="NG22" t="str">
        <v/>
      </c>
      <c r="NH22" t="str">
        <v/>
      </c>
      <c r="NI22" t="str">
        <v/>
      </c>
      <c r="NJ22" t="str">
        <v/>
      </c>
      <c r="NK22" t="str">
        <v/>
      </c>
      <c r="NL22" t="str">
        <v/>
      </c>
      <c r="NM22" t="str">
        <v/>
      </c>
      <c r="NN22" t="str">
        <v/>
      </c>
      <c r="NO22" t="str">
        <v/>
      </c>
      <c r="NP22" t="str">
        <v/>
      </c>
      <c r="NQ22" t="str">
        <v/>
      </c>
      <c r="NR22" t="str">
        <v/>
      </c>
      <c r="NS22" t="str">
        <v/>
      </c>
      <c r="NT22" t="str">
        <v/>
      </c>
      <c r="NU22" t="str">
        <v/>
      </c>
      <c r="NV22" t="str">
        <v/>
      </c>
      <c r="NW22" t="str">
        <v/>
      </c>
      <c r="NX22" t="str">
        <v/>
      </c>
      <c r="NY22" t="str">
        <v/>
      </c>
      <c r="NZ22" t="str">
        <v/>
      </c>
      <c r="OA22" t="str">
        <v/>
      </c>
      <c r="OB22" t="str">
        <v/>
      </c>
      <c r="OC22" t="str">
        <v/>
      </c>
      <c r="OD22" t="str">
        <v/>
      </c>
      <c r="OE22" t="str">
        <v/>
      </c>
      <c r="OF22" t="str">
        <v/>
      </c>
      <c r="OG22" t="str">
        <v/>
      </c>
      <c r="OH22" t="str">
        <v/>
      </c>
      <c r="OI22" t="str">
        <v/>
      </c>
      <c r="OJ22" t="str">
        <v/>
      </c>
      <c r="OK22" t="str">
        <v/>
      </c>
    </row>
    <row r="23" spans="1:401" outlineLevel="1" x14ac:dyDescent="0.3">
      <c r="A23" s="14"/>
      <c r="D23" s="119" t="s">
        <v>293</v>
      </c>
      <c r="E23" s="197"/>
      <c r="F23" s="198" t="s">
        <v>291</v>
      </c>
      <c r="G23" s="76"/>
      <c r="H23" s="110"/>
      <c r="I23" s="111"/>
      <c r="J23" s="65"/>
      <c r="K23" s="55"/>
      <c r="L23" s="66"/>
      <c r="M23" t="s">
        <v>292</v>
      </c>
      <c r="N23" s="8"/>
      <c r="O23" s="208"/>
      <c r="P23" t="str" cm="1">
        <f t="array" ref="P23:OK23">IF((N23&lt;=_xlfn.ANCHORARRAY($P$2))*(_xlfn.ANCHORARRAY($P$2)&lt;O23)," ","")</f>
        <v/>
      </c>
      <c r="Q23" t="str">
        <v/>
      </c>
      <c r="R23" t="str">
        <v/>
      </c>
      <c r="S23" t="str">
        <v/>
      </c>
      <c r="T23" t="str">
        <v/>
      </c>
      <c r="U23" t="str">
        <v/>
      </c>
      <c r="V23" t="str">
        <v/>
      </c>
      <c r="W23" t="str">
        <v/>
      </c>
      <c r="X23" t="str">
        <v/>
      </c>
      <c r="Y23" t="str">
        <v/>
      </c>
      <c r="Z23" t="str">
        <v/>
      </c>
      <c r="AA23" t="str">
        <v/>
      </c>
      <c r="AB23" t="str">
        <v/>
      </c>
      <c r="AC23" t="str">
        <v/>
      </c>
      <c r="AD23" t="str">
        <v/>
      </c>
      <c r="AE23" t="str">
        <v/>
      </c>
      <c r="AF23" t="str">
        <v/>
      </c>
      <c r="AG23" t="str">
        <v/>
      </c>
      <c r="AH23" t="str">
        <v/>
      </c>
      <c r="AI23" t="str">
        <v/>
      </c>
      <c r="AJ23" t="str">
        <v/>
      </c>
      <c r="AK23" t="str">
        <v/>
      </c>
      <c r="AL23" t="str">
        <v/>
      </c>
      <c r="AM23" t="str">
        <v/>
      </c>
      <c r="AN23" t="str">
        <v/>
      </c>
      <c r="AO23" t="str">
        <v/>
      </c>
      <c r="AP23" t="str">
        <v/>
      </c>
      <c r="AQ23" t="str">
        <v/>
      </c>
      <c r="AR23" t="str">
        <v/>
      </c>
      <c r="AS23" t="str">
        <v/>
      </c>
      <c r="AT23" t="str">
        <v/>
      </c>
      <c r="AU23" t="str">
        <v/>
      </c>
      <c r="AV23" t="str">
        <v/>
      </c>
      <c r="AW23" t="str">
        <v/>
      </c>
      <c r="AX23" t="str">
        <v/>
      </c>
      <c r="AY23" t="str">
        <v/>
      </c>
      <c r="AZ23" t="str">
        <v/>
      </c>
      <c r="BA23" t="str">
        <v/>
      </c>
      <c r="BB23" t="str">
        <v/>
      </c>
      <c r="BC23" t="str">
        <v/>
      </c>
      <c r="BD23" t="str">
        <v/>
      </c>
      <c r="BE23" t="str">
        <v/>
      </c>
      <c r="BF23" t="str">
        <v/>
      </c>
      <c r="BG23" t="str">
        <v/>
      </c>
      <c r="BH23" t="str">
        <v/>
      </c>
      <c r="BI23" t="str">
        <v/>
      </c>
      <c r="BJ23" t="str">
        <v/>
      </c>
      <c r="BK23" t="str">
        <v/>
      </c>
      <c r="BL23" t="str">
        <v/>
      </c>
      <c r="BM23" t="str">
        <v/>
      </c>
      <c r="BN23" t="str">
        <v/>
      </c>
      <c r="BO23" t="str">
        <v/>
      </c>
      <c r="BP23" t="str">
        <v/>
      </c>
      <c r="BQ23" t="str">
        <v/>
      </c>
      <c r="BR23" t="str">
        <v/>
      </c>
      <c r="BS23" t="str">
        <v/>
      </c>
      <c r="BT23" t="str">
        <v/>
      </c>
      <c r="BU23" t="str">
        <v/>
      </c>
      <c r="BV23" t="str">
        <v/>
      </c>
      <c r="BW23" t="str">
        <v/>
      </c>
      <c r="BX23" t="str">
        <v/>
      </c>
      <c r="BY23" t="str">
        <v/>
      </c>
      <c r="BZ23" t="str">
        <v/>
      </c>
      <c r="CA23" t="str">
        <v/>
      </c>
      <c r="CB23" t="str">
        <v/>
      </c>
      <c r="CC23" t="str">
        <v/>
      </c>
      <c r="CD23" t="str">
        <v/>
      </c>
      <c r="CE23" t="str">
        <v/>
      </c>
      <c r="CF23" t="str">
        <v/>
      </c>
      <c r="CG23" t="str">
        <v/>
      </c>
      <c r="CH23" t="str">
        <v/>
      </c>
      <c r="CI23" t="str">
        <v/>
      </c>
      <c r="CJ23" t="str">
        <v/>
      </c>
      <c r="CK23" t="str">
        <v/>
      </c>
      <c r="CL23" t="str">
        <v/>
      </c>
      <c r="CM23" t="str">
        <v/>
      </c>
      <c r="CN23" t="str">
        <v/>
      </c>
      <c r="CO23" t="str">
        <v/>
      </c>
      <c r="CP23" t="str">
        <v/>
      </c>
      <c r="CQ23" t="str">
        <v/>
      </c>
      <c r="CR23" t="str">
        <v/>
      </c>
      <c r="CS23" t="str">
        <v/>
      </c>
      <c r="CT23" t="str">
        <v/>
      </c>
      <c r="CU23" t="str">
        <v/>
      </c>
      <c r="CV23" t="str">
        <v/>
      </c>
      <c r="CW23" t="str">
        <v/>
      </c>
      <c r="CX23" t="str">
        <v/>
      </c>
      <c r="CY23" t="str">
        <v/>
      </c>
      <c r="CZ23" t="str">
        <v/>
      </c>
      <c r="DA23" t="str">
        <v/>
      </c>
      <c r="DB23" t="str">
        <v/>
      </c>
      <c r="DC23" t="str">
        <v/>
      </c>
      <c r="DD23" t="str">
        <v/>
      </c>
      <c r="DE23" t="str">
        <v/>
      </c>
      <c r="DF23" t="str">
        <v/>
      </c>
      <c r="DG23" t="str">
        <v/>
      </c>
      <c r="DH23" t="str">
        <v/>
      </c>
      <c r="DI23" t="str">
        <v/>
      </c>
      <c r="DJ23" t="str">
        <v/>
      </c>
      <c r="DK23" t="str">
        <v/>
      </c>
      <c r="DL23" t="str">
        <v/>
      </c>
      <c r="DM23" t="str">
        <v/>
      </c>
      <c r="DN23" t="str">
        <v/>
      </c>
      <c r="DO23" t="str">
        <v/>
      </c>
      <c r="DP23" t="str">
        <v/>
      </c>
      <c r="DQ23" t="str">
        <v/>
      </c>
      <c r="DR23" t="str">
        <v/>
      </c>
      <c r="DS23" t="str">
        <v/>
      </c>
      <c r="DT23" t="str">
        <v/>
      </c>
      <c r="DU23" t="str">
        <v/>
      </c>
      <c r="DV23" t="str">
        <v/>
      </c>
      <c r="DW23" t="str">
        <v/>
      </c>
      <c r="DX23" t="str">
        <v/>
      </c>
      <c r="DY23" t="str">
        <v/>
      </c>
      <c r="DZ23" t="str">
        <v/>
      </c>
      <c r="EA23" t="str">
        <v/>
      </c>
      <c r="EB23" t="str">
        <v/>
      </c>
      <c r="EC23" t="str">
        <v/>
      </c>
      <c r="ED23" t="str">
        <v/>
      </c>
      <c r="EE23" t="str">
        <v/>
      </c>
      <c r="EF23" t="str">
        <v/>
      </c>
      <c r="EG23" t="str">
        <v/>
      </c>
      <c r="EH23" t="str">
        <v/>
      </c>
      <c r="EI23" t="str">
        <v/>
      </c>
      <c r="EJ23" t="str">
        <v/>
      </c>
      <c r="EK23" t="str">
        <v/>
      </c>
      <c r="EL23" t="str">
        <v/>
      </c>
      <c r="EM23" t="str">
        <v/>
      </c>
      <c r="EN23" t="str">
        <v/>
      </c>
      <c r="EO23" t="str">
        <v/>
      </c>
      <c r="EP23" t="str">
        <v/>
      </c>
      <c r="EQ23" t="str">
        <v/>
      </c>
      <c r="ER23" t="str">
        <v/>
      </c>
      <c r="ES23" t="str">
        <v/>
      </c>
      <c r="ET23" t="str">
        <v/>
      </c>
      <c r="EU23" t="str">
        <v/>
      </c>
      <c r="EV23" t="str">
        <v/>
      </c>
      <c r="EW23" t="str">
        <v/>
      </c>
      <c r="EX23" t="str">
        <v/>
      </c>
      <c r="EY23" t="str">
        <v/>
      </c>
      <c r="EZ23" t="str">
        <v/>
      </c>
      <c r="FA23" t="str">
        <v/>
      </c>
      <c r="FB23" t="str">
        <v/>
      </c>
      <c r="FC23" t="str">
        <v/>
      </c>
      <c r="FD23" t="str">
        <v/>
      </c>
      <c r="FE23" t="str">
        <v/>
      </c>
      <c r="FF23" t="str">
        <v/>
      </c>
      <c r="FG23" t="str">
        <v/>
      </c>
      <c r="FH23" t="str">
        <v/>
      </c>
      <c r="FI23" t="str">
        <v/>
      </c>
      <c r="FJ23" t="str">
        <v/>
      </c>
      <c r="FK23" t="str">
        <v/>
      </c>
      <c r="FL23" t="str">
        <v/>
      </c>
      <c r="FM23" t="str">
        <v/>
      </c>
      <c r="FN23" t="str">
        <v/>
      </c>
      <c r="FO23" t="str">
        <v/>
      </c>
      <c r="FP23" t="str">
        <v/>
      </c>
      <c r="FQ23" t="str">
        <v/>
      </c>
      <c r="FR23" t="str">
        <v/>
      </c>
      <c r="FS23" t="str">
        <v/>
      </c>
      <c r="FT23" t="str">
        <v/>
      </c>
      <c r="FU23" t="str">
        <v/>
      </c>
      <c r="FV23" t="str">
        <v/>
      </c>
      <c r="FW23" t="str">
        <v/>
      </c>
      <c r="FX23" t="str">
        <v/>
      </c>
      <c r="FY23" t="str">
        <v/>
      </c>
      <c r="FZ23" t="str">
        <v/>
      </c>
      <c r="GA23" t="str">
        <v/>
      </c>
      <c r="GB23" t="str">
        <v/>
      </c>
      <c r="GC23" t="str">
        <v/>
      </c>
      <c r="GD23" t="str">
        <v/>
      </c>
      <c r="GE23" t="str">
        <v/>
      </c>
      <c r="GF23" t="str">
        <v/>
      </c>
      <c r="GG23" t="str">
        <v/>
      </c>
      <c r="GH23" t="str">
        <v/>
      </c>
      <c r="GI23" t="str">
        <v/>
      </c>
      <c r="GJ23" t="str">
        <v/>
      </c>
      <c r="GK23" t="str">
        <v/>
      </c>
      <c r="GL23" t="str">
        <v/>
      </c>
      <c r="GM23" t="str">
        <v/>
      </c>
      <c r="GN23" t="str">
        <v/>
      </c>
      <c r="GO23" t="str">
        <v/>
      </c>
      <c r="GP23" t="str">
        <v/>
      </c>
      <c r="GQ23" t="str">
        <v/>
      </c>
      <c r="GR23" t="str">
        <v/>
      </c>
      <c r="GS23" t="str">
        <v/>
      </c>
      <c r="GT23" t="str">
        <v/>
      </c>
      <c r="GU23" t="str">
        <v/>
      </c>
      <c r="GV23" t="str">
        <v/>
      </c>
      <c r="GW23" t="str">
        <v/>
      </c>
      <c r="GX23" t="str">
        <v/>
      </c>
      <c r="GY23" t="str">
        <v/>
      </c>
      <c r="GZ23" t="str">
        <v/>
      </c>
      <c r="HA23" t="str">
        <v/>
      </c>
      <c r="HB23" t="str">
        <v/>
      </c>
      <c r="HC23" t="str">
        <v/>
      </c>
      <c r="HD23" t="str">
        <v/>
      </c>
      <c r="HE23" t="str">
        <v/>
      </c>
      <c r="HF23" t="str">
        <v/>
      </c>
      <c r="HG23" t="str">
        <v/>
      </c>
      <c r="HH23" t="str">
        <v/>
      </c>
      <c r="HI23" t="str">
        <v/>
      </c>
      <c r="HJ23" t="str">
        <v/>
      </c>
      <c r="HK23" t="str">
        <v/>
      </c>
      <c r="HL23" t="str">
        <v/>
      </c>
      <c r="HM23" t="str">
        <v/>
      </c>
      <c r="HN23" t="str">
        <v/>
      </c>
      <c r="HO23" t="str">
        <v/>
      </c>
      <c r="HP23" t="str">
        <v/>
      </c>
      <c r="HQ23" t="str">
        <v/>
      </c>
      <c r="HR23" t="str">
        <v/>
      </c>
      <c r="HS23" t="str">
        <v/>
      </c>
      <c r="HT23" t="str">
        <v/>
      </c>
      <c r="HU23" t="str">
        <v/>
      </c>
      <c r="HV23" t="str">
        <v/>
      </c>
      <c r="HW23" t="str">
        <v/>
      </c>
      <c r="HX23" t="str">
        <v/>
      </c>
      <c r="HY23" t="str">
        <v/>
      </c>
      <c r="HZ23" t="str">
        <v/>
      </c>
      <c r="IA23" t="str">
        <v/>
      </c>
      <c r="IB23" t="str">
        <v/>
      </c>
      <c r="IC23" t="str">
        <v/>
      </c>
      <c r="ID23" t="str">
        <v/>
      </c>
      <c r="IE23" t="str">
        <v/>
      </c>
      <c r="IF23" t="str">
        <v/>
      </c>
      <c r="IG23" t="str">
        <v/>
      </c>
      <c r="IH23" t="str">
        <v/>
      </c>
      <c r="II23" t="str">
        <v/>
      </c>
      <c r="IJ23" t="str">
        <v/>
      </c>
      <c r="IK23" t="str">
        <v/>
      </c>
      <c r="IL23" t="str">
        <v/>
      </c>
      <c r="IM23" t="str">
        <v/>
      </c>
      <c r="IN23" t="str">
        <v/>
      </c>
      <c r="IO23" t="str">
        <v/>
      </c>
      <c r="IP23" t="str">
        <v/>
      </c>
      <c r="IQ23" t="str">
        <v/>
      </c>
      <c r="IR23" t="str">
        <v/>
      </c>
      <c r="IS23" t="str">
        <v/>
      </c>
      <c r="IT23" t="str">
        <v/>
      </c>
      <c r="IU23" t="str">
        <v/>
      </c>
      <c r="IV23" t="str">
        <v/>
      </c>
      <c r="IW23" t="str">
        <v/>
      </c>
      <c r="IX23" t="str">
        <v/>
      </c>
      <c r="IY23" t="str">
        <v/>
      </c>
      <c r="IZ23" t="str">
        <v/>
      </c>
      <c r="JA23" t="str">
        <v/>
      </c>
      <c r="JB23" t="str">
        <v/>
      </c>
      <c r="JC23" t="str">
        <v/>
      </c>
      <c r="JD23" t="str">
        <v/>
      </c>
      <c r="JE23" t="str">
        <v/>
      </c>
      <c r="JF23" t="str">
        <v/>
      </c>
      <c r="JG23" t="str">
        <v/>
      </c>
      <c r="JH23" t="str">
        <v/>
      </c>
      <c r="JI23" t="str">
        <v/>
      </c>
      <c r="JJ23" t="str">
        <v/>
      </c>
      <c r="JK23" t="str">
        <v/>
      </c>
      <c r="JL23" t="str">
        <v/>
      </c>
      <c r="JM23" t="str">
        <v/>
      </c>
      <c r="JN23" t="str">
        <v/>
      </c>
      <c r="JO23" t="str">
        <v/>
      </c>
      <c r="JP23" t="str">
        <v/>
      </c>
      <c r="JQ23" t="str">
        <v/>
      </c>
      <c r="JR23" t="str">
        <v/>
      </c>
      <c r="JS23" t="str">
        <v/>
      </c>
      <c r="JT23" t="str">
        <v/>
      </c>
      <c r="JU23" t="str">
        <v/>
      </c>
      <c r="JV23" t="str">
        <v/>
      </c>
      <c r="JW23" t="str">
        <v/>
      </c>
      <c r="JX23" t="str">
        <v/>
      </c>
      <c r="JY23" t="str">
        <v/>
      </c>
      <c r="JZ23" t="str">
        <v/>
      </c>
      <c r="KA23" t="str">
        <v/>
      </c>
      <c r="KB23" t="str">
        <v/>
      </c>
      <c r="KC23" t="str">
        <v/>
      </c>
      <c r="KD23" t="str">
        <v/>
      </c>
      <c r="KE23" t="str">
        <v/>
      </c>
      <c r="KF23" t="str">
        <v/>
      </c>
      <c r="KG23" t="str">
        <v/>
      </c>
      <c r="KH23" t="str">
        <v/>
      </c>
      <c r="KI23" t="str">
        <v/>
      </c>
      <c r="KJ23" t="str">
        <v/>
      </c>
      <c r="KK23" t="str">
        <v/>
      </c>
      <c r="KL23" t="str">
        <v/>
      </c>
      <c r="KM23" t="str">
        <v/>
      </c>
      <c r="KN23" t="str">
        <v/>
      </c>
      <c r="KO23" t="str">
        <v/>
      </c>
      <c r="KP23" t="str">
        <v/>
      </c>
      <c r="KQ23" t="str">
        <v/>
      </c>
      <c r="KR23" t="str">
        <v/>
      </c>
      <c r="KS23" t="str">
        <v/>
      </c>
      <c r="KT23" t="str">
        <v/>
      </c>
      <c r="KU23" t="str">
        <v/>
      </c>
      <c r="KV23" t="str">
        <v/>
      </c>
      <c r="KW23" t="str">
        <v/>
      </c>
      <c r="KX23" t="str">
        <v/>
      </c>
      <c r="KY23" t="str">
        <v/>
      </c>
      <c r="KZ23" t="str">
        <v/>
      </c>
      <c r="LA23" t="str">
        <v/>
      </c>
      <c r="LB23" t="str">
        <v/>
      </c>
      <c r="LC23" t="str">
        <v/>
      </c>
      <c r="LD23" t="str">
        <v/>
      </c>
      <c r="LE23" t="str">
        <v/>
      </c>
      <c r="LF23" t="str">
        <v/>
      </c>
      <c r="LG23" t="str">
        <v/>
      </c>
      <c r="LH23" t="str">
        <v/>
      </c>
      <c r="LI23" t="str">
        <v/>
      </c>
      <c r="LJ23" t="str">
        <v/>
      </c>
      <c r="LK23" t="str">
        <v/>
      </c>
      <c r="LL23" t="str">
        <v/>
      </c>
      <c r="LM23" t="str">
        <v/>
      </c>
      <c r="LN23" t="str">
        <v/>
      </c>
      <c r="LO23" t="str">
        <v/>
      </c>
      <c r="LP23" t="str">
        <v/>
      </c>
      <c r="LQ23" t="str">
        <v/>
      </c>
      <c r="LR23" t="str">
        <v/>
      </c>
      <c r="LS23" t="str">
        <v/>
      </c>
      <c r="LT23" t="str">
        <v/>
      </c>
      <c r="LU23" t="str">
        <v/>
      </c>
      <c r="LV23" t="str">
        <v/>
      </c>
      <c r="LW23" t="str">
        <v/>
      </c>
      <c r="LX23" t="str">
        <v/>
      </c>
      <c r="LY23" t="str">
        <v/>
      </c>
      <c r="LZ23" t="str">
        <v/>
      </c>
      <c r="MA23" t="str">
        <v/>
      </c>
      <c r="MB23" t="str">
        <v/>
      </c>
      <c r="MC23" t="str">
        <v/>
      </c>
      <c r="MD23" t="str">
        <v/>
      </c>
      <c r="ME23" t="str">
        <v/>
      </c>
      <c r="MF23" t="str">
        <v/>
      </c>
      <c r="MG23" t="str">
        <v/>
      </c>
      <c r="MH23" t="str">
        <v/>
      </c>
      <c r="MI23" t="str">
        <v/>
      </c>
      <c r="MJ23" t="str">
        <v/>
      </c>
      <c r="MK23" t="str">
        <v/>
      </c>
      <c r="ML23" t="str">
        <v/>
      </c>
      <c r="MM23" t="str">
        <v/>
      </c>
      <c r="MN23" t="str">
        <v/>
      </c>
      <c r="MO23" t="str">
        <v/>
      </c>
      <c r="MP23" t="str">
        <v/>
      </c>
      <c r="MQ23" t="str">
        <v/>
      </c>
      <c r="MR23" t="str">
        <v/>
      </c>
      <c r="MS23" t="str">
        <v/>
      </c>
      <c r="MT23" t="str">
        <v/>
      </c>
      <c r="MU23" t="str">
        <v/>
      </c>
      <c r="MV23" t="str">
        <v/>
      </c>
      <c r="MW23" t="str">
        <v/>
      </c>
      <c r="MX23" t="str">
        <v/>
      </c>
      <c r="MY23" t="str">
        <v/>
      </c>
      <c r="MZ23" t="str">
        <v/>
      </c>
      <c r="NA23" t="str">
        <v/>
      </c>
      <c r="NB23" t="str">
        <v/>
      </c>
      <c r="NC23" t="str">
        <v/>
      </c>
      <c r="ND23" t="str">
        <v/>
      </c>
      <c r="NE23" t="str">
        <v/>
      </c>
      <c r="NF23" t="str">
        <v/>
      </c>
      <c r="NG23" t="str">
        <v/>
      </c>
      <c r="NH23" t="str">
        <v/>
      </c>
      <c r="NI23" t="str">
        <v/>
      </c>
      <c r="NJ23" t="str">
        <v/>
      </c>
      <c r="NK23" t="str">
        <v/>
      </c>
      <c r="NL23" t="str">
        <v/>
      </c>
      <c r="NM23" t="str">
        <v/>
      </c>
      <c r="NN23" t="str">
        <v/>
      </c>
      <c r="NO23" t="str">
        <v/>
      </c>
      <c r="NP23" t="str">
        <v/>
      </c>
      <c r="NQ23" t="str">
        <v/>
      </c>
      <c r="NR23" t="str">
        <v/>
      </c>
      <c r="NS23" t="str">
        <v/>
      </c>
      <c r="NT23" t="str">
        <v/>
      </c>
      <c r="NU23" t="str">
        <v/>
      </c>
      <c r="NV23" t="str">
        <v/>
      </c>
      <c r="NW23" t="str">
        <v/>
      </c>
      <c r="NX23" t="str">
        <v/>
      </c>
      <c r="NY23" t="str">
        <v/>
      </c>
      <c r="NZ23" t="str">
        <v/>
      </c>
      <c r="OA23" t="str">
        <v/>
      </c>
      <c r="OB23" t="str">
        <v/>
      </c>
      <c r="OC23" t="str">
        <v/>
      </c>
      <c r="OD23" t="str">
        <v/>
      </c>
      <c r="OE23" t="str">
        <v/>
      </c>
      <c r="OF23" t="str">
        <v/>
      </c>
      <c r="OG23" t="str">
        <v/>
      </c>
      <c r="OH23" t="str">
        <v/>
      </c>
      <c r="OI23" t="str">
        <v/>
      </c>
      <c r="OJ23" t="str">
        <v/>
      </c>
      <c r="OK23" t="str">
        <v/>
      </c>
    </row>
    <row r="24" spans="1:401" outlineLevel="1" x14ac:dyDescent="0.3">
      <c r="A24" s="14"/>
      <c r="D24" s="119" t="s">
        <v>294</v>
      </c>
      <c r="E24" s="197">
        <v>36</v>
      </c>
      <c r="F24" s="198" t="s">
        <v>291</v>
      </c>
      <c r="G24" s="76"/>
      <c r="H24" s="110"/>
      <c r="I24" s="111"/>
      <c r="J24" s="65"/>
      <c r="K24" s="55"/>
      <c r="L24" s="66"/>
      <c r="M24" t="s">
        <v>297</v>
      </c>
      <c r="N24" s="8"/>
      <c r="O24" s="208"/>
      <c r="P24" t="str" cm="1">
        <f t="array" ref="P24:OK24">IF((N24&lt;=_xlfn.ANCHORARRAY($P$2))*(_xlfn.ANCHORARRAY($P$2)&lt;O24)," ","")</f>
        <v/>
      </c>
      <c r="Q24" t="str">
        <v/>
      </c>
      <c r="R24" t="str">
        <v/>
      </c>
      <c r="S24" t="str">
        <v/>
      </c>
      <c r="T24" t="str">
        <v/>
      </c>
      <c r="U24" t="str">
        <v/>
      </c>
      <c r="V24" t="str">
        <v/>
      </c>
      <c r="W24" t="str">
        <v/>
      </c>
      <c r="X24" t="str">
        <v/>
      </c>
      <c r="Y24" t="str">
        <v/>
      </c>
      <c r="Z24" t="str">
        <v/>
      </c>
      <c r="AA24" t="str">
        <v/>
      </c>
      <c r="AB24" t="str">
        <v/>
      </c>
      <c r="AC24" t="str">
        <v/>
      </c>
      <c r="AD24" t="str">
        <v/>
      </c>
      <c r="AE24" t="str">
        <v/>
      </c>
      <c r="AF24" t="str">
        <v/>
      </c>
      <c r="AG24" t="str">
        <v/>
      </c>
      <c r="AH24" t="str">
        <v/>
      </c>
      <c r="AI24" t="str">
        <v/>
      </c>
      <c r="AJ24" t="str">
        <v/>
      </c>
      <c r="AK24" t="str">
        <v/>
      </c>
      <c r="AL24" t="str">
        <v/>
      </c>
      <c r="AM24" t="str">
        <v/>
      </c>
      <c r="AN24" t="str">
        <v/>
      </c>
      <c r="AO24" t="str">
        <v/>
      </c>
      <c r="AP24" t="str">
        <v/>
      </c>
      <c r="AQ24" t="str">
        <v/>
      </c>
      <c r="AR24" t="str">
        <v/>
      </c>
      <c r="AS24" t="str">
        <v/>
      </c>
      <c r="AT24" t="str">
        <v/>
      </c>
      <c r="AU24" t="str">
        <v/>
      </c>
      <c r="AV24" t="str">
        <v/>
      </c>
      <c r="AW24" t="str">
        <v/>
      </c>
      <c r="AX24" t="str">
        <v/>
      </c>
      <c r="AY24" t="str">
        <v/>
      </c>
      <c r="AZ24" t="str">
        <v/>
      </c>
      <c r="BA24" t="str">
        <v/>
      </c>
      <c r="BB24" t="str">
        <v/>
      </c>
      <c r="BC24" t="str">
        <v/>
      </c>
      <c r="BD24" t="str">
        <v/>
      </c>
      <c r="BE24" t="str">
        <v/>
      </c>
      <c r="BF24" t="str">
        <v/>
      </c>
      <c r="BG24" t="str">
        <v/>
      </c>
      <c r="BH24" t="str">
        <v/>
      </c>
      <c r="BI24" t="str">
        <v/>
      </c>
      <c r="BJ24" t="str">
        <v/>
      </c>
      <c r="BK24" t="str">
        <v/>
      </c>
      <c r="BL24" t="str">
        <v/>
      </c>
      <c r="BM24" t="str">
        <v/>
      </c>
      <c r="BN24" t="str">
        <v/>
      </c>
      <c r="BO24" t="str">
        <v/>
      </c>
      <c r="BP24" t="str">
        <v/>
      </c>
      <c r="BQ24" t="str">
        <v/>
      </c>
      <c r="BR24" t="str">
        <v/>
      </c>
      <c r="BS24" t="str">
        <v/>
      </c>
      <c r="BT24" t="str">
        <v/>
      </c>
      <c r="BU24" t="str">
        <v/>
      </c>
      <c r="BV24" t="str">
        <v/>
      </c>
      <c r="BW24" t="str">
        <v/>
      </c>
      <c r="BX24" t="str">
        <v/>
      </c>
      <c r="BY24" t="str">
        <v/>
      </c>
      <c r="BZ24" t="str">
        <v/>
      </c>
      <c r="CA24" t="str">
        <v/>
      </c>
      <c r="CB24" t="str">
        <v/>
      </c>
      <c r="CC24" t="str">
        <v/>
      </c>
      <c r="CD24" t="str">
        <v/>
      </c>
      <c r="CE24" t="str">
        <v/>
      </c>
      <c r="CF24" t="str">
        <v/>
      </c>
      <c r="CG24" t="str">
        <v/>
      </c>
      <c r="CH24" t="str">
        <v/>
      </c>
      <c r="CI24" t="str">
        <v/>
      </c>
      <c r="CJ24" t="str">
        <v/>
      </c>
      <c r="CK24" t="str">
        <v/>
      </c>
      <c r="CL24" t="str">
        <v/>
      </c>
      <c r="CM24" t="str">
        <v/>
      </c>
      <c r="CN24" t="str">
        <v/>
      </c>
      <c r="CO24" t="str">
        <v/>
      </c>
      <c r="CP24" t="str">
        <v/>
      </c>
      <c r="CQ24" t="str">
        <v/>
      </c>
      <c r="CR24" t="str">
        <v/>
      </c>
      <c r="CS24" t="str">
        <v/>
      </c>
      <c r="CT24" t="str">
        <v/>
      </c>
      <c r="CU24" t="str">
        <v/>
      </c>
      <c r="CV24" t="str">
        <v/>
      </c>
      <c r="CW24" t="str">
        <v/>
      </c>
      <c r="CX24" t="str">
        <v/>
      </c>
      <c r="CY24" t="str">
        <v/>
      </c>
      <c r="CZ24" t="str">
        <v/>
      </c>
      <c r="DA24" t="str">
        <v/>
      </c>
      <c r="DB24" t="str">
        <v/>
      </c>
      <c r="DC24" t="str">
        <v/>
      </c>
      <c r="DD24" t="str">
        <v/>
      </c>
      <c r="DE24" t="str">
        <v/>
      </c>
      <c r="DF24" t="str">
        <v/>
      </c>
      <c r="DG24" t="str">
        <v/>
      </c>
      <c r="DH24" t="str">
        <v/>
      </c>
      <c r="DI24" t="str">
        <v/>
      </c>
      <c r="DJ24" t="str">
        <v/>
      </c>
      <c r="DK24" t="str">
        <v/>
      </c>
      <c r="DL24" t="str">
        <v/>
      </c>
      <c r="DM24" t="str">
        <v/>
      </c>
      <c r="DN24" t="str">
        <v/>
      </c>
      <c r="DO24" t="str">
        <v/>
      </c>
      <c r="DP24" t="str">
        <v/>
      </c>
      <c r="DQ24" t="str">
        <v/>
      </c>
      <c r="DR24" t="str">
        <v/>
      </c>
      <c r="DS24" t="str">
        <v/>
      </c>
      <c r="DT24" t="str">
        <v/>
      </c>
      <c r="DU24" t="str">
        <v/>
      </c>
      <c r="DV24" t="str">
        <v/>
      </c>
      <c r="DW24" t="str">
        <v/>
      </c>
      <c r="DX24" t="str">
        <v/>
      </c>
      <c r="DY24" t="str">
        <v/>
      </c>
      <c r="DZ24" t="str">
        <v/>
      </c>
      <c r="EA24" t="str">
        <v/>
      </c>
      <c r="EB24" t="str">
        <v/>
      </c>
      <c r="EC24" t="str">
        <v/>
      </c>
      <c r="ED24" t="str">
        <v/>
      </c>
      <c r="EE24" t="str">
        <v/>
      </c>
      <c r="EF24" t="str">
        <v/>
      </c>
      <c r="EG24" t="str">
        <v/>
      </c>
      <c r="EH24" t="str">
        <v/>
      </c>
      <c r="EI24" t="str">
        <v/>
      </c>
      <c r="EJ24" t="str">
        <v/>
      </c>
      <c r="EK24" t="str">
        <v/>
      </c>
      <c r="EL24" t="str">
        <v/>
      </c>
      <c r="EM24" t="str">
        <v/>
      </c>
      <c r="EN24" t="str">
        <v/>
      </c>
      <c r="EO24" t="str">
        <v/>
      </c>
      <c r="EP24" t="str">
        <v/>
      </c>
      <c r="EQ24" t="str">
        <v/>
      </c>
      <c r="ER24" t="str">
        <v/>
      </c>
      <c r="ES24" t="str">
        <v/>
      </c>
      <c r="ET24" t="str">
        <v/>
      </c>
      <c r="EU24" t="str">
        <v/>
      </c>
      <c r="EV24" t="str">
        <v/>
      </c>
      <c r="EW24" t="str">
        <v/>
      </c>
      <c r="EX24" t="str">
        <v/>
      </c>
      <c r="EY24" t="str">
        <v/>
      </c>
      <c r="EZ24" t="str">
        <v/>
      </c>
      <c r="FA24" t="str">
        <v/>
      </c>
      <c r="FB24" t="str">
        <v/>
      </c>
      <c r="FC24" t="str">
        <v/>
      </c>
      <c r="FD24" t="str">
        <v/>
      </c>
      <c r="FE24" t="str">
        <v/>
      </c>
      <c r="FF24" t="str">
        <v/>
      </c>
      <c r="FG24" t="str">
        <v/>
      </c>
      <c r="FH24" t="str">
        <v/>
      </c>
      <c r="FI24" t="str">
        <v/>
      </c>
      <c r="FJ24" t="str">
        <v/>
      </c>
      <c r="FK24" t="str">
        <v/>
      </c>
      <c r="FL24" t="str">
        <v/>
      </c>
      <c r="FM24" t="str">
        <v/>
      </c>
      <c r="FN24" t="str">
        <v/>
      </c>
      <c r="FO24" t="str">
        <v/>
      </c>
      <c r="FP24" t="str">
        <v/>
      </c>
      <c r="FQ24" t="str">
        <v/>
      </c>
      <c r="FR24" t="str">
        <v/>
      </c>
      <c r="FS24" t="str">
        <v/>
      </c>
      <c r="FT24" t="str">
        <v/>
      </c>
      <c r="FU24" t="str">
        <v/>
      </c>
      <c r="FV24" t="str">
        <v/>
      </c>
      <c r="FW24" t="str">
        <v/>
      </c>
      <c r="FX24" t="str">
        <v/>
      </c>
      <c r="FY24" t="str">
        <v/>
      </c>
      <c r="FZ24" t="str">
        <v/>
      </c>
      <c r="GA24" t="str">
        <v/>
      </c>
      <c r="GB24" t="str">
        <v/>
      </c>
      <c r="GC24" t="str">
        <v/>
      </c>
      <c r="GD24" t="str">
        <v/>
      </c>
      <c r="GE24" t="str">
        <v/>
      </c>
      <c r="GF24" t="str">
        <v/>
      </c>
      <c r="GG24" t="str">
        <v/>
      </c>
      <c r="GH24" t="str">
        <v/>
      </c>
      <c r="GI24" t="str">
        <v/>
      </c>
      <c r="GJ24" t="str">
        <v/>
      </c>
      <c r="GK24" t="str">
        <v/>
      </c>
      <c r="GL24" t="str">
        <v/>
      </c>
      <c r="GM24" t="str">
        <v/>
      </c>
      <c r="GN24" t="str">
        <v/>
      </c>
      <c r="GO24" t="str">
        <v/>
      </c>
      <c r="GP24" t="str">
        <v/>
      </c>
      <c r="GQ24" t="str">
        <v/>
      </c>
      <c r="GR24" t="str">
        <v/>
      </c>
      <c r="GS24" t="str">
        <v/>
      </c>
      <c r="GT24" t="str">
        <v/>
      </c>
      <c r="GU24" t="str">
        <v/>
      </c>
      <c r="GV24" t="str">
        <v/>
      </c>
      <c r="GW24" t="str">
        <v/>
      </c>
      <c r="GX24" t="str">
        <v/>
      </c>
      <c r="GY24" t="str">
        <v/>
      </c>
      <c r="GZ24" t="str">
        <v/>
      </c>
      <c r="HA24" t="str">
        <v/>
      </c>
      <c r="HB24" t="str">
        <v/>
      </c>
      <c r="HC24" t="str">
        <v/>
      </c>
      <c r="HD24" t="str">
        <v/>
      </c>
      <c r="HE24" t="str">
        <v/>
      </c>
      <c r="HF24" t="str">
        <v/>
      </c>
      <c r="HG24" t="str">
        <v/>
      </c>
      <c r="HH24" t="str">
        <v/>
      </c>
      <c r="HI24" t="str">
        <v/>
      </c>
      <c r="HJ24" t="str">
        <v/>
      </c>
      <c r="HK24" t="str">
        <v/>
      </c>
      <c r="HL24" t="str">
        <v/>
      </c>
      <c r="HM24" t="str">
        <v/>
      </c>
      <c r="HN24" t="str">
        <v/>
      </c>
      <c r="HO24" t="str">
        <v/>
      </c>
      <c r="HP24" t="str">
        <v/>
      </c>
      <c r="HQ24" t="str">
        <v/>
      </c>
      <c r="HR24" t="str">
        <v/>
      </c>
      <c r="HS24" t="str">
        <v/>
      </c>
      <c r="HT24" t="str">
        <v/>
      </c>
      <c r="HU24" t="str">
        <v/>
      </c>
      <c r="HV24" t="str">
        <v/>
      </c>
      <c r="HW24" t="str">
        <v/>
      </c>
      <c r="HX24" t="str">
        <v/>
      </c>
      <c r="HY24" t="str">
        <v/>
      </c>
      <c r="HZ24" t="str">
        <v/>
      </c>
      <c r="IA24" t="str">
        <v/>
      </c>
      <c r="IB24" t="str">
        <v/>
      </c>
      <c r="IC24" t="str">
        <v/>
      </c>
      <c r="ID24" t="str">
        <v/>
      </c>
      <c r="IE24" t="str">
        <v/>
      </c>
      <c r="IF24" t="str">
        <v/>
      </c>
      <c r="IG24" t="str">
        <v/>
      </c>
      <c r="IH24" t="str">
        <v/>
      </c>
      <c r="II24" t="str">
        <v/>
      </c>
      <c r="IJ24" t="str">
        <v/>
      </c>
      <c r="IK24" t="str">
        <v/>
      </c>
      <c r="IL24" t="str">
        <v/>
      </c>
      <c r="IM24" t="str">
        <v/>
      </c>
      <c r="IN24" t="str">
        <v/>
      </c>
      <c r="IO24" t="str">
        <v/>
      </c>
      <c r="IP24" t="str">
        <v/>
      </c>
      <c r="IQ24" t="str">
        <v/>
      </c>
      <c r="IR24" t="str">
        <v/>
      </c>
      <c r="IS24" t="str">
        <v/>
      </c>
      <c r="IT24" t="str">
        <v/>
      </c>
      <c r="IU24" t="str">
        <v/>
      </c>
      <c r="IV24" t="str">
        <v/>
      </c>
      <c r="IW24" t="str">
        <v/>
      </c>
      <c r="IX24" t="str">
        <v/>
      </c>
      <c r="IY24" t="str">
        <v/>
      </c>
      <c r="IZ24" t="str">
        <v/>
      </c>
      <c r="JA24" t="str">
        <v/>
      </c>
      <c r="JB24" t="str">
        <v/>
      </c>
      <c r="JC24" t="str">
        <v/>
      </c>
      <c r="JD24" t="str">
        <v/>
      </c>
      <c r="JE24" t="str">
        <v/>
      </c>
      <c r="JF24" t="str">
        <v/>
      </c>
      <c r="JG24" t="str">
        <v/>
      </c>
      <c r="JH24" t="str">
        <v/>
      </c>
      <c r="JI24" t="str">
        <v/>
      </c>
      <c r="JJ24" t="str">
        <v/>
      </c>
      <c r="JK24" t="str">
        <v/>
      </c>
      <c r="JL24" t="str">
        <v/>
      </c>
      <c r="JM24" t="str">
        <v/>
      </c>
      <c r="JN24" t="str">
        <v/>
      </c>
      <c r="JO24" t="str">
        <v/>
      </c>
      <c r="JP24" t="str">
        <v/>
      </c>
      <c r="JQ24" t="str">
        <v/>
      </c>
      <c r="JR24" t="str">
        <v/>
      </c>
      <c r="JS24" t="str">
        <v/>
      </c>
      <c r="JT24" t="str">
        <v/>
      </c>
      <c r="JU24" t="str">
        <v/>
      </c>
      <c r="JV24" t="str">
        <v/>
      </c>
      <c r="JW24" t="str">
        <v/>
      </c>
      <c r="JX24" t="str">
        <v/>
      </c>
      <c r="JY24" t="str">
        <v/>
      </c>
      <c r="JZ24" t="str">
        <v/>
      </c>
      <c r="KA24" t="str">
        <v/>
      </c>
      <c r="KB24" t="str">
        <v/>
      </c>
      <c r="KC24" t="str">
        <v/>
      </c>
      <c r="KD24" t="str">
        <v/>
      </c>
      <c r="KE24" t="str">
        <v/>
      </c>
      <c r="KF24" t="str">
        <v/>
      </c>
      <c r="KG24" t="str">
        <v/>
      </c>
      <c r="KH24" t="str">
        <v/>
      </c>
      <c r="KI24" t="str">
        <v/>
      </c>
      <c r="KJ24" t="str">
        <v/>
      </c>
      <c r="KK24" t="str">
        <v/>
      </c>
      <c r="KL24" t="str">
        <v/>
      </c>
      <c r="KM24" t="str">
        <v/>
      </c>
      <c r="KN24" t="str">
        <v/>
      </c>
      <c r="KO24" t="str">
        <v/>
      </c>
      <c r="KP24" t="str">
        <v/>
      </c>
      <c r="KQ24" t="str">
        <v/>
      </c>
      <c r="KR24" t="str">
        <v/>
      </c>
      <c r="KS24" t="str">
        <v/>
      </c>
      <c r="KT24" t="str">
        <v/>
      </c>
      <c r="KU24" t="str">
        <v/>
      </c>
      <c r="KV24" t="str">
        <v/>
      </c>
      <c r="KW24" t="str">
        <v/>
      </c>
      <c r="KX24" t="str">
        <v/>
      </c>
      <c r="KY24" t="str">
        <v/>
      </c>
      <c r="KZ24" t="str">
        <v/>
      </c>
      <c r="LA24" t="str">
        <v/>
      </c>
      <c r="LB24" t="str">
        <v/>
      </c>
      <c r="LC24" t="str">
        <v/>
      </c>
      <c r="LD24" t="str">
        <v/>
      </c>
      <c r="LE24" t="str">
        <v/>
      </c>
      <c r="LF24" t="str">
        <v/>
      </c>
      <c r="LG24" t="str">
        <v/>
      </c>
      <c r="LH24" t="str">
        <v/>
      </c>
      <c r="LI24" t="str">
        <v/>
      </c>
      <c r="LJ24" t="str">
        <v/>
      </c>
      <c r="LK24" t="str">
        <v/>
      </c>
      <c r="LL24" t="str">
        <v/>
      </c>
      <c r="LM24" t="str">
        <v/>
      </c>
      <c r="LN24" t="str">
        <v/>
      </c>
      <c r="LO24" t="str">
        <v/>
      </c>
      <c r="LP24" t="str">
        <v/>
      </c>
      <c r="LQ24" t="str">
        <v/>
      </c>
      <c r="LR24" t="str">
        <v/>
      </c>
      <c r="LS24" t="str">
        <v/>
      </c>
      <c r="LT24" t="str">
        <v/>
      </c>
      <c r="LU24" t="str">
        <v/>
      </c>
      <c r="LV24" t="str">
        <v/>
      </c>
      <c r="LW24" t="str">
        <v/>
      </c>
      <c r="LX24" t="str">
        <v/>
      </c>
      <c r="LY24" t="str">
        <v/>
      </c>
      <c r="LZ24" t="str">
        <v/>
      </c>
      <c r="MA24" t="str">
        <v/>
      </c>
      <c r="MB24" t="str">
        <v/>
      </c>
      <c r="MC24" t="str">
        <v/>
      </c>
      <c r="MD24" t="str">
        <v/>
      </c>
      <c r="ME24" t="str">
        <v/>
      </c>
      <c r="MF24" t="str">
        <v/>
      </c>
      <c r="MG24" t="str">
        <v/>
      </c>
      <c r="MH24" t="str">
        <v/>
      </c>
      <c r="MI24" t="str">
        <v/>
      </c>
      <c r="MJ24" t="str">
        <v/>
      </c>
      <c r="MK24" t="str">
        <v/>
      </c>
      <c r="ML24" t="str">
        <v/>
      </c>
      <c r="MM24" t="str">
        <v/>
      </c>
      <c r="MN24" t="str">
        <v/>
      </c>
      <c r="MO24" t="str">
        <v/>
      </c>
      <c r="MP24" t="str">
        <v/>
      </c>
      <c r="MQ24" t="str">
        <v/>
      </c>
      <c r="MR24" t="str">
        <v/>
      </c>
      <c r="MS24" t="str">
        <v/>
      </c>
      <c r="MT24" t="str">
        <v/>
      </c>
      <c r="MU24" t="str">
        <v/>
      </c>
      <c r="MV24" t="str">
        <v/>
      </c>
      <c r="MW24" t="str">
        <v/>
      </c>
      <c r="MX24" t="str">
        <v/>
      </c>
      <c r="MY24" t="str">
        <v/>
      </c>
      <c r="MZ24" t="str">
        <v/>
      </c>
      <c r="NA24" t="str">
        <v/>
      </c>
      <c r="NB24" t="str">
        <v/>
      </c>
      <c r="NC24" t="str">
        <v/>
      </c>
      <c r="ND24" t="str">
        <v/>
      </c>
      <c r="NE24" t="str">
        <v/>
      </c>
      <c r="NF24" t="str">
        <v/>
      </c>
      <c r="NG24" t="str">
        <v/>
      </c>
      <c r="NH24" t="str">
        <v/>
      </c>
      <c r="NI24" t="str">
        <v/>
      </c>
      <c r="NJ24" t="str">
        <v/>
      </c>
      <c r="NK24" t="str">
        <v/>
      </c>
      <c r="NL24" t="str">
        <v/>
      </c>
      <c r="NM24" t="str">
        <v/>
      </c>
      <c r="NN24" t="str">
        <v/>
      </c>
      <c r="NO24" t="str">
        <v/>
      </c>
      <c r="NP24" t="str">
        <v/>
      </c>
      <c r="NQ24" t="str">
        <v/>
      </c>
      <c r="NR24" t="str">
        <v/>
      </c>
      <c r="NS24" t="str">
        <v/>
      </c>
      <c r="NT24" t="str">
        <v/>
      </c>
      <c r="NU24" t="str">
        <v/>
      </c>
      <c r="NV24" t="str">
        <v/>
      </c>
      <c r="NW24" t="str">
        <v/>
      </c>
      <c r="NX24" t="str">
        <v/>
      </c>
      <c r="NY24" t="str">
        <v/>
      </c>
      <c r="NZ24" t="str">
        <v/>
      </c>
      <c r="OA24" t="str">
        <v/>
      </c>
      <c r="OB24" t="str">
        <v/>
      </c>
      <c r="OC24" t="str">
        <v/>
      </c>
      <c r="OD24" t="str">
        <v/>
      </c>
      <c r="OE24" t="str">
        <v/>
      </c>
      <c r="OF24" t="str">
        <v/>
      </c>
      <c r="OG24" t="str">
        <v/>
      </c>
      <c r="OH24" t="str">
        <v/>
      </c>
      <c r="OI24" t="str">
        <v/>
      </c>
      <c r="OJ24" t="str">
        <v/>
      </c>
      <c r="OK24" t="str">
        <v/>
      </c>
    </row>
    <row r="25" spans="1:401" outlineLevel="1" x14ac:dyDescent="0.3">
      <c r="A25" s="14"/>
      <c r="C25" s="14"/>
      <c r="D25" s="119" t="s">
        <v>295</v>
      </c>
      <c r="E25" s="197">
        <v>7</v>
      </c>
      <c r="F25" s="198" t="s">
        <v>291</v>
      </c>
      <c r="G25" s="76"/>
      <c r="H25" s="110"/>
      <c r="I25" s="111"/>
      <c r="J25" s="65"/>
      <c r="K25" s="55"/>
      <c r="L25" s="66"/>
      <c r="M25" s="75" t="s">
        <v>298</v>
      </c>
      <c r="N25" s="209"/>
      <c r="O25" s="210"/>
      <c r="P25" t="str" cm="1">
        <f t="array" ref="P25:OK25">IF((N25&lt;=_xlfn.ANCHORARRAY($P$2))*(_xlfn.ANCHORARRAY($P$2)&lt;O25)," ","")</f>
        <v/>
      </c>
      <c r="Q25" t="str">
        <v/>
      </c>
      <c r="R25" t="str">
        <v/>
      </c>
      <c r="S25" t="str">
        <v/>
      </c>
      <c r="T25" t="str">
        <v/>
      </c>
      <c r="U25" t="str">
        <v/>
      </c>
      <c r="V25" t="str">
        <v/>
      </c>
      <c r="W25" t="str">
        <v/>
      </c>
      <c r="X25" t="str">
        <v/>
      </c>
      <c r="Y25" t="str">
        <v/>
      </c>
      <c r="Z25" t="str">
        <v/>
      </c>
      <c r="AA25" t="str">
        <v/>
      </c>
      <c r="AB25" t="str">
        <v/>
      </c>
      <c r="AC25" t="str">
        <v/>
      </c>
      <c r="AD25" t="str">
        <v/>
      </c>
      <c r="AE25" t="str">
        <v/>
      </c>
      <c r="AF25" t="str">
        <v/>
      </c>
      <c r="AG25" t="str">
        <v/>
      </c>
      <c r="AH25" t="str">
        <v/>
      </c>
      <c r="AI25" t="str">
        <v/>
      </c>
      <c r="AJ25" t="str">
        <v/>
      </c>
      <c r="AK25" t="str">
        <v/>
      </c>
      <c r="AL25" t="str">
        <v/>
      </c>
      <c r="AM25" t="str">
        <v/>
      </c>
      <c r="AN25" t="str">
        <v/>
      </c>
      <c r="AO25" t="str">
        <v/>
      </c>
      <c r="AP25" t="str">
        <v/>
      </c>
      <c r="AQ25" t="str">
        <v/>
      </c>
      <c r="AR25" t="str">
        <v/>
      </c>
      <c r="AS25" t="str">
        <v/>
      </c>
      <c r="AT25" t="str">
        <v/>
      </c>
      <c r="AU25" t="str">
        <v/>
      </c>
      <c r="AV25" t="str">
        <v/>
      </c>
      <c r="AW25" t="str">
        <v/>
      </c>
      <c r="AX25" t="str">
        <v/>
      </c>
      <c r="AY25" t="str">
        <v/>
      </c>
      <c r="AZ25" t="str">
        <v/>
      </c>
      <c r="BA25" t="str">
        <v/>
      </c>
      <c r="BB25" t="str">
        <v/>
      </c>
      <c r="BC25" t="str">
        <v/>
      </c>
      <c r="BD25" t="str">
        <v/>
      </c>
      <c r="BE25" t="str">
        <v/>
      </c>
      <c r="BF25" t="str">
        <v/>
      </c>
      <c r="BG25" t="str">
        <v/>
      </c>
      <c r="BH25" t="str">
        <v/>
      </c>
      <c r="BI25" t="str">
        <v/>
      </c>
      <c r="BJ25" t="str">
        <v/>
      </c>
      <c r="BK25" t="str">
        <v/>
      </c>
      <c r="BL25" t="str">
        <v/>
      </c>
      <c r="BM25" t="str">
        <v/>
      </c>
      <c r="BN25" t="str">
        <v/>
      </c>
      <c r="BO25" t="str">
        <v/>
      </c>
      <c r="BP25" t="str">
        <v/>
      </c>
      <c r="BQ25" t="str">
        <v/>
      </c>
      <c r="BR25" t="str">
        <v/>
      </c>
      <c r="BS25" t="str">
        <v/>
      </c>
      <c r="BT25" t="str">
        <v/>
      </c>
      <c r="BU25" t="str">
        <v/>
      </c>
      <c r="BV25" t="str">
        <v/>
      </c>
      <c r="BW25" t="str">
        <v/>
      </c>
      <c r="BX25" t="str">
        <v/>
      </c>
      <c r="BY25" t="str">
        <v/>
      </c>
      <c r="BZ25" t="str">
        <v/>
      </c>
      <c r="CA25" t="str">
        <v/>
      </c>
      <c r="CB25" t="str">
        <v/>
      </c>
      <c r="CC25" t="str">
        <v/>
      </c>
      <c r="CD25" t="str">
        <v/>
      </c>
      <c r="CE25" t="str">
        <v/>
      </c>
      <c r="CF25" t="str">
        <v/>
      </c>
      <c r="CG25" t="str">
        <v/>
      </c>
      <c r="CH25" t="str">
        <v/>
      </c>
      <c r="CI25" t="str">
        <v/>
      </c>
      <c r="CJ25" t="str">
        <v/>
      </c>
      <c r="CK25" t="str">
        <v/>
      </c>
      <c r="CL25" t="str">
        <v/>
      </c>
      <c r="CM25" t="str">
        <v/>
      </c>
      <c r="CN25" t="str">
        <v/>
      </c>
      <c r="CO25" t="str">
        <v/>
      </c>
      <c r="CP25" t="str">
        <v/>
      </c>
      <c r="CQ25" t="str">
        <v/>
      </c>
      <c r="CR25" t="str">
        <v/>
      </c>
      <c r="CS25" t="str">
        <v/>
      </c>
      <c r="CT25" t="str">
        <v/>
      </c>
      <c r="CU25" t="str">
        <v/>
      </c>
      <c r="CV25" t="str">
        <v/>
      </c>
      <c r="CW25" t="str">
        <v/>
      </c>
      <c r="CX25" t="str">
        <v/>
      </c>
      <c r="CY25" t="str">
        <v/>
      </c>
      <c r="CZ25" t="str">
        <v/>
      </c>
      <c r="DA25" t="str">
        <v/>
      </c>
      <c r="DB25" t="str">
        <v/>
      </c>
      <c r="DC25" t="str">
        <v/>
      </c>
      <c r="DD25" t="str">
        <v/>
      </c>
      <c r="DE25" t="str">
        <v/>
      </c>
      <c r="DF25" t="str">
        <v/>
      </c>
      <c r="DG25" t="str">
        <v/>
      </c>
      <c r="DH25" t="str">
        <v/>
      </c>
      <c r="DI25" t="str">
        <v/>
      </c>
      <c r="DJ25" t="str">
        <v/>
      </c>
      <c r="DK25" t="str">
        <v/>
      </c>
      <c r="DL25" t="str">
        <v/>
      </c>
      <c r="DM25" t="str">
        <v/>
      </c>
      <c r="DN25" t="str">
        <v/>
      </c>
      <c r="DO25" t="str">
        <v/>
      </c>
      <c r="DP25" t="str">
        <v/>
      </c>
      <c r="DQ25" t="str">
        <v/>
      </c>
      <c r="DR25" t="str">
        <v/>
      </c>
      <c r="DS25" t="str">
        <v/>
      </c>
      <c r="DT25" t="str">
        <v/>
      </c>
      <c r="DU25" t="str">
        <v/>
      </c>
      <c r="DV25" t="str">
        <v/>
      </c>
      <c r="DW25" t="str">
        <v/>
      </c>
      <c r="DX25" t="str">
        <v/>
      </c>
      <c r="DY25" t="str">
        <v/>
      </c>
      <c r="DZ25" t="str">
        <v/>
      </c>
      <c r="EA25" t="str">
        <v/>
      </c>
      <c r="EB25" t="str">
        <v/>
      </c>
      <c r="EC25" t="str">
        <v/>
      </c>
      <c r="ED25" t="str">
        <v/>
      </c>
      <c r="EE25" t="str">
        <v/>
      </c>
      <c r="EF25" t="str">
        <v/>
      </c>
      <c r="EG25" t="str">
        <v/>
      </c>
      <c r="EH25" t="str">
        <v/>
      </c>
      <c r="EI25" t="str">
        <v/>
      </c>
      <c r="EJ25" t="str">
        <v/>
      </c>
      <c r="EK25" t="str">
        <v/>
      </c>
      <c r="EL25" t="str">
        <v/>
      </c>
      <c r="EM25" t="str">
        <v/>
      </c>
      <c r="EN25" t="str">
        <v/>
      </c>
      <c r="EO25" t="str">
        <v/>
      </c>
      <c r="EP25" t="str">
        <v/>
      </c>
      <c r="EQ25" t="str">
        <v/>
      </c>
      <c r="ER25" t="str">
        <v/>
      </c>
      <c r="ES25" t="str">
        <v/>
      </c>
      <c r="ET25" t="str">
        <v/>
      </c>
      <c r="EU25" t="str">
        <v/>
      </c>
      <c r="EV25" t="str">
        <v/>
      </c>
      <c r="EW25" t="str">
        <v/>
      </c>
      <c r="EX25" t="str">
        <v/>
      </c>
      <c r="EY25" t="str">
        <v/>
      </c>
      <c r="EZ25" t="str">
        <v/>
      </c>
      <c r="FA25" t="str">
        <v/>
      </c>
      <c r="FB25" t="str">
        <v/>
      </c>
      <c r="FC25" t="str">
        <v/>
      </c>
      <c r="FD25" t="str">
        <v/>
      </c>
      <c r="FE25" t="str">
        <v/>
      </c>
      <c r="FF25" t="str">
        <v/>
      </c>
      <c r="FG25" t="str">
        <v/>
      </c>
      <c r="FH25" t="str">
        <v/>
      </c>
      <c r="FI25" t="str">
        <v/>
      </c>
      <c r="FJ25" t="str">
        <v/>
      </c>
      <c r="FK25" t="str">
        <v/>
      </c>
      <c r="FL25" t="str">
        <v/>
      </c>
      <c r="FM25" t="str">
        <v/>
      </c>
      <c r="FN25" t="str">
        <v/>
      </c>
      <c r="FO25" t="str">
        <v/>
      </c>
      <c r="FP25" t="str">
        <v/>
      </c>
      <c r="FQ25" t="str">
        <v/>
      </c>
      <c r="FR25" t="str">
        <v/>
      </c>
      <c r="FS25" t="str">
        <v/>
      </c>
      <c r="FT25" t="str">
        <v/>
      </c>
      <c r="FU25" t="str">
        <v/>
      </c>
      <c r="FV25" t="str">
        <v/>
      </c>
      <c r="FW25" t="str">
        <v/>
      </c>
      <c r="FX25" t="str">
        <v/>
      </c>
      <c r="FY25" t="str">
        <v/>
      </c>
      <c r="FZ25" t="str">
        <v/>
      </c>
      <c r="GA25" t="str">
        <v/>
      </c>
      <c r="GB25" t="str">
        <v/>
      </c>
      <c r="GC25" t="str">
        <v/>
      </c>
      <c r="GD25" t="str">
        <v/>
      </c>
      <c r="GE25" t="str">
        <v/>
      </c>
      <c r="GF25" t="str">
        <v/>
      </c>
      <c r="GG25" t="str">
        <v/>
      </c>
      <c r="GH25" t="str">
        <v/>
      </c>
      <c r="GI25" t="str">
        <v/>
      </c>
      <c r="GJ25" t="str">
        <v/>
      </c>
      <c r="GK25" t="str">
        <v/>
      </c>
      <c r="GL25" t="str">
        <v/>
      </c>
      <c r="GM25" t="str">
        <v/>
      </c>
      <c r="GN25" t="str">
        <v/>
      </c>
      <c r="GO25" t="str">
        <v/>
      </c>
      <c r="GP25" t="str">
        <v/>
      </c>
      <c r="GQ25" t="str">
        <v/>
      </c>
      <c r="GR25" t="str">
        <v/>
      </c>
      <c r="GS25" t="str">
        <v/>
      </c>
      <c r="GT25" t="str">
        <v/>
      </c>
      <c r="GU25" t="str">
        <v/>
      </c>
      <c r="GV25" t="str">
        <v/>
      </c>
      <c r="GW25" t="str">
        <v/>
      </c>
      <c r="GX25" t="str">
        <v/>
      </c>
      <c r="GY25" t="str">
        <v/>
      </c>
      <c r="GZ25" t="str">
        <v/>
      </c>
      <c r="HA25" t="str">
        <v/>
      </c>
      <c r="HB25" t="str">
        <v/>
      </c>
      <c r="HC25" t="str">
        <v/>
      </c>
      <c r="HD25" t="str">
        <v/>
      </c>
      <c r="HE25" t="str">
        <v/>
      </c>
      <c r="HF25" t="str">
        <v/>
      </c>
      <c r="HG25" t="str">
        <v/>
      </c>
      <c r="HH25" t="str">
        <v/>
      </c>
      <c r="HI25" t="str">
        <v/>
      </c>
      <c r="HJ25" t="str">
        <v/>
      </c>
      <c r="HK25" t="str">
        <v/>
      </c>
      <c r="HL25" t="str">
        <v/>
      </c>
      <c r="HM25" t="str">
        <v/>
      </c>
      <c r="HN25" t="str">
        <v/>
      </c>
      <c r="HO25" t="str">
        <v/>
      </c>
      <c r="HP25" t="str">
        <v/>
      </c>
      <c r="HQ25" t="str">
        <v/>
      </c>
      <c r="HR25" t="str">
        <v/>
      </c>
      <c r="HS25" t="str">
        <v/>
      </c>
      <c r="HT25" t="str">
        <v/>
      </c>
      <c r="HU25" t="str">
        <v/>
      </c>
      <c r="HV25" t="str">
        <v/>
      </c>
      <c r="HW25" t="str">
        <v/>
      </c>
      <c r="HX25" t="str">
        <v/>
      </c>
      <c r="HY25" t="str">
        <v/>
      </c>
      <c r="HZ25" t="str">
        <v/>
      </c>
      <c r="IA25" t="str">
        <v/>
      </c>
      <c r="IB25" t="str">
        <v/>
      </c>
      <c r="IC25" t="str">
        <v/>
      </c>
      <c r="ID25" t="str">
        <v/>
      </c>
      <c r="IE25" t="str">
        <v/>
      </c>
      <c r="IF25" t="str">
        <v/>
      </c>
      <c r="IG25" t="str">
        <v/>
      </c>
      <c r="IH25" t="str">
        <v/>
      </c>
      <c r="II25" t="str">
        <v/>
      </c>
      <c r="IJ25" t="str">
        <v/>
      </c>
      <c r="IK25" t="str">
        <v/>
      </c>
      <c r="IL25" t="str">
        <v/>
      </c>
      <c r="IM25" t="str">
        <v/>
      </c>
      <c r="IN25" t="str">
        <v/>
      </c>
      <c r="IO25" t="str">
        <v/>
      </c>
      <c r="IP25" t="str">
        <v/>
      </c>
      <c r="IQ25" t="str">
        <v/>
      </c>
      <c r="IR25" t="str">
        <v/>
      </c>
      <c r="IS25" t="str">
        <v/>
      </c>
      <c r="IT25" t="str">
        <v/>
      </c>
      <c r="IU25" t="str">
        <v/>
      </c>
      <c r="IV25" t="str">
        <v/>
      </c>
      <c r="IW25" t="str">
        <v/>
      </c>
      <c r="IX25" t="str">
        <v/>
      </c>
      <c r="IY25" t="str">
        <v/>
      </c>
      <c r="IZ25" t="str">
        <v/>
      </c>
      <c r="JA25" t="str">
        <v/>
      </c>
      <c r="JB25" t="str">
        <v/>
      </c>
      <c r="JC25" t="str">
        <v/>
      </c>
      <c r="JD25" t="str">
        <v/>
      </c>
      <c r="JE25" t="str">
        <v/>
      </c>
      <c r="JF25" t="str">
        <v/>
      </c>
      <c r="JG25" t="str">
        <v/>
      </c>
      <c r="JH25" t="str">
        <v/>
      </c>
      <c r="JI25" t="str">
        <v/>
      </c>
      <c r="JJ25" t="str">
        <v/>
      </c>
      <c r="JK25" t="str">
        <v/>
      </c>
      <c r="JL25" t="str">
        <v/>
      </c>
      <c r="JM25" t="str">
        <v/>
      </c>
      <c r="JN25" t="str">
        <v/>
      </c>
      <c r="JO25" t="str">
        <v/>
      </c>
      <c r="JP25" t="str">
        <v/>
      </c>
      <c r="JQ25" t="str">
        <v/>
      </c>
      <c r="JR25" t="str">
        <v/>
      </c>
      <c r="JS25" t="str">
        <v/>
      </c>
      <c r="JT25" t="str">
        <v/>
      </c>
      <c r="JU25" t="str">
        <v/>
      </c>
      <c r="JV25" t="str">
        <v/>
      </c>
      <c r="JW25" t="str">
        <v/>
      </c>
      <c r="JX25" t="str">
        <v/>
      </c>
      <c r="JY25" t="str">
        <v/>
      </c>
      <c r="JZ25" t="str">
        <v/>
      </c>
      <c r="KA25" t="str">
        <v/>
      </c>
      <c r="KB25" t="str">
        <v/>
      </c>
      <c r="KC25" t="str">
        <v/>
      </c>
      <c r="KD25" t="str">
        <v/>
      </c>
      <c r="KE25" t="str">
        <v/>
      </c>
      <c r="KF25" t="str">
        <v/>
      </c>
      <c r="KG25" t="str">
        <v/>
      </c>
      <c r="KH25" t="str">
        <v/>
      </c>
      <c r="KI25" t="str">
        <v/>
      </c>
      <c r="KJ25" t="str">
        <v/>
      </c>
      <c r="KK25" t="str">
        <v/>
      </c>
      <c r="KL25" t="str">
        <v/>
      </c>
      <c r="KM25" t="str">
        <v/>
      </c>
      <c r="KN25" t="str">
        <v/>
      </c>
      <c r="KO25" t="str">
        <v/>
      </c>
      <c r="KP25" t="str">
        <v/>
      </c>
      <c r="KQ25" t="str">
        <v/>
      </c>
      <c r="KR25" t="str">
        <v/>
      </c>
      <c r="KS25" t="str">
        <v/>
      </c>
      <c r="KT25" t="str">
        <v/>
      </c>
      <c r="KU25" t="str">
        <v/>
      </c>
      <c r="KV25" t="str">
        <v/>
      </c>
      <c r="KW25" t="str">
        <v/>
      </c>
      <c r="KX25" t="str">
        <v/>
      </c>
      <c r="KY25" t="str">
        <v/>
      </c>
      <c r="KZ25" t="str">
        <v/>
      </c>
      <c r="LA25" t="str">
        <v/>
      </c>
      <c r="LB25" t="str">
        <v/>
      </c>
      <c r="LC25" t="str">
        <v/>
      </c>
      <c r="LD25" t="str">
        <v/>
      </c>
      <c r="LE25" t="str">
        <v/>
      </c>
      <c r="LF25" t="str">
        <v/>
      </c>
      <c r="LG25" t="str">
        <v/>
      </c>
      <c r="LH25" t="str">
        <v/>
      </c>
      <c r="LI25" t="str">
        <v/>
      </c>
      <c r="LJ25" t="str">
        <v/>
      </c>
      <c r="LK25" t="str">
        <v/>
      </c>
      <c r="LL25" t="str">
        <v/>
      </c>
      <c r="LM25" t="str">
        <v/>
      </c>
      <c r="LN25" t="str">
        <v/>
      </c>
      <c r="LO25" t="str">
        <v/>
      </c>
      <c r="LP25" t="str">
        <v/>
      </c>
      <c r="LQ25" t="str">
        <v/>
      </c>
      <c r="LR25" t="str">
        <v/>
      </c>
      <c r="LS25" t="str">
        <v/>
      </c>
      <c r="LT25" t="str">
        <v/>
      </c>
      <c r="LU25" t="str">
        <v/>
      </c>
      <c r="LV25" t="str">
        <v/>
      </c>
      <c r="LW25" t="str">
        <v/>
      </c>
      <c r="LX25" t="str">
        <v/>
      </c>
      <c r="LY25" t="str">
        <v/>
      </c>
      <c r="LZ25" t="str">
        <v/>
      </c>
      <c r="MA25" t="str">
        <v/>
      </c>
      <c r="MB25" t="str">
        <v/>
      </c>
      <c r="MC25" t="str">
        <v/>
      </c>
      <c r="MD25" t="str">
        <v/>
      </c>
      <c r="ME25" t="str">
        <v/>
      </c>
      <c r="MF25" t="str">
        <v/>
      </c>
      <c r="MG25" t="str">
        <v/>
      </c>
      <c r="MH25" t="str">
        <v/>
      </c>
      <c r="MI25" t="str">
        <v/>
      </c>
      <c r="MJ25" t="str">
        <v/>
      </c>
      <c r="MK25" t="str">
        <v/>
      </c>
      <c r="ML25" t="str">
        <v/>
      </c>
      <c r="MM25" t="str">
        <v/>
      </c>
      <c r="MN25" t="str">
        <v/>
      </c>
      <c r="MO25" t="str">
        <v/>
      </c>
      <c r="MP25" t="str">
        <v/>
      </c>
      <c r="MQ25" t="str">
        <v/>
      </c>
      <c r="MR25" t="str">
        <v/>
      </c>
      <c r="MS25" t="str">
        <v/>
      </c>
      <c r="MT25" t="str">
        <v/>
      </c>
      <c r="MU25" t="str">
        <v/>
      </c>
      <c r="MV25" t="str">
        <v/>
      </c>
      <c r="MW25" t="str">
        <v/>
      </c>
      <c r="MX25" t="str">
        <v/>
      </c>
      <c r="MY25" t="str">
        <v/>
      </c>
      <c r="MZ25" t="str">
        <v/>
      </c>
      <c r="NA25" t="str">
        <v/>
      </c>
      <c r="NB25" t="str">
        <v/>
      </c>
      <c r="NC25" t="str">
        <v/>
      </c>
      <c r="ND25" t="str">
        <v/>
      </c>
      <c r="NE25" t="str">
        <v/>
      </c>
      <c r="NF25" t="str">
        <v/>
      </c>
      <c r="NG25" t="str">
        <v/>
      </c>
      <c r="NH25" t="str">
        <v/>
      </c>
      <c r="NI25" t="str">
        <v/>
      </c>
      <c r="NJ25" t="str">
        <v/>
      </c>
      <c r="NK25" t="str">
        <v/>
      </c>
      <c r="NL25" t="str">
        <v/>
      </c>
      <c r="NM25" t="str">
        <v/>
      </c>
      <c r="NN25" t="str">
        <v/>
      </c>
      <c r="NO25" t="str">
        <v/>
      </c>
      <c r="NP25" t="str">
        <v/>
      </c>
      <c r="NQ25" t="str">
        <v/>
      </c>
      <c r="NR25" t="str">
        <v/>
      </c>
      <c r="NS25" t="str">
        <v/>
      </c>
      <c r="NT25" t="str">
        <v/>
      </c>
      <c r="NU25" t="str">
        <v/>
      </c>
      <c r="NV25" t="str">
        <v/>
      </c>
      <c r="NW25" t="str">
        <v/>
      </c>
      <c r="NX25" t="str">
        <v/>
      </c>
      <c r="NY25" t="str">
        <v/>
      </c>
      <c r="NZ25" t="str">
        <v/>
      </c>
      <c r="OA25" t="str">
        <v/>
      </c>
      <c r="OB25" t="str">
        <v/>
      </c>
      <c r="OC25" t="str">
        <v/>
      </c>
      <c r="OD25" t="str">
        <v/>
      </c>
      <c r="OE25" t="str">
        <v/>
      </c>
      <c r="OF25" t="str">
        <v/>
      </c>
      <c r="OG25" t="str">
        <v/>
      </c>
      <c r="OH25" t="str">
        <v/>
      </c>
      <c r="OI25" t="str">
        <v/>
      </c>
      <c r="OJ25" t="str">
        <v/>
      </c>
      <c r="OK25" t="str">
        <v/>
      </c>
    </row>
    <row r="26" spans="1:401" outlineLevel="1" x14ac:dyDescent="0.3">
      <c r="A26" s="14"/>
      <c r="C26" s="14"/>
      <c r="D26"/>
      <c r="G26" s="76"/>
      <c r="H26" s="110"/>
      <c r="I26" s="111"/>
      <c r="J26" s="65"/>
      <c r="K26" s="55"/>
      <c r="L26" s="66"/>
      <c r="M26" s="205" t="s">
        <v>299</v>
      </c>
      <c r="N26" s="209"/>
      <c r="O26" s="210"/>
      <c r="P26" s="188" t="str" cm="1">
        <f t="array" ref="P26:OK26">IF((N26&lt;=_xlfn.ANCHORARRAY($P$2))*(_xlfn.ANCHORARRAY($P$2)&lt;O26)," ","")</f>
        <v/>
      </c>
      <c r="Q26" t="str">
        <v/>
      </c>
      <c r="R26" t="str">
        <v/>
      </c>
      <c r="S26" t="str">
        <v/>
      </c>
      <c r="T26" t="str">
        <v/>
      </c>
      <c r="U26" t="str">
        <v/>
      </c>
      <c r="V26" t="str">
        <v/>
      </c>
      <c r="W26" t="str">
        <v/>
      </c>
      <c r="X26" t="str">
        <v/>
      </c>
      <c r="Y26" t="str">
        <v/>
      </c>
      <c r="Z26" t="str">
        <v/>
      </c>
      <c r="AA26" t="str">
        <v/>
      </c>
      <c r="AB26" t="str">
        <v/>
      </c>
      <c r="AC26" t="str">
        <v/>
      </c>
      <c r="AD26" t="str">
        <v/>
      </c>
      <c r="AE26" t="str">
        <v/>
      </c>
      <c r="AF26" t="str">
        <v/>
      </c>
      <c r="AG26" t="str">
        <v/>
      </c>
      <c r="AH26" t="str">
        <v/>
      </c>
      <c r="AI26" t="str">
        <v/>
      </c>
      <c r="AJ26" t="str">
        <v/>
      </c>
      <c r="AK26" t="str">
        <v/>
      </c>
      <c r="AL26" t="str">
        <v/>
      </c>
      <c r="AM26" t="str">
        <v/>
      </c>
      <c r="AN26" t="str">
        <v/>
      </c>
      <c r="AO26" t="str">
        <v/>
      </c>
      <c r="AP26" t="str">
        <v/>
      </c>
      <c r="AQ26" t="str">
        <v/>
      </c>
      <c r="AR26" t="str">
        <v/>
      </c>
      <c r="AS26" t="str">
        <v/>
      </c>
      <c r="AT26" t="str">
        <v/>
      </c>
      <c r="AU26" t="str">
        <v/>
      </c>
      <c r="AV26" t="str">
        <v/>
      </c>
      <c r="AW26" t="str">
        <v/>
      </c>
      <c r="AX26" t="str">
        <v/>
      </c>
      <c r="AY26" t="str">
        <v/>
      </c>
      <c r="AZ26" t="str">
        <v/>
      </c>
      <c r="BA26" t="str">
        <v/>
      </c>
      <c r="BB26" t="str">
        <v/>
      </c>
      <c r="BC26" t="str">
        <v/>
      </c>
      <c r="BD26" t="str">
        <v/>
      </c>
      <c r="BE26" t="str">
        <v/>
      </c>
      <c r="BF26" t="str">
        <v/>
      </c>
      <c r="BG26" t="str">
        <v/>
      </c>
      <c r="BH26" t="str">
        <v/>
      </c>
      <c r="BI26" t="str">
        <v/>
      </c>
      <c r="BJ26" t="str">
        <v/>
      </c>
      <c r="BK26" t="str">
        <v/>
      </c>
      <c r="BL26" t="str">
        <v/>
      </c>
      <c r="BM26" t="str">
        <v/>
      </c>
      <c r="BN26" t="str">
        <v/>
      </c>
      <c r="BO26" t="str">
        <v/>
      </c>
      <c r="BP26" t="str">
        <v/>
      </c>
      <c r="BQ26" t="str">
        <v/>
      </c>
      <c r="BR26" t="str">
        <v/>
      </c>
      <c r="BS26" t="str">
        <v/>
      </c>
      <c r="BT26" t="str">
        <v/>
      </c>
      <c r="BU26" t="str">
        <v/>
      </c>
      <c r="BV26" t="str">
        <v/>
      </c>
      <c r="BW26" t="str">
        <v/>
      </c>
      <c r="BX26" t="str">
        <v/>
      </c>
      <c r="BY26" t="str">
        <v/>
      </c>
      <c r="BZ26" t="str">
        <v/>
      </c>
      <c r="CA26" t="str">
        <v/>
      </c>
      <c r="CB26" t="str">
        <v/>
      </c>
      <c r="CC26" t="str">
        <v/>
      </c>
      <c r="CD26" t="str">
        <v/>
      </c>
      <c r="CE26" t="str">
        <v/>
      </c>
      <c r="CF26" t="str">
        <v/>
      </c>
      <c r="CG26" t="str">
        <v/>
      </c>
      <c r="CH26" t="str">
        <v/>
      </c>
      <c r="CI26" t="str">
        <v/>
      </c>
      <c r="CJ26" t="str">
        <v/>
      </c>
      <c r="CK26" t="str">
        <v/>
      </c>
      <c r="CL26" t="str">
        <v/>
      </c>
      <c r="CM26" t="str">
        <v/>
      </c>
      <c r="CN26" t="str">
        <v/>
      </c>
      <c r="CO26" t="str">
        <v/>
      </c>
      <c r="CP26" t="str">
        <v/>
      </c>
      <c r="CQ26" t="str">
        <v/>
      </c>
      <c r="CR26" t="str">
        <v/>
      </c>
      <c r="CS26" t="str">
        <v/>
      </c>
      <c r="CT26" t="str">
        <v/>
      </c>
      <c r="CU26" t="str">
        <v/>
      </c>
      <c r="CV26" t="str">
        <v/>
      </c>
      <c r="CW26" t="str">
        <v/>
      </c>
      <c r="CX26" t="str">
        <v/>
      </c>
      <c r="CY26" t="str">
        <v/>
      </c>
      <c r="CZ26" t="str">
        <v/>
      </c>
      <c r="DA26" t="str">
        <v/>
      </c>
      <c r="DB26" t="str">
        <v/>
      </c>
      <c r="DC26" t="str">
        <v/>
      </c>
      <c r="DD26" t="str">
        <v/>
      </c>
      <c r="DE26" t="str">
        <v/>
      </c>
      <c r="DF26" t="str">
        <v/>
      </c>
      <c r="DG26" t="str">
        <v/>
      </c>
      <c r="DH26" t="str">
        <v/>
      </c>
      <c r="DI26" t="str">
        <v/>
      </c>
      <c r="DJ26" t="str">
        <v/>
      </c>
      <c r="DK26" t="str">
        <v/>
      </c>
      <c r="DL26" t="str">
        <v/>
      </c>
      <c r="DM26" t="str">
        <v/>
      </c>
      <c r="DN26" t="str">
        <v/>
      </c>
      <c r="DO26" t="str">
        <v/>
      </c>
      <c r="DP26" t="str">
        <v/>
      </c>
      <c r="DQ26" t="str">
        <v/>
      </c>
      <c r="DR26" t="str">
        <v/>
      </c>
      <c r="DS26" t="str">
        <v/>
      </c>
      <c r="DT26" t="str">
        <v/>
      </c>
      <c r="DU26" t="str">
        <v/>
      </c>
      <c r="DV26" t="str">
        <v/>
      </c>
      <c r="DW26" t="str">
        <v/>
      </c>
      <c r="DX26" t="str">
        <v/>
      </c>
      <c r="DY26" t="str">
        <v/>
      </c>
      <c r="DZ26" t="str">
        <v/>
      </c>
      <c r="EA26" t="str">
        <v/>
      </c>
      <c r="EB26" t="str">
        <v/>
      </c>
      <c r="EC26" t="str">
        <v/>
      </c>
      <c r="ED26" t="str">
        <v/>
      </c>
      <c r="EE26" t="str">
        <v/>
      </c>
      <c r="EF26" t="str">
        <v/>
      </c>
      <c r="EG26" t="str">
        <v/>
      </c>
      <c r="EH26" t="str">
        <v/>
      </c>
      <c r="EI26" t="str">
        <v/>
      </c>
      <c r="EJ26" t="str">
        <v/>
      </c>
      <c r="EK26" t="str">
        <v/>
      </c>
      <c r="EL26" t="str">
        <v/>
      </c>
      <c r="EM26" t="str">
        <v/>
      </c>
      <c r="EN26" t="str">
        <v/>
      </c>
      <c r="EO26" t="str">
        <v/>
      </c>
      <c r="EP26" t="str">
        <v/>
      </c>
      <c r="EQ26" t="str">
        <v/>
      </c>
      <c r="ER26" t="str">
        <v/>
      </c>
      <c r="ES26" t="str">
        <v/>
      </c>
      <c r="ET26" t="str">
        <v/>
      </c>
      <c r="EU26" t="str">
        <v/>
      </c>
      <c r="EV26" t="str">
        <v/>
      </c>
      <c r="EW26" t="str">
        <v/>
      </c>
      <c r="EX26" t="str">
        <v/>
      </c>
      <c r="EY26" t="str">
        <v/>
      </c>
      <c r="EZ26" t="str">
        <v/>
      </c>
      <c r="FA26" t="str">
        <v/>
      </c>
      <c r="FB26" t="str">
        <v/>
      </c>
      <c r="FC26" t="str">
        <v/>
      </c>
      <c r="FD26" t="str">
        <v/>
      </c>
      <c r="FE26" t="str">
        <v/>
      </c>
      <c r="FF26" t="str">
        <v/>
      </c>
      <c r="FG26" t="str">
        <v/>
      </c>
      <c r="FH26" t="str">
        <v/>
      </c>
      <c r="FI26" t="str">
        <v/>
      </c>
      <c r="FJ26" t="str">
        <v/>
      </c>
      <c r="FK26" t="str">
        <v/>
      </c>
      <c r="FL26" t="str">
        <v/>
      </c>
      <c r="FM26" t="str">
        <v/>
      </c>
      <c r="FN26" t="str">
        <v/>
      </c>
      <c r="FO26" t="str">
        <v/>
      </c>
      <c r="FP26" t="str">
        <v/>
      </c>
      <c r="FQ26" t="str">
        <v/>
      </c>
      <c r="FR26" t="str">
        <v/>
      </c>
      <c r="FS26" t="str">
        <v/>
      </c>
      <c r="FT26" t="str">
        <v/>
      </c>
      <c r="FU26" t="str">
        <v/>
      </c>
      <c r="FV26" t="str">
        <v/>
      </c>
      <c r="FW26" t="str">
        <v/>
      </c>
      <c r="FX26" t="str">
        <v/>
      </c>
      <c r="FY26" t="str">
        <v/>
      </c>
      <c r="FZ26" t="str">
        <v/>
      </c>
      <c r="GA26" t="str">
        <v/>
      </c>
      <c r="GB26" t="str">
        <v/>
      </c>
      <c r="GC26" t="str">
        <v/>
      </c>
      <c r="GD26" t="str">
        <v/>
      </c>
      <c r="GE26" t="str">
        <v/>
      </c>
      <c r="GF26" t="str">
        <v/>
      </c>
      <c r="GG26" t="str">
        <v/>
      </c>
      <c r="GH26" t="str">
        <v/>
      </c>
      <c r="GI26" t="str">
        <v/>
      </c>
      <c r="GJ26" t="str">
        <v/>
      </c>
      <c r="GK26" t="str">
        <v/>
      </c>
      <c r="GL26" t="str">
        <v/>
      </c>
      <c r="GM26" t="str">
        <v/>
      </c>
      <c r="GN26" t="str">
        <v/>
      </c>
      <c r="GO26" t="str">
        <v/>
      </c>
      <c r="GP26" t="str">
        <v/>
      </c>
      <c r="GQ26" t="str">
        <v/>
      </c>
      <c r="GR26" t="str">
        <v/>
      </c>
      <c r="GS26" t="str">
        <v/>
      </c>
      <c r="GT26" t="str">
        <v/>
      </c>
      <c r="GU26" t="str">
        <v/>
      </c>
      <c r="GV26" t="str">
        <v/>
      </c>
      <c r="GW26" t="str">
        <v/>
      </c>
      <c r="GX26" t="str">
        <v/>
      </c>
      <c r="GY26" t="str">
        <v/>
      </c>
      <c r="GZ26" t="str">
        <v/>
      </c>
      <c r="HA26" t="str">
        <v/>
      </c>
      <c r="HB26" t="str">
        <v/>
      </c>
      <c r="HC26" t="str">
        <v/>
      </c>
      <c r="HD26" t="str">
        <v/>
      </c>
      <c r="HE26" t="str">
        <v/>
      </c>
      <c r="HF26" t="str">
        <v/>
      </c>
      <c r="HG26" t="str">
        <v/>
      </c>
      <c r="HH26" t="str">
        <v/>
      </c>
      <c r="HI26" t="str">
        <v/>
      </c>
      <c r="HJ26" t="str">
        <v/>
      </c>
      <c r="HK26" t="str">
        <v/>
      </c>
      <c r="HL26" t="str">
        <v/>
      </c>
      <c r="HM26" t="str">
        <v/>
      </c>
      <c r="HN26" t="str">
        <v/>
      </c>
      <c r="HO26" t="str">
        <v/>
      </c>
      <c r="HP26" t="str">
        <v/>
      </c>
      <c r="HQ26" t="str">
        <v/>
      </c>
      <c r="HR26" t="str">
        <v/>
      </c>
      <c r="HS26" t="str">
        <v/>
      </c>
      <c r="HT26" t="str">
        <v/>
      </c>
      <c r="HU26" t="str">
        <v/>
      </c>
      <c r="HV26" t="str">
        <v/>
      </c>
      <c r="HW26" t="str">
        <v/>
      </c>
      <c r="HX26" t="str">
        <v/>
      </c>
      <c r="HY26" t="str">
        <v/>
      </c>
      <c r="HZ26" t="str">
        <v/>
      </c>
      <c r="IA26" t="str">
        <v/>
      </c>
      <c r="IB26" t="str">
        <v/>
      </c>
      <c r="IC26" t="str">
        <v/>
      </c>
      <c r="ID26" t="str">
        <v/>
      </c>
      <c r="IE26" t="str">
        <v/>
      </c>
      <c r="IF26" t="str">
        <v/>
      </c>
      <c r="IG26" t="str">
        <v/>
      </c>
      <c r="IH26" t="str">
        <v/>
      </c>
      <c r="II26" t="str">
        <v/>
      </c>
      <c r="IJ26" t="str">
        <v/>
      </c>
      <c r="IK26" t="str">
        <v/>
      </c>
      <c r="IL26" t="str">
        <v/>
      </c>
      <c r="IM26" t="str">
        <v/>
      </c>
      <c r="IN26" t="str">
        <v/>
      </c>
      <c r="IO26" t="str">
        <v/>
      </c>
      <c r="IP26" t="str">
        <v/>
      </c>
      <c r="IQ26" t="str">
        <v/>
      </c>
      <c r="IR26" t="str">
        <v/>
      </c>
      <c r="IS26" t="str">
        <v/>
      </c>
      <c r="IT26" t="str">
        <v/>
      </c>
      <c r="IU26" t="str">
        <v/>
      </c>
      <c r="IV26" t="str">
        <v/>
      </c>
      <c r="IW26" t="str">
        <v/>
      </c>
      <c r="IX26" t="str">
        <v/>
      </c>
      <c r="IY26" t="str">
        <v/>
      </c>
      <c r="IZ26" t="str">
        <v/>
      </c>
      <c r="JA26" t="str">
        <v/>
      </c>
      <c r="JB26" t="str">
        <v/>
      </c>
      <c r="JC26" t="str">
        <v/>
      </c>
      <c r="JD26" t="str">
        <v/>
      </c>
      <c r="JE26" t="str">
        <v/>
      </c>
      <c r="JF26" t="str">
        <v/>
      </c>
      <c r="JG26" t="str">
        <v/>
      </c>
      <c r="JH26" t="str">
        <v/>
      </c>
      <c r="JI26" t="str">
        <v/>
      </c>
      <c r="JJ26" t="str">
        <v/>
      </c>
      <c r="JK26" t="str">
        <v/>
      </c>
      <c r="JL26" t="str">
        <v/>
      </c>
      <c r="JM26" t="str">
        <v/>
      </c>
      <c r="JN26" t="str">
        <v/>
      </c>
      <c r="JO26" t="str">
        <v/>
      </c>
      <c r="JP26" t="str">
        <v/>
      </c>
      <c r="JQ26" t="str">
        <v/>
      </c>
      <c r="JR26" t="str">
        <v/>
      </c>
      <c r="JS26" t="str">
        <v/>
      </c>
      <c r="JT26" t="str">
        <v/>
      </c>
      <c r="JU26" t="str">
        <v/>
      </c>
      <c r="JV26" t="str">
        <v/>
      </c>
      <c r="JW26" t="str">
        <v/>
      </c>
      <c r="JX26" t="str">
        <v/>
      </c>
      <c r="JY26" t="str">
        <v/>
      </c>
      <c r="JZ26" t="str">
        <v/>
      </c>
      <c r="KA26" t="str">
        <v/>
      </c>
      <c r="KB26" t="str">
        <v/>
      </c>
      <c r="KC26" t="str">
        <v/>
      </c>
      <c r="KD26" t="str">
        <v/>
      </c>
      <c r="KE26" t="str">
        <v/>
      </c>
      <c r="KF26" t="str">
        <v/>
      </c>
      <c r="KG26" t="str">
        <v/>
      </c>
      <c r="KH26" t="str">
        <v/>
      </c>
      <c r="KI26" t="str">
        <v/>
      </c>
      <c r="KJ26" t="str">
        <v/>
      </c>
      <c r="KK26" t="str">
        <v/>
      </c>
      <c r="KL26" t="str">
        <v/>
      </c>
      <c r="KM26" t="str">
        <v/>
      </c>
      <c r="KN26" t="str">
        <v/>
      </c>
      <c r="KO26" t="str">
        <v/>
      </c>
      <c r="KP26" t="str">
        <v/>
      </c>
      <c r="KQ26" t="str">
        <v/>
      </c>
      <c r="KR26" t="str">
        <v/>
      </c>
      <c r="KS26" t="str">
        <v/>
      </c>
      <c r="KT26" t="str">
        <v/>
      </c>
      <c r="KU26" t="str">
        <v/>
      </c>
      <c r="KV26" t="str">
        <v/>
      </c>
      <c r="KW26" t="str">
        <v/>
      </c>
      <c r="KX26" t="str">
        <v/>
      </c>
      <c r="KY26" t="str">
        <v/>
      </c>
      <c r="KZ26" t="str">
        <v/>
      </c>
      <c r="LA26" t="str">
        <v/>
      </c>
      <c r="LB26" t="str">
        <v/>
      </c>
      <c r="LC26" t="str">
        <v/>
      </c>
      <c r="LD26" t="str">
        <v/>
      </c>
      <c r="LE26" t="str">
        <v/>
      </c>
      <c r="LF26" t="str">
        <v/>
      </c>
      <c r="LG26" t="str">
        <v/>
      </c>
      <c r="LH26" t="str">
        <v/>
      </c>
      <c r="LI26" t="str">
        <v/>
      </c>
      <c r="LJ26" t="str">
        <v/>
      </c>
      <c r="LK26" t="str">
        <v/>
      </c>
      <c r="LL26" t="str">
        <v/>
      </c>
      <c r="LM26" t="str">
        <v/>
      </c>
      <c r="LN26" t="str">
        <v/>
      </c>
      <c r="LO26" t="str">
        <v/>
      </c>
      <c r="LP26" t="str">
        <v/>
      </c>
      <c r="LQ26" t="str">
        <v/>
      </c>
      <c r="LR26" t="str">
        <v/>
      </c>
      <c r="LS26" t="str">
        <v/>
      </c>
      <c r="LT26" t="str">
        <v/>
      </c>
      <c r="LU26" t="str">
        <v/>
      </c>
      <c r="LV26" t="str">
        <v/>
      </c>
      <c r="LW26" t="str">
        <v/>
      </c>
      <c r="LX26" t="str">
        <v/>
      </c>
      <c r="LY26" t="str">
        <v/>
      </c>
      <c r="LZ26" t="str">
        <v/>
      </c>
      <c r="MA26" t="str">
        <v/>
      </c>
      <c r="MB26" t="str">
        <v/>
      </c>
      <c r="MC26" t="str">
        <v/>
      </c>
      <c r="MD26" t="str">
        <v/>
      </c>
      <c r="ME26" t="str">
        <v/>
      </c>
      <c r="MF26" t="str">
        <v/>
      </c>
      <c r="MG26" t="str">
        <v/>
      </c>
      <c r="MH26" t="str">
        <v/>
      </c>
      <c r="MI26" t="str">
        <v/>
      </c>
      <c r="MJ26" t="str">
        <v/>
      </c>
      <c r="MK26" t="str">
        <v/>
      </c>
      <c r="ML26" t="str">
        <v/>
      </c>
      <c r="MM26" t="str">
        <v/>
      </c>
      <c r="MN26" t="str">
        <v/>
      </c>
      <c r="MO26" t="str">
        <v/>
      </c>
      <c r="MP26" t="str">
        <v/>
      </c>
      <c r="MQ26" t="str">
        <v/>
      </c>
      <c r="MR26" t="str">
        <v/>
      </c>
      <c r="MS26" t="str">
        <v/>
      </c>
      <c r="MT26" t="str">
        <v/>
      </c>
      <c r="MU26" t="str">
        <v/>
      </c>
      <c r="MV26" t="str">
        <v/>
      </c>
      <c r="MW26" t="str">
        <v/>
      </c>
      <c r="MX26" t="str">
        <v/>
      </c>
      <c r="MY26" t="str">
        <v/>
      </c>
      <c r="MZ26" t="str">
        <v/>
      </c>
      <c r="NA26" t="str">
        <v/>
      </c>
      <c r="NB26" t="str">
        <v/>
      </c>
      <c r="NC26" t="str">
        <v/>
      </c>
      <c r="ND26" t="str">
        <v/>
      </c>
      <c r="NE26" t="str">
        <v/>
      </c>
      <c r="NF26" t="str">
        <v/>
      </c>
      <c r="NG26" t="str">
        <v/>
      </c>
      <c r="NH26" t="str">
        <v/>
      </c>
      <c r="NI26" t="str">
        <v/>
      </c>
      <c r="NJ26" t="str">
        <v/>
      </c>
      <c r="NK26" t="str">
        <v/>
      </c>
      <c r="NL26" t="str">
        <v/>
      </c>
      <c r="NM26" t="str">
        <v/>
      </c>
      <c r="NN26" t="str">
        <v/>
      </c>
      <c r="NO26" t="str">
        <v/>
      </c>
      <c r="NP26" t="str">
        <v/>
      </c>
      <c r="NQ26" t="str">
        <v/>
      </c>
      <c r="NR26" t="str">
        <v/>
      </c>
      <c r="NS26" t="str">
        <v/>
      </c>
      <c r="NT26" t="str">
        <v/>
      </c>
      <c r="NU26" t="str">
        <v/>
      </c>
      <c r="NV26" t="str">
        <v/>
      </c>
      <c r="NW26" t="str">
        <v/>
      </c>
      <c r="NX26" t="str">
        <v/>
      </c>
      <c r="NY26" t="str">
        <v/>
      </c>
      <c r="NZ26" t="str">
        <v/>
      </c>
      <c r="OA26" t="str">
        <v/>
      </c>
      <c r="OB26" t="str">
        <v/>
      </c>
      <c r="OC26" t="str">
        <v/>
      </c>
      <c r="OD26" t="str">
        <v/>
      </c>
      <c r="OE26" t="str">
        <v/>
      </c>
      <c r="OF26" t="str">
        <v/>
      </c>
      <c r="OG26" t="str">
        <v/>
      </c>
      <c r="OH26" t="str">
        <v/>
      </c>
      <c r="OI26" t="str">
        <v/>
      </c>
      <c r="OJ26" t="str">
        <v/>
      </c>
      <c r="OK26" t="str">
        <v/>
      </c>
    </row>
    <row r="27" spans="1:401" ht="14.4" thickBot="1" x14ac:dyDescent="0.35">
      <c r="A27" s="14"/>
      <c r="B27" s="167" t="s">
        <v>195</v>
      </c>
      <c r="C27" s="200"/>
      <c r="D27" s="168"/>
      <c r="E27" s="201"/>
      <c r="F27" s="201"/>
      <c r="G27" s="202"/>
      <c r="H27" s="203"/>
      <c r="I27" s="204"/>
      <c r="J27" s="143"/>
      <c r="K27" s="142"/>
      <c r="L27" s="142"/>
      <c r="M27" s="142"/>
      <c r="N27" s="142"/>
      <c r="O27" s="142"/>
      <c r="P27" s="142"/>
      <c r="Q27" s="171"/>
      <c r="R27" s="171"/>
      <c r="S27" s="171"/>
      <c r="T27" s="171"/>
      <c r="U27" s="171"/>
      <c r="V27" s="171"/>
      <c r="W27" s="171"/>
      <c r="X27" s="171"/>
      <c r="Y27" s="171"/>
      <c r="Z27" s="171"/>
      <c r="AA27" s="171"/>
      <c r="AB27" s="171"/>
      <c r="AC27" s="171"/>
      <c r="AD27" s="171"/>
      <c r="AE27" s="171"/>
      <c r="AF27" s="171"/>
      <c r="AG27" s="171"/>
      <c r="AH27" s="171"/>
      <c r="AI27" s="171"/>
      <c r="AJ27" s="171"/>
      <c r="AK27" s="171"/>
      <c r="AL27" s="171"/>
      <c r="AM27" s="171"/>
      <c r="AN27" s="171"/>
      <c r="AO27" s="171"/>
      <c r="AP27" s="171"/>
      <c r="AQ27" s="171"/>
      <c r="AR27" s="171"/>
      <c r="AS27" s="171"/>
      <c r="AT27" s="171"/>
      <c r="AU27" s="171"/>
      <c r="AV27" s="171"/>
      <c r="AW27" s="171"/>
      <c r="AX27" s="171"/>
      <c r="AY27" s="171"/>
      <c r="AZ27" s="171"/>
      <c r="BA27" s="171"/>
      <c r="BB27" s="171"/>
      <c r="BC27" s="171"/>
      <c r="BD27" s="171"/>
      <c r="BE27" s="171"/>
      <c r="BF27" s="171"/>
      <c r="BG27" s="171"/>
      <c r="BH27" s="171"/>
      <c r="BI27" s="171"/>
      <c r="BJ27" s="171"/>
      <c r="BK27" s="171"/>
      <c r="BL27" s="171"/>
      <c r="BM27" s="171"/>
      <c r="BN27" s="171"/>
      <c r="BO27" s="171"/>
      <c r="BP27" s="171"/>
      <c r="BQ27" s="171"/>
      <c r="BR27" s="171"/>
      <c r="BS27" s="171"/>
      <c r="BT27" s="171"/>
      <c r="BU27" s="171"/>
      <c r="BV27" s="171"/>
      <c r="BW27" s="171"/>
      <c r="BX27" s="171"/>
      <c r="BY27" s="171"/>
      <c r="BZ27" s="171"/>
      <c r="CA27" s="171"/>
      <c r="CB27" s="171"/>
      <c r="CC27" s="171"/>
      <c r="CD27" s="171"/>
      <c r="CE27" s="171"/>
      <c r="CF27" s="171"/>
      <c r="CG27" s="171"/>
      <c r="CH27" s="171"/>
      <c r="CI27" s="171"/>
      <c r="CJ27" s="171"/>
      <c r="CK27" s="171"/>
      <c r="CL27" s="171"/>
      <c r="CM27" s="171"/>
      <c r="CN27" s="171"/>
      <c r="CO27" s="171"/>
      <c r="CP27" s="171"/>
      <c r="CQ27" s="171"/>
      <c r="CR27" s="171"/>
      <c r="CS27" s="171"/>
      <c r="CT27" s="171"/>
      <c r="CU27" s="171"/>
      <c r="CV27" s="171"/>
      <c r="CW27" s="171"/>
      <c r="CX27" s="171"/>
      <c r="CY27" s="171"/>
      <c r="CZ27" s="171"/>
      <c r="DA27" s="171"/>
      <c r="DB27" s="171"/>
      <c r="DC27" s="171"/>
      <c r="DD27" s="171"/>
      <c r="DE27" s="171"/>
      <c r="DF27" s="171"/>
      <c r="DG27" s="171"/>
      <c r="DH27" s="171"/>
      <c r="DI27" s="171"/>
      <c r="DJ27" s="171"/>
      <c r="DK27" s="171"/>
      <c r="DL27" s="171"/>
      <c r="DM27" s="171"/>
      <c r="DN27" s="171"/>
      <c r="DO27" s="171"/>
      <c r="DP27" s="171"/>
      <c r="DQ27" s="171"/>
      <c r="DR27" s="171"/>
      <c r="DS27" s="171"/>
      <c r="DT27" s="171"/>
      <c r="DU27" s="171"/>
      <c r="DV27" s="171"/>
      <c r="DW27" s="171"/>
      <c r="DX27" s="171"/>
      <c r="DY27" s="171"/>
      <c r="DZ27" s="171"/>
      <c r="EA27" s="171"/>
      <c r="EB27" s="171"/>
      <c r="EC27" s="171"/>
      <c r="ED27" s="171"/>
      <c r="EE27" s="171"/>
      <c r="EF27" s="171"/>
      <c r="EG27" s="171"/>
      <c r="EH27" s="171"/>
      <c r="EI27" s="171"/>
      <c r="EJ27" s="171"/>
      <c r="EK27" s="171"/>
      <c r="EL27" s="171"/>
      <c r="EM27" s="171"/>
      <c r="EN27" s="171"/>
      <c r="EO27" s="171"/>
      <c r="EP27" s="171"/>
      <c r="EQ27" s="171"/>
      <c r="ER27" s="171"/>
      <c r="ES27" s="171"/>
      <c r="ET27" s="171"/>
      <c r="EU27" s="171"/>
      <c r="EV27" s="171"/>
      <c r="EW27" s="171"/>
      <c r="EX27" s="171"/>
      <c r="EY27" s="171"/>
      <c r="EZ27" s="171"/>
      <c r="FA27" s="171"/>
      <c r="FB27" s="171"/>
      <c r="FC27" s="171"/>
      <c r="FD27" s="171"/>
      <c r="FE27" s="171"/>
      <c r="FF27" s="171"/>
      <c r="FG27" s="171"/>
      <c r="FH27" s="171"/>
      <c r="FI27" s="171"/>
      <c r="FJ27" s="171"/>
      <c r="FK27" s="171"/>
      <c r="FL27" s="171"/>
      <c r="FM27" s="171"/>
      <c r="FN27" s="171"/>
      <c r="FO27" s="171"/>
      <c r="FP27" s="171"/>
      <c r="FQ27" s="171"/>
      <c r="FR27" s="171"/>
      <c r="FS27" s="171"/>
      <c r="FT27" s="171"/>
      <c r="FU27" s="171"/>
      <c r="FV27" s="171"/>
      <c r="FW27" s="171"/>
      <c r="FX27" s="171"/>
      <c r="FY27" s="171"/>
      <c r="FZ27" s="171"/>
      <c r="GA27" s="171"/>
      <c r="GB27" s="171"/>
      <c r="GC27" s="171"/>
      <c r="GD27" s="171"/>
      <c r="GE27" s="171"/>
      <c r="GF27" s="171"/>
      <c r="GG27" s="171"/>
      <c r="GH27" s="171"/>
      <c r="GI27" s="171"/>
      <c r="GJ27" s="171"/>
      <c r="GK27" s="171"/>
      <c r="GL27" s="171"/>
      <c r="GM27" s="171"/>
      <c r="GN27" s="171"/>
      <c r="GO27" s="171"/>
      <c r="GP27" s="171"/>
      <c r="GQ27" s="171"/>
      <c r="GR27" s="171"/>
      <c r="GS27" s="171"/>
      <c r="GT27" s="171"/>
      <c r="GU27" s="171"/>
      <c r="GV27" s="171"/>
      <c r="GW27" s="171"/>
      <c r="GX27" s="171"/>
      <c r="GY27" s="171"/>
      <c r="GZ27" s="171"/>
      <c r="HA27" s="171"/>
      <c r="HB27" s="171"/>
      <c r="HC27" s="171"/>
      <c r="HD27" s="171"/>
      <c r="HE27" s="171"/>
      <c r="HF27" s="171"/>
      <c r="HG27" s="171"/>
      <c r="HH27" s="171"/>
      <c r="HI27" s="171"/>
      <c r="HJ27" s="171"/>
      <c r="HK27" s="171"/>
      <c r="HL27" s="171"/>
      <c r="HM27" s="171"/>
      <c r="HN27" s="171"/>
      <c r="HO27" s="171"/>
      <c r="HP27" s="171"/>
      <c r="HQ27" s="171"/>
      <c r="HR27" s="171"/>
      <c r="HS27" s="171"/>
      <c r="HT27" s="171"/>
      <c r="HU27" s="171"/>
      <c r="HV27" s="171"/>
      <c r="HW27" s="171"/>
      <c r="HX27" s="171"/>
      <c r="HY27" s="171"/>
      <c r="HZ27" s="171"/>
      <c r="IA27" s="171"/>
      <c r="IB27" s="171"/>
      <c r="IC27" s="171"/>
      <c r="ID27" s="171"/>
      <c r="IE27" s="171"/>
      <c r="IF27" s="171"/>
      <c r="IG27" s="171"/>
      <c r="IH27" s="171"/>
      <c r="II27" s="171"/>
      <c r="IJ27" s="171"/>
      <c r="IK27" s="171"/>
      <c r="IL27" s="171"/>
      <c r="IM27" s="171"/>
      <c r="IN27" s="171"/>
      <c r="IO27" s="171"/>
      <c r="IP27" s="171"/>
      <c r="IQ27" s="171"/>
      <c r="IR27" s="171"/>
      <c r="IS27" s="171"/>
      <c r="IT27" s="171"/>
      <c r="IU27" s="171"/>
      <c r="IV27" s="171"/>
      <c r="IW27" s="171"/>
      <c r="IX27" s="171"/>
      <c r="IY27" s="171"/>
      <c r="IZ27" s="171"/>
      <c r="JA27" s="171"/>
      <c r="JB27" s="171"/>
      <c r="JC27" s="171"/>
      <c r="JD27" s="171"/>
      <c r="JE27" s="171"/>
      <c r="JF27" s="171"/>
      <c r="JG27" s="171"/>
      <c r="JH27" s="171"/>
      <c r="JI27" s="171"/>
      <c r="JJ27" s="171"/>
      <c r="JK27" s="171"/>
      <c r="JL27" s="171"/>
      <c r="JM27" s="171"/>
      <c r="JN27" s="171"/>
      <c r="JO27" s="171"/>
      <c r="JP27" s="171"/>
      <c r="JQ27" s="171"/>
      <c r="JR27" s="171"/>
      <c r="JS27" s="171"/>
      <c r="JT27" s="171"/>
      <c r="JU27" s="171"/>
      <c r="JV27" s="171"/>
      <c r="JW27" s="171"/>
      <c r="JX27" s="171"/>
      <c r="JY27" s="171"/>
      <c r="JZ27" s="171"/>
      <c r="KA27" s="171"/>
      <c r="KB27" s="171"/>
      <c r="KC27" s="171"/>
      <c r="KD27" s="171"/>
      <c r="KE27" s="171"/>
      <c r="KF27" s="171"/>
      <c r="KG27" s="171"/>
      <c r="KH27" s="171"/>
      <c r="KI27" s="171"/>
      <c r="KJ27" s="171"/>
      <c r="KK27" s="171"/>
      <c r="KL27" s="171"/>
      <c r="KM27" s="171"/>
      <c r="KN27" s="171"/>
      <c r="KO27" s="171"/>
      <c r="KP27" s="171"/>
      <c r="KQ27" s="171"/>
      <c r="KR27" s="171"/>
      <c r="KS27" s="171"/>
      <c r="KT27" s="171"/>
      <c r="KU27" s="171"/>
      <c r="KV27" s="171"/>
      <c r="KW27" s="171"/>
      <c r="KX27" s="171"/>
      <c r="KY27" s="171"/>
      <c r="KZ27" s="171"/>
      <c r="LA27" s="171"/>
      <c r="LB27" s="171"/>
      <c r="LC27" s="171"/>
      <c r="LD27" s="171"/>
      <c r="LE27" s="171"/>
      <c r="LF27" s="171"/>
      <c r="LG27" s="171"/>
      <c r="LH27" s="171"/>
      <c r="LI27" s="171"/>
      <c r="LJ27" s="171"/>
      <c r="LK27" s="171"/>
      <c r="LL27" s="171"/>
      <c r="LM27" s="171"/>
      <c r="LN27" s="171"/>
      <c r="LO27" s="171"/>
      <c r="LP27" s="171"/>
      <c r="LQ27" s="171"/>
      <c r="LR27" s="171"/>
      <c r="LS27" s="171"/>
      <c r="LT27" s="171"/>
      <c r="LU27" s="171"/>
      <c r="LV27" s="171"/>
      <c r="LW27" s="171"/>
      <c r="LX27" s="171"/>
      <c r="LY27" s="171"/>
      <c r="LZ27" s="171"/>
      <c r="MA27" s="171"/>
      <c r="MB27" s="171"/>
      <c r="MC27" s="171"/>
      <c r="MD27" s="171"/>
      <c r="ME27" s="171"/>
      <c r="MF27" s="171"/>
      <c r="MG27" s="171"/>
      <c r="MH27" s="171"/>
      <c r="MI27" s="171"/>
      <c r="MJ27" s="171"/>
      <c r="MK27" s="171"/>
      <c r="ML27" s="171"/>
      <c r="MM27" s="171"/>
      <c r="MN27" s="171"/>
      <c r="MO27" s="171"/>
      <c r="MP27" s="171"/>
      <c r="MQ27" s="171"/>
      <c r="MR27" s="171"/>
      <c r="MS27" s="171"/>
      <c r="MT27" s="171"/>
      <c r="MU27" s="171"/>
      <c r="MV27" s="171"/>
      <c r="MW27" s="171"/>
      <c r="MX27" s="171"/>
      <c r="MY27" s="171"/>
      <c r="MZ27" s="171"/>
      <c r="NA27" s="171"/>
      <c r="NB27" s="171"/>
      <c r="NC27" s="171"/>
      <c r="ND27" s="171"/>
      <c r="NE27" s="171"/>
      <c r="NF27" s="171"/>
      <c r="NG27" s="171"/>
      <c r="NH27" s="171"/>
      <c r="NI27" s="171"/>
      <c r="NJ27" s="171"/>
      <c r="NK27" s="171"/>
      <c r="NL27" s="171"/>
      <c r="NM27" s="171"/>
      <c r="NN27" s="171"/>
      <c r="NO27" s="171"/>
      <c r="NP27" s="171"/>
      <c r="NQ27" s="171"/>
      <c r="NR27" s="171"/>
      <c r="NS27" s="171"/>
      <c r="NT27" s="171"/>
      <c r="NU27" s="171"/>
      <c r="NV27" s="171"/>
      <c r="NW27" s="171"/>
      <c r="NX27" s="171"/>
      <c r="NY27" s="171"/>
      <c r="NZ27" s="171"/>
      <c r="OA27" s="171"/>
      <c r="OB27" s="171"/>
      <c r="OC27" s="171"/>
      <c r="OD27" s="171"/>
    </row>
    <row r="28" spans="1:401" x14ac:dyDescent="0.3">
      <c r="A28" s="14"/>
      <c r="C28" s="14"/>
      <c r="D28" s="119" t="s">
        <v>290</v>
      </c>
      <c r="E28" s="197"/>
      <c r="F28" s="198" t="s">
        <v>291</v>
      </c>
      <c r="G28" s="76"/>
      <c r="H28" s="110"/>
      <c r="I28" s="111"/>
      <c r="J28" s="65"/>
      <c r="K28" s="55"/>
      <c r="L28" s="55"/>
      <c r="M28" s="55"/>
      <c r="N28" s="55"/>
      <c r="O28" s="55"/>
      <c r="P28" s="55"/>
    </row>
    <row r="29" spans="1:401" x14ac:dyDescent="0.3">
      <c r="A29" s="14"/>
      <c r="B29" s="114" t="s">
        <v>21</v>
      </c>
      <c r="C29" s="14"/>
      <c r="D29" s="119"/>
      <c r="E29" s="109"/>
      <c r="F29" s="109"/>
      <c r="G29" s="76"/>
      <c r="H29" s="110"/>
      <c r="I29" s="111"/>
      <c r="J29" s="65"/>
      <c r="K29" s="55"/>
      <c r="L29" s="55"/>
      <c r="M29" s="55"/>
      <c r="N29" s="55"/>
      <c r="O29" s="55"/>
      <c r="P29" s="55"/>
    </row>
    <row r="30" spans="1:401" outlineLevel="1" x14ac:dyDescent="0.3">
      <c r="A30" s="14"/>
      <c r="C30" s="14" t="s">
        <v>178</v>
      </c>
      <c r="D30" s="119"/>
      <c r="E30" s="109"/>
      <c r="F30" s="109"/>
      <c r="G30" s="76"/>
      <c r="H30" s="110"/>
      <c r="I30" s="111"/>
      <c r="J30" s="65"/>
      <c r="K30" s="55"/>
      <c r="L30" s="55"/>
      <c r="M30" s="55"/>
      <c r="N30" s="55"/>
      <c r="O30" s="55"/>
      <c r="P30" s="55"/>
    </row>
    <row r="31" spans="1:401" outlineLevel="1" x14ac:dyDescent="0.3">
      <c r="A31" s="14"/>
      <c r="C31" s="14"/>
      <c r="D31" s="119" t="s">
        <v>180</v>
      </c>
      <c r="E31" s="109"/>
      <c r="F31" s="109"/>
      <c r="G31" s="76"/>
      <c r="H31" s="110"/>
      <c r="I31" s="111"/>
      <c r="J31" s="65"/>
      <c r="K31" s="55"/>
      <c r="L31" s="55"/>
      <c r="M31" s="55"/>
      <c r="N31" s="55"/>
      <c r="O31" s="55"/>
      <c r="P31" s="55"/>
    </row>
    <row r="32" spans="1:401" outlineLevel="1" x14ac:dyDescent="0.3">
      <c r="A32" s="14"/>
      <c r="C32" s="14"/>
      <c r="D32" s="119"/>
      <c r="E32" s="109"/>
      <c r="F32" s="109"/>
      <c r="G32" s="76"/>
      <c r="H32" s="110"/>
      <c r="I32" s="111"/>
      <c r="J32" s="65"/>
      <c r="K32" s="55"/>
      <c r="L32" s="55"/>
      <c r="M32" s="55"/>
      <c r="N32" s="55"/>
      <c r="O32" s="55"/>
      <c r="P32" s="55"/>
    </row>
    <row r="33" spans="1:16" outlineLevel="1" x14ac:dyDescent="0.3">
      <c r="A33" s="14"/>
      <c r="C33" s="14"/>
      <c r="D33" s="119"/>
      <c r="E33" s="109"/>
      <c r="F33" s="109"/>
      <c r="G33" s="76"/>
      <c r="H33" s="110"/>
      <c r="I33" s="111"/>
      <c r="J33" s="65"/>
      <c r="K33" s="55"/>
      <c r="L33" s="55"/>
      <c r="M33" s="55"/>
      <c r="N33" s="55"/>
      <c r="O33" s="55"/>
      <c r="P33" s="55"/>
    </row>
    <row r="34" spans="1:16" outlineLevel="1" x14ac:dyDescent="0.3">
      <c r="A34" s="14"/>
      <c r="C34" s="14"/>
      <c r="D34" s="119"/>
      <c r="E34" s="109"/>
      <c r="F34" s="109"/>
      <c r="G34" s="76"/>
      <c r="H34" s="110"/>
      <c r="I34" s="111"/>
      <c r="J34" s="65"/>
      <c r="K34" s="55"/>
      <c r="L34" s="55"/>
      <c r="M34" s="55"/>
      <c r="N34" s="55"/>
      <c r="O34" s="55"/>
      <c r="P34" s="55"/>
    </row>
    <row r="35" spans="1:16" outlineLevel="1" x14ac:dyDescent="0.3">
      <c r="A35" s="14"/>
      <c r="C35" s="14"/>
      <c r="D35" s="119"/>
      <c r="E35" s="109"/>
      <c r="F35" s="109"/>
      <c r="G35" s="76"/>
      <c r="H35" s="110"/>
      <c r="I35" s="111"/>
      <c r="J35" s="65"/>
      <c r="K35" s="55"/>
      <c r="L35" s="55"/>
      <c r="M35" s="55"/>
      <c r="N35" s="55"/>
      <c r="O35" s="55"/>
      <c r="P35" s="55"/>
    </row>
    <row r="36" spans="1:16" outlineLevel="1" x14ac:dyDescent="0.3">
      <c r="A36" s="14"/>
      <c r="C36" s="14" t="s">
        <v>181</v>
      </c>
      <c r="D36" s="119"/>
      <c r="E36" s="109"/>
      <c r="F36" s="109"/>
      <c r="G36" s="76"/>
      <c r="H36" s="110"/>
      <c r="I36" s="111"/>
      <c r="J36" s="65"/>
      <c r="K36" s="55"/>
      <c r="L36" s="55"/>
      <c r="M36" s="55"/>
      <c r="N36" s="55"/>
      <c r="O36" s="55"/>
      <c r="P36" s="55"/>
    </row>
    <row r="37" spans="1:16" outlineLevel="1" x14ac:dyDescent="0.3">
      <c r="A37" s="14"/>
      <c r="C37" s="14"/>
      <c r="D37" s="119" t="s">
        <v>182</v>
      </c>
      <c r="E37" s="109"/>
      <c r="F37" s="109" t="s">
        <v>81</v>
      </c>
      <c r="G37" s="76"/>
      <c r="H37" s="110"/>
      <c r="I37" s="111"/>
      <c r="J37" s="65"/>
      <c r="K37" s="55"/>
      <c r="L37" s="55"/>
      <c r="M37" s="55"/>
      <c r="N37" s="55"/>
      <c r="O37" s="55"/>
      <c r="P37" s="55"/>
    </row>
    <row r="38" spans="1:16" outlineLevel="1" x14ac:dyDescent="0.3">
      <c r="A38" s="14"/>
      <c r="C38" s="14"/>
      <c r="D38" s="119" t="s">
        <v>185</v>
      </c>
      <c r="E38" s="109"/>
      <c r="F38" s="109"/>
      <c r="G38" s="76"/>
      <c r="H38" s="110"/>
      <c r="I38" s="111"/>
      <c r="J38" s="65"/>
      <c r="K38" s="55"/>
      <c r="L38" s="55"/>
      <c r="M38" s="55"/>
      <c r="N38" s="55"/>
      <c r="O38" s="55"/>
      <c r="P38" s="55"/>
    </row>
    <row r="39" spans="1:16" outlineLevel="1" x14ac:dyDescent="0.3">
      <c r="A39" s="14"/>
      <c r="C39" s="14"/>
      <c r="D39" s="119" t="s">
        <v>191</v>
      </c>
      <c r="E39" s="109"/>
      <c r="F39" s="109"/>
      <c r="G39" s="76"/>
      <c r="H39" s="110"/>
      <c r="I39" s="111"/>
      <c r="J39" s="65"/>
      <c r="K39" s="55"/>
      <c r="L39" s="55"/>
      <c r="M39" s="55"/>
      <c r="N39" s="55"/>
      <c r="O39" s="55"/>
      <c r="P39" s="55"/>
    </row>
    <row r="40" spans="1:16" outlineLevel="1" x14ac:dyDescent="0.3">
      <c r="A40" s="14"/>
      <c r="C40" s="14"/>
      <c r="D40" s="119" t="s">
        <v>188</v>
      </c>
      <c r="E40" s="109"/>
      <c r="F40" s="109"/>
      <c r="G40" s="76"/>
      <c r="H40" s="110"/>
      <c r="I40" s="111"/>
      <c r="J40" s="65"/>
      <c r="K40" s="55"/>
      <c r="L40" s="55"/>
      <c r="M40" s="55"/>
      <c r="N40" s="55"/>
      <c r="O40" s="55"/>
      <c r="P40" s="55"/>
    </row>
    <row r="41" spans="1:16" outlineLevel="1" x14ac:dyDescent="0.3">
      <c r="A41" s="14"/>
      <c r="C41" s="14"/>
      <c r="D41" s="119" t="s">
        <v>186</v>
      </c>
      <c r="E41" s="109"/>
      <c r="F41" s="109"/>
      <c r="G41" s="76"/>
      <c r="H41" s="110"/>
      <c r="I41" s="111"/>
      <c r="J41" s="65"/>
      <c r="K41" s="55"/>
      <c r="L41" s="55"/>
      <c r="M41" s="55"/>
      <c r="N41" s="55"/>
      <c r="O41" s="55"/>
      <c r="P41" s="55"/>
    </row>
    <row r="42" spans="1:16" outlineLevel="1" x14ac:dyDescent="0.3">
      <c r="A42" s="14"/>
      <c r="C42" s="14"/>
      <c r="D42" s="119" t="s">
        <v>184</v>
      </c>
      <c r="E42" s="109"/>
      <c r="F42" s="109"/>
      <c r="G42" s="76"/>
      <c r="H42" s="110"/>
      <c r="I42" s="111"/>
      <c r="J42" s="65"/>
      <c r="K42" s="55"/>
      <c r="L42" s="55"/>
      <c r="M42" s="55"/>
      <c r="N42" s="55"/>
      <c r="O42" s="55"/>
      <c r="P42" s="55"/>
    </row>
    <row r="43" spans="1:16" outlineLevel="1" x14ac:dyDescent="0.3">
      <c r="A43" s="14"/>
      <c r="C43" s="14"/>
      <c r="D43" s="19" t="s">
        <v>189</v>
      </c>
      <c r="E43" s="109"/>
      <c r="F43" s="109"/>
      <c r="G43" s="76"/>
      <c r="H43" s="110"/>
      <c r="I43" s="111"/>
      <c r="J43" s="65"/>
      <c r="K43" s="55"/>
      <c r="L43" s="55"/>
      <c r="M43" s="55"/>
      <c r="N43" s="55"/>
      <c r="O43" s="55"/>
      <c r="P43" s="55"/>
    </row>
    <row r="44" spans="1:16" outlineLevel="1" x14ac:dyDescent="0.3">
      <c r="A44" s="14"/>
      <c r="C44" s="14"/>
      <c r="D44" s="119" t="s">
        <v>190</v>
      </c>
      <c r="E44" s="109"/>
      <c r="F44" s="109"/>
      <c r="G44" s="76"/>
      <c r="H44" s="110"/>
      <c r="I44" s="111"/>
      <c r="J44" s="65"/>
      <c r="K44" s="55"/>
      <c r="L44" s="55"/>
      <c r="M44" s="55"/>
      <c r="N44" s="55"/>
      <c r="O44" s="55"/>
      <c r="P44" s="55"/>
    </row>
    <row r="45" spans="1:16" outlineLevel="1" x14ac:dyDescent="0.3">
      <c r="A45" s="14"/>
      <c r="B45" s="14"/>
      <c r="C45" s="14"/>
      <c r="D45" s="119" t="s">
        <v>183</v>
      </c>
      <c r="E45" s="109"/>
      <c r="F45" s="109"/>
      <c r="G45" s="76"/>
      <c r="H45" s="110"/>
      <c r="I45" s="111"/>
      <c r="J45" s="65"/>
      <c r="K45" s="55"/>
      <c r="L45" s="55"/>
      <c r="M45" s="55"/>
      <c r="N45" s="55"/>
      <c r="O45" s="55"/>
      <c r="P45" s="55"/>
    </row>
    <row r="46" spans="1:16" outlineLevel="1" x14ac:dyDescent="0.3">
      <c r="A46" s="14"/>
      <c r="B46" s="14"/>
      <c r="C46" s="14"/>
      <c r="D46" s="119"/>
      <c r="E46" s="109"/>
      <c r="F46" s="109"/>
      <c r="G46" s="76"/>
      <c r="H46" s="110"/>
      <c r="I46" s="111"/>
      <c r="J46" s="65"/>
      <c r="K46" s="55"/>
      <c r="L46" s="55"/>
      <c r="M46" s="55"/>
      <c r="N46" s="55"/>
      <c r="O46" s="55"/>
      <c r="P46" s="55"/>
    </row>
    <row r="47" spans="1:16" outlineLevel="1" x14ac:dyDescent="0.3">
      <c r="A47" s="14"/>
      <c r="B47" s="14"/>
      <c r="C47" s="14" t="s">
        <v>192</v>
      </c>
      <c r="E47" s="109"/>
      <c r="F47" s="109"/>
      <c r="G47" s="76"/>
      <c r="H47" s="110"/>
      <c r="I47" s="111"/>
      <c r="J47" s="65"/>
      <c r="K47" s="55"/>
      <c r="L47" s="55"/>
      <c r="M47" s="55"/>
      <c r="N47" s="55"/>
      <c r="O47" s="55"/>
      <c r="P47" s="55"/>
    </row>
    <row r="48" spans="1:16" outlineLevel="1" x14ac:dyDescent="0.3">
      <c r="A48" s="14"/>
      <c r="B48" s="14"/>
      <c r="C48" s="14"/>
      <c r="D48" s="19" t="s">
        <v>192</v>
      </c>
      <c r="E48" s="109"/>
      <c r="F48" s="109"/>
      <c r="G48" s="76"/>
      <c r="H48" s="110"/>
      <c r="I48" s="111"/>
      <c r="J48" s="65"/>
      <c r="K48" s="55"/>
      <c r="L48" s="55"/>
      <c r="M48" s="55"/>
      <c r="N48" s="55"/>
      <c r="O48" s="55"/>
      <c r="P48" s="55"/>
    </row>
    <row r="49" spans="1:16" x14ac:dyDescent="0.3">
      <c r="A49" s="14"/>
      <c r="B49" s="14" t="s">
        <v>193</v>
      </c>
      <c r="C49" s="14"/>
      <c r="E49" s="109"/>
      <c r="F49" s="109"/>
      <c r="G49" s="76"/>
      <c r="H49" s="110"/>
      <c r="I49" s="111"/>
      <c r="J49" s="65"/>
      <c r="K49" s="55"/>
      <c r="L49" s="55"/>
      <c r="M49" s="55"/>
      <c r="N49" s="55"/>
      <c r="O49" s="55"/>
      <c r="P49" s="55"/>
    </row>
    <row r="50" spans="1:16" x14ac:dyDescent="0.3">
      <c r="A50" s="14"/>
      <c r="B50" s="14"/>
      <c r="C50" s="14"/>
      <c r="E50" s="109"/>
      <c r="F50" s="109"/>
      <c r="G50" s="76"/>
      <c r="H50" s="110"/>
      <c r="I50" s="111"/>
      <c r="J50" s="65"/>
      <c r="K50" s="55"/>
      <c r="L50" s="55"/>
      <c r="M50" s="55"/>
      <c r="N50" s="55"/>
      <c r="O50" s="55"/>
      <c r="P50" s="55"/>
    </row>
    <row r="51" spans="1:16" x14ac:dyDescent="0.3">
      <c r="B51" s="114" t="s">
        <v>18</v>
      </c>
      <c r="D51" s="119"/>
      <c r="E51" s="6"/>
      <c r="F51" s="19"/>
      <c r="H51" s="20"/>
      <c r="I51" s="60"/>
      <c r="J51" s="65"/>
      <c r="K51" s="55"/>
      <c r="L51" s="55"/>
      <c r="M51" s="55"/>
      <c r="N51" s="55"/>
      <c r="O51" s="55"/>
      <c r="P51" s="55"/>
    </row>
    <row r="52" spans="1:16" outlineLevel="1" x14ac:dyDescent="0.3">
      <c r="C52" s="114" t="s">
        <v>146</v>
      </c>
      <c r="D52" s="119"/>
      <c r="E52" s="6"/>
      <c r="F52" s="19"/>
      <c r="H52" s="20"/>
      <c r="I52" s="60"/>
      <c r="J52" s="65"/>
      <c r="K52" s="55"/>
      <c r="L52" s="55"/>
      <c r="M52" s="55"/>
      <c r="N52" s="55"/>
      <c r="O52" s="55"/>
      <c r="P52" s="55"/>
    </row>
    <row r="53" spans="1:16" outlineLevel="1" x14ac:dyDescent="0.3">
      <c r="D53" s="119" t="s">
        <v>233</v>
      </c>
      <c r="E53" s="10">
        <v>20</v>
      </c>
      <c r="F53" s="11" t="s">
        <v>26</v>
      </c>
      <c r="H53" s="20"/>
      <c r="I53" s="60"/>
      <c r="J53" s="65"/>
      <c r="K53" s="55"/>
      <c r="L53" s="55"/>
      <c r="M53" s="55"/>
      <c r="N53" s="55"/>
      <c r="O53" s="55"/>
      <c r="P53" s="55"/>
    </row>
    <row r="54" spans="1:16" outlineLevel="1" x14ac:dyDescent="0.3">
      <c r="H54" s="20"/>
      <c r="I54" s="60"/>
      <c r="J54" s="65"/>
      <c r="K54" s="55"/>
      <c r="L54" s="55"/>
      <c r="M54" s="55"/>
      <c r="N54" s="55"/>
      <c r="O54" s="55"/>
      <c r="P54" s="55"/>
    </row>
    <row r="55" spans="1:16" outlineLevel="1" x14ac:dyDescent="0.3">
      <c r="D55" s="119" t="s">
        <v>308</v>
      </c>
      <c r="E55" s="199">
        <v>46447</v>
      </c>
      <c r="F55" s="198" t="s">
        <v>246</v>
      </c>
      <c r="H55" s="20"/>
      <c r="I55" s="60"/>
      <c r="J55" s="65"/>
      <c r="K55" s="55"/>
      <c r="L55" s="55"/>
      <c r="M55" s="55"/>
      <c r="N55" s="55"/>
      <c r="O55" s="55"/>
      <c r="P55" s="55"/>
    </row>
    <row r="56" spans="1:16" outlineLevel="1" x14ac:dyDescent="0.3">
      <c r="H56" s="20"/>
      <c r="I56" s="60"/>
      <c r="J56" s="65"/>
      <c r="K56" s="55"/>
      <c r="L56" s="55"/>
      <c r="M56" s="55"/>
      <c r="N56" s="55"/>
      <c r="O56" s="55"/>
      <c r="P56" s="55"/>
    </row>
    <row r="57" spans="1:16" outlineLevel="1" x14ac:dyDescent="0.3">
      <c r="D57" s="119" t="s">
        <v>307</v>
      </c>
      <c r="E57" s="12">
        <v>0.9996666666666667</v>
      </c>
      <c r="F57" s="11" t="s">
        <v>67</v>
      </c>
      <c r="H57" s="21"/>
      <c r="I57" s="61"/>
      <c r="J57" s="65"/>
      <c r="K57" s="55"/>
      <c r="L57" s="55"/>
      <c r="M57" s="55"/>
      <c r="N57" s="55"/>
      <c r="O57" s="55"/>
      <c r="P57" s="55"/>
    </row>
    <row r="58" spans="1:16" outlineLevel="1" x14ac:dyDescent="0.3">
      <c r="D58" s="119" t="s">
        <v>310</v>
      </c>
      <c r="E58" s="197">
        <v>12</v>
      </c>
      <c r="F58" s="198" t="s">
        <v>311</v>
      </c>
      <c r="H58" s="20"/>
      <c r="I58" s="60"/>
      <c r="J58" s="65"/>
      <c r="K58" s="55"/>
      <c r="L58" s="55"/>
      <c r="M58" s="55"/>
      <c r="N58" s="55"/>
      <c r="O58" s="55"/>
      <c r="P58" s="55"/>
    </row>
    <row r="59" spans="1:16" outlineLevel="1" x14ac:dyDescent="0.3">
      <c r="D59" s="119" t="s">
        <v>313</v>
      </c>
      <c r="E59" s="197">
        <f>MATCH(EDATE(E55,E58),_xlfn.ANCHORARRAY( P2), 1)</f>
        <v>29</v>
      </c>
      <c r="F59" s="198" t="s">
        <v>312</v>
      </c>
      <c r="H59" s="20"/>
      <c r="I59" s="60"/>
      <c r="J59" s="65"/>
      <c r="K59" s="55"/>
      <c r="L59" s="55"/>
      <c r="M59" s="55"/>
      <c r="N59" s="55"/>
      <c r="O59" s="55"/>
      <c r="P59" s="55"/>
    </row>
    <row r="60" spans="1:16" outlineLevel="1" x14ac:dyDescent="0.3">
      <c r="D60" s="119"/>
      <c r="H60" s="20"/>
      <c r="I60" s="60"/>
      <c r="J60" s="65"/>
      <c r="K60" s="55"/>
      <c r="L60" s="55"/>
      <c r="M60" s="55"/>
      <c r="N60" s="55"/>
      <c r="O60" s="55"/>
      <c r="P60" s="55"/>
    </row>
    <row r="61" spans="1:16" outlineLevel="1" x14ac:dyDescent="0.3">
      <c r="C61" s="114" t="s">
        <v>309</v>
      </c>
      <c r="D61" s="119"/>
      <c r="E61" s="13"/>
      <c r="F61" s="14"/>
      <c r="H61" s="20"/>
      <c r="I61" s="60"/>
      <c r="J61" s="65"/>
      <c r="K61" s="55"/>
      <c r="L61" s="55"/>
      <c r="M61" s="55"/>
      <c r="N61" s="55"/>
      <c r="O61" s="55"/>
      <c r="P61" s="55"/>
    </row>
    <row r="62" spans="1:16" outlineLevel="1" x14ac:dyDescent="0.3">
      <c r="D62" s="119" t="s">
        <v>36</v>
      </c>
      <c r="E62" s="26">
        <v>1624.001239574485</v>
      </c>
      <c r="F62" s="11" t="s">
        <v>14</v>
      </c>
      <c r="H62" s="20"/>
      <c r="I62" s="60"/>
      <c r="J62" s="65"/>
      <c r="K62" s="55"/>
      <c r="L62" s="55"/>
      <c r="M62" s="55"/>
      <c r="N62" s="55"/>
      <c r="O62" s="55"/>
      <c r="P62" s="55"/>
    </row>
    <row r="63" spans="1:16" outlineLevel="1" x14ac:dyDescent="0.3">
      <c r="D63" s="119" t="s">
        <v>37</v>
      </c>
      <c r="E63" s="26">
        <v>2141.3787479907678</v>
      </c>
      <c r="F63" s="11" t="s">
        <v>14</v>
      </c>
      <c r="H63" s="103"/>
      <c r="I63" s="104"/>
      <c r="J63" s="65"/>
      <c r="K63" s="55"/>
      <c r="L63" s="55"/>
      <c r="M63" s="55"/>
      <c r="N63" s="55"/>
      <c r="O63" s="55"/>
      <c r="P63" s="55"/>
    </row>
    <row r="64" spans="1:16" outlineLevel="1" x14ac:dyDescent="0.3">
      <c r="D64" s="119" t="s">
        <v>38</v>
      </c>
      <c r="E64" s="26">
        <v>3215.3023431752613</v>
      </c>
      <c r="F64" s="11" t="s">
        <v>14</v>
      </c>
      <c r="H64" s="103"/>
      <c r="I64" s="104"/>
      <c r="J64" s="65"/>
      <c r="K64" s="55"/>
      <c r="L64" s="55"/>
      <c r="M64" s="55"/>
      <c r="N64" s="55"/>
      <c r="O64" s="55"/>
      <c r="P64" s="55"/>
    </row>
    <row r="65" spans="2:16" outlineLevel="1" x14ac:dyDescent="0.3">
      <c r="D65" s="119" t="s">
        <v>39</v>
      </c>
      <c r="E65" s="26">
        <v>3794.5432331325883</v>
      </c>
      <c r="F65" s="11" t="s">
        <v>14</v>
      </c>
      <c r="H65" s="20"/>
      <c r="I65" s="60"/>
      <c r="J65" s="65"/>
      <c r="K65" s="55"/>
      <c r="L65" s="55"/>
      <c r="M65" s="55"/>
      <c r="N65" s="55"/>
      <c r="O65" s="55"/>
      <c r="P65" s="55"/>
    </row>
    <row r="66" spans="2:16" outlineLevel="1" x14ac:dyDescent="0.3">
      <c r="D66" s="119" t="s">
        <v>40</v>
      </c>
      <c r="E66" s="26">
        <v>4425.0849900099984</v>
      </c>
      <c r="F66" s="11" t="s">
        <v>14</v>
      </c>
      <c r="H66" s="20"/>
      <c r="I66" s="60"/>
      <c r="J66" s="65"/>
      <c r="K66" s="55"/>
      <c r="L66" s="55"/>
      <c r="M66" s="55"/>
      <c r="N66" s="55"/>
      <c r="O66" s="55"/>
      <c r="P66" s="55"/>
    </row>
    <row r="67" spans="2:16" outlineLevel="1" x14ac:dyDescent="0.3">
      <c r="D67" s="119" t="s">
        <v>41</v>
      </c>
      <c r="E67" s="26">
        <v>4884.4996897158208</v>
      </c>
      <c r="F67" s="11" t="s">
        <v>14</v>
      </c>
      <c r="H67" s="20"/>
      <c r="I67" s="60"/>
      <c r="J67" s="65"/>
      <c r="K67" s="55"/>
      <c r="L67" s="55"/>
      <c r="M67" s="55"/>
      <c r="N67" s="55"/>
      <c r="O67" s="55"/>
      <c r="P67" s="55"/>
    </row>
    <row r="68" spans="2:16" outlineLevel="1" x14ac:dyDescent="0.3">
      <c r="D68" s="119" t="s">
        <v>42</v>
      </c>
      <c r="E68" s="26">
        <v>5251.096415792902</v>
      </c>
      <c r="F68" s="11" t="s">
        <v>14</v>
      </c>
      <c r="H68" s="20"/>
      <c r="I68" s="60"/>
      <c r="J68" s="65"/>
      <c r="K68" s="55"/>
      <c r="L68" s="55"/>
      <c r="M68" s="55"/>
      <c r="N68" s="55"/>
      <c r="O68" s="55"/>
      <c r="P68" s="55"/>
    </row>
    <row r="69" spans="2:16" outlineLevel="1" x14ac:dyDescent="0.3">
      <c r="D69" s="119" t="s">
        <v>43</v>
      </c>
      <c r="E69" s="26">
        <v>4866.8402921505003</v>
      </c>
      <c r="F69" s="11" t="s">
        <v>14</v>
      </c>
      <c r="H69" s="20"/>
      <c r="I69" s="60"/>
      <c r="J69" s="65"/>
      <c r="K69" s="55"/>
      <c r="L69" s="55"/>
      <c r="M69" s="55"/>
      <c r="N69" s="55"/>
      <c r="O69" s="55"/>
      <c r="P69" s="55"/>
    </row>
    <row r="70" spans="2:16" outlineLevel="1" x14ac:dyDescent="0.3">
      <c r="D70" s="119" t="s">
        <v>44</v>
      </c>
      <c r="E70" s="26">
        <v>3769.7672369303364</v>
      </c>
      <c r="F70" s="11" t="s">
        <v>14</v>
      </c>
      <c r="H70" s="20"/>
      <c r="I70" s="60"/>
      <c r="J70" s="65"/>
      <c r="K70" s="55"/>
      <c r="L70" s="55"/>
      <c r="M70" s="55"/>
      <c r="N70" s="55"/>
      <c r="O70" s="55"/>
      <c r="P70" s="55"/>
    </row>
    <row r="71" spans="2:16" outlineLevel="1" x14ac:dyDescent="0.3">
      <c r="D71" s="119" t="s">
        <v>45</v>
      </c>
      <c r="E71" s="172">
        <v>3034.3121188795985</v>
      </c>
      <c r="F71" s="11" t="s">
        <v>14</v>
      </c>
      <c r="H71" s="20"/>
      <c r="I71" s="60"/>
      <c r="J71" s="65"/>
      <c r="K71" s="55"/>
      <c r="L71" s="55"/>
      <c r="M71" s="55"/>
      <c r="N71" s="55"/>
      <c r="O71" s="55"/>
      <c r="P71" s="55"/>
    </row>
    <row r="72" spans="2:16" outlineLevel="1" x14ac:dyDescent="0.3">
      <c r="D72" s="119" t="s">
        <v>46</v>
      </c>
      <c r="E72" s="172">
        <v>1972.2999253493106</v>
      </c>
      <c r="F72" s="11" t="s">
        <v>14</v>
      </c>
      <c r="H72" s="20"/>
      <c r="I72" s="60"/>
      <c r="J72" s="65"/>
      <c r="K72" s="55"/>
      <c r="L72" s="55"/>
      <c r="M72" s="55"/>
      <c r="N72" s="55"/>
      <c r="O72" s="55"/>
      <c r="P72" s="55"/>
    </row>
    <row r="73" spans="2:16" outlineLevel="1" x14ac:dyDescent="0.3">
      <c r="D73" s="119" t="s">
        <v>47</v>
      </c>
      <c r="E73" s="172">
        <v>1418.3477282984506</v>
      </c>
      <c r="F73" s="11" t="s">
        <v>14</v>
      </c>
      <c r="H73" s="20"/>
      <c r="I73" s="60"/>
      <c r="J73" s="65"/>
      <c r="K73" s="55"/>
      <c r="L73" s="55"/>
      <c r="M73" s="55"/>
      <c r="N73" s="55"/>
      <c r="O73" s="55"/>
      <c r="P73" s="55"/>
    </row>
    <row r="74" spans="2:16" outlineLevel="1" x14ac:dyDescent="0.3">
      <c r="D74" s="119"/>
      <c r="E74" s="215"/>
      <c r="F74" s="14"/>
      <c r="H74" s="20"/>
      <c r="I74" s="60"/>
      <c r="J74" s="65"/>
      <c r="K74" s="55"/>
      <c r="L74" s="55"/>
      <c r="M74" s="55"/>
      <c r="N74" s="55"/>
      <c r="O74" s="55"/>
      <c r="P74" s="55"/>
    </row>
    <row r="75" spans="2:16" outlineLevel="1" x14ac:dyDescent="0.3">
      <c r="D75" s="19" t="s">
        <v>49</v>
      </c>
      <c r="E75" s="172">
        <f>SUM(E62:E73)</f>
        <v>40397.473961000025</v>
      </c>
      <c r="F75" s="11" t="s">
        <v>14</v>
      </c>
      <c r="H75" s="20"/>
      <c r="I75" s="60"/>
      <c r="J75" s="65"/>
      <c r="K75" s="55"/>
      <c r="L75" s="55"/>
      <c r="M75" s="55"/>
      <c r="N75" s="55"/>
      <c r="O75" s="55"/>
      <c r="P75" s="55"/>
    </row>
    <row r="76" spans="2:16" outlineLevel="1" x14ac:dyDescent="0.3">
      <c r="D76" s="119" t="s">
        <v>77</v>
      </c>
      <c r="E76" s="12">
        <f>E75/(8760*E53)</f>
        <v>0.23057918927511431</v>
      </c>
      <c r="F76" s="11" t="s">
        <v>31</v>
      </c>
      <c r="H76" s="20"/>
      <c r="I76" s="60"/>
      <c r="J76" s="65"/>
      <c r="K76" s="55"/>
      <c r="L76" s="55"/>
      <c r="M76" s="55"/>
      <c r="N76" s="55"/>
      <c r="O76" s="55"/>
      <c r="P76" s="55"/>
    </row>
    <row r="77" spans="2:16" outlineLevel="1" x14ac:dyDescent="0.3">
      <c r="D77" s="119"/>
      <c r="E77" s="215"/>
      <c r="F77" s="14"/>
      <c r="H77" s="20"/>
      <c r="I77" s="60"/>
      <c r="J77" s="65"/>
      <c r="K77" s="55"/>
      <c r="L77" s="55"/>
      <c r="M77" s="55"/>
      <c r="N77" s="55"/>
      <c r="O77" s="55"/>
      <c r="P77" s="55"/>
    </row>
    <row r="78" spans="2:16" x14ac:dyDescent="0.3">
      <c r="B78" s="114" t="s">
        <v>197</v>
      </c>
      <c r="D78" s="119"/>
      <c r="E78" s="131"/>
      <c r="F78" s="114"/>
      <c r="H78" s="20"/>
      <c r="I78" s="60"/>
      <c r="J78" s="65"/>
      <c r="K78" s="55"/>
      <c r="L78" s="55"/>
      <c r="M78" s="55"/>
      <c r="N78" s="55"/>
      <c r="O78" s="55"/>
      <c r="P78" s="55"/>
    </row>
    <row r="79" spans="2:16" x14ac:dyDescent="0.3">
      <c r="D79" s="119"/>
      <c r="H79" s="20"/>
      <c r="I79" s="60"/>
      <c r="J79" s="65"/>
      <c r="K79" s="55"/>
      <c r="L79" s="55"/>
      <c r="M79" s="55"/>
      <c r="N79" s="55"/>
      <c r="O79" s="55"/>
      <c r="P79" s="55"/>
    </row>
    <row r="80" spans="2:16" collapsed="1" x14ac:dyDescent="0.3">
      <c r="B80" s="114" t="s">
        <v>20</v>
      </c>
      <c r="C80" s="19"/>
      <c r="D80" s="119"/>
      <c r="H80" s="20"/>
      <c r="I80" s="60"/>
      <c r="J80" s="65"/>
      <c r="K80" s="55"/>
      <c r="L80" s="55"/>
      <c r="M80" s="55"/>
      <c r="N80" s="55"/>
      <c r="O80" s="55"/>
      <c r="P80" s="55"/>
    </row>
    <row r="81" spans="2:16" hidden="1" outlineLevel="1" x14ac:dyDescent="0.3">
      <c r="D81" s="119" t="s">
        <v>3</v>
      </c>
      <c r="E81" s="72">
        <v>65</v>
      </c>
      <c r="F81" s="11" t="s">
        <v>15</v>
      </c>
      <c r="H81" s="20"/>
      <c r="I81" s="60"/>
      <c r="J81" s="65"/>
      <c r="K81" s="55"/>
      <c r="L81" s="55"/>
      <c r="M81" s="55"/>
      <c r="N81" s="55"/>
      <c r="O81" s="55"/>
      <c r="P81" s="55"/>
    </row>
    <row r="82" spans="2:16" hidden="1" outlineLevel="1" x14ac:dyDescent="0.3">
      <c r="D82" s="119" t="s">
        <v>126</v>
      </c>
      <c r="E82" s="24">
        <v>0.97</v>
      </c>
      <c r="F82" s="11" t="s">
        <v>31</v>
      </c>
      <c r="H82" s="20"/>
      <c r="I82" s="60"/>
      <c r="J82" s="65"/>
      <c r="K82" s="55"/>
      <c r="L82" s="55"/>
      <c r="M82" s="55"/>
      <c r="N82" s="55"/>
      <c r="O82" s="55"/>
      <c r="P82" s="55"/>
    </row>
    <row r="83" spans="2:16" x14ac:dyDescent="0.3">
      <c r="B83" s="114" t="s">
        <v>196</v>
      </c>
      <c r="D83" s="119"/>
      <c r="E83" s="6"/>
      <c r="F83" s="19"/>
      <c r="H83" s="20"/>
      <c r="I83" s="60"/>
      <c r="J83" s="65"/>
      <c r="K83" s="55"/>
      <c r="L83" s="55"/>
      <c r="M83" s="55"/>
      <c r="N83" s="55"/>
      <c r="O83" s="55"/>
      <c r="P83" s="55"/>
    </row>
    <row r="84" spans="2:16" x14ac:dyDescent="0.3">
      <c r="D84" s="119"/>
      <c r="E84" s="6"/>
      <c r="F84" s="19"/>
      <c r="H84" s="20"/>
      <c r="I84" s="60"/>
      <c r="J84" s="65"/>
      <c r="K84" s="55"/>
      <c r="L84" s="55"/>
      <c r="M84" s="55"/>
      <c r="N84" s="55"/>
      <c r="O84" s="55"/>
      <c r="P84" s="55"/>
    </row>
    <row r="85" spans="2:16" x14ac:dyDescent="0.3">
      <c r="B85" s="114" t="s">
        <v>22</v>
      </c>
      <c r="D85" s="119"/>
      <c r="E85" s="6"/>
      <c r="F85" s="19"/>
      <c r="H85" s="20"/>
      <c r="I85" s="60"/>
      <c r="J85" s="65"/>
      <c r="K85" s="55"/>
      <c r="L85" s="55"/>
      <c r="M85" s="55"/>
      <c r="N85" s="55"/>
      <c r="O85" s="55"/>
      <c r="P85" s="55"/>
    </row>
    <row r="86" spans="2:16" outlineLevel="1" x14ac:dyDescent="0.3">
      <c r="D86" s="119"/>
      <c r="E86" s="6"/>
      <c r="F86" s="19"/>
      <c r="H86" s="20"/>
      <c r="I86" s="60"/>
      <c r="J86" s="65"/>
      <c r="K86" s="55"/>
      <c r="L86" s="55"/>
      <c r="M86" s="55"/>
      <c r="N86" s="55"/>
      <c r="O86" s="55"/>
      <c r="P86" s="55"/>
    </row>
    <row r="87" spans="2:16" outlineLevel="1" x14ac:dyDescent="0.3">
      <c r="D87" s="119"/>
      <c r="E87" s="6"/>
      <c r="F87" s="19"/>
      <c r="H87" s="20"/>
      <c r="I87" s="60"/>
      <c r="J87" s="65"/>
      <c r="K87" s="55"/>
      <c r="L87" s="55"/>
      <c r="M87" s="55"/>
      <c r="N87" s="55"/>
      <c r="O87" s="55"/>
      <c r="P87" s="55"/>
    </row>
    <row r="88" spans="2:16" x14ac:dyDescent="0.3">
      <c r="B88" s="114" t="s">
        <v>203</v>
      </c>
      <c r="D88" s="119"/>
      <c r="E88" s="6"/>
      <c r="F88" s="19"/>
      <c r="H88" s="20"/>
      <c r="I88" s="60"/>
      <c r="J88" s="65"/>
      <c r="K88" s="55"/>
      <c r="L88" s="55"/>
      <c r="M88" s="55"/>
      <c r="N88" s="55"/>
      <c r="O88" s="55"/>
      <c r="P88" s="55"/>
    </row>
    <row r="89" spans="2:16" x14ac:dyDescent="0.3">
      <c r="D89" s="119"/>
      <c r="E89" s="6"/>
      <c r="F89" s="19"/>
      <c r="H89" s="20"/>
      <c r="I89" s="60"/>
      <c r="J89" s="65"/>
      <c r="K89" s="55"/>
      <c r="L89" s="55"/>
      <c r="M89" s="55"/>
      <c r="N89" s="55"/>
      <c r="O89" s="55"/>
      <c r="P89" s="55"/>
    </row>
    <row r="90" spans="2:16" collapsed="1" x14ac:dyDescent="0.3">
      <c r="B90" s="114" t="s">
        <v>23</v>
      </c>
      <c r="D90" s="119"/>
      <c r="E90" s="6"/>
      <c r="F90" s="19"/>
      <c r="H90" s="20"/>
      <c r="I90" s="60"/>
      <c r="J90" s="65"/>
      <c r="K90" s="55"/>
      <c r="L90" s="55"/>
      <c r="M90" s="55"/>
      <c r="N90" s="55"/>
      <c r="O90" s="55"/>
      <c r="P90" s="55"/>
    </row>
    <row r="91" spans="2:16" hidden="1" outlineLevel="1" x14ac:dyDescent="0.3">
      <c r="D91" s="119"/>
      <c r="E91" s="6"/>
      <c r="F91" s="19"/>
      <c r="H91" s="20"/>
      <c r="I91" s="60"/>
      <c r="J91" s="65"/>
      <c r="K91" s="55"/>
      <c r="L91" s="55"/>
      <c r="M91" s="55"/>
      <c r="N91" s="55"/>
      <c r="O91" s="55"/>
      <c r="P91" s="55"/>
    </row>
    <row r="92" spans="2:16" hidden="1" outlineLevel="1" x14ac:dyDescent="0.3">
      <c r="D92" s="119"/>
      <c r="E92" s="6"/>
      <c r="F92" s="19"/>
      <c r="H92" s="20"/>
      <c r="I92" s="60"/>
      <c r="J92" s="65"/>
      <c r="K92" s="55"/>
      <c r="L92" s="55"/>
      <c r="M92" s="55"/>
      <c r="N92" s="55"/>
      <c r="O92" s="55"/>
      <c r="P92" s="55"/>
    </row>
    <row r="93" spans="2:16" hidden="1" outlineLevel="1" x14ac:dyDescent="0.3">
      <c r="D93" s="119"/>
      <c r="E93" s="6"/>
      <c r="F93" s="19"/>
      <c r="H93" s="20"/>
      <c r="I93" s="60"/>
      <c r="J93" s="65"/>
      <c r="K93" s="55"/>
      <c r="L93" s="55"/>
      <c r="M93" s="55"/>
      <c r="N93" s="55"/>
      <c r="O93" s="55"/>
      <c r="P93" s="55"/>
    </row>
    <row r="94" spans="2:16" hidden="1" outlineLevel="1" x14ac:dyDescent="0.3">
      <c r="D94" s="119"/>
      <c r="E94" s="6"/>
      <c r="F94" s="19"/>
      <c r="H94" s="20"/>
      <c r="I94" s="60"/>
      <c r="J94" s="65"/>
      <c r="K94" s="55"/>
      <c r="L94" s="55"/>
      <c r="M94" s="55"/>
      <c r="N94" s="55"/>
      <c r="O94" s="55"/>
      <c r="P94" s="55"/>
    </row>
    <row r="95" spans="2:16" hidden="1" outlineLevel="1" x14ac:dyDescent="0.3">
      <c r="D95" s="119"/>
      <c r="E95" s="6"/>
      <c r="F95" s="19"/>
      <c r="H95" s="20"/>
      <c r="I95" s="60"/>
      <c r="J95" s="65"/>
      <c r="K95" s="55"/>
      <c r="L95" s="55"/>
      <c r="M95" s="55"/>
      <c r="N95" s="55"/>
      <c r="O95" s="55"/>
      <c r="P95" s="55"/>
    </row>
    <row r="96" spans="2:16" hidden="1" outlineLevel="1" x14ac:dyDescent="0.3">
      <c r="D96" s="119"/>
      <c r="E96" s="6"/>
      <c r="F96" s="19"/>
      <c r="H96" s="20"/>
      <c r="I96" s="60"/>
      <c r="J96" s="65"/>
      <c r="K96" s="55"/>
      <c r="L96" s="55"/>
      <c r="M96" s="55"/>
      <c r="N96" s="55"/>
      <c r="O96" s="55"/>
      <c r="P96" s="55"/>
    </row>
    <row r="97" spans="2:16" hidden="1" outlineLevel="1" x14ac:dyDescent="0.3">
      <c r="D97" s="119"/>
      <c r="E97" s="6"/>
      <c r="F97" s="19"/>
      <c r="H97" s="20"/>
      <c r="I97" s="60"/>
      <c r="J97" s="65"/>
      <c r="K97" s="55"/>
      <c r="L97" s="55"/>
      <c r="M97" s="55"/>
      <c r="N97" s="55"/>
      <c r="O97" s="55"/>
      <c r="P97" s="55"/>
    </row>
    <row r="98" spans="2:16" x14ac:dyDescent="0.3">
      <c r="B98" s="114" t="s">
        <v>202</v>
      </c>
      <c r="D98" s="119"/>
      <c r="E98" s="6"/>
      <c r="F98" s="19"/>
      <c r="H98" s="20"/>
      <c r="I98" s="60"/>
      <c r="J98" s="65"/>
      <c r="K98" s="55"/>
      <c r="L98" s="55"/>
      <c r="M98" s="55"/>
      <c r="N98" s="55"/>
      <c r="O98" s="55"/>
      <c r="P98" s="55"/>
    </row>
    <row r="99" spans="2:16" x14ac:dyDescent="0.3">
      <c r="D99" s="119"/>
      <c r="E99" s="6"/>
      <c r="F99" s="19"/>
      <c r="H99" s="20"/>
      <c r="I99" s="60"/>
      <c r="J99" s="65"/>
      <c r="K99" s="55"/>
      <c r="L99" s="55"/>
      <c r="M99" s="55"/>
      <c r="N99" s="55"/>
      <c r="O99" s="55"/>
      <c r="P99" s="55"/>
    </row>
    <row r="100" spans="2:16" collapsed="1" x14ac:dyDescent="0.3">
      <c r="B100" s="114" t="s">
        <v>24</v>
      </c>
      <c r="D100" s="119"/>
      <c r="E100" s="6"/>
      <c r="F100" s="19"/>
      <c r="H100" s="20"/>
      <c r="I100" s="60"/>
      <c r="J100" s="65"/>
      <c r="K100" s="55"/>
      <c r="L100" s="55"/>
      <c r="M100" s="55"/>
      <c r="N100" s="55"/>
      <c r="O100" s="55"/>
      <c r="P100" s="55"/>
    </row>
    <row r="101" spans="2:16" hidden="1" outlineLevel="1" x14ac:dyDescent="0.3">
      <c r="D101" s="119"/>
      <c r="E101" s="6"/>
      <c r="F101" s="19"/>
      <c r="H101" s="20"/>
      <c r="I101" s="60"/>
      <c r="J101" s="65"/>
      <c r="K101" s="55"/>
      <c r="L101" s="55"/>
      <c r="M101" s="55"/>
      <c r="N101" s="55"/>
      <c r="O101" s="55"/>
      <c r="P101" s="55"/>
    </row>
    <row r="102" spans="2:16" hidden="1" outlineLevel="1" x14ac:dyDescent="0.3">
      <c r="D102" s="119"/>
      <c r="E102" s="6"/>
      <c r="F102" s="19"/>
      <c r="H102" s="20"/>
      <c r="I102" s="60"/>
      <c r="J102" s="65"/>
      <c r="K102" s="55"/>
      <c r="L102" s="55"/>
      <c r="M102" s="55"/>
      <c r="N102" s="55"/>
      <c r="O102" s="55"/>
      <c r="P102" s="55"/>
    </row>
    <row r="103" spans="2:16" x14ac:dyDescent="0.3">
      <c r="B103" s="114" t="s">
        <v>201</v>
      </c>
      <c r="D103" s="119"/>
      <c r="E103" s="6"/>
      <c r="F103" s="19"/>
      <c r="H103" s="20"/>
      <c r="I103" s="60"/>
      <c r="J103" s="65"/>
      <c r="K103" s="55"/>
      <c r="L103" s="55"/>
      <c r="M103" s="55"/>
      <c r="N103" s="55"/>
      <c r="O103" s="55"/>
      <c r="P103" s="55"/>
    </row>
    <row r="104" spans="2:16" x14ac:dyDescent="0.3">
      <c r="D104" s="119"/>
      <c r="E104" s="6"/>
      <c r="F104" s="19"/>
      <c r="H104" s="20"/>
      <c r="I104" s="60"/>
      <c r="J104" s="65"/>
      <c r="K104" s="55"/>
      <c r="L104" s="55"/>
      <c r="M104" s="55"/>
      <c r="N104" s="55"/>
      <c r="O104" s="55"/>
      <c r="P104" s="55"/>
    </row>
    <row r="105" spans="2:16" collapsed="1" x14ac:dyDescent="0.3">
      <c r="B105" s="114" t="s">
        <v>25</v>
      </c>
      <c r="D105" s="119"/>
      <c r="E105" s="6"/>
      <c r="F105" s="19"/>
      <c r="H105" s="20"/>
      <c r="I105" s="60"/>
      <c r="J105" s="65"/>
      <c r="K105" s="55"/>
      <c r="L105" s="55"/>
      <c r="M105" s="55"/>
      <c r="N105" s="55"/>
      <c r="O105" s="55"/>
      <c r="P105" s="55"/>
    </row>
    <row r="106" spans="2:16" hidden="1" outlineLevel="1" x14ac:dyDescent="0.3">
      <c r="D106" s="119"/>
      <c r="E106" s="6"/>
      <c r="F106" s="19"/>
      <c r="H106" s="20"/>
      <c r="I106" s="60"/>
      <c r="J106" s="65"/>
      <c r="K106" s="55"/>
      <c r="L106" s="55"/>
      <c r="M106" s="55"/>
      <c r="N106" s="55"/>
      <c r="O106" s="55"/>
      <c r="P106" s="55"/>
    </row>
    <row r="107" spans="2:16" hidden="1" outlineLevel="1" x14ac:dyDescent="0.3">
      <c r="D107" s="119"/>
      <c r="E107" s="6"/>
      <c r="F107" s="19"/>
      <c r="H107" s="20"/>
      <c r="I107" s="60"/>
      <c r="J107" s="65"/>
      <c r="K107" s="55"/>
      <c r="L107" s="55"/>
      <c r="M107" s="55"/>
      <c r="N107" s="55"/>
      <c r="O107" s="55"/>
      <c r="P107" s="55"/>
    </row>
    <row r="108" spans="2:16" x14ac:dyDescent="0.3">
      <c r="B108" s="114" t="s">
        <v>200</v>
      </c>
      <c r="D108" s="119"/>
      <c r="E108" s="6"/>
      <c r="F108" s="19"/>
      <c r="H108" s="20"/>
      <c r="I108" s="60"/>
      <c r="J108" s="65"/>
      <c r="K108" s="55"/>
      <c r="L108" s="55"/>
      <c r="M108" s="55"/>
      <c r="N108" s="55"/>
      <c r="O108" s="55"/>
      <c r="P108" s="55"/>
    </row>
    <row r="109" spans="2:16" x14ac:dyDescent="0.3">
      <c r="D109" s="119"/>
      <c r="E109" s="6"/>
      <c r="F109" s="19"/>
      <c r="H109" s="20"/>
      <c r="I109" s="60"/>
      <c r="J109" s="65"/>
      <c r="K109" s="55"/>
      <c r="L109" s="55"/>
      <c r="M109" s="55"/>
      <c r="N109" s="55"/>
      <c r="O109" s="55"/>
      <c r="P109" s="55"/>
    </row>
    <row r="110" spans="2:16" x14ac:dyDescent="0.3">
      <c r="B110" s="114" t="s">
        <v>198</v>
      </c>
      <c r="D110" s="119"/>
      <c r="E110" s="6"/>
      <c r="F110" s="19"/>
      <c r="H110" s="20"/>
      <c r="I110" s="60"/>
      <c r="J110" s="65"/>
      <c r="K110" s="55"/>
      <c r="L110" s="55"/>
      <c r="M110" s="55"/>
      <c r="N110" s="55"/>
      <c r="O110" s="55"/>
      <c r="P110" s="55"/>
    </row>
    <row r="111" spans="2:16" outlineLevel="1" x14ac:dyDescent="0.3">
      <c r="D111" s="119"/>
      <c r="E111" s="6"/>
      <c r="F111" s="19"/>
      <c r="H111" s="20"/>
      <c r="I111" s="60"/>
      <c r="J111" s="65"/>
      <c r="K111" s="55"/>
      <c r="L111" s="55"/>
      <c r="M111" s="55"/>
      <c r="N111" s="55"/>
      <c r="O111" s="55"/>
      <c r="P111" s="55"/>
    </row>
    <row r="112" spans="2:16" outlineLevel="1" x14ac:dyDescent="0.3">
      <c r="D112" s="119" t="s">
        <v>318</v>
      </c>
      <c r="E112" s="216">
        <v>5</v>
      </c>
      <c r="F112" s="156" t="s">
        <v>306</v>
      </c>
      <c r="H112" s="20"/>
      <c r="I112" s="60"/>
      <c r="J112" s="65"/>
      <c r="K112" s="55"/>
      <c r="L112" s="55"/>
      <c r="M112" s="55"/>
      <c r="N112" s="55"/>
      <c r="O112" s="55"/>
      <c r="P112" s="55"/>
    </row>
    <row r="113" spans="1:401" outlineLevel="1" x14ac:dyDescent="0.3">
      <c r="D113" s="119" t="s">
        <v>269</v>
      </c>
      <c r="E113" s="174">
        <v>158</v>
      </c>
      <c r="F113" s="173" t="s">
        <v>15</v>
      </c>
      <c r="H113" s="20"/>
      <c r="I113" s="60"/>
      <c r="J113" s="65"/>
      <c r="K113" s="55"/>
      <c r="L113" s="55"/>
      <c r="M113" s="55"/>
      <c r="N113" s="55"/>
      <c r="O113" s="55"/>
      <c r="P113" s="55"/>
    </row>
    <row r="114" spans="1:401" outlineLevel="1" x14ac:dyDescent="0.3">
      <c r="D114" s="119" t="s">
        <v>321</v>
      </c>
      <c r="E114" s="24">
        <v>0.2</v>
      </c>
      <c r="F114" s="11" t="s">
        <v>31</v>
      </c>
      <c r="H114" s="20"/>
      <c r="I114" s="60"/>
      <c r="J114" s="65"/>
      <c r="K114" s="55"/>
      <c r="L114" s="55"/>
      <c r="M114" s="55"/>
      <c r="N114" s="55"/>
      <c r="O114" s="55"/>
      <c r="P114" s="55"/>
    </row>
    <row r="115" spans="1:401" outlineLevel="1" x14ac:dyDescent="0.3">
      <c r="D115" s="119"/>
      <c r="E115" s="6"/>
      <c r="F115" s="19"/>
      <c r="H115" s="20"/>
      <c r="I115" s="60"/>
      <c r="J115" s="65"/>
      <c r="K115" s="55"/>
      <c r="L115" s="55"/>
      <c r="M115" s="55"/>
      <c r="N115" s="55"/>
      <c r="O115" s="55"/>
      <c r="P115" s="55"/>
    </row>
    <row r="116" spans="1:401" outlineLevel="1" x14ac:dyDescent="0.3">
      <c r="D116" s="119" t="s">
        <v>229</v>
      </c>
      <c r="E116" s="12">
        <v>1</v>
      </c>
      <c r="F116" s="11" t="s">
        <v>31</v>
      </c>
      <c r="H116" s="20"/>
      <c r="I116" s="60"/>
      <c r="J116" s="65"/>
      <c r="K116" s="55"/>
      <c r="L116" s="55"/>
      <c r="M116" s="55"/>
      <c r="N116" s="55"/>
      <c r="O116" s="55"/>
      <c r="P116" s="55"/>
    </row>
    <row r="117" spans="1:401" outlineLevel="1" x14ac:dyDescent="0.3">
      <c r="D117" s="119" t="s">
        <v>239</v>
      </c>
      <c r="E117" s="12">
        <f>100%-E116</f>
        <v>0</v>
      </c>
      <c r="F117" s="11" t="s">
        <v>31</v>
      </c>
      <c r="H117" s="20"/>
      <c r="I117" s="60"/>
      <c r="J117" s="65"/>
      <c r="K117" s="55"/>
      <c r="L117" s="55"/>
      <c r="M117" s="55"/>
      <c r="N117" s="55"/>
      <c r="O117" s="55"/>
      <c r="P117" s="55"/>
    </row>
    <row r="118" spans="1:401" outlineLevel="1" x14ac:dyDescent="0.3">
      <c r="D118" s="119"/>
      <c r="E118" s="6"/>
      <c r="F118" s="19"/>
      <c r="H118" s="20"/>
      <c r="I118" s="60"/>
      <c r="J118" s="65"/>
      <c r="K118" s="55"/>
      <c r="L118" s="55"/>
      <c r="M118" s="55"/>
      <c r="N118" s="55"/>
      <c r="O118" s="55"/>
      <c r="P118" s="55"/>
    </row>
    <row r="119" spans="1:401" outlineLevel="1" x14ac:dyDescent="0.3">
      <c r="D119" s="119"/>
      <c r="E119" s="6"/>
      <c r="F119" s="19"/>
      <c r="H119" s="20"/>
      <c r="I119" s="60"/>
      <c r="J119" s="65"/>
      <c r="K119" s="55"/>
      <c r="L119" s="55"/>
      <c r="M119" s="55"/>
      <c r="N119" s="55"/>
      <c r="O119" s="55"/>
      <c r="P119" s="55" cm="1">
        <f t="array" ref="P119:OK119">(((_xlfn.ANCHORARRAY(P3)-E59+1)+ABS(_xlfn.ANCHORARRAY(P3)-E59+1))/2)</f>
        <v>0</v>
      </c>
      <c r="Q119">
        <v>0</v>
      </c>
      <c r="R119">
        <v>0</v>
      </c>
      <c r="S119">
        <v>0</v>
      </c>
      <c r="T119">
        <v>0</v>
      </c>
      <c r="U119">
        <v>0</v>
      </c>
      <c r="V119">
        <v>0</v>
      </c>
      <c r="W119">
        <v>0</v>
      </c>
      <c r="X119">
        <v>0</v>
      </c>
      <c r="Y119">
        <v>0</v>
      </c>
      <c r="Z119">
        <v>0</v>
      </c>
      <c r="AA119">
        <v>0</v>
      </c>
      <c r="AB119">
        <v>0</v>
      </c>
      <c r="AC119">
        <v>0</v>
      </c>
      <c r="AD119">
        <v>0</v>
      </c>
      <c r="AE119">
        <v>0</v>
      </c>
      <c r="AF119">
        <v>0</v>
      </c>
      <c r="AG119">
        <v>0</v>
      </c>
      <c r="AH119">
        <v>0</v>
      </c>
      <c r="AI119">
        <v>0</v>
      </c>
      <c r="AJ119">
        <v>0</v>
      </c>
      <c r="AK119">
        <v>0</v>
      </c>
      <c r="AL119">
        <v>0</v>
      </c>
      <c r="AM119">
        <v>0</v>
      </c>
      <c r="AN119">
        <v>0</v>
      </c>
      <c r="AO119">
        <v>0</v>
      </c>
      <c r="AP119">
        <v>0</v>
      </c>
      <c r="AQ119">
        <v>0</v>
      </c>
      <c r="AR119">
        <v>1</v>
      </c>
      <c r="AS119">
        <v>2</v>
      </c>
      <c r="AT119">
        <v>3</v>
      </c>
      <c r="AU119">
        <v>4</v>
      </c>
      <c r="AV119">
        <v>5</v>
      </c>
      <c r="AW119">
        <v>6</v>
      </c>
      <c r="AX119">
        <v>7</v>
      </c>
      <c r="AY119">
        <v>8</v>
      </c>
      <c r="AZ119">
        <v>9</v>
      </c>
      <c r="BA119">
        <v>10</v>
      </c>
      <c r="BB119">
        <v>11</v>
      </c>
      <c r="BC119">
        <v>12</v>
      </c>
      <c r="BD119">
        <v>13</v>
      </c>
      <c r="BE119">
        <v>14</v>
      </c>
      <c r="BF119">
        <v>15</v>
      </c>
      <c r="BG119">
        <v>16</v>
      </c>
      <c r="BH119">
        <v>17</v>
      </c>
      <c r="BI119">
        <v>18</v>
      </c>
      <c r="BJ119">
        <v>19</v>
      </c>
      <c r="BK119">
        <v>20</v>
      </c>
      <c r="BL119">
        <v>21</v>
      </c>
      <c r="BM119">
        <v>22</v>
      </c>
      <c r="BN119">
        <v>23</v>
      </c>
      <c r="BO119">
        <v>24</v>
      </c>
      <c r="BP119">
        <v>25</v>
      </c>
      <c r="BQ119">
        <v>26</v>
      </c>
      <c r="BR119">
        <v>27</v>
      </c>
      <c r="BS119">
        <v>28</v>
      </c>
      <c r="BT119">
        <v>29</v>
      </c>
      <c r="BU119">
        <v>30</v>
      </c>
      <c r="BV119">
        <v>31</v>
      </c>
      <c r="BW119">
        <v>32</v>
      </c>
      <c r="BX119">
        <v>33</v>
      </c>
      <c r="BY119">
        <v>34</v>
      </c>
      <c r="BZ119">
        <v>35</v>
      </c>
      <c r="CA119">
        <v>36</v>
      </c>
      <c r="CB119">
        <v>37</v>
      </c>
      <c r="CC119">
        <v>38</v>
      </c>
      <c r="CD119">
        <v>39</v>
      </c>
      <c r="CE119">
        <v>40</v>
      </c>
      <c r="CF119">
        <v>41</v>
      </c>
      <c r="CG119">
        <v>42</v>
      </c>
      <c r="CH119">
        <v>43</v>
      </c>
      <c r="CI119">
        <v>44</v>
      </c>
      <c r="CJ119">
        <v>45</v>
      </c>
      <c r="CK119">
        <v>46</v>
      </c>
      <c r="CL119">
        <v>47</v>
      </c>
      <c r="CM119">
        <v>48</v>
      </c>
      <c r="CN119">
        <v>49</v>
      </c>
      <c r="CO119">
        <v>50</v>
      </c>
      <c r="CP119">
        <v>51</v>
      </c>
      <c r="CQ119">
        <v>52</v>
      </c>
      <c r="CR119">
        <v>53</v>
      </c>
      <c r="CS119">
        <v>54</v>
      </c>
      <c r="CT119">
        <v>55</v>
      </c>
      <c r="CU119">
        <v>56</v>
      </c>
      <c r="CV119">
        <v>57</v>
      </c>
      <c r="CW119">
        <v>58</v>
      </c>
      <c r="CX119">
        <v>59</v>
      </c>
      <c r="CY119">
        <v>60</v>
      </c>
      <c r="CZ119">
        <v>61</v>
      </c>
      <c r="DA119">
        <v>62</v>
      </c>
      <c r="DB119">
        <v>63</v>
      </c>
      <c r="DC119">
        <v>64</v>
      </c>
      <c r="DD119">
        <v>65</v>
      </c>
      <c r="DE119">
        <v>66</v>
      </c>
      <c r="DF119">
        <v>67</v>
      </c>
      <c r="DG119">
        <v>68</v>
      </c>
      <c r="DH119">
        <v>69</v>
      </c>
      <c r="DI119">
        <v>70</v>
      </c>
      <c r="DJ119">
        <v>71</v>
      </c>
      <c r="DK119">
        <v>72</v>
      </c>
      <c r="DL119">
        <v>73</v>
      </c>
      <c r="DM119">
        <v>74</v>
      </c>
      <c r="DN119">
        <v>75</v>
      </c>
      <c r="DO119">
        <v>76</v>
      </c>
      <c r="DP119">
        <v>77</v>
      </c>
      <c r="DQ119">
        <v>78</v>
      </c>
      <c r="DR119">
        <v>79</v>
      </c>
      <c r="DS119">
        <v>80</v>
      </c>
      <c r="DT119">
        <v>81</v>
      </c>
      <c r="DU119">
        <v>82</v>
      </c>
      <c r="DV119">
        <v>83</v>
      </c>
      <c r="DW119">
        <v>84</v>
      </c>
      <c r="DX119">
        <v>85</v>
      </c>
      <c r="DY119">
        <v>86</v>
      </c>
      <c r="DZ119">
        <v>87</v>
      </c>
      <c r="EA119">
        <v>88</v>
      </c>
      <c r="EB119">
        <v>89</v>
      </c>
      <c r="EC119">
        <v>90</v>
      </c>
      <c r="ED119">
        <v>91</v>
      </c>
      <c r="EE119">
        <v>92</v>
      </c>
      <c r="EF119">
        <v>93</v>
      </c>
      <c r="EG119">
        <v>94</v>
      </c>
      <c r="EH119">
        <v>95</v>
      </c>
      <c r="EI119">
        <v>96</v>
      </c>
      <c r="EJ119">
        <v>97</v>
      </c>
      <c r="EK119">
        <v>98</v>
      </c>
      <c r="EL119">
        <v>99</v>
      </c>
      <c r="EM119">
        <v>100</v>
      </c>
      <c r="EN119">
        <v>101</v>
      </c>
      <c r="EO119">
        <v>102</v>
      </c>
      <c r="EP119">
        <v>103</v>
      </c>
      <c r="EQ119">
        <v>104</v>
      </c>
      <c r="ER119">
        <v>105</v>
      </c>
      <c r="ES119">
        <v>106</v>
      </c>
      <c r="ET119">
        <v>107</v>
      </c>
      <c r="EU119">
        <v>108</v>
      </c>
      <c r="EV119">
        <v>109</v>
      </c>
      <c r="EW119">
        <v>110</v>
      </c>
      <c r="EX119">
        <v>111</v>
      </c>
      <c r="EY119">
        <v>112</v>
      </c>
      <c r="EZ119">
        <v>113</v>
      </c>
      <c r="FA119">
        <v>114</v>
      </c>
      <c r="FB119">
        <v>115</v>
      </c>
      <c r="FC119">
        <v>116</v>
      </c>
      <c r="FD119">
        <v>117</v>
      </c>
      <c r="FE119">
        <v>118</v>
      </c>
      <c r="FF119">
        <v>119</v>
      </c>
      <c r="FG119">
        <v>120</v>
      </c>
      <c r="FH119">
        <v>121</v>
      </c>
      <c r="FI119">
        <v>122</v>
      </c>
      <c r="FJ119">
        <v>123</v>
      </c>
      <c r="FK119">
        <v>124</v>
      </c>
      <c r="FL119">
        <v>125</v>
      </c>
      <c r="FM119">
        <v>126</v>
      </c>
      <c r="FN119">
        <v>127</v>
      </c>
      <c r="FO119">
        <v>128</v>
      </c>
      <c r="FP119">
        <v>129</v>
      </c>
      <c r="FQ119">
        <v>130</v>
      </c>
      <c r="FR119">
        <v>131</v>
      </c>
      <c r="FS119">
        <v>132</v>
      </c>
      <c r="FT119">
        <v>133</v>
      </c>
      <c r="FU119">
        <v>134</v>
      </c>
      <c r="FV119">
        <v>135</v>
      </c>
      <c r="FW119">
        <v>136</v>
      </c>
      <c r="FX119">
        <v>137</v>
      </c>
      <c r="FY119">
        <v>138</v>
      </c>
      <c r="FZ119">
        <v>139</v>
      </c>
      <c r="GA119">
        <v>140</v>
      </c>
      <c r="GB119">
        <v>141</v>
      </c>
      <c r="GC119">
        <v>142</v>
      </c>
      <c r="GD119">
        <v>143</v>
      </c>
      <c r="GE119">
        <v>144</v>
      </c>
      <c r="GF119">
        <v>145</v>
      </c>
      <c r="GG119">
        <v>146</v>
      </c>
      <c r="GH119">
        <v>147</v>
      </c>
      <c r="GI119">
        <v>148</v>
      </c>
      <c r="GJ119">
        <v>149</v>
      </c>
      <c r="GK119">
        <v>150</v>
      </c>
      <c r="GL119">
        <v>151</v>
      </c>
      <c r="GM119">
        <v>152</v>
      </c>
      <c r="GN119">
        <v>153</v>
      </c>
      <c r="GO119">
        <v>154</v>
      </c>
      <c r="GP119">
        <v>155</v>
      </c>
      <c r="GQ119">
        <v>156</v>
      </c>
      <c r="GR119">
        <v>157</v>
      </c>
      <c r="GS119">
        <v>158</v>
      </c>
      <c r="GT119">
        <v>159</v>
      </c>
      <c r="GU119">
        <v>160</v>
      </c>
      <c r="GV119">
        <v>161</v>
      </c>
      <c r="GW119">
        <v>162</v>
      </c>
      <c r="GX119">
        <v>163</v>
      </c>
      <c r="GY119">
        <v>164</v>
      </c>
      <c r="GZ119">
        <v>165</v>
      </c>
      <c r="HA119">
        <v>166</v>
      </c>
      <c r="HB119">
        <v>167</v>
      </c>
      <c r="HC119">
        <v>168</v>
      </c>
      <c r="HD119">
        <v>169</v>
      </c>
      <c r="HE119">
        <v>170</v>
      </c>
      <c r="HF119">
        <v>171</v>
      </c>
      <c r="HG119">
        <v>172</v>
      </c>
      <c r="HH119">
        <v>173</v>
      </c>
      <c r="HI119">
        <v>174</v>
      </c>
      <c r="HJ119">
        <v>175</v>
      </c>
      <c r="HK119">
        <v>176</v>
      </c>
      <c r="HL119">
        <v>177</v>
      </c>
      <c r="HM119">
        <v>178</v>
      </c>
      <c r="HN119">
        <v>179</v>
      </c>
      <c r="HO119">
        <v>180</v>
      </c>
      <c r="HP119">
        <v>181</v>
      </c>
      <c r="HQ119">
        <v>182</v>
      </c>
      <c r="HR119">
        <v>183</v>
      </c>
      <c r="HS119">
        <v>184</v>
      </c>
      <c r="HT119">
        <v>185</v>
      </c>
      <c r="HU119">
        <v>186</v>
      </c>
      <c r="HV119">
        <v>187</v>
      </c>
      <c r="HW119">
        <v>188</v>
      </c>
      <c r="HX119">
        <v>189</v>
      </c>
      <c r="HY119">
        <v>190</v>
      </c>
      <c r="HZ119">
        <v>191</v>
      </c>
      <c r="IA119">
        <v>192</v>
      </c>
      <c r="IB119">
        <v>193</v>
      </c>
      <c r="IC119">
        <v>194</v>
      </c>
      <c r="ID119">
        <v>195</v>
      </c>
      <c r="IE119">
        <v>196</v>
      </c>
      <c r="IF119">
        <v>197</v>
      </c>
      <c r="IG119">
        <v>198</v>
      </c>
      <c r="IH119">
        <v>199</v>
      </c>
      <c r="II119">
        <v>200</v>
      </c>
      <c r="IJ119">
        <v>201</v>
      </c>
      <c r="IK119">
        <v>202</v>
      </c>
      <c r="IL119">
        <v>203</v>
      </c>
      <c r="IM119">
        <v>204</v>
      </c>
      <c r="IN119">
        <v>205</v>
      </c>
      <c r="IO119">
        <v>206</v>
      </c>
      <c r="IP119">
        <v>207</v>
      </c>
      <c r="IQ119">
        <v>208</v>
      </c>
      <c r="IR119">
        <v>209</v>
      </c>
      <c r="IS119">
        <v>210</v>
      </c>
      <c r="IT119">
        <v>211</v>
      </c>
      <c r="IU119">
        <v>212</v>
      </c>
      <c r="IV119">
        <v>213</v>
      </c>
      <c r="IW119">
        <v>214</v>
      </c>
      <c r="IX119">
        <v>215</v>
      </c>
      <c r="IY119">
        <v>216</v>
      </c>
      <c r="IZ119">
        <v>217</v>
      </c>
      <c r="JA119">
        <v>218</v>
      </c>
      <c r="JB119">
        <v>219</v>
      </c>
      <c r="JC119">
        <v>220</v>
      </c>
      <c r="JD119">
        <v>221</v>
      </c>
      <c r="JE119">
        <v>222</v>
      </c>
      <c r="JF119">
        <v>223</v>
      </c>
      <c r="JG119">
        <v>224</v>
      </c>
      <c r="JH119">
        <v>225</v>
      </c>
      <c r="JI119">
        <v>226</v>
      </c>
      <c r="JJ119">
        <v>227</v>
      </c>
      <c r="JK119">
        <v>228</v>
      </c>
      <c r="JL119">
        <v>229</v>
      </c>
      <c r="JM119">
        <v>230</v>
      </c>
      <c r="JN119">
        <v>231</v>
      </c>
      <c r="JO119">
        <v>232</v>
      </c>
      <c r="JP119">
        <v>233</v>
      </c>
      <c r="JQ119">
        <v>234</v>
      </c>
      <c r="JR119">
        <v>235</v>
      </c>
      <c r="JS119">
        <v>236</v>
      </c>
      <c r="JT119">
        <v>237</v>
      </c>
      <c r="JU119">
        <v>238</v>
      </c>
      <c r="JV119">
        <v>239</v>
      </c>
      <c r="JW119">
        <v>240</v>
      </c>
      <c r="JX119">
        <v>241</v>
      </c>
      <c r="JY119">
        <v>242</v>
      </c>
      <c r="JZ119">
        <v>243</v>
      </c>
      <c r="KA119">
        <v>244</v>
      </c>
      <c r="KB119">
        <v>245</v>
      </c>
      <c r="KC119">
        <v>246</v>
      </c>
      <c r="KD119">
        <v>247</v>
      </c>
      <c r="KE119">
        <v>248</v>
      </c>
      <c r="KF119">
        <v>249</v>
      </c>
      <c r="KG119">
        <v>250</v>
      </c>
      <c r="KH119">
        <v>251</v>
      </c>
      <c r="KI119">
        <v>252</v>
      </c>
      <c r="KJ119">
        <v>253</v>
      </c>
      <c r="KK119">
        <v>254</v>
      </c>
      <c r="KL119">
        <v>255</v>
      </c>
      <c r="KM119">
        <v>256</v>
      </c>
      <c r="KN119">
        <v>257</v>
      </c>
      <c r="KO119">
        <v>258</v>
      </c>
      <c r="KP119">
        <v>259</v>
      </c>
      <c r="KQ119">
        <v>260</v>
      </c>
      <c r="KR119">
        <v>261</v>
      </c>
      <c r="KS119">
        <v>262</v>
      </c>
      <c r="KT119">
        <v>263</v>
      </c>
      <c r="KU119">
        <v>264</v>
      </c>
      <c r="KV119">
        <v>265</v>
      </c>
      <c r="KW119">
        <v>266</v>
      </c>
      <c r="KX119">
        <v>267</v>
      </c>
      <c r="KY119">
        <v>268</v>
      </c>
      <c r="KZ119">
        <v>269</v>
      </c>
      <c r="LA119">
        <v>270</v>
      </c>
      <c r="LB119">
        <v>271</v>
      </c>
      <c r="LC119">
        <v>272</v>
      </c>
      <c r="LD119">
        <v>273</v>
      </c>
      <c r="LE119">
        <v>274</v>
      </c>
      <c r="LF119">
        <v>275</v>
      </c>
      <c r="LG119">
        <v>276</v>
      </c>
      <c r="LH119">
        <v>277</v>
      </c>
      <c r="LI119">
        <v>278</v>
      </c>
      <c r="LJ119">
        <v>279</v>
      </c>
      <c r="LK119">
        <v>280</v>
      </c>
      <c r="LL119">
        <v>281</v>
      </c>
      <c r="LM119">
        <v>282</v>
      </c>
      <c r="LN119">
        <v>283</v>
      </c>
      <c r="LO119">
        <v>284</v>
      </c>
      <c r="LP119">
        <v>285</v>
      </c>
      <c r="LQ119">
        <v>286</v>
      </c>
      <c r="LR119">
        <v>287</v>
      </c>
      <c r="LS119">
        <v>288</v>
      </c>
      <c r="LT119">
        <v>289</v>
      </c>
      <c r="LU119">
        <v>290</v>
      </c>
      <c r="LV119">
        <v>291</v>
      </c>
      <c r="LW119">
        <v>292</v>
      </c>
      <c r="LX119">
        <v>293</v>
      </c>
      <c r="LY119">
        <v>294</v>
      </c>
      <c r="LZ119">
        <v>295</v>
      </c>
      <c r="MA119">
        <v>296</v>
      </c>
      <c r="MB119">
        <v>297</v>
      </c>
      <c r="MC119">
        <v>298</v>
      </c>
      <c r="MD119">
        <v>299</v>
      </c>
      <c r="ME119">
        <v>300</v>
      </c>
      <c r="MF119">
        <v>301</v>
      </c>
      <c r="MG119">
        <v>302</v>
      </c>
      <c r="MH119">
        <v>303</v>
      </c>
      <c r="MI119">
        <v>304</v>
      </c>
      <c r="MJ119">
        <v>305</v>
      </c>
      <c r="MK119">
        <v>306</v>
      </c>
      <c r="ML119">
        <v>307</v>
      </c>
      <c r="MM119">
        <v>308</v>
      </c>
      <c r="MN119">
        <v>309</v>
      </c>
      <c r="MO119">
        <v>310</v>
      </c>
      <c r="MP119">
        <v>311</v>
      </c>
      <c r="MQ119">
        <v>312</v>
      </c>
      <c r="MR119">
        <v>313</v>
      </c>
      <c r="MS119">
        <v>314</v>
      </c>
      <c r="MT119">
        <v>315</v>
      </c>
      <c r="MU119">
        <v>316</v>
      </c>
      <c r="MV119">
        <v>317</v>
      </c>
      <c r="MW119">
        <v>318</v>
      </c>
      <c r="MX119">
        <v>319</v>
      </c>
      <c r="MY119">
        <v>320</v>
      </c>
      <c r="MZ119">
        <v>321</v>
      </c>
      <c r="NA119">
        <v>322</v>
      </c>
      <c r="NB119">
        <v>323</v>
      </c>
      <c r="NC119">
        <v>324</v>
      </c>
      <c r="ND119">
        <v>325</v>
      </c>
      <c r="NE119">
        <v>326</v>
      </c>
      <c r="NF119">
        <v>327</v>
      </c>
      <c r="NG119">
        <v>328</v>
      </c>
      <c r="NH119">
        <v>329</v>
      </c>
      <c r="NI119">
        <v>330</v>
      </c>
      <c r="NJ119">
        <v>331</v>
      </c>
      <c r="NK119">
        <v>332</v>
      </c>
      <c r="NL119">
        <v>333</v>
      </c>
      <c r="NM119">
        <v>334</v>
      </c>
      <c r="NN119">
        <v>335</v>
      </c>
      <c r="NO119">
        <v>336</v>
      </c>
      <c r="NP119">
        <v>337</v>
      </c>
      <c r="NQ119">
        <v>338</v>
      </c>
      <c r="NR119">
        <v>339</v>
      </c>
      <c r="NS119">
        <v>340</v>
      </c>
      <c r="NT119">
        <v>341</v>
      </c>
      <c r="NU119">
        <v>342</v>
      </c>
      <c r="NV119">
        <v>343</v>
      </c>
      <c r="NW119">
        <v>344</v>
      </c>
      <c r="NX119">
        <v>345</v>
      </c>
      <c r="NY119">
        <v>346</v>
      </c>
      <c r="NZ119">
        <v>347</v>
      </c>
      <c r="OA119">
        <v>348</v>
      </c>
      <c r="OB119">
        <v>349</v>
      </c>
      <c r="OC119">
        <v>350</v>
      </c>
      <c r="OD119">
        <v>351</v>
      </c>
      <c r="OE119">
        <v>352</v>
      </c>
      <c r="OF119">
        <v>353</v>
      </c>
      <c r="OG119">
        <v>354</v>
      </c>
      <c r="OH119">
        <v>355</v>
      </c>
      <c r="OI119">
        <v>356</v>
      </c>
      <c r="OJ119">
        <v>357</v>
      </c>
      <c r="OK119">
        <v>358</v>
      </c>
    </row>
    <row r="120" spans="1:401" ht="14.4" thickBot="1" x14ac:dyDescent="0.35">
      <c r="A120" s="167"/>
      <c r="B120" s="167" t="s">
        <v>199</v>
      </c>
      <c r="C120" s="167"/>
      <c r="D120" s="168"/>
      <c r="E120" s="169"/>
      <c r="F120" s="170"/>
      <c r="G120" s="171"/>
      <c r="H120" s="132"/>
      <c r="I120" s="132"/>
      <c r="J120" s="143"/>
      <c r="K120" s="142"/>
      <c r="L120" s="142"/>
      <c r="M120" s="142"/>
      <c r="N120" s="142"/>
      <c r="O120" s="142"/>
      <c r="P120" s="142"/>
      <c r="Q120" s="171"/>
      <c r="R120" s="171"/>
      <c r="S120" s="171"/>
      <c r="T120" s="171"/>
      <c r="U120" s="171"/>
      <c r="V120" s="171"/>
      <c r="W120" s="171"/>
      <c r="X120" s="171"/>
      <c r="Y120" s="171"/>
      <c r="Z120" s="171"/>
      <c r="AA120" s="171"/>
      <c r="AB120" s="171"/>
      <c r="AC120" s="171"/>
      <c r="AD120" s="171"/>
      <c r="AE120" s="171"/>
      <c r="AF120" s="171"/>
      <c r="AG120" s="171"/>
      <c r="AH120" s="171"/>
      <c r="AI120" s="171"/>
      <c r="AJ120" s="171"/>
      <c r="AK120" s="171"/>
      <c r="AL120" s="171"/>
      <c r="AM120" s="171"/>
      <c r="AN120" s="171"/>
      <c r="AO120" s="171"/>
      <c r="AP120" s="171"/>
      <c r="AQ120" s="171"/>
      <c r="AR120" s="171"/>
      <c r="AS120" s="171"/>
      <c r="AT120" s="171"/>
      <c r="AU120" s="171"/>
      <c r="AV120" s="171"/>
      <c r="AW120" s="171"/>
      <c r="AX120" s="171"/>
      <c r="AY120" s="171"/>
      <c r="AZ120" s="171"/>
      <c r="BA120" s="171"/>
      <c r="BB120" s="171"/>
      <c r="BC120" s="171"/>
      <c r="BD120" s="171"/>
      <c r="BE120" s="171"/>
      <c r="BF120" s="171"/>
      <c r="BG120" s="171"/>
      <c r="BH120" s="171"/>
      <c r="BI120" s="171"/>
      <c r="BJ120" s="171"/>
      <c r="BK120" s="171"/>
      <c r="BL120" s="171"/>
      <c r="BM120" s="171"/>
      <c r="BN120" s="171"/>
      <c r="BO120" s="171"/>
      <c r="BP120" s="171"/>
      <c r="BQ120" s="171"/>
      <c r="BR120" s="171"/>
      <c r="BS120" s="171"/>
      <c r="BT120" s="171"/>
      <c r="BU120" s="171"/>
      <c r="BV120" s="171"/>
      <c r="BW120" s="171"/>
      <c r="BX120" s="171"/>
      <c r="BY120" s="171"/>
      <c r="BZ120" s="171"/>
      <c r="CA120" s="171"/>
      <c r="CB120" s="171"/>
      <c r="CC120" s="171"/>
      <c r="CD120" s="171"/>
      <c r="CE120" s="171"/>
      <c r="CF120" s="171"/>
      <c r="CG120" s="171"/>
      <c r="CH120" s="171"/>
      <c r="CI120" s="171"/>
      <c r="CJ120" s="171"/>
      <c r="CK120" s="171"/>
      <c r="CL120" s="171"/>
      <c r="CM120" s="171"/>
      <c r="CN120" s="171"/>
      <c r="CO120" s="171"/>
      <c r="CP120" s="171"/>
      <c r="CQ120" s="171"/>
      <c r="CR120" s="171"/>
      <c r="CS120" s="171"/>
      <c r="CT120" s="171"/>
      <c r="CU120" s="171"/>
      <c r="CV120" s="171"/>
      <c r="CW120" s="171"/>
      <c r="CX120" s="171"/>
      <c r="CY120" s="171"/>
      <c r="CZ120" s="171"/>
      <c r="DA120" s="171"/>
      <c r="DB120" s="171"/>
      <c r="DC120" s="171"/>
      <c r="DD120" s="171"/>
      <c r="DE120" s="171"/>
      <c r="DF120" s="171"/>
      <c r="DG120" s="171"/>
      <c r="DH120" s="171"/>
      <c r="DI120" s="171"/>
      <c r="DJ120" s="171"/>
      <c r="DK120" s="171"/>
      <c r="DL120" s="171"/>
      <c r="DM120" s="171"/>
      <c r="DN120" s="171"/>
      <c r="DO120" s="171"/>
      <c r="DP120" s="171"/>
      <c r="DQ120" s="171"/>
      <c r="DR120" s="171"/>
      <c r="DS120" s="171"/>
      <c r="DT120" s="171"/>
      <c r="DU120" s="171"/>
      <c r="DV120" s="171"/>
      <c r="DW120" s="171"/>
      <c r="DX120" s="171"/>
      <c r="DY120" s="171"/>
      <c r="DZ120" s="171"/>
      <c r="EA120" s="171"/>
      <c r="EB120" s="171"/>
      <c r="EC120" s="171"/>
      <c r="ED120" s="171"/>
      <c r="EE120" s="171"/>
      <c r="EF120" s="171"/>
      <c r="EG120" s="171"/>
      <c r="EH120" s="171"/>
      <c r="EI120" s="171"/>
      <c r="EJ120" s="171"/>
      <c r="EK120" s="171"/>
      <c r="EL120" s="171"/>
      <c r="EM120" s="171"/>
      <c r="EN120" s="171"/>
      <c r="EO120" s="171"/>
      <c r="EP120" s="171"/>
      <c r="EQ120" s="171"/>
      <c r="ER120" s="171"/>
      <c r="ES120" s="171"/>
      <c r="ET120" s="171"/>
      <c r="EU120" s="171"/>
      <c r="EV120" s="171"/>
      <c r="EW120" s="171"/>
      <c r="EX120" s="171"/>
      <c r="EY120" s="171"/>
      <c r="EZ120" s="171"/>
      <c r="FA120" s="171"/>
      <c r="FB120" s="171"/>
      <c r="FC120" s="171"/>
      <c r="FD120" s="171"/>
      <c r="FE120" s="171"/>
      <c r="FF120" s="171"/>
      <c r="FG120" s="171"/>
      <c r="FH120" s="171"/>
      <c r="FI120" s="171"/>
      <c r="FJ120" s="171"/>
      <c r="FK120" s="171"/>
      <c r="FL120" s="171"/>
      <c r="FM120" s="171"/>
      <c r="FN120" s="171"/>
      <c r="FO120" s="171"/>
      <c r="FP120" s="171"/>
      <c r="FQ120" s="171"/>
      <c r="FR120" s="171"/>
      <c r="FS120" s="171"/>
      <c r="FT120" s="171"/>
      <c r="FU120" s="171"/>
      <c r="FV120" s="171"/>
      <c r="FW120" s="171"/>
      <c r="FX120" s="171"/>
      <c r="FY120" s="171"/>
      <c r="FZ120" s="171"/>
      <c r="GA120" s="171"/>
      <c r="GB120" s="171"/>
      <c r="GC120" s="171"/>
      <c r="GD120" s="171"/>
      <c r="GE120" s="171"/>
      <c r="GF120" s="171"/>
      <c r="GG120" s="171"/>
      <c r="GH120" s="171"/>
      <c r="GI120" s="171"/>
      <c r="GJ120" s="171"/>
      <c r="GK120" s="171"/>
      <c r="GL120" s="171"/>
      <c r="GM120" s="171"/>
      <c r="GN120" s="171"/>
      <c r="GO120" s="171"/>
      <c r="GP120" s="171"/>
      <c r="GQ120" s="171"/>
      <c r="GR120" s="171"/>
      <c r="GS120" s="171"/>
      <c r="GT120" s="171"/>
      <c r="GU120" s="171"/>
      <c r="GV120" s="171"/>
      <c r="GW120" s="171"/>
      <c r="GX120" s="171"/>
      <c r="GY120" s="171"/>
      <c r="GZ120" s="171"/>
      <c r="HA120" s="171"/>
      <c r="HB120" s="171"/>
      <c r="HC120" s="171"/>
      <c r="HD120" s="171"/>
      <c r="HE120" s="171"/>
      <c r="HF120" s="171"/>
      <c r="HG120" s="171"/>
      <c r="HH120" s="171"/>
      <c r="HI120" s="171"/>
      <c r="HJ120" s="171"/>
      <c r="HK120" s="171"/>
      <c r="HL120" s="171"/>
      <c r="HM120" s="171"/>
      <c r="HN120" s="171"/>
      <c r="HO120" s="171"/>
      <c r="HP120" s="171"/>
      <c r="HQ120" s="171"/>
      <c r="HR120" s="171"/>
      <c r="HS120" s="171"/>
      <c r="HT120" s="171"/>
      <c r="HU120" s="171"/>
      <c r="HV120" s="171"/>
      <c r="HW120" s="171"/>
      <c r="HX120" s="171"/>
      <c r="HY120" s="171"/>
      <c r="HZ120" s="171"/>
      <c r="IA120" s="171"/>
      <c r="IB120" s="171"/>
      <c r="IC120" s="171"/>
      <c r="ID120" s="171"/>
      <c r="IE120" s="171"/>
      <c r="IF120" s="171"/>
      <c r="IG120" s="171"/>
      <c r="IH120" s="171"/>
      <c r="II120" s="171"/>
      <c r="IJ120" s="171"/>
      <c r="IK120" s="171"/>
      <c r="IL120" s="171"/>
      <c r="IM120" s="171"/>
      <c r="IN120" s="171"/>
      <c r="IO120" s="171"/>
      <c r="IP120" s="171"/>
      <c r="IQ120" s="171"/>
      <c r="IR120" s="171"/>
      <c r="IS120" s="171"/>
      <c r="IT120" s="171"/>
      <c r="IU120" s="171"/>
      <c r="IV120" s="171"/>
      <c r="IW120" s="171"/>
      <c r="IX120" s="171"/>
      <c r="IY120" s="171"/>
      <c r="IZ120" s="171"/>
      <c r="JA120" s="171"/>
      <c r="JB120" s="171"/>
      <c r="JC120" s="171"/>
      <c r="JD120" s="171"/>
      <c r="JE120" s="171"/>
      <c r="JF120" s="171"/>
      <c r="JG120" s="171"/>
      <c r="JH120" s="171"/>
      <c r="JI120" s="171"/>
      <c r="JJ120" s="171"/>
      <c r="JK120" s="171"/>
      <c r="JL120" s="171"/>
      <c r="JM120" s="171"/>
      <c r="JN120" s="171"/>
      <c r="JO120" s="171"/>
      <c r="JP120" s="171"/>
      <c r="JQ120" s="171"/>
      <c r="JR120" s="171"/>
      <c r="JS120" s="171"/>
      <c r="JT120" s="171"/>
      <c r="JU120" s="171"/>
      <c r="JV120" s="171"/>
      <c r="JW120" s="171"/>
      <c r="JX120" s="171"/>
      <c r="JY120" s="171"/>
      <c r="JZ120" s="171"/>
      <c r="KA120" s="171"/>
      <c r="KB120" s="171"/>
      <c r="KC120" s="171"/>
      <c r="KD120" s="171"/>
      <c r="KE120" s="171"/>
      <c r="KF120" s="171"/>
      <c r="KG120" s="171"/>
      <c r="KH120" s="171"/>
      <c r="KI120" s="171"/>
      <c r="KJ120" s="171"/>
      <c r="KK120" s="171"/>
      <c r="KL120" s="171"/>
      <c r="KM120" s="171"/>
      <c r="KN120" s="171"/>
      <c r="KO120" s="171"/>
      <c r="KP120" s="171"/>
      <c r="KQ120" s="171"/>
      <c r="KR120" s="171"/>
      <c r="KS120" s="171"/>
      <c r="KT120" s="171"/>
      <c r="KU120" s="171"/>
      <c r="KV120" s="171"/>
      <c r="KW120" s="171"/>
      <c r="KX120" s="171"/>
      <c r="KY120" s="171"/>
      <c r="KZ120" s="171"/>
      <c r="LA120" s="171"/>
      <c r="LB120" s="171"/>
      <c r="LC120" s="171"/>
      <c r="LD120" s="171"/>
      <c r="LE120" s="171"/>
      <c r="LF120" s="171"/>
      <c r="LG120" s="171"/>
      <c r="LH120" s="171"/>
      <c r="LI120" s="171"/>
      <c r="LJ120" s="171"/>
      <c r="LK120" s="171"/>
      <c r="LL120" s="171"/>
      <c r="LM120" s="171"/>
      <c r="LN120" s="171"/>
      <c r="LO120" s="171"/>
      <c r="LP120" s="171"/>
      <c r="LQ120" s="171"/>
      <c r="LR120" s="171"/>
      <c r="LS120" s="171"/>
      <c r="LT120" s="171"/>
      <c r="LU120" s="171"/>
      <c r="LV120" s="171"/>
      <c r="LW120" s="171"/>
      <c r="LX120" s="171"/>
      <c r="LY120" s="171"/>
      <c r="LZ120" s="171"/>
      <c r="MA120" s="171"/>
      <c r="MB120" s="171"/>
      <c r="MC120" s="171"/>
      <c r="MD120" s="171"/>
      <c r="ME120" s="171"/>
      <c r="MF120" s="171"/>
      <c r="MG120" s="171"/>
      <c r="MH120" s="171"/>
      <c r="MI120" s="171"/>
      <c r="MJ120" s="171"/>
      <c r="MK120" s="171"/>
      <c r="ML120" s="171"/>
      <c r="MM120" s="171"/>
      <c r="MN120" s="171"/>
      <c r="MO120" s="171"/>
      <c r="MP120" s="171"/>
      <c r="MQ120" s="171"/>
      <c r="MR120" s="171"/>
      <c r="MS120" s="171"/>
      <c r="MT120" s="171"/>
      <c r="MU120" s="171"/>
      <c r="MV120" s="171"/>
      <c r="MW120" s="171"/>
      <c r="MX120" s="171"/>
      <c r="MY120" s="171"/>
      <c r="MZ120" s="171"/>
      <c r="NA120" s="171"/>
      <c r="NB120" s="171"/>
      <c r="NC120" s="171"/>
      <c r="ND120" s="171"/>
      <c r="NE120" s="171"/>
      <c r="NF120" s="171"/>
      <c r="NG120" s="171"/>
      <c r="NH120" s="171"/>
      <c r="NI120" s="171"/>
      <c r="NJ120" s="171"/>
      <c r="NK120" s="171"/>
      <c r="NL120" s="171"/>
      <c r="NM120" s="171"/>
      <c r="NN120" s="171"/>
      <c r="NO120" s="171"/>
      <c r="NP120" s="171"/>
      <c r="NQ120" s="171"/>
      <c r="NR120" s="171"/>
      <c r="NS120" s="171"/>
      <c r="NT120" s="171"/>
      <c r="NU120" s="171"/>
      <c r="NV120" s="171"/>
      <c r="NW120" s="171"/>
      <c r="NX120" s="171"/>
      <c r="NY120" s="171"/>
      <c r="NZ120" s="171"/>
      <c r="OA120" s="171"/>
      <c r="OB120" s="171"/>
      <c r="OC120" s="171"/>
      <c r="OD120" s="171"/>
    </row>
    <row r="121" spans="1:401" x14ac:dyDescent="0.3">
      <c r="D121" s="119"/>
      <c r="E121" s="6"/>
      <c r="F121" s="19"/>
      <c r="J121" s="65"/>
      <c r="K121" s="55"/>
      <c r="L121" s="112" t="s">
        <v>211</v>
      </c>
      <c r="M121" s="55"/>
      <c r="N121" s="55"/>
      <c r="O121" s="55"/>
      <c r="P121" s="55"/>
      <c r="Q121" s="55"/>
      <c r="R121" s="55"/>
      <c r="S121" s="55"/>
      <c r="T121" s="55"/>
      <c r="U121" s="55"/>
      <c r="V121" s="55"/>
      <c r="W121" s="55"/>
      <c r="X121" s="55"/>
      <c r="Y121" s="55"/>
      <c r="Z121" s="55"/>
      <c r="AA121" s="55"/>
      <c r="AB121" s="55"/>
      <c r="AC121" s="55"/>
      <c r="AD121" s="55"/>
      <c r="AE121" s="55"/>
      <c r="AF121" s="55"/>
      <c r="AG121" s="55"/>
      <c r="AH121" s="55"/>
      <c r="AI121" s="55"/>
      <c r="AJ121" s="55"/>
      <c r="AK121" s="55"/>
      <c r="AL121" s="55"/>
      <c r="AM121" s="55"/>
      <c r="AN121" s="55"/>
      <c r="AO121" s="55"/>
      <c r="AP121" s="55"/>
      <c r="AQ121" s="55"/>
      <c r="AR121" s="55"/>
      <c r="AS121" s="55"/>
      <c r="AT121" s="55"/>
      <c r="AU121" s="55"/>
      <c r="AV121" s="55"/>
      <c r="AW121" s="55"/>
      <c r="AX121" s="55"/>
      <c r="AY121" s="55"/>
      <c r="AZ121" s="55"/>
      <c r="BA121" s="55"/>
      <c r="BB121" s="55"/>
      <c r="BC121" s="55"/>
      <c r="BD121" s="55"/>
      <c r="BE121" s="55"/>
      <c r="BF121" s="55"/>
      <c r="BG121" s="55"/>
      <c r="BH121" s="55"/>
      <c r="BI121" s="55"/>
      <c r="BJ121" s="55"/>
      <c r="BK121" s="55"/>
      <c r="BL121" s="55"/>
      <c r="BM121" s="55"/>
      <c r="BN121" s="55"/>
      <c r="BO121" s="55"/>
      <c r="BP121" s="55"/>
      <c r="BQ121" s="55"/>
      <c r="BR121" s="55"/>
      <c r="BS121" s="55"/>
      <c r="BT121" s="55"/>
      <c r="BU121" s="55"/>
      <c r="BV121" s="55"/>
      <c r="BW121" s="55"/>
      <c r="BX121" s="55"/>
      <c r="BY121" s="55"/>
      <c r="BZ121" s="55"/>
      <c r="CA121" s="55"/>
      <c r="CB121" s="55"/>
      <c r="CC121" s="55"/>
      <c r="CD121" s="55"/>
      <c r="CE121" s="55"/>
      <c r="CF121" s="55"/>
      <c r="CG121" s="55"/>
      <c r="CH121" s="55"/>
      <c r="CI121" s="55"/>
      <c r="CJ121" s="55"/>
      <c r="CK121" s="55"/>
      <c r="CL121" s="55"/>
      <c r="CM121" s="55"/>
      <c r="CN121" s="55"/>
      <c r="CO121" s="55"/>
      <c r="CP121" s="55"/>
      <c r="CQ121" s="55"/>
      <c r="CR121" s="55"/>
      <c r="CS121" s="55"/>
      <c r="CT121" s="55"/>
      <c r="CU121" s="55"/>
      <c r="CV121" s="55"/>
      <c r="CW121" s="55"/>
      <c r="CX121" s="55"/>
      <c r="CY121" s="55"/>
      <c r="CZ121" s="55"/>
      <c r="DA121" s="55"/>
      <c r="DB121" s="55"/>
      <c r="DC121" s="55"/>
      <c r="DD121" s="55"/>
      <c r="DE121" s="55"/>
      <c r="DF121" s="55"/>
      <c r="DG121" s="55"/>
      <c r="DH121" s="55"/>
      <c r="DI121" s="55"/>
      <c r="DJ121" s="55"/>
      <c r="DK121" s="55"/>
      <c r="DL121" s="55"/>
      <c r="DM121" s="55"/>
      <c r="DN121" s="55"/>
      <c r="DO121" s="55"/>
      <c r="DP121" s="55"/>
      <c r="DQ121" s="55"/>
      <c r="DR121" s="55"/>
      <c r="DS121" s="55"/>
      <c r="DT121" s="55"/>
      <c r="DU121" s="55"/>
      <c r="DV121" s="55"/>
      <c r="DW121" s="55"/>
      <c r="DX121" s="55"/>
      <c r="DY121" s="55"/>
      <c r="DZ121" s="55"/>
      <c r="EA121" s="55"/>
      <c r="EB121" s="55"/>
      <c r="EC121" s="55"/>
      <c r="ED121" s="55"/>
      <c r="EE121" s="55"/>
      <c r="EF121" s="55"/>
      <c r="EG121" s="55"/>
      <c r="EH121" s="55"/>
      <c r="EI121" s="55"/>
      <c r="EJ121" s="55"/>
      <c r="EK121" s="55"/>
      <c r="EL121" s="55"/>
      <c r="EM121" s="55"/>
      <c r="EN121" s="55"/>
      <c r="EO121" s="55"/>
      <c r="EP121" s="55"/>
      <c r="EQ121" s="55"/>
      <c r="ER121" s="55"/>
      <c r="ES121" s="55"/>
      <c r="ET121" s="55"/>
      <c r="EU121" s="55"/>
      <c r="EV121" s="55"/>
      <c r="EW121" s="55"/>
      <c r="EX121" s="55"/>
      <c r="EY121" s="55"/>
      <c r="EZ121" s="55"/>
      <c r="FA121" s="55"/>
      <c r="FB121" s="55"/>
      <c r="FC121" s="55"/>
      <c r="FD121" s="55"/>
      <c r="FE121" s="55"/>
      <c r="FF121" s="55"/>
      <c r="FG121" s="55"/>
      <c r="FH121" s="55"/>
      <c r="FI121" s="55"/>
      <c r="FJ121" s="55"/>
      <c r="FK121" s="55"/>
      <c r="FL121" s="55"/>
      <c r="FM121" s="55"/>
      <c r="FN121" s="55"/>
      <c r="FO121" s="55"/>
      <c r="FP121" s="55"/>
      <c r="FQ121" s="55"/>
      <c r="FR121" s="55"/>
      <c r="FS121" s="55"/>
      <c r="FT121" s="55"/>
      <c r="FU121" s="55"/>
      <c r="FV121" s="55"/>
      <c r="FW121" s="55"/>
      <c r="FX121" s="55"/>
      <c r="FY121" s="55"/>
      <c r="FZ121" s="55"/>
      <c r="GA121" s="55"/>
      <c r="GB121" s="55"/>
      <c r="GC121" s="55"/>
      <c r="GD121" s="55"/>
      <c r="GE121" s="55"/>
      <c r="GF121" s="55"/>
      <c r="GG121" s="55"/>
      <c r="GH121" s="55"/>
      <c r="GI121" s="55"/>
      <c r="GJ121" s="55"/>
      <c r="GK121" s="55"/>
      <c r="GL121" s="55"/>
      <c r="GM121" s="55"/>
      <c r="GN121" s="55"/>
      <c r="GO121" s="55"/>
      <c r="GP121" s="55"/>
      <c r="GQ121" s="55"/>
      <c r="GR121" s="55"/>
      <c r="GS121" s="55"/>
      <c r="GT121" s="55"/>
      <c r="GU121" s="55"/>
      <c r="GV121" s="55"/>
      <c r="GW121" s="55"/>
      <c r="GX121" s="55"/>
      <c r="GY121" s="55"/>
      <c r="GZ121" s="55"/>
      <c r="HA121" s="55"/>
      <c r="HB121" s="55"/>
      <c r="HC121" s="55"/>
      <c r="HD121" s="55"/>
      <c r="HE121" s="55"/>
      <c r="HF121" s="55"/>
      <c r="HG121" s="55"/>
      <c r="HH121" s="55"/>
      <c r="HI121" s="55"/>
      <c r="HJ121" s="55"/>
      <c r="HK121" s="55"/>
      <c r="HL121" s="55"/>
      <c r="HM121" s="55"/>
      <c r="HN121" s="55"/>
      <c r="HO121" s="55"/>
      <c r="HP121" s="55"/>
      <c r="HQ121" s="55"/>
      <c r="HR121" s="55"/>
      <c r="HS121" s="55"/>
      <c r="HT121" s="55"/>
      <c r="HU121" s="55"/>
      <c r="HV121" s="55"/>
      <c r="HW121" s="55"/>
      <c r="HX121" s="55"/>
      <c r="HY121" s="55"/>
      <c r="HZ121" s="55"/>
      <c r="IA121" s="55"/>
      <c r="IB121" s="55"/>
      <c r="IC121" s="55"/>
      <c r="ID121" s="55"/>
      <c r="IE121" s="55"/>
      <c r="IF121" s="55"/>
      <c r="IG121" s="55"/>
      <c r="IH121" s="55"/>
      <c r="II121" s="55"/>
      <c r="IJ121" s="55"/>
      <c r="IK121" s="55"/>
      <c r="IL121" s="55"/>
      <c r="IM121" s="55"/>
      <c r="IN121" s="55"/>
      <c r="IO121" s="55"/>
      <c r="IP121" s="55"/>
      <c r="IQ121" s="55"/>
      <c r="IR121" s="55"/>
      <c r="IS121" s="55"/>
      <c r="IT121" s="55"/>
      <c r="IU121" s="55"/>
      <c r="IV121" s="55"/>
      <c r="IW121" s="55"/>
      <c r="IX121" s="55"/>
      <c r="IY121" s="55"/>
      <c r="IZ121" s="55"/>
      <c r="JA121" s="55"/>
      <c r="JB121" s="55"/>
      <c r="JC121" s="55"/>
      <c r="JD121" s="55"/>
      <c r="JE121" s="55"/>
      <c r="JF121" s="55"/>
      <c r="JG121" s="55"/>
      <c r="JH121" s="55"/>
      <c r="JI121" s="55"/>
      <c r="JJ121" s="55"/>
      <c r="JK121" s="55"/>
      <c r="JL121" s="55"/>
      <c r="JM121" s="55"/>
      <c r="JN121" s="55"/>
      <c r="JO121" s="55"/>
      <c r="JP121" s="55"/>
      <c r="JQ121" s="55"/>
      <c r="JR121" s="55"/>
      <c r="JS121" s="55"/>
      <c r="JT121" s="55"/>
      <c r="JU121" s="55"/>
      <c r="JV121" s="55"/>
      <c r="JW121" s="55"/>
      <c r="JX121" s="55"/>
      <c r="JY121" s="55"/>
      <c r="JZ121" s="55"/>
      <c r="KA121" s="55"/>
      <c r="KB121" s="55"/>
      <c r="KC121" s="55"/>
      <c r="KD121" s="55"/>
      <c r="KE121" s="55"/>
      <c r="KF121" s="55"/>
      <c r="KG121" s="55"/>
      <c r="KH121" s="55"/>
      <c r="KI121" s="55"/>
      <c r="KJ121" s="55"/>
      <c r="KK121" s="55"/>
      <c r="KL121" s="55"/>
      <c r="KM121" s="55"/>
      <c r="KN121" s="55"/>
      <c r="KO121" s="55"/>
      <c r="KP121" s="55"/>
      <c r="KQ121" s="55"/>
      <c r="KR121" s="55"/>
      <c r="KS121" s="55"/>
      <c r="KT121" s="55"/>
      <c r="KU121" s="55"/>
      <c r="KV121" s="55"/>
      <c r="KW121" s="55"/>
      <c r="KX121" s="55"/>
      <c r="KY121" s="55"/>
      <c r="KZ121" s="55"/>
      <c r="LA121" s="55"/>
      <c r="LB121" s="55"/>
      <c r="LC121" s="55"/>
      <c r="LD121" s="55"/>
      <c r="LE121" s="55"/>
      <c r="LF121" s="55"/>
      <c r="LG121" s="55"/>
      <c r="LH121" s="55"/>
      <c r="LI121" s="55"/>
      <c r="LJ121" s="55"/>
      <c r="LK121" s="55"/>
      <c r="LL121" s="55"/>
      <c r="LM121" s="55"/>
      <c r="LN121" s="55"/>
      <c r="LO121" s="55"/>
      <c r="LP121" s="55"/>
      <c r="LQ121" s="55"/>
      <c r="LR121" s="55"/>
      <c r="LS121" s="55"/>
      <c r="LT121" s="55"/>
      <c r="LU121" s="55"/>
      <c r="LV121" s="55"/>
      <c r="LW121" s="55"/>
      <c r="LX121" s="55"/>
      <c r="LY121" s="55"/>
      <c r="LZ121" s="55"/>
      <c r="MA121" s="55"/>
      <c r="MB121" s="55"/>
      <c r="MC121" s="55"/>
      <c r="MD121" s="55"/>
      <c r="ME121" s="55"/>
      <c r="MF121" s="55"/>
      <c r="MG121" s="55"/>
      <c r="MH121" s="55"/>
      <c r="MI121" s="55"/>
      <c r="MJ121" s="55"/>
      <c r="MK121" s="55"/>
      <c r="ML121" s="55"/>
      <c r="MM121" s="55"/>
      <c r="MN121" s="55"/>
      <c r="MO121" s="55"/>
      <c r="MP121" s="55"/>
      <c r="MQ121" s="55"/>
      <c r="MR121" s="55"/>
      <c r="MS121" s="55"/>
      <c r="MT121" s="55"/>
      <c r="MU121" s="55"/>
      <c r="MV121" s="55"/>
      <c r="MW121" s="55"/>
      <c r="MX121" s="55"/>
      <c r="MY121" s="55"/>
      <c r="MZ121" s="55"/>
      <c r="NA121" s="55"/>
      <c r="NB121" s="55"/>
      <c r="NC121" s="55"/>
      <c r="ND121" s="55"/>
      <c r="NE121" s="55"/>
      <c r="NF121" s="55"/>
      <c r="NG121" s="55"/>
      <c r="NH121" s="55"/>
      <c r="NI121" s="55"/>
      <c r="NJ121" s="55"/>
      <c r="NK121" s="55"/>
      <c r="NL121" s="55"/>
      <c r="NM121" s="55"/>
      <c r="NN121" s="55"/>
      <c r="NO121" s="55"/>
      <c r="NP121" s="55"/>
      <c r="NQ121" s="55"/>
      <c r="NR121" s="55"/>
      <c r="NS121" s="55"/>
      <c r="NT121" s="55"/>
      <c r="NU121" s="55"/>
      <c r="NV121" s="55"/>
      <c r="NW121" s="55"/>
      <c r="NX121" s="55"/>
      <c r="NY121" s="55"/>
      <c r="NZ121" s="55"/>
      <c r="OA121" s="55"/>
      <c r="OB121" s="55"/>
      <c r="OC121" s="55"/>
      <c r="OD121" s="55"/>
    </row>
    <row r="122" spans="1:401" x14ac:dyDescent="0.3">
      <c r="D122" s="119"/>
      <c r="E122" s="6"/>
      <c r="F122" s="19"/>
      <c r="J122" s="65"/>
      <c r="K122" s="55"/>
      <c r="L122" s="112"/>
      <c r="M122" s="55"/>
      <c r="N122" s="55"/>
      <c r="O122" s="55"/>
      <c r="P122" s="55"/>
      <c r="Q122" s="55"/>
      <c r="R122" s="55"/>
      <c r="S122" s="55"/>
      <c r="T122" s="55"/>
      <c r="U122" s="55"/>
      <c r="V122" s="55"/>
      <c r="W122" s="55"/>
      <c r="X122" s="55"/>
      <c r="Y122" s="55"/>
      <c r="Z122" s="55"/>
      <c r="AA122" s="55"/>
      <c r="AB122" s="55"/>
      <c r="AC122" s="55"/>
      <c r="AD122" s="55"/>
      <c r="AE122" s="55"/>
      <c r="AF122" s="55"/>
      <c r="AG122" s="55"/>
      <c r="AH122" s="55"/>
      <c r="AI122" s="55"/>
      <c r="AJ122" s="55"/>
      <c r="AK122" s="55"/>
      <c r="AL122" s="55"/>
      <c r="AM122" s="55"/>
      <c r="AN122" s="55"/>
      <c r="AO122" s="55"/>
      <c r="AP122" s="55"/>
      <c r="AQ122" s="55"/>
      <c r="AR122" s="55"/>
      <c r="AS122" s="55"/>
      <c r="AT122" s="55"/>
      <c r="AU122" s="55"/>
      <c r="AV122" s="55"/>
      <c r="AW122" s="55"/>
      <c r="AX122" s="55"/>
      <c r="AY122" s="55"/>
      <c r="AZ122" s="55"/>
      <c r="BA122" s="55"/>
      <c r="BB122" s="55"/>
      <c r="BC122" s="55"/>
      <c r="BD122" s="55"/>
      <c r="BE122" s="55"/>
      <c r="BF122" s="55"/>
      <c r="BG122" s="55"/>
      <c r="BH122" s="55"/>
      <c r="BI122" s="55"/>
      <c r="BJ122" s="55"/>
      <c r="BK122" s="55"/>
      <c r="BL122" s="55"/>
      <c r="BM122" s="55"/>
      <c r="BN122" s="55"/>
      <c r="BO122" s="55"/>
      <c r="BP122" s="55"/>
      <c r="BQ122" s="55"/>
      <c r="BR122" s="55"/>
      <c r="BS122" s="55"/>
      <c r="BT122" s="55"/>
      <c r="BU122" s="55"/>
      <c r="BV122" s="55"/>
      <c r="BW122" s="55"/>
      <c r="BX122" s="55"/>
      <c r="BY122" s="55"/>
      <c r="BZ122" s="55"/>
      <c r="CA122" s="55"/>
      <c r="CB122" s="55"/>
      <c r="CC122" s="55"/>
      <c r="CD122" s="55"/>
      <c r="CE122" s="55"/>
      <c r="CF122" s="55"/>
      <c r="CG122" s="55"/>
      <c r="CH122" s="55"/>
      <c r="CI122" s="55"/>
      <c r="CJ122" s="55"/>
      <c r="CK122" s="55"/>
      <c r="CL122" s="55"/>
      <c r="CM122" s="55"/>
      <c r="CN122" s="55"/>
      <c r="CO122" s="55"/>
      <c r="CP122" s="55"/>
      <c r="CQ122" s="55"/>
      <c r="CR122" s="55"/>
      <c r="CS122" s="55"/>
      <c r="CT122" s="55"/>
      <c r="CU122" s="55"/>
      <c r="CV122" s="55"/>
      <c r="CW122" s="55"/>
      <c r="CX122" s="55"/>
      <c r="CY122" s="55"/>
      <c r="CZ122" s="55"/>
      <c r="DA122" s="55"/>
      <c r="DB122" s="55"/>
      <c r="DC122" s="55"/>
      <c r="DD122" s="55"/>
      <c r="DE122" s="55"/>
      <c r="DF122" s="55"/>
      <c r="DG122" s="55"/>
      <c r="DH122" s="55"/>
      <c r="DI122" s="55"/>
      <c r="DJ122" s="55"/>
      <c r="DK122" s="55"/>
      <c r="DL122" s="55"/>
      <c r="DM122" s="55"/>
      <c r="DN122" s="55"/>
      <c r="DO122" s="55"/>
      <c r="DP122" s="55"/>
      <c r="DQ122" s="55"/>
      <c r="DR122" s="55"/>
      <c r="DS122" s="55"/>
      <c r="DT122" s="55"/>
      <c r="DU122" s="55"/>
      <c r="DV122" s="55"/>
      <c r="DW122" s="55"/>
      <c r="DX122" s="55"/>
      <c r="DY122" s="55"/>
      <c r="DZ122" s="55"/>
      <c r="EA122" s="55"/>
      <c r="EB122" s="55"/>
      <c r="EC122" s="55"/>
      <c r="ED122" s="55"/>
      <c r="EE122" s="55"/>
      <c r="EF122" s="55"/>
      <c r="EG122" s="55"/>
      <c r="EH122" s="55"/>
      <c r="EI122" s="55"/>
      <c r="EJ122" s="55"/>
      <c r="EK122" s="55"/>
      <c r="EL122" s="55"/>
      <c r="EM122" s="55"/>
      <c r="EN122" s="55"/>
      <c r="EO122" s="55"/>
      <c r="EP122" s="55"/>
      <c r="EQ122" s="55"/>
      <c r="ER122" s="55"/>
      <c r="ES122" s="55"/>
      <c r="ET122" s="55"/>
      <c r="EU122" s="55"/>
      <c r="EV122" s="55"/>
      <c r="EW122" s="55"/>
      <c r="EX122" s="55"/>
      <c r="EY122" s="55"/>
      <c r="EZ122" s="55"/>
      <c r="FA122" s="55"/>
      <c r="FB122" s="55"/>
      <c r="FC122" s="55"/>
      <c r="FD122" s="55"/>
      <c r="FE122" s="55"/>
      <c r="FF122" s="55"/>
      <c r="FG122" s="55"/>
      <c r="FH122" s="55"/>
      <c r="FI122" s="55"/>
      <c r="FJ122" s="55"/>
      <c r="FK122" s="55"/>
      <c r="FL122" s="55"/>
      <c r="FM122" s="55"/>
      <c r="FN122" s="55"/>
      <c r="FO122" s="55"/>
      <c r="FP122" s="55"/>
      <c r="FQ122" s="55"/>
      <c r="FR122" s="55"/>
      <c r="FS122" s="55"/>
      <c r="FT122" s="55"/>
      <c r="FU122" s="55"/>
      <c r="FV122" s="55"/>
      <c r="FW122" s="55"/>
      <c r="FX122" s="55"/>
      <c r="FY122" s="55"/>
      <c r="FZ122" s="55"/>
      <c r="GA122" s="55"/>
      <c r="GB122" s="55"/>
      <c r="GC122" s="55"/>
      <c r="GD122" s="55"/>
      <c r="GE122" s="55"/>
      <c r="GF122" s="55"/>
      <c r="GG122" s="55"/>
      <c r="GH122" s="55"/>
      <c r="GI122" s="55"/>
      <c r="GJ122" s="55"/>
      <c r="GK122" s="55"/>
      <c r="GL122" s="55"/>
      <c r="GM122" s="55"/>
      <c r="GN122" s="55"/>
      <c r="GO122" s="55"/>
      <c r="GP122" s="55"/>
      <c r="GQ122" s="55"/>
      <c r="GR122" s="55"/>
      <c r="GS122" s="55"/>
      <c r="GT122" s="55"/>
      <c r="GU122" s="55"/>
      <c r="GV122" s="55"/>
      <c r="GW122" s="55"/>
      <c r="GX122" s="55"/>
      <c r="GY122" s="55"/>
      <c r="GZ122" s="55"/>
      <c r="HA122" s="55"/>
      <c r="HB122" s="55"/>
      <c r="HC122" s="55"/>
      <c r="HD122" s="55"/>
      <c r="HE122" s="55"/>
      <c r="HF122" s="55"/>
      <c r="HG122" s="55"/>
      <c r="HH122" s="55"/>
      <c r="HI122" s="55"/>
      <c r="HJ122" s="55"/>
      <c r="HK122" s="55"/>
      <c r="HL122" s="55"/>
      <c r="HM122" s="55"/>
      <c r="HN122" s="55"/>
      <c r="HO122" s="55"/>
      <c r="HP122" s="55"/>
      <c r="HQ122" s="55"/>
      <c r="HR122" s="55"/>
      <c r="HS122" s="55"/>
      <c r="HT122" s="55"/>
      <c r="HU122" s="55"/>
      <c r="HV122" s="55"/>
      <c r="HW122" s="55"/>
      <c r="HX122" s="55"/>
      <c r="HY122" s="55"/>
      <c r="HZ122" s="55"/>
      <c r="IA122" s="55"/>
      <c r="IB122" s="55"/>
      <c r="IC122" s="55"/>
      <c r="ID122" s="55"/>
      <c r="IE122" s="55"/>
      <c r="IF122" s="55"/>
      <c r="IG122" s="55"/>
      <c r="IH122" s="55"/>
      <c r="II122" s="55"/>
      <c r="IJ122" s="55"/>
      <c r="IK122" s="55"/>
      <c r="IL122" s="55"/>
      <c r="IM122" s="55"/>
      <c r="IN122" s="55"/>
      <c r="IO122" s="55"/>
      <c r="IP122" s="55"/>
      <c r="IQ122" s="55"/>
      <c r="IR122" s="55"/>
      <c r="IS122" s="55"/>
      <c r="IT122" s="55"/>
      <c r="IU122" s="55"/>
      <c r="IV122" s="55"/>
      <c r="IW122" s="55"/>
      <c r="IX122" s="55"/>
      <c r="IY122" s="55"/>
      <c r="IZ122" s="55"/>
      <c r="JA122" s="55"/>
      <c r="JB122" s="55"/>
      <c r="JC122" s="55"/>
      <c r="JD122" s="55"/>
      <c r="JE122" s="55"/>
      <c r="JF122" s="55"/>
      <c r="JG122" s="55"/>
      <c r="JH122" s="55"/>
      <c r="JI122" s="55"/>
      <c r="JJ122" s="55"/>
      <c r="JK122" s="55"/>
      <c r="JL122" s="55"/>
      <c r="JM122" s="55"/>
      <c r="JN122" s="55"/>
      <c r="JO122" s="55"/>
      <c r="JP122" s="55"/>
      <c r="JQ122" s="55"/>
      <c r="JR122" s="55"/>
      <c r="JS122" s="55"/>
      <c r="JT122" s="55"/>
      <c r="JU122" s="55"/>
      <c r="JV122" s="55"/>
      <c r="JW122" s="55"/>
      <c r="JX122" s="55"/>
      <c r="JY122" s="55"/>
      <c r="JZ122" s="55"/>
      <c r="KA122" s="55"/>
      <c r="KB122" s="55"/>
      <c r="KC122" s="55"/>
      <c r="KD122" s="55"/>
      <c r="KE122" s="55"/>
      <c r="KF122" s="55"/>
      <c r="KG122" s="55"/>
      <c r="KH122" s="55"/>
      <c r="KI122" s="55"/>
      <c r="KJ122" s="55"/>
      <c r="KK122" s="55"/>
      <c r="KL122" s="55"/>
      <c r="KM122" s="55"/>
      <c r="KN122" s="55"/>
      <c r="KO122" s="55"/>
      <c r="KP122" s="55"/>
      <c r="KQ122" s="55"/>
      <c r="KR122" s="55"/>
      <c r="KS122" s="55"/>
      <c r="KT122" s="55"/>
      <c r="KU122" s="55"/>
      <c r="KV122" s="55"/>
      <c r="KW122" s="55"/>
      <c r="KX122" s="55"/>
      <c r="KY122" s="55"/>
      <c r="KZ122" s="55"/>
      <c r="LA122" s="55"/>
      <c r="LB122" s="55"/>
      <c r="LC122" s="55"/>
      <c r="LD122" s="55"/>
      <c r="LE122" s="55"/>
      <c r="LF122" s="55"/>
      <c r="LG122" s="55"/>
      <c r="LH122" s="55"/>
      <c r="LI122" s="55"/>
      <c r="LJ122" s="55"/>
      <c r="LK122" s="55"/>
      <c r="LL122" s="55"/>
      <c r="LM122" s="55"/>
      <c r="LN122" s="55"/>
      <c r="LO122" s="55"/>
      <c r="LP122" s="55"/>
      <c r="LQ122" s="55"/>
      <c r="LR122" s="55"/>
      <c r="LS122" s="55"/>
      <c r="LT122" s="55"/>
      <c r="LU122" s="55"/>
      <c r="LV122" s="55"/>
      <c r="LW122" s="55"/>
      <c r="LX122" s="55"/>
      <c r="LY122" s="55"/>
      <c r="LZ122" s="55"/>
      <c r="MA122" s="55"/>
      <c r="MB122" s="55"/>
      <c r="MC122" s="55"/>
      <c r="MD122" s="55"/>
      <c r="ME122" s="55"/>
      <c r="MF122" s="55"/>
      <c r="MG122" s="55"/>
      <c r="MH122" s="55"/>
      <c r="MI122" s="55"/>
      <c r="MJ122" s="55"/>
      <c r="MK122" s="55"/>
      <c r="ML122" s="55"/>
      <c r="MM122" s="55"/>
      <c r="MN122" s="55"/>
      <c r="MO122" s="55"/>
      <c r="MP122" s="55"/>
      <c r="MQ122" s="55"/>
      <c r="MR122" s="55"/>
      <c r="MS122" s="55"/>
      <c r="MT122" s="55"/>
      <c r="MU122" s="55"/>
      <c r="MV122" s="55"/>
      <c r="MW122" s="55"/>
      <c r="MX122" s="55"/>
      <c r="MY122" s="55"/>
      <c r="MZ122" s="55"/>
      <c r="NA122" s="55"/>
      <c r="NB122" s="55"/>
      <c r="NC122" s="55"/>
      <c r="ND122" s="55"/>
      <c r="NE122" s="55"/>
      <c r="NF122" s="55"/>
      <c r="NG122" s="55"/>
      <c r="NH122" s="55"/>
      <c r="NI122" s="55"/>
      <c r="NJ122" s="55"/>
      <c r="NK122" s="55"/>
      <c r="NL122" s="55"/>
      <c r="NM122" s="55"/>
      <c r="NN122" s="55"/>
      <c r="NO122" s="55"/>
      <c r="NP122" s="55"/>
      <c r="NQ122" s="55"/>
      <c r="NR122" s="55"/>
      <c r="NS122" s="55"/>
      <c r="NT122" s="55"/>
      <c r="NU122" s="55"/>
      <c r="NV122" s="55"/>
      <c r="NW122" s="55"/>
      <c r="NX122" s="55"/>
      <c r="NY122" s="55"/>
      <c r="NZ122" s="55"/>
      <c r="OA122" s="55"/>
      <c r="OB122" s="55"/>
      <c r="OC122" s="55"/>
      <c r="OD122" s="55"/>
    </row>
    <row r="123" spans="1:401" x14ac:dyDescent="0.3">
      <c r="D123" s="119"/>
      <c r="E123" s="6"/>
      <c r="F123" s="19"/>
      <c r="J123" s="65"/>
      <c r="K123" s="55"/>
      <c r="L123" s="66"/>
      <c r="M123" s="90" t="s">
        <v>0</v>
      </c>
      <c r="N123" s="91"/>
      <c r="O123" s="92"/>
      <c r="P123" s="91"/>
      <c r="Q123" s="91"/>
      <c r="R123" s="91"/>
      <c r="S123" s="91"/>
      <c r="T123" s="91"/>
      <c r="U123" s="91"/>
      <c r="V123" s="91"/>
      <c r="W123" s="91"/>
      <c r="X123" s="91"/>
      <c r="Y123" s="91"/>
      <c r="Z123" s="91"/>
      <c r="AA123" s="91"/>
      <c r="AB123" s="91"/>
      <c r="AC123" s="91"/>
      <c r="AD123" s="91"/>
      <c r="AE123" s="91"/>
      <c r="AF123" s="91"/>
      <c r="AG123" s="91"/>
      <c r="AH123" s="91"/>
      <c r="AI123" s="91"/>
      <c r="AJ123" s="91"/>
      <c r="AK123" s="91"/>
      <c r="AL123" s="91"/>
      <c r="AM123" s="91"/>
      <c r="AN123" s="91"/>
      <c r="AO123" s="91"/>
      <c r="AP123" s="91"/>
      <c r="AQ123" s="91"/>
      <c r="AR123" s="91"/>
      <c r="AS123" s="91"/>
      <c r="AT123" s="91"/>
      <c r="AU123" s="91"/>
      <c r="AV123" s="91"/>
      <c r="AW123" s="91"/>
      <c r="AX123" s="91"/>
      <c r="AY123" s="91"/>
      <c r="AZ123" s="91"/>
      <c r="BA123" s="91"/>
      <c r="BB123" s="91"/>
      <c r="BC123" s="91"/>
      <c r="BD123" s="91"/>
      <c r="BE123" s="91"/>
      <c r="BF123" s="91"/>
      <c r="BG123" s="91"/>
      <c r="BH123" s="91"/>
      <c r="BI123" s="91"/>
      <c r="BJ123" s="91"/>
      <c r="BK123" s="91"/>
      <c r="BL123" s="91"/>
      <c r="BM123" s="91"/>
      <c r="BN123" s="91"/>
      <c r="BO123" s="91"/>
      <c r="BP123" s="91"/>
      <c r="BQ123" s="91"/>
      <c r="BR123" s="91"/>
      <c r="BS123" s="91"/>
      <c r="BT123" s="91"/>
      <c r="BU123" s="91"/>
      <c r="BV123" s="91"/>
      <c r="BW123" s="91"/>
      <c r="BX123" s="91"/>
      <c r="BY123" s="91"/>
      <c r="BZ123" s="91"/>
      <c r="CA123" s="91"/>
      <c r="CB123" s="91"/>
      <c r="CC123" s="91"/>
      <c r="CD123" s="91"/>
      <c r="CE123" s="91"/>
      <c r="CF123" s="91"/>
      <c r="CG123" s="91"/>
      <c r="CH123" s="91"/>
      <c r="CI123" s="91"/>
      <c r="CJ123" s="91"/>
      <c r="CK123" s="91"/>
      <c r="CL123" s="91"/>
      <c r="CM123" s="91"/>
      <c r="CN123" s="91"/>
      <c r="CO123" s="91"/>
      <c r="CP123" s="91"/>
      <c r="CQ123" s="91"/>
      <c r="CR123" s="91"/>
      <c r="CS123" s="91"/>
      <c r="CT123" s="91"/>
      <c r="CU123" s="91"/>
      <c r="CV123" s="91"/>
      <c r="CW123" s="91"/>
      <c r="CX123" s="91"/>
      <c r="CY123" s="91"/>
      <c r="CZ123" s="91"/>
      <c r="DA123" s="91"/>
      <c r="DB123" s="91"/>
      <c r="DC123" s="91"/>
      <c r="DD123" s="91"/>
      <c r="DE123" s="91"/>
      <c r="DF123" s="91"/>
      <c r="DG123" s="91"/>
      <c r="DH123" s="91"/>
      <c r="DI123" s="91"/>
      <c r="DJ123" s="91"/>
      <c r="DK123" s="91"/>
      <c r="DL123" s="91"/>
      <c r="DM123" s="91"/>
      <c r="DN123" s="91"/>
      <c r="DO123" s="91"/>
      <c r="DP123" s="91"/>
      <c r="DQ123" s="91"/>
      <c r="DR123" s="91"/>
      <c r="DS123" s="91"/>
      <c r="DT123" s="91"/>
      <c r="DU123" s="91"/>
      <c r="DV123" s="91"/>
      <c r="DW123" s="91"/>
      <c r="DX123" s="91"/>
      <c r="DY123" s="91"/>
      <c r="DZ123" s="91"/>
      <c r="EA123" s="91"/>
      <c r="EB123" s="91"/>
      <c r="EC123" s="91"/>
      <c r="ED123" s="91"/>
      <c r="EE123" s="91"/>
      <c r="EF123" s="91"/>
      <c r="EG123" s="91"/>
      <c r="EH123" s="91"/>
      <c r="EI123" s="91"/>
      <c r="EJ123" s="91"/>
      <c r="EK123" s="91"/>
      <c r="EL123" s="91"/>
      <c r="EM123" s="91"/>
      <c r="EN123" s="91"/>
      <c r="EO123" s="91"/>
      <c r="EP123" s="91"/>
      <c r="EQ123" s="91"/>
      <c r="ER123" s="91"/>
      <c r="ES123" s="91"/>
      <c r="ET123" s="91"/>
      <c r="EU123" s="91"/>
      <c r="EV123" s="91"/>
      <c r="EW123" s="91"/>
      <c r="EX123" s="91"/>
      <c r="EY123" s="91"/>
      <c r="EZ123" s="91"/>
      <c r="FA123" s="91"/>
      <c r="FB123" s="91"/>
      <c r="FC123" s="91"/>
      <c r="FD123" s="91"/>
      <c r="FE123" s="91"/>
      <c r="FF123" s="91"/>
      <c r="FG123" s="91"/>
      <c r="FH123" s="91"/>
      <c r="FI123" s="91"/>
      <c r="FJ123" s="91"/>
      <c r="FK123" s="91"/>
      <c r="FL123" s="91"/>
      <c r="FM123" s="91"/>
      <c r="FN123" s="91"/>
      <c r="FO123" s="91"/>
      <c r="FP123" s="91"/>
      <c r="FQ123" s="91"/>
      <c r="FR123" s="91"/>
      <c r="FS123" s="91"/>
      <c r="FT123" s="91"/>
      <c r="FU123" s="91"/>
      <c r="FV123" s="91"/>
      <c r="FW123" s="91"/>
      <c r="FX123" s="91"/>
      <c r="FY123" s="91"/>
      <c r="FZ123" s="91"/>
      <c r="GA123" s="91"/>
      <c r="GB123" s="91"/>
      <c r="GC123" s="91"/>
      <c r="GD123" s="91"/>
      <c r="GE123" s="91"/>
      <c r="GF123" s="91"/>
      <c r="GG123" s="91"/>
      <c r="GH123" s="91"/>
      <c r="GI123" s="91"/>
      <c r="GJ123" s="91"/>
      <c r="GK123" s="91"/>
      <c r="GL123" s="91"/>
      <c r="GM123" s="91"/>
      <c r="GN123" s="91"/>
      <c r="GO123" s="91"/>
      <c r="GP123" s="91"/>
      <c r="GQ123" s="91"/>
      <c r="GR123" s="91"/>
      <c r="GS123" s="91"/>
      <c r="GT123" s="91"/>
      <c r="GU123" s="91"/>
      <c r="GV123" s="91"/>
      <c r="GW123" s="91"/>
      <c r="GX123" s="91"/>
      <c r="GY123" s="91"/>
      <c r="GZ123" s="91"/>
      <c r="HA123" s="91"/>
      <c r="HB123" s="91"/>
      <c r="HC123" s="91"/>
      <c r="HD123" s="91"/>
      <c r="HE123" s="91"/>
      <c r="HF123" s="91"/>
      <c r="HG123" s="91"/>
      <c r="HH123" s="91"/>
      <c r="HI123" s="91"/>
      <c r="HJ123" s="91"/>
      <c r="HK123" s="91"/>
      <c r="HL123" s="91"/>
      <c r="HM123" s="91"/>
      <c r="HN123" s="91"/>
      <c r="HO123" s="91"/>
      <c r="HP123" s="91"/>
      <c r="HQ123" s="91"/>
      <c r="HR123" s="91"/>
      <c r="HS123" s="91"/>
      <c r="HT123" s="91"/>
      <c r="HU123" s="91"/>
      <c r="HV123" s="91"/>
      <c r="HW123" s="91"/>
      <c r="HX123" s="91"/>
      <c r="HY123" s="91"/>
      <c r="HZ123" s="91"/>
      <c r="IA123" s="91"/>
      <c r="IB123" s="91"/>
      <c r="IC123" s="91"/>
      <c r="ID123" s="91"/>
      <c r="IE123" s="91"/>
      <c r="IF123" s="91"/>
      <c r="IG123" s="91"/>
      <c r="IH123" s="91"/>
      <c r="II123" s="91"/>
      <c r="IJ123" s="91"/>
      <c r="IK123" s="91"/>
      <c r="IL123" s="91"/>
      <c r="IM123" s="91"/>
      <c r="IN123" s="91"/>
      <c r="IO123" s="91"/>
      <c r="IP123" s="91"/>
      <c r="IQ123" s="91"/>
      <c r="IR123" s="91"/>
      <c r="IS123" s="91"/>
      <c r="IT123" s="91"/>
      <c r="IU123" s="91"/>
      <c r="IV123" s="91"/>
      <c r="IW123" s="91"/>
      <c r="IX123" s="91"/>
      <c r="IY123" s="91"/>
      <c r="IZ123" s="91"/>
      <c r="JA123" s="91"/>
      <c r="JB123" s="91"/>
      <c r="JC123" s="91"/>
      <c r="JD123" s="91"/>
      <c r="JE123" s="91"/>
      <c r="JF123" s="91"/>
      <c r="JG123" s="91"/>
      <c r="JH123" s="91"/>
      <c r="JI123" s="91"/>
      <c r="JJ123" s="91"/>
      <c r="JK123" s="91"/>
      <c r="JL123" s="91"/>
      <c r="JM123" s="91"/>
      <c r="JN123" s="91"/>
      <c r="JO123" s="91"/>
      <c r="JP123" s="91"/>
      <c r="JQ123" s="91"/>
      <c r="JR123" s="91"/>
      <c r="JS123" s="91"/>
      <c r="JT123" s="91"/>
      <c r="JU123" s="91"/>
      <c r="JV123" s="91"/>
      <c r="JW123" s="91"/>
      <c r="JX123" s="91"/>
      <c r="JY123" s="91"/>
      <c r="JZ123" s="91"/>
      <c r="KA123" s="91"/>
      <c r="KB123" s="91"/>
      <c r="KC123" s="91"/>
      <c r="KD123" s="91"/>
      <c r="KE123" s="91"/>
      <c r="KF123" s="91"/>
      <c r="KG123" s="91"/>
      <c r="KH123" s="91"/>
      <c r="KI123" s="91"/>
      <c r="KJ123" s="91"/>
      <c r="KK123" s="91"/>
      <c r="KL123" s="91"/>
      <c r="KM123" s="91"/>
      <c r="KN123" s="91"/>
      <c r="KO123" s="91"/>
      <c r="KP123" s="91"/>
      <c r="KQ123" s="91"/>
      <c r="KR123" s="91"/>
      <c r="KS123" s="91"/>
      <c r="KT123" s="91"/>
      <c r="KU123" s="91"/>
      <c r="KV123" s="91"/>
      <c r="KW123" s="91"/>
      <c r="KX123" s="91"/>
      <c r="KY123" s="91"/>
      <c r="KZ123" s="91"/>
      <c r="LA123" s="91"/>
      <c r="LB123" s="91"/>
      <c r="LC123" s="91"/>
      <c r="LD123" s="91"/>
      <c r="LE123" s="91"/>
      <c r="LF123" s="91"/>
      <c r="LG123" s="91"/>
      <c r="LH123" s="91"/>
      <c r="LI123" s="91"/>
      <c r="LJ123" s="91"/>
      <c r="LK123" s="91"/>
      <c r="LL123" s="91"/>
      <c r="LM123" s="91"/>
      <c r="LN123" s="91"/>
      <c r="LO123" s="91"/>
      <c r="LP123" s="91"/>
      <c r="LQ123" s="91"/>
      <c r="LR123" s="91"/>
      <c r="LS123" s="91"/>
      <c r="LT123" s="91"/>
      <c r="LU123" s="91"/>
      <c r="LV123" s="91"/>
      <c r="LW123" s="91"/>
      <c r="LX123" s="91"/>
      <c r="LY123" s="91"/>
      <c r="LZ123" s="91"/>
      <c r="MA123" s="91"/>
      <c r="MB123" s="91"/>
      <c r="MC123" s="91"/>
      <c r="MD123" s="91"/>
      <c r="ME123" s="91"/>
      <c r="MF123" s="91"/>
      <c r="MG123" s="91"/>
      <c r="MH123" s="91"/>
      <c r="MI123" s="91"/>
      <c r="MJ123" s="91"/>
      <c r="MK123" s="91"/>
      <c r="ML123" s="91"/>
      <c r="MM123" s="91"/>
      <c r="MN123" s="91"/>
      <c r="MO123" s="91"/>
      <c r="MP123" s="91"/>
      <c r="MQ123" s="91"/>
      <c r="MR123" s="91"/>
      <c r="MS123" s="91"/>
      <c r="MT123" s="91"/>
      <c r="MU123" s="91"/>
      <c r="MV123" s="91"/>
      <c r="MW123" s="91"/>
      <c r="MX123" s="91"/>
      <c r="MY123" s="91"/>
      <c r="MZ123" s="91"/>
      <c r="NA123" s="91"/>
      <c r="NB123" s="91"/>
      <c r="NC123" s="91"/>
      <c r="ND123" s="91"/>
      <c r="NE123" s="91"/>
      <c r="NF123" s="91"/>
      <c r="NG123" s="91"/>
      <c r="NH123" s="91"/>
      <c r="NI123" s="91"/>
      <c r="NJ123" s="91"/>
      <c r="NK123" s="91"/>
      <c r="NL123" s="91"/>
      <c r="NM123" s="91"/>
      <c r="NN123" s="91"/>
      <c r="NO123" s="91"/>
      <c r="NP123" s="91"/>
      <c r="NQ123" s="91"/>
      <c r="NR123" s="91"/>
      <c r="NS123" s="91"/>
      <c r="NT123" s="91"/>
      <c r="NU123" s="91"/>
      <c r="NV123" s="91"/>
      <c r="NW123" s="91"/>
      <c r="NX123" s="91"/>
      <c r="NY123" s="91"/>
      <c r="NZ123" s="91"/>
      <c r="OA123" s="91"/>
      <c r="OB123" s="91"/>
      <c r="OC123" s="91"/>
      <c r="OD123" s="91"/>
    </row>
    <row r="124" spans="1:401" outlineLevel="1" x14ac:dyDescent="0.3">
      <c r="E124" s="6"/>
      <c r="F124" s="19"/>
      <c r="J124" s="65"/>
      <c r="K124" s="55"/>
      <c r="L124" s="66"/>
      <c r="M124" s="25" t="s">
        <v>309</v>
      </c>
      <c r="N124" s="25"/>
      <c r="O124" s="27" t="s">
        <v>14</v>
      </c>
      <c r="P124" s="25" cm="1">
        <f t="array" ref="P124:OK124">INDEX(E62:E73,MONTH(_xlfn.ANCHORARRAY(P2)))</f>
        <v>1972.2999253493106</v>
      </c>
      <c r="Q124" s="25">
        <v>1418.3477282984506</v>
      </c>
      <c r="R124" s="25">
        <v>1624.001239574485</v>
      </c>
      <c r="S124" s="25">
        <v>2141.3787479907678</v>
      </c>
      <c r="T124" s="25">
        <v>3215.3023431752613</v>
      </c>
      <c r="U124" s="25">
        <v>3794.5432331325883</v>
      </c>
      <c r="V124" s="25">
        <v>4425.0849900099984</v>
      </c>
      <c r="W124" s="25">
        <v>4884.4996897158208</v>
      </c>
      <c r="X124" s="25">
        <v>5251.096415792902</v>
      </c>
      <c r="Y124" s="25">
        <v>4866.8402921505003</v>
      </c>
      <c r="Z124" s="25">
        <v>3769.7672369303364</v>
      </c>
      <c r="AA124" s="25">
        <v>3034.3121188795985</v>
      </c>
      <c r="AB124" s="25">
        <v>1972.2999253493106</v>
      </c>
      <c r="AC124" s="25">
        <v>1418.3477282984506</v>
      </c>
      <c r="AD124" s="25">
        <v>1624.001239574485</v>
      </c>
      <c r="AE124" s="25">
        <v>2141.3787479907678</v>
      </c>
      <c r="AF124" s="25">
        <v>3215.3023431752613</v>
      </c>
      <c r="AG124" s="25">
        <v>3794.5432331325883</v>
      </c>
      <c r="AH124" s="25">
        <v>4425.0849900099984</v>
      </c>
      <c r="AI124" s="25">
        <v>4884.4996897158208</v>
      </c>
      <c r="AJ124" s="25">
        <v>5251.096415792902</v>
      </c>
      <c r="AK124" s="25">
        <v>4866.8402921505003</v>
      </c>
      <c r="AL124" s="25">
        <v>3769.7672369303364</v>
      </c>
      <c r="AM124" s="25">
        <v>3034.3121188795985</v>
      </c>
      <c r="AN124" s="25">
        <v>1972.2999253493106</v>
      </c>
      <c r="AO124" s="25">
        <v>1418.3477282984506</v>
      </c>
      <c r="AP124" s="25">
        <v>1624.001239574485</v>
      </c>
      <c r="AQ124" s="25">
        <v>2141.3787479907678</v>
      </c>
      <c r="AR124" s="25">
        <v>3215.3023431752613</v>
      </c>
      <c r="AS124" s="25">
        <v>3794.5432331325883</v>
      </c>
      <c r="AT124" s="25">
        <v>4425.0849900099984</v>
      </c>
      <c r="AU124" s="25">
        <v>4884.4996897158208</v>
      </c>
      <c r="AV124" s="25">
        <v>5251.096415792902</v>
      </c>
      <c r="AW124" s="25">
        <v>4866.8402921505003</v>
      </c>
      <c r="AX124" s="25">
        <v>3769.7672369303364</v>
      </c>
      <c r="AY124" s="25">
        <v>3034.3121188795985</v>
      </c>
      <c r="AZ124" s="25">
        <v>1972.2999253493106</v>
      </c>
      <c r="BA124" s="25">
        <v>1418.3477282984506</v>
      </c>
      <c r="BB124" s="25">
        <v>1624.001239574485</v>
      </c>
      <c r="BC124" s="25">
        <v>2141.3787479907678</v>
      </c>
      <c r="BD124" s="25">
        <v>3215.3023431752613</v>
      </c>
      <c r="BE124" s="25">
        <v>3794.5432331325883</v>
      </c>
      <c r="BF124" s="25">
        <v>4425.0849900099984</v>
      </c>
      <c r="BG124" s="25">
        <v>4884.4996897158208</v>
      </c>
      <c r="BH124" s="25">
        <v>5251.096415792902</v>
      </c>
      <c r="BI124" s="25">
        <v>4866.8402921505003</v>
      </c>
      <c r="BJ124" s="25">
        <v>3769.7672369303364</v>
      </c>
      <c r="BK124" s="25">
        <v>3034.3121188795985</v>
      </c>
      <c r="BL124" s="25">
        <v>1972.2999253493106</v>
      </c>
      <c r="BM124" s="25">
        <v>1418.3477282984506</v>
      </c>
      <c r="BN124" s="25">
        <v>1624.001239574485</v>
      </c>
      <c r="BO124" s="25">
        <v>2141.3787479907678</v>
      </c>
      <c r="BP124" s="25">
        <v>3215.3023431752613</v>
      </c>
      <c r="BQ124" s="25">
        <v>3794.5432331325883</v>
      </c>
      <c r="BR124" s="25">
        <v>4425.0849900099984</v>
      </c>
      <c r="BS124" s="25">
        <v>4884.4996897158208</v>
      </c>
      <c r="BT124" s="25">
        <v>5251.096415792902</v>
      </c>
      <c r="BU124" s="25">
        <v>4866.8402921505003</v>
      </c>
      <c r="BV124" s="25">
        <v>3769.7672369303364</v>
      </c>
      <c r="BW124" s="25">
        <v>3034.3121188795985</v>
      </c>
      <c r="BX124" s="25">
        <v>1972.2999253493106</v>
      </c>
      <c r="BY124" s="25">
        <v>1418.3477282984506</v>
      </c>
      <c r="BZ124" s="25">
        <v>1624.001239574485</v>
      </c>
      <c r="CA124" s="25">
        <v>2141.3787479907678</v>
      </c>
      <c r="CB124" s="25">
        <v>3215.3023431752613</v>
      </c>
      <c r="CC124" s="25">
        <v>3794.5432331325883</v>
      </c>
      <c r="CD124" s="25">
        <v>4425.0849900099984</v>
      </c>
      <c r="CE124" s="25">
        <v>4884.4996897158208</v>
      </c>
      <c r="CF124" s="25">
        <v>5251.096415792902</v>
      </c>
      <c r="CG124" s="25">
        <v>4866.8402921505003</v>
      </c>
      <c r="CH124" s="25">
        <v>3769.7672369303364</v>
      </c>
      <c r="CI124" s="25">
        <v>3034.3121188795985</v>
      </c>
      <c r="CJ124" s="25">
        <v>1972.2999253493106</v>
      </c>
      <c r="CK124" s="25">
        <v>1418.3477282984506</v>
      </c>
      <c r="CL124" s="25">
        <v>1624.001239574485</v>
      </c>
      <c r="CM124" s="25">
        <v>2141.3787479907678</v>
      </c>
      <c r="CN124" s="25">
        <v>3215.3023431752613</v>
      </c>
      <c r="CO124" s="25">
        <v>3794.5432331325883</v>
      </c>
      <c r="CP124" s="25">
        <v>4425.0849900099984</v>
      </c>
      <c r="CQ124" s="25">
        <v>4884.4996897158208</v>
      </c>
      <c r="CR124" s="25">
        <v>5251.096415792902</v>
      </c>
      <c r="CS124" s="25">
        <v>4866.8402921505003</v>
      </c>
      <c r="CT124" s="25">
        <v>3769.7672369303364</v>
      </c>
      <c r="CU124" s="25">
        <v>3034.3121188795985</v>
      </c>
      <c r="CV124" s="25">
        <v>1972.2999253493106</v>
      </c>
      <c r="CW124" s="25">
        <v>1418.3477282984506</v>
      </c>
      <c r="CX124" s="25">
        <v>1624.001239574485</v>
      </c>
      <c r="CY124" s="25">
        <v>2141.3787479907678</v>
      </c>
      <c r="CZ124" s="25">
        <v>3215.3023431752613</v>
      </c>
      <c r="DA124" s="25">
        <v>3794.5432331325883</v>
      </c>
      <c r="DB124" s="25">
        <v>4425.0849900099984</v>
      </c>
      <c r="DC124" s="25">
        <v>4884.4996897158208</v>
      </c>
      <c r="DD124" s="25">
        <v>5251.096415792902</v>
      </c>
      <c r="DE124" s="25">
        <v>4866.8402921505003</v>
      </c>
      <c r="DF124" s="25">
        <v>3769.7672369303364</v>
      </c>
      <c r="DG124" s="25">
        <v>3034.3121188795985</v>
      </c>
      <c r="DH124" s="25">
        <v>1972.2999253493106</v>
      </c>
      <c r="DI124" s="25">
        <v>1418.3477282984506</v>
      </c>
      <c r="DJ124" s="25">
        <v>1624.001239574485</v>
      </c>
      <c r="DK124" s="25">
        <v>2141.3787479907678</v>
      </c>
      <c r="DL124" s="25">
        <v>3215.3023431752613</v>
      </c>
      <c r="DM124" s="25">
        <v>3794.5432331325883</v>
      </c>
      <c r="DN124" s="25">
        <v>4425.0849900099984</v>
      </c>
      <c r="DO124" s="25">
        <v>4884.4996897158208</v>
      </c>
      <c r="DP124" s="25">
        <v>5251.096415792902</v>
      </c>
      <c r="DQ124" s="25">
        <v>4866.8402921505003</v>
      </c>
      <c r="DR124" s="25">
        <v>3769.7672369303364</v>
      </c>
      <c r="DS124" s="25">
        <v>3034.3121188795985</v>
      </c>
      <c r="DT124" s="25">
        <v>1972.2999253493106</v>
      </c>
      <c r="DU124" s="25">
        <v>1418.3477282984506</v>
      </c>
      <c r="DV124" s="25">
        <v>1624.001239574485</v>
      </c>
      <c r="DW124" s="25">
        <v>2141.3787479907678</v>
      </c>
      <c r="DX124" s="25">
        <v>3215.3023431752613</v>
      </c>
      <c r="DY124" s="25">
        <v>3794.5432331325883</v>
      </c>
      <c r="DZ124" s="25">
        <v>4425.0849900099984</v>
      </c>
      <c r="EA124" s="25">
        <v>4884.4996897158208</v>
      </c>
      <c r="EB124" s="25">
        <v>5251.096415792902</v>
      </c>
      <c r="EC124" s="25">
        <v>4866.8402921505003</v>
      </c>
      <c r="ED124" s="25">
        <v>3769.7672369303364</v>
      </c>
      <c r="EE124" s="25">
        <v>3034.3121188795985</v>
      </c>
      <c r="EF124" s="25">
        <v>1972.2999253493106</v>
      </c>
      <c r="EG124" s="25">
        <v>1418.3477282984506</v>
      </c>
      <c r="EH124" s="25">
        <v>1624.001239574485</v>
      </c>
      <c r="EI124" s="25">
        <v>2141.3787479907678</v>
      </c>
      <c r="EJ124" s="25">
        <v>3215.3023431752613</v>
      </c>
      <c r="EK124" s="25">
        <v>3794.5432331325883</v>
      </c>
      <c r="EL124" s="25">
        <v>4425.0849900099984</v>
      </c>
      <c r="EM124" s="25">
        <v>4884.4996897158208</v>
      </c>
      <c r="EN124" s="25">
        <v>5251.096415792902</v>
      </c>
      <c r="EO124" s="25">
        <v>4866.8402921505003</v>
      </c>
      <c r="EP124" s="25">
        <v>3769.7672369303364</v>
      </c>
      <c r="EQ124" s="25">
        <v>3034.3121188795985</v>
      </c>
      <c r="ER124" s="25">
        <v>1972.2999253493106</v>
      </c>
      <c r="ES124" s="25">
        <v>1418.3477282984506</v>
      </c>
      <c r="ET124" s="25">
        <v>1624.001239574485</v>
      </c>
      <c r="EU124" s="25">
        <v>2141.3787479907678</v>
      </c>
      <c r="EV124" s="25">
        <v>3215.3023431752613</v>
      </c>
      <c r="EW124" s="25">
        <v>3794.5432331325883</v>
      </c>
      <c r="EX124" s="25">
        <v>4425.0849900099984</v>
      </c>
      <c r="EY124" s="25">
        <v>4884.4996897158208</v>
      </c>
      <c r="EZ124" s="25">
        <v>5251.096415792902</v>
      </c>
      <c r="FA124" s="25">
        <v>4866.8402921505003</v>
      </c>
      <c r="FB124" s="25">
        <v>3769.7672369303364</v>
      </c>
      <c r="FC124" s="25">
        <v>3034.3121188795985</v>
      </c>
      <c r="FD124" s="25">
        <v>1972.2999253493106</v>
      </c>
      <c r="FE124" s="25">
        <v>1418.3477282984506</v>
      </c>
      <c r="FF124" s="25">
        <v>1624.001239574485</v>
      </c>
      <c r="FG124" s="25">
        <v>2141.3787479907678</v>
      </c>
      <c r="FH124" s="25">
        <v>3215.3023431752613</v>
      </c>
      <c r="FI124" s="25">
        <v>3794.5432331325883</v>
      </c>
      <c r="FJ124" s="25">
        <v>4425.0849900099984</v>
      </c>
      <c r="FK124" s="25">
        <v>4884.4996897158208</v>
      </c>
      <c r="FL124" s="25">
        <v>5251.096415792902</v>
      </c>
      <c r="FM124" s="25">
        <v>4866.8402921505003</v>
      </c>
      <c r="FN124" s="25">
        <v>3769.7672369303364</v>
      </c>
      <c r="FO124" s="25">
        <v>3034.3121188795985</v>
      </c>
      <c r="FP124" s="25">
        <v>1972.2999253493106</v>
      </c>
      <c r="FQ124" s="25">
        <v>1418.3477282984506</v>
      </c>
      <c r="FR124" s="25">
        <v>1624.001239574485</v>
      </c>
      <c r="FS124" s="25">
        <v>2141.3787479907678</v>
      </c>
      <c r="FT124" s="25">
        <v>3215.3023431752613</v>
      </c>
      <c r="FU124" s="25">
        <v>3794.5432331325883</v>
      </c>
      <c r="FV124" s="25">
        <v>4425.0849900099984</v>
      </c>
      <c r="FW124" s="25">
        <v>4884.4996897158208</v>
      </c>
      <c r="FX124" s="25">
        <v>5251.096415792902</v>
      </c>
      <c r="FY124" s="25">
        <v>4866.8402921505003</v>
      </c>
      <c r="FZ124" s="25">
        <v>3769.7672369303364</v>
      </c>
      <c r="GA124" s="25">
        <v>3034.3121188795985</v>
      </c>
      <c r="GB124" s="25">
        <v>1972.2999253493106</v>
      </c>
      <c r="GC124" s="25">
        <v>1418.3477282984506</v>
      </c>
      <c r="GD124" s="25">
        <v>1624.001239574485</v>
      </c>
      <c r="GE124" s="25">
        <v>2141.3787479907678</v>
      </c>
      <c r="GF124" s="25">
        <v>3215.3023431752613</v>
      </c>
      <c r="GG124" s="25">
        <v>3794.5432331325883</v>
      </c>
      <c r="GH124" s="25">
        <v>4425.0849900099984</v>
      </c>
      <c r="GI124" s="25">
        <v>4884.4996897158208</v>
      </c>
      <c r="GJ124" s="25">
        <v>5251.096415792902</v>
      </c>
      <c r="GK124" s="25">
        <v>4866.8402921505003</v>
      </c>
      <c r="GL124" s="25">
        <v>3769.7672369303364</v>
      </c>
      <c r="GM124" s="25">
        <v>3034.3121188795985</v>
      </c>
      <c r="GN124" s="25">
        <v>1972.2999253493106</v>
      </c>
      <c r="GO124" s="25">
        <v>1418.3477282984506</v>
      </c>
      <c r="GP124" s="25">
        <v>1624.001239574485</v>
      </c>
      <c r="GQ124" s="25">
        <v>2141.3787479907678</v>
      </c>
      <c r="GR124" s="25">
        <v>3215.3023431752613</v>
      </c>
      <c r="GS124" s="25">
        <v>3794.5432331325883</v>
      </c>
      <c r="GT124" s="25">
        <v>4425.0849900099984</v>
      </c>
      <c r="GU124" s="25">
        <v>4884.4996897158208</v>
      </c>
      <c r="GV124" s="25">
        <v>5251.096415792902</v>
      </c>
      <c r="GW124" s="25">
        <v>4866.8402921505003</v>
      </c>
      <c r="GX124" s="25">
        <v>3769.7672369303364</v>
      </c>
      <c r="GY124" s="25">
        <v>3034.3121188795985</v>
      </c>
      <c r="GZ124" s="25">
        <v>1972.2999253493106</v>
      </c>
      <c r="HA124" s="25">
        <v>1418.3477282984506</v>
      </c>
      <c r="HB124" s="25">
        <v>1624.001239574485</v>
      </c>
      <c r="HC124" s="25">
        <v>2141.3787479907678</v>
      </c>
      <c r="HD124" s="25">
        <v>3215.3023431752613</v>
      </c>
      <c r="HE124" s="25">
        <v>3794.5432331325883</v>
      </c>
      <c r="HF124" s="25">
        <v>4425.0849900099984</v>
      </c>
      <c r="HG124" s="25">
        <v>4884.4996897158208</v>
      </c>
      <c r="HH124" s="25">
        <v>5251.096415792902</v>
      </c>
      <c r="HI124" s="25">
        <v>4866.8402921505003</v>
      </c>
      <c r="HJ124" s="25">
        <v>3769.7672369303364</v>
      </c>
      <c r="HK124" s="25">
        <v>3034.3121188795985</v>
      </c>
      <c r="HL124" s="25">
        <v>1972.2999253493106</v>
      </c>
      <c r="HM124" s="25">
        <v>1418.3477282984506</v>
      </c>
      <c r="HN124" s="25">
        <v>1624.001239574485</v>
      </c>
      <c r="HO124" s="25">
        <v>2141.3787479907678</v>
      </c>
      <c r="HP124" s="25">
        <v>3215.3023431752613</v>
      </c>
      <c r="HQ124" s="25">
        <v>3794.5432331325883</v>
      </c>
      <c r="HR124" s="25">
        <v>4425.0849900099984</v>
      </c>
      <c r="HS124" s="25">
        <v>4884.4996897158208</v>
      </c>
      <c r="HT124" s="25">
        <v>5251.096415792902</v>
      </c>
      <c r="HU124" s="25">
        <v>4866.8402921505003</v>
      </c>
      <c r="HV124" s="25">
        <v>3769.7672369303364</v>
      </c>
      <c r="HW124" s="25">
        <v>3034.3121188795985</v>
      </c>
      <c r="HX124" s="25">
        <v>1972.2999253493106</v>
      </c>
      <c r="HY124" s="25">
        <v>1418.3477282984506</v>
      </c>
      <c r="HZ124" s="25">
        <v>1624.001239574485</v>
      </c>
      <c r="IA124" s="25">
        <v>2141.3787479907678</v>
      </c>
      <c r="IB124" s="25">
        <v>3215.3023431752613</v>
      </c>
      <c r="IC124" s="25">
        <v>3794.5432331325883</v>
      </c>
      <c r="ID124" s="25">
        <v>4425.0849900099984</v>
      </c>
      <c r="IE124" s="25">
        <v>4884.4996897158208</v>
      </c>
      <c r="IF124" s="25">
        <v>5251.096415792902</v>
      </c>
      <c r="IG124" s="25">
        <v>4866.8402921505003</v>
      </c>
      <c r="IH124" s="25">
        <v>3769.7672369303364</v>
      </c>
      <c r="II124" s="25">
        <v>3034.3121188795985</v>
      </c>
      <c r="IJ124" s="25">
        <v>1972.2999253493106</v>
      </c>
      <c r="IK124" s="25">
        <v>1418.3477282984506</v>
      </c>
      <c r="IL124" s="25">
        <v>1624.001239574485</v>
      </c>
      <c r="IM124" s="25">
        <v>2141.3787479907678</v>
      </c>
      <c r="IN124" s="25">
        <v>3215.3023431752613</v>
      </c>
      <c r="IO124" s="25">
        <v>3794.5432331325883</v>
      </c>
      <c r="IP124" s="25">
        <v>4425.0849900099984</v>
      </c>
      <c r="IQ124" s="25">
        <v>4884.4996897158208</v>
      </c>
      <c r="IR124" s="25">
        <v>5251.096415792902</v>
      </c>
      <c r="IS124" s="25">
        <v>4866.8402921505003</v>
      </c>
      <c r="IT124" s="25">
        <v>3769.7672369303364</v>
      </c>
      <c r="IU124" s="25">
        <v>3034.3121188795985</v>
      </c>
      <c r="IV124" s="25">
        <v>1972.2999253493106</v>
      </c>
      <c r="IW124" s="25">
        <v>1418.3477282984506</v>
      </c>
      <c r="IX124" s="25">
        <v>1624.001239574485</v>
      </c>
      <c r="IY124" s="25">
        <v>2141.3787479907678</v>
      </c>
      <c r="IZ124" s="25">
        <v>3215.3023431752613</v>
      </c>
      <c r="JA124" s="25">
        <v>3794.5432331325883</v>
      </c>
      <c r="JB124" s="25">
        <v>4425.0849900099984</v>
      </c>
      <c r="JC124" s="25">
        <v>4884.4996897158208</v>
      </c>
      <c r="JD124" s="25">
        <v>5251.096415792902</v>
      </c>
      <c r="JE124" s="25">
        <v>4866.8402921505003</v>
      </c>
      <c r="JF124" s="25">
        <v>3769.7672369303364</v>
      </c>
      <c r="JG124" s="25">
        <v>3034.3121188795985</v>
      </c>
      <c r="JH124" s="25">
        <v>1972.2999253493106</v>
      </c>
      <c r="JI124" s="25">
        <v>1418.3477282984506</v>
      </c>
      <c r="JJ124" s="25">
        <v>1624.001239574485</v>
      </c>
      <c r="JK124" s="25">
        <v>2141.3787479907678</v>
      </c>
      <c r="JL124" s="25">
        <v>3215.3023431752613</v>
      </c>
      <c r="JM124" s="25">
        <v>3794.5432331325883</v>
      </c>
      <c r="JN124" s="25">
        <v>4425.0849900099984</v>
      </c>
      <c r="JO124" s="25">
        <v>4884.4996897158208</v>
      </c>
      <c r="JP124" s="25">
        <v>5251.096415792902</v>
      </c>
      <c r="JQ124" s="25">
        <v>4866.8402921505003</v>
      </c>
      <c r="JR124" s="25">
        <v>3769.7672369303364</v>
      </c>
      <c r="JS124" s="25">
        <v>3034.3121188795985</v>
      </c>
      <c r="JT124" s="25">
        <v>1972.2999253493106</v>
      </c>
      <c r="JU124" s="25">
        <v>1418.3477282984506</v>
      </c>
      <c r="JV124" s="25">
        <v>1624.001239574485</v>
      </c>
      <c r="JW124" s="25">
        <v>2141.3787479907678</v>
      </c>
      <c r="JX124" s="25">
        <v>3215.3023431752613</v>
      </c>
      <c r="JY124" s="25">
        <v>3794.5432331325883</v>
      </c>
      <c r="JZ124" s="25">
        <v>4425.0849900099984</v>
      </c>
      <c r="KA124" s="25">
        <v>4884.4996897158208</v>
      </c>
      <c r="KB124" s="25">
        <v>5251.096415792902</v>
      </c>
      <c r="KC124" s="25">
        <v>4866.8402921505003</v>
      </c>
      <c r="KD124" s="25">
        <v>3769.7672369303364</v>
      </c>
      <c r="KE124" s="25">
        <v>3034.3121188795985</v>
      </c>
      <c r="KF124" s="25">
        <v>1972.2999253493106</v>
      </c>
      <c r="KG124" s="25">
        <v>1418.3477282984506</v>
      </c>
      <c r="KH124" s="25">
        <v>1624.001239574485</v>
      </c>
      <c r="KI124" s="25">
        <v>2141.3787479907678</v>
      </c>
      <c r="KJ124" s="25">
        <v>3215.3023431752613</v>
      </c>
      <c r="KK124" s="25">
        <v>3794.5432331325883</v>
      </c>
      <c r="KL124" s="25">
        <v>4425.0849900099984</v>
      </c>
      <c r="KM124" s="25">
        <v>4884.4996897158208</v>
      </c>
      <c r="KN124" s="25">
        <v>5251.096415792902</v>
      </c>
      <c r="KO124" s="25">
        <v>4866.8402921505003</v>
      </c>
      <c r="KP124" s="25">
        <v>3769.7672369303364</v>
      </c>
      <c r="KQ124" s="25">
        <v>3034.3121188795985</v>
      </c>
      <c r="KR124" s="25">
        <v>1972.2999253493106</v>
      </c>
      <c r="KS124" s="25">
        <v>1418.3477282984506</v>
      </c>
      <c r="KT124" s="25">
        <v>1624.001239574485</v>
      </c>
      <c r="KU124" s="25">
        <v>2141.3787479907678</v>
      </c>
      <c r="KV124" s="25">
        <v>3215.3023431752613</v>
      </c>
      <c r="KW124" s="25">
        <v>3794.5432331325883</v>
      </c>
      <c r="KX124" s="25">
        <v>4425.0849900099984</v>
      </c>
      <c r="KY124" s="25">
        <v>4884.4996897158208</v>
      </c>
      <c r="KZ124" s="25">
        <v>5251.096415792902</v>
      </c>
      <c r="LA124" s="25">
        <v>4866.8402921505003</v>
      </c>
      <c r="LB124" s="25">
        <v>3769.7672369303364</v>
      </c>
      <c r="LC124" s="25">
        <v>3034.3121188795985</v>
      </c>
      <c r="LD124" s="25">
        <v>1972.2999253493106</v>
      </c>
      <c r="LE124" s="25">
        <v>1418.3477282984506</v>
      </c>
      <c r="LF124" s="25">
        <v>1624.001239574485</v>
      </c>
      <c r="LG124" s="25">
        <v>2141.3787479907678</v>
      </c>
      <c r="LH124" s="25">
        <v>3215.3023431752613</v>
      </c>
      <c r="LI124" s="25">
        <v>3794.5432331325883</v>
      </c>
      <c r="LJ124" s="25">
        <v>4425.0849900099984</v>
      </c>
      <c r="LK124" s="25">
        <v>4884.4996897158208</v>
      </c>
      <c r="LL124" s="25">
        <v>5251.096415792902</v>
      </c>
      <c r="LM124" s="25">
        <v>4866.8402921505003</v>
      </c>
      <c r="LN124" s="25">
        <v>3769.7672369303364</v>
      </c>
      <c r="LO124" s="25">
        <v>3034.3121188795985</v>
      </c>
      <c r="LP124" s="25">
        <v>1972.2999253493106</v>
      </c>
      <c r="LQ124" s="25">
        <v>1418.3477282984506</v>
      </c>
      <c r="LR124" s="25">
        <v>1624.001239574485</v>
      </c>
      <c r="LS124" s="25">
        <v>2141.3787479907678</v>
      </c>
      <c r="LT124" s="25">
        <v>3215.3023431752613</v>
      </c>
      <c r="LU124" s="25">
        <v>3794.5432331325883</v>
      </c>
      <c r="LV124" s="25">
        <v>4425.0849900099984</v>
      </c>
      <c r="LW124" s="25">
        <v>4884.4996897158208</v>
      </c>
      <c r="LX124" s="25">
        <v>5251.096415792902</v>
      </c>
      <c r="LY124" s="25">
        <v>4866.8402921505003</v>
      </c>
      <c r="LZ124" s="25">
        <v>3769.7672369303364</v>
      </c>
      <c r="MA124" s="25">
        <v>3034.3121188795985</v>
      </c>
      <c r="MB124" s="25">
        <v>1972.2999253493106</v>
      </c>
      <c r="MC124" s="25">
        <v>1418.3477282984506</v>
      </c>
      <c r="MD124" s="25">
        <v>1624.001239574485</v>
      </c>
      <c r="ME124" s="25">
        <v>2141.3787479907678</v>
      </c>
      <c r="MF124" s="25">
        <v>3215.3023431752613</v>
      </c>
      <c r="MG124" s="25">
        <v>3794.5432331325883</v>
      </c>
      <c r="MH124" s="25">
        <v>4425.0849900099984</v>
      </c>
      <c r="MI124" s="25">
        <v>4884.4996897158208</v>
      </c>
      <c r="MJ124" s="25">
        <v>5251.096415792902</v>
      </c>
      <c r="MK124" s="25">
        <v>4866.8402921505003</v>
      </c>
      <c r="ML124" s="25">
        <v>3769.7672369303364</v>
      </c>
      <c r="MM124" s="25">
        <v>3034.3121188795985</v>
      </c>
      <c r="MN124" s="25">
        <v>1972.2999253493106</v>
      </c>
      <c r="MO124" s="25">
        <v>1418.3477282984506</v>
      </c>
      <c r="MP124" s="25">
        <v>1624.001239574485</v>
      </c>
      <c r="MQ124" s="25">
        <v>2141.3787479907678</v>
      </c>
      <c r="MR124" s="25">
        <v>3215.3023431752613</v>
      </c>
      <c r="MS124" s="25">
        <v>3794.5432331325883</v>
      </c>
      <c r="MT124" s="25">
        <v>4425.0849900099984</v>
      </c>
      <c r="MU124" s="25">
        <v>4884.4996897158208</v>
      </c>
      <c r="MV124" s="25">
        <v>5251.096415792902</v>
      </c>
      <c r="MW124" s="25">
        <v>4866.8402921505003</v>
      </c>
      <c r="MX124" s="25">
        <v>3769.7672369303364</v>
      </c>
      <c r="MY124" s="25">
        <v>3034.3121188795985</v>
      </c>
      <c r="MZ124" s="25">
        <v>1972.2999253493106</v>
      </c>
      <c r="NA124" s="25">
        <v>1418.3477282984506</v>
      </c>
      <c r="NB124" s="25">
        <v>1624.001239574485</v>
      </c>
      <c r="NC124" s="25">
        <v>2141.3787479907678</v>
      </c>
      <c r="ND124" s="25">
        <v>3215.3023431752613</v>
      </c>
      <c r="NE124" s="25">
        <v>3794.5432331325883</v>
      </c>
      <c r="NF124" s="25">
        <v>4425.0849900099984</v>
      </c>
      <c r="NG124" s="25">
        <v>4884.4996897158208</v>
      </c>
      <c r="NH124" s="25">
        <v>5251.096415792902</v>
      </c>
      <c r="NI124" s="25">
        <v>4866.8402921505003</v>
      </c>
      <c r="NJ124" s="25">
        <v>3769.7672369303364</v>
      </c>
      <c r="NK124" s="25">
        <v>3034.3121188795985</v>
      </c>
      <c r="NL124" s="25">
        <v>1972.2999253493106</v>
      </c>
      <c r="NM124" s="25">
        <v>1418.3477282984506</v>
      </c>
      <c r="NN124" s="25">
        <v>1624.001239574485</v>
      </c>
      <c r="NO124" s="25">
        <v>2141.3787479907678</v>
      </c>
      <c r="NP124" s="25">
        <v>3215.3023431752613</v>
      </c>
      <c r="NQ124" s="25">
        <v>3794.5432331325883</v>
      </c>
      <c r="NR124" s="25">
        <v>4425.0849900099984</v>
      </c>
      <c r="NS124" s="25">
        <v>4884.4996897158208</v>
      </c>
      <c r="NT124" s="25">
        <v>5251.096415792902</v>
      </c>
      <c r="NU124" s="25">
        <v>4866.8402921505003</v>
      </c>
      <c r="NV124" s="25">
        <v>3769.7672369303364</v>
      </c>
      <c r="NW124" s="25">
        <v>3034.3121188795985</v>
      </c>
      <c r="NX124" s="25">
        <v>1972.2999253493106</v>
      </c>
      <c r="NY124" s="25">
        <v>1418.3477282984506</v>
      </c>
      <c r="NZ124" s="25">
        <v>1624.001239574485</v>
      </c>
      <c r="OA124" s="25">
        <v>2141.3787479907678</v>
      </c>
      <c r="OB124" s="25">
        <v>3215.3023431752613</v>
      </c>
      <c r="OC124" s="25">
        <v>3794.5432331325883</v>
      </c>
      <c r="OD124" s="25">
        <v>4425.0849900099984</v>
      </c>
      <c r="OE124">
        <v>4884.4996897158208</v>
      </c>
      <c r="OF124">
        <v>5251.096415792902</v>
      </c>
      <c r="OG124">
        <v>4866.8402921505003</v>
      </c>
      <c r="OH124">
        <v>3769.7672369303364</v>
      </c>
      <c r="OI124">
        <v>3034.3121188795985</v>
      </c>
      <c r="OJ124">
        <v>1972.2999253493106</v>
      </c>
      <c r="OK124">
        <v>1418.3477282984506</v>
      </c>
    </row>
    <row r="125" spans="1:401" outlineLevel="1" x14ac:dyDescent="0.3">
      <c r="E125" s="6"/>
      <c r="F125" s="19"/>
      <c r="J125" s="65"/>
      <c r="K125" s="55"/>
      <c r="L125" s="66"/>
      <c r="M125" s="25" t="s">
        <v>314</v>
      </c>
      <c r="N125" s="25"/>
      <c r="O125" s="27" t="s">
        <v>31</v>
      </c>
      <c r="P125" s="51" cm="1">
        <f t="array" ref="P125:OK125">(E57)^(((_xlfn.ANCHORARRAY(P3)-E59+1)+ABS(_xlfn.ANCHORARRAY(P3)-E59+1))/2)</f>
        <v>1</v>
      </c>
      <c r="Q125" s="51">
        <v>1</v>
      </c>
      <c r="R125" s="51">
        <v>1</v>
      </c>
      <c r="S125" s="51">
        <v>1</v>
      </c>
      <c r="T125" s="51">
        <v>1</v>
      </c>
      <c r="U125" s="51">
        <v>1</v>
      </c>
      <c r="V125" s="51">
        <v>1</v>
      </c>
      <c r="W125" s="51">
        <v>1</v>
      </c>
      <c r="X125" s="51">
        <v>1</v>
      </c>
      <c r="Y125" s="51">
        <v>1</v>
      </c>
      <c r="Z125" s="51">
        <v>1</v>
      </c>
      <c r="AA125" s="51">
        <v>1</v>
      </c>
      <c r="AB125" s="51">
        <v>1</v>
      </c>
      <c r="AC125" s="51">
        <v>1</v>
      </c>
      <c r="AD125" s="51">
        <v>1</v>
      </c>
      <c r="AE125" s="51">
        <v>1</v>
      </c>
      <c r="AF125" s="51">
        <v>1</v>
      </c>
      <c r="AG125" s="51">
        <v>1</v>
      </c>
      <c r="AH125" s="51">
        <v>1</v>
      </c>
      <c r="AI125" s="51">
        <v>1</v>
      </c>
      <c r="AJ125" s="51">
        <v>1</v>
      </c>
      <c r="AK125" s="51">
        <v>1</v>
      </c>
      <c r="AL125" s="51">
        <v>1</v>
      </c>
      <c r="AM125" s="51">
        <v>1</v>
      </c>
      <c r="AN125" s="51">
        <v>1</v>
      </c>
      <c r="AO125" s="51">
        <v>1</v>
      </c>
      <c r="AP125" s="51">
        <v>1</v>
      </c>
      <c r="AQ125" s="51">
        <v>1</v>
      </c>
      <c r="AR125" s="51">
        <v>0.9996666666666667</v>
      </c>
      <c r="AS125" s="51">
        <v>0.9993334444444445</v>
      </c>
      <c r="AT125" s="51">
        <v>0.99900033329629634</v>
      </c>
      <c r="AU125" s="51">
        <v>0.99866733318519763</v>
      </c>
      <c r="AV125" s="51">
        <v>0.99833444407413596</v>
      </c>
      <c r="AW125" s="51">
        <v>0.99800166592611128</v>
      </c>
      <c r="AX125" s="51">
        <v>0.99766899870413583</v>
      </c>
      <c r="AY125" s="51">
        <v>0.99733644237123453</v>
      </c>
      <c r="AZ125" s="51">
        <v>0.99700399689044417</v>
      </c>
      <c r="BA125" s="51">
        <v>0.99667166222481407</v>
      </c>
      <c r="BB125" s="51">
        <v>0.99633943833740579</v>
      </c>
      <c r="BC125" s="51">
        <v>0.99600732519129331</v>
      </c>
      <c r="BD125" s="51">
        <v>0.99567532274956294</v>
      </c>
      <c r="BE125" s="51">
        <v>0.99534343097531319</v>
      </c>
      <c r="BF125" s="51">
        <v>0.99501164983165458</v>
      </c>
      <c r="BG125" s="51">
        <v>0.99467997928171081</v>
      </c>
      <c r="BH125" s="51">
        <v>0.99434841928861695</v>
      </c>
      <c r="BI125" s="51">
        <v>0.99401696981552079</v>
      </c>
      <c r="BJ125" s="51">
        <v>0.99368563082558226</v>
      </c>
      <c r="BK125" s="51">
        <v>0.9933544022819738</v>
      </c>
      <c r="BL125" s="51">
        <v>0.99302328414787988</v>
      </c>
      <c r="BM125" s="51">
        <v>0.99269227638649726</v>
      </c>
      <c r="BN125" s="51">
        <v>0.99236137896103505</v>
      </c>
      <c r="BO125" s="51">
        <v>0.99203059183471476</v>
      </c>
      <c r="BP125" s="51">
        <v>0.99169991497076992</v>
      </c>
      <c r="BQ125" s="51">
        <v>0.99136934833244639</v>
      </c>
      <c r="BR125" s="51">
        <v>0.9910388918830022</v>
      </c>
      <c r="BS125" s="51">
        <v>0.99070854558570787</v>
      </c>
      <c r="BT125" s="51">
        <v>0.99037830940384597</v>
      </c>
      <c r="BU125" s="51">
        <v>0.99004818330071154</v>
      </c>
      <c r="BV125" s="51">
        <v>0.98971816723961104</v>
      </c>
      <c r="BW125" s="51">
        <v>0.98938826118386469</v>
      </c>
      <c r="BX125" s="51">
        <v>0.9890584650968034</v>
      </c>
      <c r="BY125" s="51">
        <v>0.98872877894177114</v>
      </c>
      <c r="BZ125" s="51">
        <v>0.98839920268212389</v>
      </c>
      <c r="CA125" s="51">
        <v>0.98806973628122996</v>
      </c>
      <c r="CB125" s="51">
        <v>0.98774037970246964</v>
      </c>
      <c r="CC125" s="51">
        <v>0.98741113290923543</v>
      </c>
      <c r="CD125" s="51">
        <v>0.98708199586493228</v>
      </c>
      <c r="CE125" s="51">
        <v>0.98675296853297745</v>
      </c>
      <c r="CF125" s="51">
        <v>0.98642405087679974</v>
      </c>
      <c r="CG125" s="51">
        <v>0.98609524285984096</v>
      </c>
      <c r="CH125" s="51">
        <v>0.98576654444555434</v>
      </c>
      <c r="CI125" s="51">
        <v>0.98543795559740577</v>
      </c>
      <c r="CJ125" s="51">
        <v>0.98510947627887335</v>
      </c>
      <c r="CK125" s="51">
        <v>0.98478110645344719</v>
      </c>
      <c r="CL125" s="51">
        <v>0.98445284608462913</v>
      </c>
      <c r="CM125" s="51">
        <v>0.98412469513593437</v>
      </c>
      <c r="CN125" s="51">
        <v>0.98379665357088919</v>
      </c>
      <c r="CO125" s="51">
        <v>0.9834687213530322</v>
      </c>
      <c r="CP125" s="51">
        <v>0.98314089844591457</v>
      </c>
      <c r="CQ125" s="51">
        <v>0.98281318481309932</v>
      </c>
      <c r="CR125" s="51">
        <v>0.9824855804181617</v>
      </c>
      <c r="CS125" s="51">
        <v>0.98215808522468895</v>
      </c>
      <c r="CT125" s="51">
        <v>0.98183069919628063</v>
      </c>
      <c r="CU125" s="51">
        <v>0.98150342229654863</v>
      </c>
      <c r="CV125" s="51">
        <v>0.98117625448911649</v>
      </c>
      <c r="CW125" s="51">
        <v>0.98084919573762019</v>
      </c>
      <c r="CX125" s="51">
        <v>0.98052224600570759</v>
      </c>
      <c r="CY125" s="51">
        <v>0.98019540525703908</v>
      </c>
      <c r="CZ125" s="51">
        <v>0.97986867345528672</v>
      </c>
      <c r="DA125" s="51">
        <v>0.97954205056413512</v>
      </c>
      <c r="DB125" s="51">
        <v>0.97921553654728011</v>
      </c>
      <c r="DC125" s="51">
        <v>0.97888913136843125</v>
      </c>
      <c r="DD125" s="51">
        <v>0.97856283499130847</v>
      </c>
      <c r="DE125" s="51">
        <v>0.97823664737964477</v>
      </c>
      <c r="DF125" s="51">
        <v>0.97791056849718483</v>
      </c>
      <c r="DG125" s="51">
        <v>0.97758459830768585</v>
      </c>
      <c r="DH125" s="51">
        <v>0.9772587367749167</v>
      </c>
      <c r="DI125" s="51">
        <v>0.97693298386265837</v>
      </c>
      <c r="DJ125" s="51">
        <v>0.97660733953470413</v>
      </c>
      <c r="DK125" s="51">
        <v>0.97628180375485929</v>
      </c>
      <c r="DL125" s="51">
        <v>0.975956376486941</v>
      </c>
      <c r="DM125" s="51">
        <v>0.97563105769477876</v>
      </c>
      <c r="DN125" s="51">
        <v>0.97530584734221382</v>
      </c>
      <c r="DO125" s="51">
        <v>0.97498074539309976</v>
      </c>
      <c r="DP125" s="51">
        <v>0.97465575181130215</v>
      </c>
      <c r="DQ125" s="51">
        <v>0.97433086656069845</v>
      </c>
      <c r="DR125" s="51">
        <v>0.97400608960517798</v>
      </c>
      <c r="DS125" s="51">
        <v>0.97368142090864307</v>
      </c>
      <c r="DT125" s="51">
        <v>0.97335686043500691</v>
      </c>
      <c r="DU125" s="51">
        <v>0.97303240814819525</v>
      </c>
      <c r="DV125" s="51">
        <v>0.97270806401214582</v>
      </c>
      <c r="DW125" s="51">
        <v>0.97238382799080858</v>
      </c>
      <c r="DX125" s="51">
        <v>0.97205970004814501</v>
      </c>
      <c r="DY125" s="51">
        <v>0.97173568014812894</v>
      </c>
      <c r="DZ125" s="51">
        <v>0.97141176825474618</v>
      </c>
      <c r="EA125" s="51">
        <v>0.97108796433199474</v>
      </c>
      <c r="EB125" s="51">
        <v>0.97076426834388407</v>
      </c>
      <c r="EC125" s="51">
        <v>0.97044068025443619</v>
      </c>
      <c r="ED125" s="51">
        <v>0.97011720002768465</v>
      </c>
      <c r="EE125" s="51">
        <v>0.96979382762767541</v>
      </c>
      <c r="EF125" s="51">
        <v>0.96947056301846624</v>
      </c>
      <c r="EG125" s="51">
        <v>0.96914740616412687</v>
      </c>
      <c r="EH125" s="51">
        <v>0.96882435702873859</v>
      </c>
      <c r="EI125" s="51">
        <v>0.96850141557639591</v>
      </c>
      <c r="EJ125" s="51">
        <v>0.96817858177120375</v>
      </c>
      <c r="EK125" s="51">
        <v>0.96785585557728004</v>
      </c>
      <c r="EL125" s="51">
        <v>0.96753323695875426</v>
      </c>
      <c r="EM125" s="51">
        <v>0.96721072587976809</v>
      </c>
      <c r="EN125" s="51">
        <v>0.96688832230447497</v>
      </c>
      <c r="EO125" s="51">
        <v>0.96656602619704013</v>
      </c>
      <c r="EP125" s="51">
        <v>0.966243837521641</v>
      </c>
      <c r="EQ125" s="51">
        <v>0.96592175624246723</v>
      </c>
      <c r="ER125" s="51">
        <v>0.96559978232371979</v>
      </c>
      <c r="ES125" s="51">
        <v>0.96527791572961197</v>
      </c>
      <c r="ET125" s="51">
        <v>0.96495615642436872</v>
      </c>
      <c r="EU125" s="51">
        <v>0.96463450437222731</v>
      </c>
      <c r="EV125" s="51">
        <v>0.96431295953743656</v>
      </c>
      <c r="EW125" s="51">
        <v>0.96399152188425752</v>
      </c>
      <c r="EX125" s="51">
        <v>0.96367019137696253</v>
      </c>
      <c r="EY125" s="51">
        <v>0.96334896797983705</v>
      </c>
      <c r="EZ125" s="51">
        <v>0.96302785165717719</v>
      </c>
      <c r="FA125" s="51">
        <v>0.9627068423732914</v>
      </c>
      <c r="FB125" s="51">
        <v>0.96238594009250045</v>
      </c>
      <c r="FC125" s="51">
        <v>0.96206514477913629</v>
      </c>
      <c r="FD125" s="51">
        <v>0.96174445639754336</v>
      </c>
      <c r="FE125" s="51">
        <v>0.96142387491207748</v>
      </c>
      <c r="FF125" s="51">
        <v>0.96110340028710661</v>
      </c>
      <c r="FG125" s="51">
        <v>0.96078303248701102</v>
      </c>
      <c r="FH125" s="51">
        <v>0.96046277147618209</v>
      </c>
      <c r="FI125" s="51">
        <v>0.96014261721902339</v>
      </c>
      <c r="FJ125" s="51">
        <v>0.95982256967995039</v>
      </c>
      <c r="FK125" s="51">
        <v>0.95950262882339044</v>
      </c>
      <c r="FL125" s="51">
        <v>0.95918279461378264</v>
      </c>
      <c r="FM125" s="51">
        <v>0.95886306701557822</v>
      </c>
      <c r="FN125" s="51">
        <v>0.95854344599323937</v>
      </c>
      <c r="FO125" s="51">
        <v>0.95822393151124186</v>
      </c>
      <c r="FP125" s="51">
        <v>0.95790452353407152</v>
      </c>
      <c r="FQ125" s="51">
        <v>0.95758522202622676</v>
      </c>
      <c r="FR125" s="51">
        <v>0.95726602695221807</v>
      </c>
      <c r="FS125" s="51">
        <v>0.9569469382765674</v>
      </c>
      <c r="FT125" s="51">
        <v>0.95662795596380856</v>
      </c>
      <c r="FU125" s="51">
        <v>0.95630907997848735</v>
      </c>
      <c r="FV125" s="51">
        <v>0.95599031028516113</v>
      </c>
      <c r="FW125" s="51">
        <v>0.95567164684839945</v>
      </c>
      <c r="FX125" s="51">
        <v>0.95535308963278331</v>
      </c>
      <c r="FY125" s="51">
        <v>0.95503463860290583</v>
      </c>
      <c r="FZ125" s="51">
        <v>0.95471629372337152</v>
      </c>
      <c r="GA125" s="51">
        <v>0.95439805495879704</v>
      </c>
      <c r="GB125" s="51">
        <v>0.95407992227381078</v>
      </c>
      <c r="GC125" s="51">
        <v>0.95376189563305303</v>
      </c>
      <c r="GD125" s="51">
        <v>0.95344397500117517</v>
      </c>
      <c r="GE125" s="51">
        <v>0.95312616034284148</v>
      </c>
      <c r="GF125" s="51">
        <v>0.95280845162272731</v>
      </c>
      <c r="GG125" s="51">
        <v>0.95249084880551971</v>
      </c>
      <c r="GH125" s="51">
        <v>0.95217335185591789</v>
      </c>
      <c r="GI125" s="51">
        <v>0.95185596073863266</v>
      </c>
      <c r="GJ125" s="51">
        <v>0.95153867541838655</v>
      </c>
      <c r="GK125" s="51">
        <v>0.95122149585991378</v>
      </c>
      <c r="GL125" s="51">
        <v>0.95090442202796033</v>
      </c>
      <c r="GM125" s="51">
        <v>0.95058745388728438</v>
      </c>
      <c r="GN125" s="51">
        <v>0.95027059140265546</v>
      </c>
      <c r="GO125" s="51">
        <v>0.94995383453885462</v>
      </c>
      <c r="GP125" s="51">
        <v>0.94963718326067492</v>
      </c>
      <c r="GQ125" s="51">
        <v>0.9493206375329214</v>
      </c>
      <c r="GR125" s="51">
        <v>0.94900419732041041</v>
      </c>
      <c r="GS125" s="51">
        <v>0.94868786258797044</v>
      </c>
      <c r="GT125" s="51">
        <v>0.94837163330044083</v>
      </c>
      <c r="GU125" s="51">
        <v>0.94805550942267425</v>
      </c>
      <c r="GV125" s="51">
        <v>0.94773949091953336</v>
      </c>
      <c r="GW125" s="51">
        <v>0.94742357775589348</v>
      </c>
      <c r="GX125" s="51">
        <v>0.94710776989664158</v>
      </c>
      <c r="GY125" s="51">
        <v>0.94679206730667609</v>
      </c>
      <c r="GZ125" s="51">
        <v>0.94647646995090728</v>
      </c>
      <c r="HA125" s="51">
        <v>0.9461609777942569</v>
      </c>
      <c r="HB125" s="51">
        <v>0.94584559080165875</v>
      </c>
      <c r="HC125" s="51">
        <v>0.94553030893805834</v>
      </c>
      <c r="HD125" s="51">
        <v>0.94521513216841235</v>
      </c>
      <c r="HE125" s="51">
        <v>0.94490006045768959</v>
      </c>
      <c r="HF125" s="51">
        <v>0.94458509377087041</v>
      </c>
      <c r="HG125" s="51">
        <v>0.94427023207294669</v>
      </c>
      <c r="HH125" s="51">
        <v>0.94395547532892243</v>
      </c>
      <c r="HI125" s="51">
        <v>0.94364082350381295</v>
      </c>
      <c r="HJ125" s="51">
        <v>0.94332627656264478</v>
      </c>
      <c r="HK125" s="51">
        <v>0.94301183447045733</v>
      </c>
      <c r="HL125" s="51">
        <v>0.94269749719230067</v>
      </c>
      <c r="HM125" s="51">
        <v>0.94238326469323652</v>
      </c>
      <c r="HN125" s="51">
        <v>0.94206913693833882</v>
      </c>
      <c r="HO125" s="51">
        <v>0.94175511389269273</v>
      </c>
      <c r="HP125" s="51">
        <v>0.94144119552139527</v>
      </c>
      <c r="HQ125" s="51">
        <v>0.9411273817895548</v>
      </c>
      <c r="HR125" s="51">
        <v>0.94081367266229154</v>
      </c>
      <c r="HS125" s="51">
        <v>0.94050006810473752</v>
      </c>
      <c r="HT125" s="51">
        <v>0.94018656808203593</v>
      </c>
      <c r="HU125" s="51">
        <v>0.939873172559342</v>
      </c>
      <c r="HV125" s="51">
        <v>0.93955988150182224</v>
      </c>
      <c r="HW125" s="51">
        <v>0.93924669487465495</v>
      </c>
      <c r="HX125" s="51">
        <v>0.9389336126430301</v>
      </c>
      <c r="HY125" s="51">
        <v>0.93862063477214919</v>
      </c>
      <c r="HZ125" s="51">
        <v>0.93830776122722492</v>
      </c>
      <c r="IA125" s="51">
        <v>0.93799499197348268</v>
      </c>
      <c r="IB125" s="51">
        <v>0.93768232697615828</v>
      </c>
      <c r="IC125" s="51">
        <v>0.93736976620049961</v>
      </c>
      <c r="ID125" s="51">
        <v>0.93705730961176603</v>
      </c>
      <c r="IE125" s="51">
        <v>0.93674495717522888</v>
      </c>
      <c r="IF125" s="51">
        <v>0.93643270885617047</v>
      </c>
      <c r="IG125" s="51">
        <v>0.93612056461988513</v>
      </c>
      <c r="IH125" s="51">
        <v>0.9358085244316785</v>
      </c>
      <c r="II125" s="51">
        <v>0.93549658825686799</v>
      </c>
      <c r="IJ125" s="51">
        <v>0.93518475606078233</v>
      </c>
      <c r="IK125" s="51">
        <v>0.93487302780876214</v>
      </c>
      <c r="IL125" s="51">
        <v>0.93456140346615924</v>
      </c>
      <c r="IM125" s="51">
        <v>0.93424988299833711</v>
      </c>
      <c r="IN125" s="51">
        <v>0.93393846637067113</v>
      </c>
      <c r="IO125" s="51">
        <v>0.93362715354854764</v>
      </c>
      <c r="IP125" s="51">
        <v>0.93331594449736455</v>
      </c>
      <c r="IQ125" s="51">
        <v>0.9330048391825323</v>
      </c>
      <c r="IR125" s="51">
        <v>0.93269383756947144</v>
      </c>
      <c r="IS125" s="51">
        <v>0.93238293962361496</v>
      </c>
      <c r="IT125" s="51">
        <v>0.93207214531040705</v>
      </c>
      <c r="IU125" s="51">
        <v>0.9317614545953038</v>
      </c>
      <c r="IV125" s="51">
        <v>0.93145086744377203</v>
      </c>
      <c r="IW125" s="51">
        <v>0.93114038382129072</v>
      </c>
      <c r="IX125" s="51">
        <v>0.93083000369335023</v>
      </c>
      <c r="IY125" s="51">
        <v>0.9305197270254526</v>
      </c>
      <c r="IZ125" s="51">
        <v>0.93020955378311077</v>
      </c>
      <c r="JA125" s="51">
        <v>0.92989948393184985</v>
      </c>
      <c r="JB125" s="51">
        <v>0.92958951743720586</v>
      </c>
      <c r="JC125" s="51">
        <v>0.9292796542647267</v>
      </c>
      <c r="JD125" s="51">
        <v>0.92896989437997191</v>
      </c>
      <c r="JE125" s="51">
        <v>0.92866023774851203</v>
      </c>
      <c r="JF125" s="51">
        <v>0.92835068433592893</v>
      </c>
      <c r="JG125" s="51">
        <v>0.92804123410781714</v>
      </c>
      <c r="JH125" s="51">
        <v>0.92773188702978127</v>
      </c>
      <c r="JI125" s="51">
        <v>0.92742264306743794</v>
      </c>
      <c r="JJ125" s="51">
        <v>0.92711350218641553</v>
      </c>
      <c r="JK125" s="51">
        <v>0.92680446435235342</v>
      </c>
      <c r="JL125" s="51">
        <v>0.92649552953090275</v>
      </c>
      <c r="JM125" s="51">
        <v>0.92618669768772577</v>
      </c>
      <c r="JN125" s="51">
        <v>0.92587796878849649</v>
      </c>
      <c r="JO125" s="51">
        <v>0.92556934279890035</v>
      </c>
      <c r="JP125" s="51">
        <v>0.92526081968463414</v>
      </c>
      <c r="JQ125" s="51">
        <v>0.92495239941140595</v>
      </c>
      <c r="JR125" s="51">
        <v>0.92464408194493553</v>
      </c>
      <c r="JS125" s="51">
        <v>0.92433586725095385</v>
      </c>
      <c r="JT125" s="51">
        <v>0.92402775529520353</v>
      </c>
      <c r="JU125" s="51">
        <v>0.92371974604343854</v>
      </c>
      <c r="JV125" s="51">
        <v>0.92341183946142391</v>
      </c>
      <c r="JW125" s="51">
        <v>0.92310403551493692</v>
      </c>
      <c r="JX125" s="51">
        <v>0.92279633416976536</v>
      </c>
      <c r="JY125" s="51">
        <v>0.92248873539170873</v>
      </c>
      <c r="JZ125" s="51">
        <v>0.92218123914657824</v>
      </c>
      <c r="KA125" s="51">
        <v>0.92187384540019612</v>
      </c>
      <c r="KB125" s="51">
        <v>0.92156655411839616</v>
      </c>
      <c r="KC125" s="51">
        <v>0.92125936526702323</v>
      </c>
      <c r="KD125" s="51">
        <v>0.92095227881193409</v>
      </c>
      <c r="KE125" s="51">
        <v>0.92064529471899692</v>
      </c>
      <c r="KF125" s="51">
        <v>0.92033841295409069</v>
      </c>
      <c r="KG125" s="51">
        <v>0.92003163348310601</v>
      </c>
      <c r="KH125" s="51">
        <v>0.91972495627194495</v>
      </c>
      <c r="KI125" s="51">
        <v>0.91941838128652098</v>
      </c>
      <c r="KJ125" s="51">
        <v>0.91911190849275881</v>
      </c>
      <c r="KK125" s="51">
        <v>0.91880553785659469</v>
      </c>
      <c r="KL125" s="51">
        <v>0.91849926934397552</v>
      </c>
      <c r="KM125" s="51">
        <v>0.91819310292086109</v>
      </c>
      <c r="KN125" s="51">
        <v>0.91788703855322085</v>
      </c>
      <c r="KO125" s="51">
        <v>0.91758107620703644</v>
      </c>
      <c r="KP125" s="51">
        <v>0.91727521584830074</v>
      </c>
      <c r="KQ125" s="51">
        <v>0.91696945744301805</v>
      </c>
      <c r="KR125" s="51">
        <v>0.91666380095720379</v>
      </c>
      <c r="KS125" s="51">
        <v>0.91635824635688468</v>
      </c>
      <c r="KT125" s="51">
        <v>0.91605279360809899</v>
      </c>
      <c r="KU125" s="51">
        <v>0.91574744267689645</v>
      </c>
      <c r="KV125" s="51">
        <v>0.91544219352933742</v>
      </c>
      <c r="KW125" s="51">
        <v>0.91513704613149438</v>
      </c>
      <c r="KX125" s="51">
        <v>0.91483200044945057</v>
      </c>
      <c r="KY125" s="51">
        <v>0.91452705644930077</v>
      </c>
      <c r="KZ125" s="51">
        <v>0.91422221409715099</v>
      </c>
      <c r="LA125" s="51">
        <v>0.91391747335911877</v>
      </c>
      <c r="LB125" s="51">
        <v>0.91361283420133221</v>
      </c>
      <c r="LC125" s="51">
        <v>0.91330829658993185</v>
      </c>
      <c r="LD125" s="51">
        <v>0.91300386049106863</v>
      </c>
      <c r="LE125" s="51">
        <v>0.91269952587090497</v>
      </c>
      <c r="LF125" s="51">
        <v>0.91239529269561459</v>
      </c>
      <c r="LG125" s="51">
        <v>0.91209116093138287</v>
      </c>
      <c r="LH125" s="51">
        <v>0.91178713054440574</v>
      </c>
      <c r="LI125" s="51">
        <v>0.91148320150089102</v>
      </c>
      <c r="LJ125" s="51">
        <v>0.91117937376705727</v>
      </c>
      <c r="LK125" s="51">
        <v>0.91087564730913495</v>
      </c>
      <c r="LL125" s="51">
        <v>0.9105720220933653</v>
      </c>
      <c r="LM125" s="51">
        <v>0.91026849808600097</v>
      </c>
      <c r="LN125" s="51">
        <v>0.90996507525330561</v>
      </c>
      <c r="LO125" s="51">
        <v>0.90966175356155443</v>
      </c>
      <c r="LP125" s="51">
        <v>0.90935853297703395</v>
      </c>
      <c r="LQ125" s="51">
        <v>0.9090554134660418</v>
      </c>
      <c r="LR125" s="51">
        <v>0.90875239499488614</v>
      </c>
      <c r="LS125" s="51">
        <v>0.90844947752988803</v>
      </c>
      <c r="LT125" s="51">
        <v>0.90814666103737807</v>
      </c>
      <c r="LU125" s="51">
        <v>0.90784394548369896</v>
      </c>
      <c r="LV125" s="51">
        <v>0.90754133083520439</v>
      </c>
      <c r="LW125" s="51">
        <v>0.90723881705825948</v>
      </c>
      <c r="LX125" s="51">
        <v>0.90693640411924015</v>
      </c>
      <c r="LY125" s="51">
        <v>0.90663409198453371</v>
      </c>
      <c r="LZ125" s="51">
        <v>0.90633188062053871</v>
      </c>
      <c r="MA125" s="51">
        <v>0.90602976999366536</v>
      </c>
      <c r="MB125" s="51">
        <v>0.90572776007033406</v>
      </c>
      <c r="MC125" s="51">
        <v>0.90542585081697746</v>
      </c>
      <c r="MD125" s="51">
        <v>0.9051240422000385</v>
      </c>
      <c r="ME125" s="51">
        <v>0.90482233418597169</v>
      </c>
      <c r="MF125" s="51">
        <v>0.90452072674124318</v>
      </c>
      <c r="MG125" s="51">
        <v>0.90421921983232945</v>
      </c>
      <c r="MH125" s="51">
        <v>0.90391781342571853</v>
      </c>
      <c r="MI125" s="51">
        <v>0.90361650748791</v>
      </c>
      <c r="MJ125" s="51">
        <v>0.90331530198541421</v>
      </c>
      <c r="MK125" s="51">
        <v>0.90301419688475237</v>
      </c>
      <c r="ML125" s="51">
        <v>0.90271319215245749</v>
      </c>
      <c r="MM125" s="51">
        <v>0.90241228775507343</v>
      </c>
      <c r="MN125" s="51">
        <v>0.90211148365915506</v>
      </c>
      <c r="MO125" s="51">
        <v>0.90181077983126867</v>
      </c>
      <c r="MP125" s="51">
        <v>0.90151017623799146</v>
      </c>
      <c r="MQ125" s="51">
        <v>0.90120967284591225</v>
      </c>
      <c r="MR125" s="51">
        <v>0.90090926962163032</v>
      </c>
      <c r="MS125" s="51">
        <v>0.90060896653175648</v>
      </c>
      <c r="MT125" s="51">
        <v>0.90030876354291256</v>
      </c>
      <c r="MU125" s="51">
        <v>0.90000866062173168</v>
      </c>
      <c r="MV125" s="51">
        <v>0.89970865773485775</v>
      </c>
      <c r="MW125" s="51">
        <v>0.89940875484894622</v>
      </c>
      <c r="MX125" s="51">
        <v>0.89910895193066298</v>
      </c>
      <c r="MY125" s="51">
        <v>0.89880924894668635</v>
      </c>
      <c r="MZ125" s="51">
        <v>0.89850964586370408</v>
      </c>
      <c r="NA125" s="51">
        <v>0.89821014264841625</v>
      </c>
      <c r="NB125" s="51">
        <v>0.8979107392675334</v>
      </c>
      <c r="NC125" s="51">
        <v>0.89761143568777768</v>
      </c>
      <c r="ND125" s="51">
        <v>0.89731223187588183</v>
      </c>
      <c r="NE125" s="51">
        <v>0.89701312779858977</v>
      </c>
      <c r="NF125" s="51">
        <v>0.89671412342265688</v>
      </c>
      <c r="NG125" s="51">
        <v>0.89641521871484942</v>
      </c>
      <c r="NH125" s="51">
        <v>0.8961164136419445</v>
      </c>
      <c r="NI125" s="51">
        <v>0.89581770817073059</v>
      </c>
      <c r="NJ125" s="51">
        <v>0.89551910226800702</v>
      </c>
      <c r="NK125" s="51">
        <v>0.89522059590058434</v>
      </c>
      <c r="NL125" s="51">
        <v>0.8949221890352842</v>
      </c>
      <c r="NM125" s="51">
        <v>0.89462388163893913</v>
      </c>
      <c r="NN125" s="51">
        <v>0.89432567367839266</v>
      </c>
      <c r="NO125" s="51">
        <v>0.89402756512049997</v>
      </c>
      <c r="NP125" s="51">
        <v>0.89372955593212655</v>
      </c>
      <c r="NQ125" s="51">
        <v>0.89343164608014913</v>
      </c>
      <c r="NR125" s="51">
        <v>0.89313383553145576</v>
      </c>
      <c r="NS125" s="51">
        <v>0.89283612425294534</v>
      </c>
      <c r="NT125" s="51">
        <v>0.8925385122115278</v>
      </c>
      <c r="NU125" s="51">
        <v>0.89224099937412393</v>
      </c>
      <c r="NV125" s="51">
        <v>0.89194358570766585</v>
      </c>
      <c r="NW125" s="51">
        <v>0.89164627117909678</v>
      </c>
      <c r="NX125" s="51">
        <v>0.89134905575537038</v>
      </c>
      <c r="NY125" s="51">
        <v>0.89105193940345195</v>
      </c>
      <c r="NZ125" s="51">
        <v>0.89075492209031748</v>
      </c>
      <c r="OA125" s="51">
        <v>0.89045800378295403</v>
      </c>
      <c r="OB125" s="51">
        <v>0.89016118444835968</v>
      </c>
      <c r="OC125" s="51">
        <v>0.88986446405354369</v>
      </c>
      <c r="OD125" s="51">
        <v>0.88956784256552568</v>
      </c>
      <c r="OE125">
        <v>0.88927131995133735</v>
      </c>
      <c r="OF125">
        <v>0.88897489617802017</v>
      </c>
      <c r="OG125">
        <v>0.88867857121262761</v>
      </c>
      <c r="OH125">
        <v>0.88838234502222335</v>
      </c>
      <c r="OI125">
        <v>0.88808621757388262</v>
      </c>
      <c r="OJ125">
        <v>0.88779018883469152</v>
      </c>
      <c r="OK125">
        <v>0.88749425877174659</v>
      </c>
    </row>
    <row r="126" spans="1:401" x14ac:dyDescent="0.3">
      <c r="E126" s="6"/>
      <c r="F126" s="19"/>
      <c r="J126" s="69"/>
      <c r="K126" s="70"/>
      <c r="L126" s="71"/>
      <c r="M126" s="75" t="s">
        <v>76</v>
      </c>
      <c r="N126" s="5"/>
      <c r="O126" s="81" t="s">
        <v>14</v>
      </c>
      <c r="P126" s="83" cm="1">
        <f t="array" ref="P126:OK126">_xlfn.ANCHORARRAY(P124)*_xlfn.ANCHORARRAY(P125)</f>
        <v>1972.2999253493106</v>
      </c>
      <c r="Q126" s="83">
        <v>1418.3477282984506</v>
      </c>
      <c r="R126" s="83">
        <v>1624.001239574485</v>
      </c>
      <c r="S126" s="83">
        <v>2141.3787479907678</v>
      </c>
      <c r="T126" s="83">
        <v>3215.3023431752613</v>
      </c>
      <c r="U126" s="83">
        <v>3794.5432331325883</v>
      </c>
      <c r="V126" s="83">
        <v>4425.0849900099984</v>
      </c>
      <c r="W126" s="83">
        <v>4884.4996897158208</v>
      </c>
      <c r="X126" s="83">
        <v>5251.096415792902</v>
      </c>
      <c r="Y126" s="83">
        <v>4866.8402921505003</v>
      </c>
      <c r="Z126" s="83">
        <v>3769.7672369303364</v>
      </c>
      <c r="AA126" s="83">
        <v>3034.3121188795985</v>
      </c>
      <c r="AB126" s="83">
        <v>1972.2999253493106</v>
      </c>
      <c r="AC126" s="83">
        <v>1418.3477282984506</v>
      </c>
      <c r="AD126" s="83">
        <v>1624.001239574485</v>
      </c>
      <c r="AE126" s="83">
        <v>2141.3787479907678</v>
      </c>
      <c r="AF126" s="83">
        <v>3215.3023431752613</v>
      </c>
      <c r="AG126" s="83">
        <v>3794.5432331325883</v>
      </c>
      <c r="AH126" s="83">
        <v>4425.0849900099984</v>
      </c>
      <c r="AI126" s="83">
        <v>4884.4996897158208</v>
      </c>
      <c r="AJ126" s="83">
        <v>5251.096415792902</v>
      </c>
      <c r="AK126" s="83">
        <v>4866.8402921505003</v>
      </c>
      <c r="AL126" s="83">
        <v>3769.7672369303364</v>
      </c>
      <c r="AM126" s="83">
        <v>3034.3121188795985</v>
      </c>
      <c r="AN126" s="83">
        <v>1972.2999253493106</v>
      </c>
      <c r="AO126" s="83">
        <v>1418.3477282984506</v>
      </c>
      <c r="AP126" s="83">
        <v>1624.001239574485</v>
      </c>
      <c r="AQ126" s="83">
        <v>2141.3787479907678</v>
      </c>
      <c r="AR126" s="83">
        <v>3214.2305757275362</v>
      </c>
      <c r="AS126" s="83">
        <v>3792.0139592597484</v>
      </c>
      <c r="AT126" s="83">
        <v>4420.6613798844264</v>
      </c>
      <c r="AU126" s="83">
        <v>4877.9902790724236</v>
      </c>
      <c r="AV126" s="83">
        <v>5242.3504210402943</v>
      </c>
      <c r="AW126" s="83">
        <v>4857.1147193625211</v>
      </c>
      <c r="AX126" s="83">
        <v>3760.9799046159455</v>
      </c>
      <c r="AY126" s="83">
        <v>3026.2300536873013</v>
      </c>
      <c r="AZ126" s="83">
        <v>1966.3909086399874</v>
      </c>
      <c r="BA126" s="83">
        <v>1413.6269879760057</v>
      </c>
      <c r="BB126" s="83">
        <v>1618.0564828968932</v>
      </c>
      <c r="BC126" s="83">
        <v>2132.8289190077653</v>
      </c>
      <c r="BD126" s="83">
        <v>3201.3971982784542</v>
      </c>
      <c r="BE126" s="83">
        <v>3776.873680650348</v>
      </c>
      <c r="BF126" s="83">
        <v>4403.0111165551389</v>
      </c>
      <c r="BG126" s="83">
        <v>4858.5140501680553</v>
      </c>
      <c r="BH126" s="83">
        <v>5221.419420575794</v>
      </c>
      <c r="BI126" s="83">
        <v>4837.7218397795241</v>
      </c>
      <c r="BJ126" s="83">
        <v>3745.9635348947336</v>
      </c>
      <c r="BK126" s="83">
        <v>3014.1473011865928</v>
      </c>
      <c r="BL126" s="83">
        <v>1958.5397491949907</v>
      </c>
      <c r="BM126" s="83">
        <v>1407.9828351122062</v>
      </c>
      <c r="BN126" s="83">
        <v>1611.5961095385662</v>
      </c>
      <c r="BO126" s="83">
        <v>2124.313226711562</v>
      </c>
      <c r="BP126" s="83">
        <v>3188.6150603322239</v>
      </c>
      <c r="BQ126" s="83">
        <v>3761.793852249948</v>
      </c>
      <c r="BR126" s="83">
        <v>4385.431324987615</v>
      </c>
      <c r="BS126" s="83">
        <v>4839.1155835122017</v>
      </c>
      <c r="BT126" s="83">
        <v>5200.5719907895691</v>
      </c>
      <c r="BU126" s="83">
        <v>4818.4063896583066</v>
      </c>
      <c r="BV126" s="83">
        <v>3731.0071206546249</v>
      </c>
      <c r="BW126" s="83">
        <v>3002.1127911874141</v>
      </c>
      <c r="BX126" s="83">
        <v>1950.7199368765291</v>
      </c>
      <c r="BY126" s="83">
        <v>1402.3612175153621</v>
      </c>
      <c r="BZ126" s="83">
        <v>1605.1615303502019</v>
      </c>
      <c r="CA126" s="83">
        <v>2115.8315348054684</v>
      </c>
      <c r="CB126" s="83">
        <v>3175.8839573061728</v>
      </c>
      <c r="CC126" s="83">
        <v>3746.7742327005221</v>
      </c>
      <c r="CD126" s="83">
        <v>4367.9217238110232</v>
      </c>
      <c r="CE126" s="83">
        <v>4819.7945686254934</v>
      </c>
      <c r="CF126" s="83">
        <v>5179.8077980110784</v>
      </c>
      <c r="CG126" s="83">
        <v>4799.1680598482071</v>
      </c>
      <c r="CH126" s="83">
        <v>3716.1104225128829</v>
      </c>
      <c r="CI126" s="83">
        <v>2990.1263310731442</v>
      </c>
      <c r="CJ126" s="83">
        <v>1942.9313465257203</v>
      </c>
      <c r="CK126" s="83">
        <v>1396.7620452094816</v>
      </c>
      <c r="CL126" s="83">
        <v>1598.7526423440675</v>
      </c>
      <c r="CM126" s="83">
        <v>2107.3837075369834</v>
      </c>
      <c r="CN126" s="83">
        <v>3163.203685434461</v>
      </c>
      <c r="CO126" s="83">
        <v>3731.8145816077072</v>
      </c>
      <c r="CP126" s="83">
        <v>4350.4820327779607</v>
      </c>
      <c r="CQ126" s="83">
        <v>4800.5506962682011</v>
      </c>
      <c r="CR126" s="83">
        <v>5159.1265099020175</v>
      </c>
      <c r="CS126" s="83">
        <v>4780.0065424329014</v>
      </c>
      <c r="CT126" s="83">
        <v>3701.2732020425433</v>
      </c>
      <c r="CU126" s="83">
        <v>2978.1877289962181</v>
      </c>
      <c r="CV126" s="83">
        <v>1935.1738534834005</v>
      </c>
      <c r="CW126" s="83">
        <v>1391.1852285778159</v>
      </c>
      <c r="CX126" s="83">
        <v>1592.3693429436273</v>
      </c>
      <c r="CY126" s="83">
        <v>2098.9696096956218</v>
      </c>
      <c r="CZ126" s="83">
        <v>3150.5740417648185</v>
      </c>
      <c r="DA126" s="83">
        <v>3716.9146595369584</v>
      </c>
      <c r="DB126" s="83">
        <v>4333.1119727599562</v>
      </c>
      <c r="DC126" s="83">
        <v>4781.3836584352921</v>
      </c>
      <c r="DD126" s="83">
        <v>5138.5277954510011</v>
      </c>
      <c r="DE126" s="83">
        <v>4760.9215307254763</v>
      </c>
      <c r="DF126" s="83">
        <v>3686.4952217686068</v>
      </c>
      <c r="DG126" s="83">
        <v>2966.2967938750553</v>
      </c>
      <c r="DH126" s="83">
        <v>1927.4473335881298</v>
      </c>
      <c r="DI126" s="83">
        <v>1385.6306783614284</v>
      </c>
      <c r="DJ126" s="83">
        <v>1586.0115299818995</v>
      </c>
      <c r="DK126" s="83">
        <v>2090.5891066107492</v>
      </c>
      <c r="DL126" s="83">
        <v>3137.9948241552988</v>
      </c>
      <c r="DM126" s="83">
        <v>3702.0742280097124</v>
      </c>
      <c r="DN126" s="83">
        <v>4315.8112657430129</v>
      </c>
      <c r="DO126" s="83">
        <v>4762.2931483514958</v>
      </c>
      <c r="DP126" s="83">
        <v>5118.0113249682654</v>
      </c>
      <c r="DQ126" s="83">
        <v>4741.9127192635196</v>
      </c>
      <c r="DR126" s="83">
        <v>3671.7762451642334</v>
      </c>
      <c r="DS126" s="83">
        <v>2954.4533353910028</v>
      </c>
      <c r="DT126" s="83">
        <v>1919.7516631742035</v>
      </c>
      <c r="DU126" s="83">
        <v>1380.0983056577636</v>
      </c>
      <c r="DV126" s="83">
        <v>1579.6791016998222</v>
      </c>
      <c r="DW126" s="83">
        <v>2082.2420641494277</v>
      </c>
      <c r="DX126" s="83">
        <v>3125.4658312710421</v>
      </c>
      <c r="DY126" s="83">
        <v>3687.2930494995758</v>
      </c>
      <c r="DZ126" s="83">
        <v>4298.5796348231479</v>
      </c>
      <c r="EA126" s="83">
        <v>4743.2788604663965</v>
      </c>
      <c r="EB126" s="83">
        <v>5097.576770080389</v>
      </c>
      <c r="EC126" s="83">
        <v>4722.9798038042309</v>
      </c>
      <c r="ED126" s="83">
        <v>3657.1160366469594</v>
      </c>
      <c r="EE126" s="83">
        <v>2942.6571639852878</v>
      </c>
      <c r="EF126" s="83">
        <v>1912.0867190696752</v>
      </c>
      <c r="EG126" s="83">
        <v>1374.5880219192252</v>
      </c>
      <c r="EH126" s="83">
        <v>1573.3719567446249</v>
      </c>
      <c r="EI126" s="83">
        <v>2073.9283487142689</v>
      </c>
      <c r="EJ126" s="83">
        <v>3112.9868625810527</v>
      </c>
      <c r="EK126" s="83">
        <v>3672.5708874285197</v>
      </c>
      <c r="EL126" s="83">
        <v>4281.4168042019701</v>
      </c>
      <c r="EM126" s="83">
        <v>4724.340490449541</v>
      </c>
      <c r="EN126" s="83">
        <v>5077.2238037250409</v>
      </c>
      <c r="EO126" s="83">
        <v>4704.1224813195513</v>
      </c>
      <c r="EP126" s="83">
        <v>3642.5143615749216</v>
      </c>
      <c r="EQ126" s="83">
        <v>2930.908090855984</v>
      </c>
      <c r="ER126" s="83">
        <v>1904.4523785943832</v>
      </c>
      <c r="ES126" s="83">
        <v>1369.0997389517584</v>
      </c>
      <c r="ET126" s="83">
        <v>1567.0899941682055</v>
      </c>
      <c r="EU126" s="83">
        <v>2065.6478272412951</v>
      </c>
      <c r="EV126" s="83">
        <v>3100.5577183549908</v>
      </c>
      <c r="EW126" s="83">
        <v>3657.9075061630947</v>
      </c>
      <c r="EX126" s="83">
        <v>4264.322499182259</v>
      </c>
      <c r="EY126" s="83">
        <v>4705.4777351855701</v>
      </c>
      <c r="EZ126" s="83">
        <v>5056.9521001457415</v>
      </c>
      <c r="FA126" s="83">
        <v>4685.3404499913149</v>
      </c>
      <c r="FB126" s="83">
        <v>3627.9709862431096</v>
      </c>
      <c r="FC126" s="83">
        <v>2919.205927954989</v>
      </c>
      <c r="FD126" s="83">
        <v>1896.8485195579881</v>
      </c>
      <c r="FE126" s="83">
        <v>1363.633368913439</v>
      </c>
      <c r="FF126" s="83">
        <v>1560.8331134255136</v>
      </c>
      <c r="FG126" s="83">
        <v>2057.4003671978089</v>
      </c>
      <c r="FH126" s="83">
        <v>3088.1781996599739</v>
      </c>
      <c r="FI126" s="83">
        <v>3643.3026710106583</v>
      </c>
      <c r="FJ126" s="83">
        <v>4247.2964461635738</v>
      </c>
      <c r="FK126" s="83">
        <v>4686.6902927693645</v>
      </c>
      <c r="FL126" s="83">
        <v>5036.7613348866535</v>
      </c>
      <c r="FM126" s="83">
        <v>4666.6334092064217</v>
      </c>
      <c r="FN126" s="83">
        <v>3613.485677879617</v>
      </c>
      <c r="FO126" s="83">
        <v>2907.5504879850155</v>
      </c>
      <c r="FP126" s="83">
        <v>1889.2750202580162</v>
      </c>
      <c r="FQ126" s="83">
        <v>1358.1888243130661</v>
      </c>
      <c r="FR126" s="83">
        <v>1554.6012143729445</v>
      </c>
      <c r="FS126" s="83">
        <v>2049.1858365802746</v>
      </c>
      <c r="FT126" s="83">
        <v>3075.8481083573943</v>
      </c>
      <c r="FU126" s="83">
        <v>3628.7561482156202</v>
      </c>
      <c r="FV126" s="83">
        <v>4230.3383726378679</v>
      </c>
      <c r="FW126" s="83">
        <v>4667.9778625012141</v>
      </c>
      <c r="FX126" s="83">
        <v>5016.6511847873835</v>
      </c>
      <c r="FY126" s="83">
        <v>4648.0010595520134</v>
      </c>
      <c r="FZ126" s="83">
        <v>3599.0582046419258</v>
      </c>
      <c r="GA126" s="83">
        <v>2895.9415843965949</v>
      </c>
      <c r="GB126" s="83">
        <v>1881.7317594779131</v>
      </c>
      <c r="GC126" s="83">
        <v>1352.7660180087648</v>
      </c>
      <c r="GD126" s="83">
        <v>1548.3941972667328</v>
      </c>
      <c r="GE126" s="83">
        <v>2041.0041039122018</v>
      </c>
      <c r="GF126" s="83">
        <v>3063.5672470997479</v>
      </c>
      <c r="GG126" s="83">
        <v>3614.2677049557001</v>
      </c>
      <c r="GH126" s="83">
        <v>4213.4480071851312</v>
      </c>
      <c r="GI126" s="83">
        <v>4649.3401448820059</v>
      </c>
      <c r="GJ126" s="83">
        <v>4996.6213279778149</v>
      </c>
      <c r="GK126" s="83">
        <v>4629.4431028106983</v>
      </c>
      <c r="GL126" s="83">
        <v>3584.6883356131825</v>
      </c>
      <c r="GM126" s="83">
        <v>2884.3790313850886</v>
      </c>
      <c r="GN126" s="83">
        <v>1874.2186164851025</v>
      </c>
      <c r="GO126" s="83">
        <v>1347.3648632065867</v>
      </c>
      <c r="GP126" s="83">
        <v>1542.2119627613583</v>
      </c>
      <c r="GQ126" s="83">
        <v>2032.8550382420447</v>
      </c>
      <c r="GR126" s="83">
        <v>3051.3354193274736</v>
      </c>
      <c r="GS126" s="83">
        <v>3599.837109338202</v>
      </c>
      <c r="GT126" s="83">
        <v>4196.6250794690468</v>
      </c>
      <c r="GU126" s="83">
        <v>4630.7768416084264</v>
      </c>
      <c r="GV126" s="83">
        <v>4976.6714438729514</v>
      </c>
      <c r="GW126" s="83">
        <v>4610.9592419557648</v>
      </c>
      <c r="GX126" s="83">
        <v>3570.3758407985151</v>
      </c>
      <c r="GY126" s="83">
        <v>2872.8626438877159</v>
      </c>
      <c r="GZ126" s="83">
        <v>1866.7354710290533</v>
      </c>
      <c r="HA126" s="83">
        <v>1341.985273459125</v>
      </c>
      <c r="HB126" s="83">
        <v>1536.054411907955</v>
      </c>
      <c r="HC126" s="83">
        <v>2024.7385091411033</v>
      </c>
      <c r="HD126" s="83">
        <v>3039.1524292658105</v>
      </c>
      <c r="HE126" s="83">
        <v>3585.4641303962994</v>
      </c>
      <c r="HF126" s="83">
        <v>4179.8693202326658</v>
      </c>
      <c r="HG126" s="83">
        <v>4612.2876555681942</v>
      </c>
      <c r="HH126" s="83">
        <v>4956.8012131677897</v>
      </c>
      <c r="HI126" s="83">
        <v>4592.5491811464353</v>
      </c>
      <c r="HJ126" s="83">
        <v>3556.1204911213435</v>
      </c>
      <c r="HK126" s="83">
        <v>2861.3922375805905</v>
      </c>
      <c r="HL126" s="83">
        <v>1859.2822033393566</v>
      </c>
      <c r="HM126" s="83">
        <v>1336.6271626641296</v>
      </c>
      <c r="HN126" s="83">
        <v>1529.9214461527274</v>
      </c>
      <c r="HO126" s="83">
        <v>2016.6543867014373</v>
      </c>
      <c r="HP126" s="83">
        <v>3027.0180819216616</v>
      </c>
      <c r="HQ126" s="83">
        <v>3571.1485380853451</v>
      </c>
      <c r="HR126" s="83">
        <v>4163.1804612940859</v>
      </c>
      <c r="HS126" s="83">
        <v>4593.8722908352984</v>
      </c>
      <c r="HT126" s="83">
        <v>4937.0103178322079</v>
      </c>
      <c r="HU126" s="83">
        <v>4574.2126257231257</v>
      </c>
      <c r="HV126" s="83">
        <v>3541.9220584197187</v>
      </c>
      <c r="HW126" s="83">
        <v>2849.9676288757742</v>
      </c>
      <c r="HX126" s="83">
        <v>1851.8586941238068</v>
      </c>
      <c r="HY126" s="83">
        <v>1331.2904450631274</v>
      </c>
      <c r="HZ126" s="83">
        <v>1523.8129673353731</v>
      </c>
      <c r="IA126" s="83">
        <v>2008.6025415337867</v>
      </c>
      <c r="IB126" s="83">
        <v>3014.9321830804734</v>
      </c>
      <c r="IC126" s="83">
        <v>3556.8901032791823</v>
      </c>
      <c r="ID126" s="83">
        <v>4146.5582355421775</v>
      </c>
      <c r="IE126" s="83">
        <v>4575.5304526652653</v>
      </c>
      <c r="IF126" s="83">
        <v>4917.2984411058751</v>
      </c>
      <c r="IG126" s="83">
        <v>4555.9492822027332</v>
      </c>
      <c r="IH126" s="83">
        <v>3527.7803154426638</v>
      </c>
      <c r="II126" s="83">
        <v>2838.5886349183324</v>
      </c>
      <c r="IJ126" s="83">
        <v>1844.4648245664941</v>
      </c>
      <c r="IK126" s="83">
        <v>1325.975035240052</v>
      </c>
      <c r="IL126" s="83">
        <v>1517.728877687513</v>
      </c>
      <c r="IM126" s="83">
        <v>2000.5828447655003</v>
      </c>
      <c r="IN126" s="83">
        <v>3002.894539303129</v>
      </c>
      <c r="IO126" s="83">
        <v>3542.6885977664815</v>
      </c>
      <c r="IP126" s="83">
        <v>4130.0023769322925</v>
      </c>
      <c r="IQ126" s="83">
        <v>4557.2618474904384</v>
      </c>
      <c r="IR126" s="83">
        <v>4897.6652674931784</v>
      </c>
      <c r="IS126" s="83">
        <v>4537.7588582739363</v>
      </c>
      <c r="IT126" s="83">
        <v>3513.6950358465442</v>
      </c>
      <c r="IU126" s="83">
        <v>2827.2550735834129</v>
      </c>
      <c r="IV126" s="83">
        <v>1837.1004763259023</v>
      </c>
      <c r="IW126" s="83">
        <v>1320.680848119875</v>
      </c>
      <c r="IX126" s="83">
        <v>1511.6690798311233</v>
      </c>
      <c r="IY126" s="83">
        <v>1992.5951680384746</v>
      </c>
      <c r="IZ126" s="83">
        <v>2990.9049579228504</v>
      </c>
      <c r="JA126" s="83">
        <v>3528.5437942470867</v>
      </c>
      <c r="JB126" s="83">
        <v>4113.5126204820172</v>
      </c>
      <c r="JC126" s="83">
        <v>4539.0661829152823</v>
      </c>
      <c r="JD126" s="83">
        <v>4878.1104827581812</v>
      </c>
      <c r="JE126" s="83">
        <v>4519.6410627925216</v>
      </c>
      <c r="JF126" s="83">
        <v>3499.6659941914418</v>
      </c>
      <c r="JG126" s="83">
        <v>2815.9667634733282</v>
      </c>
      <c r="JH126" s="83">
        <v>1829.7655315330126</v>
      </c>
      <c r="JI126" s="83">
        <v>1315.4077989672455</v>
      </c>
      <c r="JJ126" s="83">
        <v>1505.6334767769808</v>
      </c>
      <c r="JK126" s="83">
        <v>1984.6393835070967</v>
      </c>
      <c r="JL126" s="83">
        <v>2978.9632470421161</v>
      </c>
      <c r="JM126" s="83">
        <v>3514.455466328378</v>
      </c>
      <c r="JN126" s="83">
        <v>4097.0887022669212</v>
      </c>
      <c r="JO126" s="83">
        <v>4520.9431677117045</v>
      </c>
      <c r="JP126" s="83">
        <v>4858.6337739195851</v>
      </c>
      <c r="JQ126" s="83">
        <v>4501.5956057767135</v>
      </c>
      <c r="JR126" s="83">
        <v>3485.6929659375473</v>
      </c>
      <c r="JS126" s="83">
        <v>2804.723523914653</v>
      </c>
      <c r="JT126" s="83">
        <v>1822.4598727894208</v>
      </c>
      <c r="JU126" s="83">
        <v>1310.1558033851327</v>
      </c>
      <c r="JV126" s="83">
        <v>1499.6219719231078</v>
      </c>
      <c r="JW126" s="83">
        <v>1976.7153638362008</v>
      </c>
      <c r="JX126" s="83">
        <v>2967.0692155295878</v>
      </c>
      <c r="JY126" s="83">
        <v>3500.4233885216472</v>
      </c>
      <c r="JZ126" s="83">
        <v>4080.7303594163441</v>
      </c>
      <c r="KA126" s="83">
        <v>4502.8925118143889</v>
      </c>
      <c r="KB126" s="83">
        <v>4839.2348292457255</v>
      </c>
      <c r="KC126" s="83">
        <v>4483.6221984025442</v>
      </c>
      <c r="KD126" s="83">
        <v>3471.7757274415617</v>
      </c>
      <c r="KE126" s="83">
        <v>2793.5251749553322</v>
      </c>
      <c r="KF126" s="83">
        <v>1815.183383165456</v>
      </c>
      <c r="KG126" s="83">
        <v>1304.9247773134762</v>
      </c>
      <c r="KH126" s="83">
        <v>1493.6344690532276</v>
      </c>
      <c r="KI126" s="83">
        <v>1968.8229821990287</v>
      </c>
      <c r="KJ126" s="83">
        <v>2955.2226730170537</v>
      </c>
      <c r="KK126" s="83">
        <v>3486.4473362384897</v>
      </c>
      <c r="KL126" s="83">
        <v>4064.4373301091769</v>
      </c>
      <c r="KM126" s="83">
        <v>4484.9139263161524</v>
      </c>
      <c r="KN126" s="83">
        <v>4819.9133382495793</v>
      </c>
      <c r="KO126" s="83">
        <v>4465.7205529992234</v>
      </c>
      <c r="KP126" s="83">
        <v>3457.9140559531265</v>
      </c>
      <c r="KQ126" s="83">
        <v>2782.3715373618002</v>
      </c>
      <c r="KR126" s="83">
        <v>1807.9359461983083</v>
      </c>
      <c r="KS126" s="83">
        <v>1299.7146370278394</v>
      </c>
      <c r="KT126" s="83">
        <v>1487.6708723352226</v>
      </c>
      <c r="KU126" s="83">
        <v>1960.9621122751998</v>
      </c>
      <c r="KV126" s="83">
        <v>2943.4234298963797</v>
      </c>
      <c r="KW126" s="83">
        <v>3472.5270857872074</v>
      </c>
      <c r="KX126" s="83">
        <v>4048.2093535696836</v>
      </c>
      <c r="KY126" s="83">
        <v>4467.0071234633324</v>
      </c>
      <c r="KZ126" s="83">
        <v>4800.6689916838004</v>
      </c>
      <c r="LA126" s="83">
        <v>4447.8903830445406</v>
      </c>
      <c r="LB126" s="83">
        <v>3444.1077296112499</v>
      </c>
      <c r="LC126" s="83">
        <v>2771.2624326161131</v>
      </c>
      <c r="LD126" s="83">
        <v>1800.717445890167</v>
      </c>
      <c r="LE126" s="83">
        <v>1294.525299138071</v>
      </c>
      <c r="LF126" s="83">
        <v>1481.7310863196033</v>
      </c>
      <c r="LG126" s="83">
        <v>1953.1326282486905</v>
      </c>
      <c r="LH126" s="83">
        <v>2931.6712973164758</v>
      </c>
      <c r="LI126" s="83">
        <v>3458.6624143692334</v>
      </c>
      <c r="LJ126" s="83">
        <v>4032.046170063315</v>
      </c>
      <c r="LK126" s="83">
        <v>4449.1718166511673</v>
      </c>
      <c r="LL126" s="83">
        <v>4781.5014815357654</v>
      </c>
      <c r="LM126" s="83">
        <v>4430.1314031602697</v>
      </c>
      <c r="LN126" s="83">
        <v>3430.3565274407597</v>
      </c>
      <c r="LO126" s="83">
        <v>2760.1976829130913</v>
      </c>
      <c r="LP126" s="83">
        <v>1793.5277667063626</v>
      </c>
      <c r="LQ126" s="83">
        <v>1289.3566805869691</v>
      </c>
      <c r="LR126" s="83">
        <v>1475.815015937977</v>
      </c>
      <c r="LS126" s="83">
        <v>1945.3344048058188</v>
      </c>
      <c r="LT126" s="83">
        <v>2919.9660871802716</v>
      </c>
      <c r="LU126" s="83">
        <v>3444.8531000755602</v>
      </c>
      <c r="LV126" s="83">
        <v>4015.947520892561</v>
      </c>
      <c r="LW126" s="83">
        <v>4431.4077204192163</v>
      </c>
      <c r="LX126" s="83">
        <v>4762.4105010226449</v>
      </c>
      <c r="LY126" s="83">
        <v>4412.443329107612</v>
      </c>
      <c r="LZ126" s="83">
        <v>3416.6602293487636</v>
      </c>
      <c r="MA126" s="83">
        <v>2749.177111157474</v>
      </c>
      <c r="MB126" s="83">
        <v>1786.3667935735182</v>
      </c>
      <c r="MC126" s="83">
        <v>1284.2086986489519</v>
      </c>
      <c r="MD126" s="83">
        <v>1469.922566501531</v>
      </c>
      <c r="ME126" s="83">
        <v>1937.5673171332401</v>
      </c>
      <c r="MF126" s="83">
        <v>2908.3076121417093</v>
      </c>
      <c r="MG126" s="83">
        <v>3431.0989218831942</v>
      </c>
      <c r="MH126" s="83">
        <v>3999.9131483928054</v>
      </c>
      <c r="MI126" s="83">
        <v>4413.7145504467899</v>
      </c>
      <c r="MJ126" s="83">
        <v>4743.3957445864917</v>
      </c>
      <c r="MK126" s="83">
        <v>4394.8258777826377</v>
      </c>
      <c r="ML126" s="83">
        <v>3403.0186161211336</v>
      </c>
      <c r="MM126" s="83">
        <v>2738.2005409610829</v>
      </c>
      <c r="MN126" s="83">
        <v>1779.2344118777073</v>
      </c>
      <c r="MO126" s="83">
        <v>1279.0812709287341</v>
      </c>
      <c r="MP126" s="83">
        <v>1464.0536436995105</v>
      </c>
      <c r="MQ126" s="83">
        <v>1929.8312409159489</v>
      </c>
      <c r="MR126" s="83">
        <v>2896.6956856027414</v>
      </c>
      <c r="MS126" s="83">
        <v>3417.3996596516104</v>
      </c>
      <c r="MT126" s="83">
        <v>3983.9427959282034</v>
      </c>
      <c r="MU126" s="83">
        <v>4396.0920235484</v>
      </c>
      <c r="MV126" s="83">
        <v>4724.4569078893546</v>
      </c>
      <c r="MW126" s="83">
        <v>4377.2787672117629</v>
      </c>
      <c r="MX126" s="83">
        <v>3389.4314694189861</v>
      </c>
      <c r="MY126" s="83">
        <v>2727.2677966400006</v>
      </c>
      <c r="MZ126" s="83">
        <v>1772.1305074626191</v>
      </c>
      <c r="NA126" s="83">
        <v>1273.9743153600084</v>
      </c>
      <c r="NB126" s="83">
        <v>1458.2081535977165</v>
      </c>
      <c r="NC126" s="83">
        <v>1922.1260523352889</v>
      </c>
      <c r="ND126" s="83">
        <v>2885.1301217103464</v>
      </c>
      <c r="NE126" s="83">
        <v>3403.7550941192362</v>
      </c>
      <c r="NF126" s="83">
        <v>3968.0362078875719</v>
      </c>
      <c r="NG126" s="83">
        <v>4378.5398576692214</v>
      </c>
      <c r="NH126" s="83">
        <v>4705.593687808404</v>
      </c>
      <c r="NI126" s="83">
        <v>4359.8017165472302</v>
      </c>
      <c r="NJ126" s="83">
        <v>3375.8985717752003</v>
      </c>
      <c r="NK126" s="83">
        <v>2716.3787032117589</v>
      </c>
      <c r="NL126" s="83">
        <v>1765.0549666277327</v>
      </c>
      <c r="NM126" s="83">
        <v>1268.8877502041314</v>
      </c>
      <c r="NN126" s="83">
        <v>1452.386002636996</v>
      </c>
      <c r="NO126" s="83">
        <v>1914.4516280669709</v>
      </c>
      <c r="NP126" s="83">
        <v>2873.6107353535522</v>
      </c>
      <c r="NQ126" s="83">
        <v>3390.1650068999393</v>
      </c>
      <c r="NR126" s="83">
        <v>3952.1931296803036</v>
      </c>
      <c r="NS126" s="83">
        <v>4361.0577718805871</v>
      </c>
      <c r="NT126" s="83">
        <v>4686.8057824310827</v>
      </c>
      <c r="NU126" s="83">
        <v>4342.3944460626153</v>
      </c>
      <c r="NV126" s="83">
        <v>3362.4197065909243</v>
      </c>
      <c r="NW126" s="83">
        <v>2705.5330863925383</v>
      </c>
      <c r="NX126" s="83">
        <v>1758.0076761264954</v>
      </c>
      <c r="NY126" s="83">
        <v>1263.8214940488149</v>
      </c>
      <c r="NZ126" s="83">
        <v>1446.5870976317494</v>
      </c>
      <c r="OA126" s="83">
        <v>1906.8078452791005</v>
      </c>
      <c r="OB126" s="83">
        <v>2862.1373421604767</v>
      </c>
      <c r="OC126" s="83">
        <v>3376.6291804795314</v>
      </c>
      <c r="OD126" s="83">
        <v>3936.4133077322849</v>
      </c>
      <c r="OE126">
        <v>4343.6454863754852</v>
      </c>
      <c r="OF126">
        <v>4668.0928910502689</v>
      </c>
      <c r="OG126">
        <v>4325.0566771483536</v>
      </c>
      <c r="OH126">
        <v>3348.9946581321196</v>
      </c>
      <c r="OI126">
        <v>2694.730772594376</v>
      </c>
      <c r="OJ126">
        <v>1750.9885231645123</v>
      </c>
      <c r="OK126">
        <v>1258.7754658068241</v>
      </c>
    </row>
    <row r="127" spans="1:401" outlineLevel="1" x14ac:dyDescent="0.3">
      <c r="E127" s="6"/>
      <c r="F127" s="19"/>
      <c r="J127" s="65"/>
      <c r="K127" s="55"/>
      <c r="L127" s="66"/>
      <c r="M127" s="25" t="s">
        <v>3</v>
      </c>
      <c r="N127" s="25"/>
      <c r="O127" s="27" t="s">
        <v>15</v>
      </c>
      <c r="P127" s="25" cm="1">
        <f t="array" ref="P127:OK127">_xlfn.ANCHORARRAY(P1)*E81</f>
        <v>65</v>
      </c>
      <c r="Q127" s="25">
        <v>65</v>
      </c>
      <c r="R127" s="25">
        <v>65</v>
      </c>
      <c r="S127" s="25">
        <v>65</v>
      </c>
      <c r="T127" s="25">
        <v>65</v>
      </c>
      <c r="U127" s="25">
        <v>65</v>
      </c>
      <c r="V127" s="25">
        <v>65</v>
      </c>
      <c r="W127" s="25">
        <v>65</v>
      </c>
      <c r="X127" s="25">
        <v>65</v>
      </c>
      <c r="Y127" s="25">
        <v>65</v>
      </c>
      <c r="Z127" s="25">
        <v>65</v>
      </c>
      <c r="AA127" s="25">
        <v>65</v>
      </c>
      <c r="AB127" s="25">
        <v>65</v>
      </c>
      <c r="AC127" s="25">
        <v>65</v>
      </c>
      <c r="AD127" s="25">
        <v>65</v>
      </c>
      <c r="AE127" s="25">
        <v>65</v>
      </c>
      <c r="AF127" s="25">
        <v>65</v>
      </c>
      <c r="AG127" s="25">
        <v>65</v>
      </c>
      <c r="AH127" s="25">
        <v>65</v>
      </c>
      <c r="AI127" s="25">
        <v>65</v>
      </c>
      <c r="AJ127" s="25">
        <v>65</v>
      </c>
      <c r="AK127" s="25">
        <v>65</v>
      </c>
      <c r="AL127" s="25">
        <v>65</v>
      </c>
      <c r="AM127" s="25">
        <v>65</v>
      </c>
      <c r="AN127" s="25">
        <v>65</v>
      </c>
      <c r="AO127" s="25">
        <v>65</v>
      </c>
      <c r="AP127" s="25">
        <v>65</v>
      </c>
      <c r="AQ127" s="25">
        <v>65</v>
      </c>
      <c r="AR127" s="25">
        <v>65</v>
      </c>
      <c r="AS127" s="25">
        <v>65</v>
      </c>
      <c r="AT127" s="25">
        <v>65</v>
      </c>
      <c r="AU127" s="25">
        <v>65</v>
      </c>
      <c r="AV127" s="25">
        <v>65</v>
      </c>
      <c r="AW127" s="25">
        <v>65</v>
      </c>
      <c r="AX127" s="25">
        <v>65</v>
      </c>
      <c r="AY127" s="25">
        <v>65</v>
      </c>
      <c r="AZ127" s="25">
        <v>65</v>
      </c>
      <c r="BA127" s="25">
        <v>65</v>
      </c>
      <c r="BB127" s="25">
        <v>65</v>
      </c>
      <c r="BC127" s="25">
        <v>65</v>
      </c>
      <c r="BD127" s="25">
        <v>65</v>
      </c>
      <c r="BE127" s="25">
        <v>65</v>
      </c>
      <c r="BF127" s="25">
        <v>65</v>
      </c>
      <c r="BG127" s="25">
        <v>65</v>
      </c>
      <c r="BH127" s="25">
        <v>65</v>
      </c>
      <c r="BI127" s="25">
        <v>65</v>
      </c>
      <c r="BJ127" s="25">
        <v>65</v>
      </c>
      <c r="BK127" s="25">
        <v>65</v>
      </c>
      <c r="BL127" s="25">
        <v>65</v>
      </c>
      <c r="BM127" s="25">
        <v>65</v>
      </c>
      <c r="BN127" s="25">
        <v>65</v>
      </c>
      <c r="BO127" s="25">
        <v>65</v>
      </c>
      <c r="BP127" s="25">
        <v>65</v>
      </c>
      <c r="BQ127" s="25">
        <v>65</v>
      </c>
      <c r="BR127" s="25">
        <v>65</v>
      </c>
      <c r="BS127" s="25">
        <v>65</v>
      </c>
      <c r="BT127" s="25">
        <v>65</v>
      </c>
      <c r="BU127" s="25">
        <v>65</v>
      </c>
      <c r="BV127" s="25">
        <v>65</v>
      </c>
      <c r="BW127" s="25">
        <v>65</v>
      </c>
      <c r="BX127" s="25">
        <v>65</v>
      </c>
      <c r="BY127" s="25">
        <v>65</v>
      </c>
      <c r="BZ127" s="25">
        <v>65</v>
      </c>
      <c r="CA127" s="25">
        <v>65</v>
      </c>
      <c r="CB127" s="25">
        <v>65</v>
      </c>
      <c r="CC127" s="25">
        <v>65</v>
      </c>
      <c r="CD127" s="25">
        <v>65</v>
      </c>
      <c r="CE127" s="25">
        <v>65</v>
      </c>
      <c r="CF127" s="25">
        <v>65</v>
      </c>
      <c r="CG127" s="25">
        <v>65</v>
      </c>
      <c r="CH127" s="25">
        <v>65</v>
      </c>
      <c r="CI127" s="25">
        <v>65</v>
      </c>
      <c r="CJ127" s="25">
        <v>65</v>
      </c>
      <c r="CK127" s="25">
        <v>65</v>
      </c>
      <c r="CL127" s="25">
        <v>65</v>
      </c>
      <c r="CM127" s="25">
        <v>65</v>
      </c>
      <c r="CN127" s="25">
        <v>65</v>
      </c>
      <c r="CO127" s="25">
        <v>65</v>
      </c>
      <c r="CP127" s="25">
        <v>65</v>
      </c>
      <c r="CQ127" s="25">
        <v>65</v>
      </c>
      <c r="CR127" s="25">
        <v>65</v>
      </c>
      <c r="CS127" s="25">
        <v>65</v>
      </c>
      <c r="CT127" s="25">
        <v>65</v>
      </c>
      <c r="CU127" s="25">
        <v>65</v>
      </c>
      <c r="CV127" s="25">
        <v>65</v>
      </c>
      <c r="CW127" s="25">
        <v>65</v>
      </c>
      <c r="CX127" s="25">
        <v>65</v>
      </c>
      <c r="CY127" s="25">
        <v>65</v>
      </c>
      <c r="CZ127" s="25">
        <v>65</v>
      </c>
      <c r="DA127" s="25">
        <v>65</v>
      </c>
      <c r="DB127" s="25">
        <v>65</v>
      </c>
      <c r="DC127" s="25">
        <v>65</v>
      </c>
      <c r="DD127" s="25">
        <v>65</v>
      </c>
      <c r="DE127" s="25">
        <v>65</v>
      </c>
      <c r="DF127" s="25">
        <v>65</v>
      </c>
      <c r="DG127" s="25">
        <v>65</v>
      </c>
      <c r="DH127" s="25">
        <v>65</v>
      </c>
      <c r="DI127" s="25">
        <v>65</v>
      </c>
      <c r="DJ127" s="25">
        <v>65</v>
      </c>
      <c r="DK127" s="25">
        <v>65</v>
      </c>
      <c r="DL127" s="25">
        <v>65</v>
      </c>
      <c r="DM127" s="25">
        <v>65</v>
      </c>
      <c r="DN127" s="25">
        <v>65</v>
      </c>
      <c r="DO127" s="25">
        <v>65</v>
      </c>
      <c r="DP127" s="25">
        <v>65</v>
      </c>
      <c r="DQ127" s="25">
        <v>65</v>
      </c>
      <c r="DR127" s="25">
        <v>65</v>
      </c>
      <c r="DS127" s="25">
        <v>65</v>
      </c>
      <c r="DT127" s="25">
        <v>65</v>
      </c>
      <c r="DU127" s="25">
        <v>65</v>
      </c>
      <c r="DV127" s="25">
        <v>65</v>
      </c>
      <c r="DW127" s="25">
        <v>65</v>
      </c>
      <c r="DX127" s="25">
        <v>65</v>
      </c>
      <c r="DY127" s="25">
        <v>65</v>
      </c>
      <c r="DZ127" s="25">
        <v>65</v>
      </c>
      <c r="EA127" s="25">
        <v>65</v>
      </c>
      <c r="EB127" s="25">
        <v>65</v>
      </c>
      <c r="EC127" s="25">
        <v>65</v>
      </c>
      <c r="ED127" s="25">
        <v>65</v>
      </c>
      <c r="EE127" s="25">
        <v>65</v>
      </c>
      <c r="EF127" s="25">
        <v>65</v>
      </c>
      <c r="EG127" s="25">
        <v>65</v>
      </c>
      <c r="EH127" s="25">
        <v>65</v>
      </c>
      <c r="EI127" s="25">
        <v>65</v>
      </c>
      <c r="EJ127" s="25">
        <v>65</v>
      </c>
      <c r="EK127" s="25">
        <v>65</v>
      </c>
      <c r="EL127" s="25">
        <v>65</v>
      </c>
      <c r="EM127" s="25">
        <v>65</v>
      </c>
      <c r="EN127" s="25">
        <v>65</v>
      </c>
      <c r="EO127" s="25">
        <v>65</v>
      </c>
      <c r="EP127" s="25">
        <v>65</v>
      </c>
      <c r="EQ127" s="25">
        <v>65</v>
      </c>
      <c r="ER127" s="25">
        <v>65</v>
      </c>
      <c r="ES127" s="25">
        <v>65</v>
      </c>
      <c r="ET127" s="25">
        <v>65</v>
      </c>
      <c r="EU127" s="25">
        <v>65</v>
      </c>
      <c r="EV127" s="25">
        <v>65</v>
      </c>
      <c r="EW127" s="25">
        <v>65</v>
      </c>
      <c r="EX127" s="25">
        <v>65</v>
      </c>
      <c r="EY127" s="25">
        <v>65</v>
      </c>
      <c r="EZ127" s="25">
        <v>65</v>
      </c>
      <c r="FA127" s="25">
        <v>65</v>
      </c>
      <c r="FB127" s="25">
        <v>65</v>
      </c>
      <c r="FC127" s="25">
        <v>65</v>
      </c>
      <c r="FD127" s="25">
        <v>65</v>
      </c>
      <c r="FE127" s="25">
        <v>65</v>
      </c>
      <c r="FF127" s="25">
        <v>65</v>
      </c>
      <c r="FG127" s="25">
        <v>65</v>
      </c>
      <c r="FH127" s="25">
        <v>65</v>
      </c>
      <c r="FI127" s="25">
        <v>65</v>
      </c>
      <c r="FJ127" s="25">
        <v>65</v>
      </c>
      <c r="FK127" s="25">
        <v>65</v>
      </c>
      <c r="FL127" s="25">
        <v>65</v>
      </c>
      <c r="FM127" s="25">
        <v>65</v>
      </c>
      <c r="FN127" s="25">
        <v>65</v>
      </c>
      <c r="FO127" s="25">
        <v>65</v>
      </c>
      <c r="FP127" s="25">
        <v>65</v>
      </c>
      <c r="FQ127" s="25">
        <v>65</v>
      </c>
      <c r="FR127" s="25">
        <v>65</v>
      </c>
      <c r="FS127" s="25">
        <v>65</v>
      </c>
      <c r="FT127" s="25">
        <v>65</v>
      </c>
      <c r="FU127" s="25">
        <v>65</v>
      </c>
      <c r="FV127" s="25">
        <v>65</v>
      </c>
      <c r="FW127" s="25">
        <v>65</v>
      </c>
      <c r="FX127" s="25">
        <v>65</v>
      </c>
      <c r="FY127" s="25">
        <v>65</v>
      </c>
      <c r="FZ127" s="25">
        <v>65</v>
      </c>
      <c r="GA127" s="25">
        <v>65</v>
      </c>
      <c r="GB127" s="25">
        <v>65</v>
      </c>
      <c r="GC127" s="25">
        <v>65</v>
      </c>
      <c r="GD127" s="25">
        <v>65</v>
      </c>
      <c r="GE127" s="25">
        <v>65</v>
      </c>
      <c r="GF127" s="25">
        <v>65</v>
      </c>
      <c r="GG127" s="25">
        <v>65</v>
      </c>
      <c r="GH127" s="25">
        <v>65</v>
      </c>
      <c r="GI127" s="25">
        <v>65</v>
      </c>
      <c r="GJ127" s="25">
        <v>65</v>
      </c>
      <c r="GK127" s="25">
        <v>65</v>
      </c>
      <c r="GL127" s="25">
        <v>65</v>
      </c>
      <c r="GM127" s="25">
        <v>65</v>
      </c>
      <c r="GN127" s="25">
        <v>65</v>
      </c>
      <c r="GO127" s="25">
        <v>65</v>
      </c>
      <c r="GP127" s="25">
        <v>65</v>
      </c>
      <c r="GQ127" s="25">
        <v>65</v>
      </c>
      <c r="GR127" s="25">
        <v>65</v>
      </c>
      <c r="GS127" s="25">
        <v>65</v>
      </c>
      <c r="GT127" s="25">
        <v>65</v>
      </c>
      <c r="GU127" s="25">
        <v>65</v>
      </c>
      <c r="GV127" s="25">
        <v>65</v>
      </c>
      <c r="GW127" s="25">
        <v>65</v>
      </c>
      <c r="GX127" s="25">
        <v>65</v>
      </c>
      <c r="GY127" s="25">
        <v>65</v>
      </c>
      <c r="GZ127" s="25">
        <v>65</v>
      </c>
      <c r="HA127" s="25">
        <v>65</v>
      </c>
      <c r="HB127" s="25">
        <v>65</v>
      </c>
      <c r="HC127" s="25">
        <v>65</v>
      </c>
      <c r="HD127" s="25">
        <v>65</v>
      </c>
      <c r="HE127" s="25">
        <v>65</v>
      </c>
      <c r="HF127" s="25">
        <v>65</v>
      </c>
      <c r="HG127" s="25">
        <v>65</v>
      </c>
      <c r="HH127" s="25">
        <v>65</v>
      </c>
      <c r="HI127" s="25">
        <v>65</v>
      </c>
      <c r="HJ127" s="25">
        <v>65</v>
      </c>
      <c r="HK127" s="25">
        <v>65</v>
      </c>
      <c r="HL127" s="25">
        <v>65</v>
      </c>
      <c r="HM127" s="25">
        <v>65</v>
      </c>
      <c r="HN127" s="25">
        <v>65</v>
      </c>
      <c r="HO127" s="25">
        <v>65</v>
      </c>
      <c r="HP127" s="25">
        <v>65</v>
      </c>
      <c r="HQ127" s="25">
        <v>65</v>
      </c>
      <c r="HR127" s="25">
        <v>65</v>
      </c>
      <c r="HS127" s="25">
        <v>65</v>
      </c>
      <c r="HT127" s="25">
        <v>65</v>
      </c>
      <c r="HU127" s="25">
        <v>65</v>
      </c>
      <c r="HV127" s="25">
        <v>65</v>
      </c>
      <c r="HW127" s="25">
        <v>65</v>
      </c>
      <c r="HX127" s="25">
        <v>65</v>
      </c>
      <c r="HY127" s="25">
        <v>65</v>
      </c>
      <c r="HZ127" s="25">
        <v>65</v>
      </c>
      <c r="IA127" s="25">
        <v>65</v>
      </c>
      <c r="IB127" s="25">
        <v>65</v>
      </c>
      <c r="IC127" s="25">
        <v>65</v>
      </c>
      <c r="ID127" s="25">
        <v>65</v>
      </c>
      <c r="IE127" s="25">
        <v>65</v>
      </c>
      <c r="IF127" s="25">
        <v>65</v>
      </c>
      <c r="IG127" s="25">
        <v>65</v>
      </c>
      <c r="IH127" s="25">
        <v>65</v>
      </c>
      <c r="II127" s="25">
        <v>65</v>
      </c>
      <c r="IJ127" s="25">
        <v>65</v>
      </c>
      <c r="IK127" s="25">
        <v>65</v>
      </c>
      <c r="IL127" s="25">
        <v>65</v>
      </c>
      <c r="IM127" s="25">
        <v>65</v>
      </c>
      <c r="IN127" s="25">
        <v>65</v>
      </c>
      <c r="IO127" s="25">
        <v>65</v>
      </c>
      <c r="IP127" s="25">
        <v>65</v>
      </c>
      <c r="IQ127" s="25">
        <v>65</v>
      </c>
      <c r="IR127" s="25">
        <v>65</v>
      </c>
      <c r="IS127" s="25">
        <v>65</v>
      </c>
      <c r="IT127" s="25">
        <v>65</v>
      </c>
      <c r="IU127" s="25">
        <v>65</v>
      </c>
      <c r="IV127" s="25">
        <v>65</v>
      </c>
      <c r="IW127" s="25">
        <v>65</v>
      </c>
      <c r="IX127" s="25">
        <v>65</v>
      </c>
      <c r="IY127" s="25">
        <v>65</v>
      </c>
      <c r="IZ127" s="25">
        <v>65</v>
      </c>
      <c r="JA127" s="25">
        <v>65</v>
      </c>
      <c r="JB127" s="25">
        <v>65</v>
      </c>
      <c r="JC127" s="25">
        <v>65</v>
      </c>
      <c r="JD127" s="25">
        <v>65</v>
      </c>
      <c r="JE127" s="25">
        <v>65</v>
      </c>
      <c r="JF127" s="25">
        <v>65</v>
      </c>
      <c r="JG127" s="25">
        <v>65</v>
      </c>
      <c r="JH127" s="25">
        <v>65</v>
      </c>
      <c r="JI127" s="25">
        <v>65</v>
      </c>
      <c r="JJ127" s="25">
        <v>65</v>
      </c>
      <c r="JK127" s="25">
        <v>65</v>
      </c>
      <c r="JL127" s="25">
        <v>65</v>
      </c>
      <c r="JM127" s="25">
        <v>65</v>
      </c>
      <c r="JN127" s="25">
        <v>65</v>
      </c>
      <c r="JO127" s="25">
        <v>65</v>
      </c>
      <c r="JP127" s="25">
        <v>65</v>
      </c>
      <c r="JQ127" s="25">
        <v>65</v>
      </c>
      <c r="JR127" s="25">
        <v>65</v>
      </c>
      <c r="JS127" s="25">
        <v>65</v>
      </c>
      <c r="JT127" s="25">
        <v>65</v>
      </c>
      <c r="JU127" s="25">
        <v>65</v>
      </c>
      <c r="JV127" s="25">
        <v>65</v>
      </c>
      <c r="JW127" s="25">
        <v>65</v>
      </c>
      <c r="JX127" s="25">
        <v>65</v>
      </c>
      <c r="JY127" s="25">
        <v>65</v>
      </c>
      <c r="JZ127" s="25">
        <v>65</v>
      </c>
      <c r="KA127" s="25">
        <v>65</v>
      </c>
      <c r="KB127" s="25">
        <v>65</v>
      </c>
      <c r="KC127" s="25">
        <v>65</v>
      </c>
      <c r="KD127" s="25">
        <v>65</v>
      </c>
      <c r="KE127" s="25">
        <v>65</v>
      </c>
      <c r="KF127" s="25">
        <v>65</v>
      </c>
      <c r="KG127" s="25">
        <v>65</v>
      </c>
      <c r="KH127" s="25">
        <v>65</v>
      </c>
      <c r="KI127" s="25">
        <v>65</v>
      </c>
      <c r="KJ127" s="25">
        <v>65</v>
      </c>
      <c r="KK127" s="25">
        <v>65</v>
      </c>
      <c r="KL127" s="25">
        <v>65</v>
      </c>
      <c r="KM127" s="25">
        <v>65</v>
      </c>
      <c r="KN127" s="25">
        <v>65</v>
      </c>
      <c r="KO127" s="25">
        <v>65</v>
      </c>
      <c r="KP127" s="25">
        <v>65</v>
      </c>
      <c r="KQ127" s="25">
        <v>65</v>
      </c>
      <c r="KR127" s="25">
        <v>65</v>
      </c>
      <c r="KS127" s="25">
        <v>65</v>
      </c>
      <c r="KT127" s="25">
        <v>65</v>
      </c>
      <c r="KU127" s="25">
        <v>65</v>
      </c>
      <c r="KV127" s="25">
        <v>65</v>
      </c>
      <c r="KW127" s="25">
        <v>65</v>
      </c>
      <c r="KX127" s="25">
        <v>65</v>
      </c>
      <c r="KY127" s="25">
        <v>65</v>
      </c>
      <c r="KZ127" s="25">
        <v>65</v>
      </c>
      <c r="LA127" s="25">
        <v>65</v>
      </c>
      <c r="LB127" s="25">
        <v>65</v>
      </c>
      <c r="LC127" s="25">
        <v>65</v>
      </c>
      <c r="LD127" s="25">
        <v>65</v>
      </c>
      <c r="LE127" s="25">
        <v>65</v>
      </c>
      <c r="LF127" s="25">
        <v>65</v>
      </c>
      <c r="LG127" s="25">
        <v>65</v>
      </c>
      <c r="LH127" s="25">
        <v>65</v>
      </c>
      <c r="LI127" s="25">
        <v>65</v>
      </c>
      <c r="LJ127" s="25">
        <v>65</v>
      </c>
      <c r="LK127" s="25">
        <v>65</v>
      </c>
      <c r="LL127" s="25">
        <v>65</v>
      </c>
      <c r="LM127" s="25">
        <v>65</v>
      </c>
      <c r="LN127" s="25">
        <v>65</v>
      </c>
      <c r="LO127" s="25">
        <v>65</v>
      </c>
      <c r="LP127" s="25">
        <v>65</v>
      </c>
      <c r="LQ127" s="25">
        <v>65</v>
      </c>
      <c r="LR127" s="25">
        <v>65</v>
      </c>
      <c r="LS127" s="25">
        <v>65</v>
      </c>
      <c r="LT127" s="25">
        <v>65</v>
      </c>
      <c r="LU127" s="25">
        <v>65</v>
      </c>
      <c r="LV127" s="25">
        <v>65</v>
      </c>
      <c r="LW127" s="25">
        <v>65</v>
      </c>
      <c r="LX127" s="25">
        <v>65</v>
      </c>
      <c r="LY127" s="25">
        <v>65</v>
      </c>
      <c r="LZ127" s="25">
        <v>65</v>
      </c>
      <c r="MA127" s="25">
        <v>65</v>
      </c>
      <c r="MB127" s="25">
        <v>65</v>
      </c>
      <c r="MC127" s="25">
        <v>65</v>
      </c>
      <c r="MD127" s="25">
        <v>65</v>
      </c>
      <c r="ME127" s="25">
        <v>65</v>
      </c>
      <c r="MF127" s="25">
        <v>65</v>
      </c>
      <c r="MG127" s="25">
        <v>65</v>
      </c>
      <c r="MH127" s="25">
        <v>65</v>
      </c>
      <c r="MI127" s="25">
        <v>65</v>
      </c>
      <c r="MJ127" s="25">
        <v>65</v>
      </c>
      <c r="MK127" s="25">
        <v>65</v>
      </c>
      <c r="ML127" s="25">
        <v>65</v>
      </c>
      <c r="MM127" s="25">
        <v>65</v>
      </c>
      <c r="MN127" s="25">
        <v>65</v>
      </c>
      <c r="MO127" s="25">
        <v>65</v>
      </c>
      <c r="MP127" s="25">
        <v>65</v>
      </c>
      <c r="MQ127" s="25">
        <v>65</v>
      </c>
      <c r="MR127" s="25">
        <v>65</v>
      </c>
      <c r="MS127" s="25">
        <v>65</v>
      </c>
      <c r="MT127" s="25">
        <v>65</v>
      </c>
      <c r="MU127" s="25">
        <v>65</v>
      </c>
      <c r="MV127" s="25">
        <v>65</v>
      </c>
      <c r="MW127" s="25">
        <v>65</v>
      </c>
      <c r="MX127" s="25">
        <v>65</v>
      </c>
      <c r="MY127" s="25">
        <v>65</v>
      </c>
      <c r="MZ127" s="25">
        <v>65</v>
      </c>
      <c r="NA127" s="25">
        <v>65</v>
      </c>
      <c r="NB127" s="25">
        <v>65</v>
      </c>
      <c r="NC127" s="25">
        <v>65</v>
      </c>
      <c r="ND127" s="25">
        <v>65</v>
      </c>
      <c r="NE127" s="25">
        <v>65</v>
      </c>
      <c r="NF127" s="25">
        <v>65</v>
      </c>
      <c r="NG127" s="25">
        <v>65</v>
      </c>
      <c r="NH127" s="25">
        <v>65</v>
      </c>
      <c r="NI127" s="25">
        <v>65</v>
      </c>
      <c r="NJ127" s="25">
        <v>65</v>
      </c>
      <c r="NK127" s="25">
        <v>65</v>
      </c>
      <c r="NL127" s="25">
        <v>65</v>
      </c>
      <c r="NM127" s="25">
        <v>65</v>
      </c>
      <c r="NN127" s="25">
        <v>65</v>
      </c>
      <c r="NO127" s="25">
        <v>65</v>
      </c>
      <c r="NP127" s="25">
        <v>65</v>
      </c>
      <c r="NQ127" s="25">
        <v>65</v>
      </c>
      <c r="NR127" s="25">
        <v>65</v>
      </c>
      <c r="NS127" s="25">
        <v>65</v>
      </c>
      <c r="NT127" s="25">
        <v>65</v>
      </c>
      <c r="NU127" s="25">
        <v>65</v>
      </c>
      <c r="NV127" s="25">
        <v>65</v>
      </c>
      <c r="NW127" s="25">
        <v>65</v>
      </c>
      <c r="NX127" s="25">
        <v>65</v>
      </c>
      <c r="NY127" s="25">
        <v>65</v>
      </c>
      <c r="NZ127" s="25">
        <v>65</v>
      </c>
      <c r="OA127" s="25">
        <v>65</v>
      </c>
      <c r="OB127" s="25">
        <v>65</v>
      </c>
      <c r="OC127" s="25">
        <v>65</v>
      </c>
      <c r="OD127" s="25">
        <v>65</v>
      </c>
      <c r="OE127">
        <v>65</v>
      </c>
      <c r="OF127">
        <v>65</v>
      </c>
      <c r="OG127">
        <v>65</v>
      </c>
      <c r="OH127">
        <v>65</v>
      </c>
      <c r="OI127">
        <v>65</v>
      </c>
      <c r="OJ127">
        <v>65</v>
      </c>
      <c r="OK127">
        <v>65</v>
      </c>
    </row>
    <row r="128" spans="1:401" outlineLevel="1" x14ac:dyDescent="0.3">
      <c r="E128" s="6"/>
      <c r="F128" s="19"/>
      <c r="J128" s="65"/>
      <c r="K128" s="55"/>
      <c r="L128" s="66"/>
      <c r="M128" s="25" t="s">
        <v>126</v>
      </c>
      <c r="N128" s="25"/>
      <c r="O128" s="27" t="s">
        <v>31</v>
      </c>
      <c r="P128" s="51" cm="1">
        <f t="array" ref="P128:OK128">_xlfn.ANCHORARRAY(P1)*E82</f>
        <v>0.97</v>
      </c>
      <c r="Q128" s="51">
        <v>0.97</v>
      </c>
      <c r="R128" s="51">
        <v>0.97</v>
      </c>
      <c r="S128" s="51">
        <v>0.97</v>
      </c>
      <c r="T128" s="51">
        <v>0.97</v>
      </c>
      <c r="U128" s="51">
        <v>0.97</v>
      </c>
      <c r="V128" s="51">
        <v>0.97</v>
      </c>
      <c r="W128" s="51">
        <v>0.97</v>
      </c>
      <c r="X128" s="51">
        <v>0.97</v>
      </c>
      <c r="Y128" s="51">
        <v>0.97</v>
      </c>
      <c r="Z128" s="51">
        <v>0.97</v>
      </c>
      <c r="AA128" s="51">
        <v>0.97</v>
      </c>
      <c r="AB128" s="51">
        <v>0.97</v>
      </c>
      <c r="AC128" s="51">
        <v>0.97</v>
      </c>
      <c r="AD128" s="51">
        <v>0.97</v>
      </c>
      <c r="AE128" s="51">
        <v>0.97</v>
      </c>
      <c r="AF128" s="51">
        <v>0.97</v>
      </c>
      <c r="AG128" s="51">
        <v>0.97</v>
      </c>
      <c r="AH128" s="51">
        <v>0.97</v>
      </c>
      <c r="AI128" s="51">
        <v>0.97</v>
      </c>
      <c r="AJ128" s="51">
        <v>0.97</v>
      </c>
      <c r="AK128" s="51">
        <v>0.97</v>
      </c>
      <c r="AL128" s="51">
        <v>0.97</v>
      </c>
      <c r="AM128" s="51">
        <v>0.97</v>
      </c>
      <c r="AN128" s="51">
        <v>0.97</v>
      </c>
      <c r="AO128" s="51">
        <v>0.97</v>
      </c>
      <c r="AP128" s="51">
        <v>0.97</v>
      </c>
      <c r="AQ128" s="51">
        <v>0.97</v>
      </c>
      <c r="AR128" s="51">
        <v>0.97</v>
      </c>
      <c r="AS128" s="51">
        <v>0.97</v>
      </c>
      <c r="AT128" s="51">
        <v>0.97</v>
      </c>
      <c r="AU128" s="51">
        <v>0.97</v>
      </c>
      <c r="AV128" s="51">
        <v>0.97</v>
      </c>
      <c r="AW128" s="51">
        <v>0.97</v>
      </c>
      <c r="AX128" s="51">
        <v>0.97</v>
      </c>
      <c r="AY128" s="51">
        <v>0.97</v>
      </c>
      <c r="AZ128" s="51">
        <v>0.97</v>
      </c>
      <c r="BA128" s="51">
        <v>0.97</v>
      </c>
      <c r="BB128" s="51">
        <v>0.97</v>
      </c>
      <c r="BC128" s="51">
        <v>0.97</v>
      </c>
      <c r="BD128" s="51">
        <v>0.97</v>
      </c>
      <c r="BE128" s="51">
        <v>0.97</v>
      </c>
      <c r="BF128" s="51">
        <v>0.97</v>
      </c>
      <c r="BG128" s="51">
        <v>0.97</v>
      </c>
      <c r="BH128" s="51">
        <v>0.97</v>
      </c>
      <c r="BI128" s="51">
        <v>0.97</v>
      </c>
      <c r="BJ128" s="51">
        <v>0.97</v>
      </c>
      <c r="BK128" s="51">
        <v>0.97</v>
      </c>
      <c r="BL128" s="51">
        <v>0.97</v>
      </c>
      <c r="BM128" s="51">
        <v>0.97</v>
      </c>
      <c r="BN128" s="51">
        <v>0.97</v>
      </c>
      <c r="BO128" s="51">
        <v>0.97</v>
      </c>
      <c r="BP128" s="51">
        <v>0.97</v>
      </c>
      <c r="BQ128" s="51">
        <v>0.97</v>
      </c>
      <c r="BR128" s="51">
        <v>0.97</v>
      </c>
      <c r="BS128" s="51">
        <v>0.97</v>
      </c>
      <c r="BT128" s="51">
        <v>0.97</v>
      </c>
      <c r="BU128" s="51">
        <v>0.97</v>
      </c>
      <c r="BV128" s="51">
        <v>0.97</v>
      </c>
      <c r="BW128" s="51">
        <v>0.97</v>
      </c>
      <c r="BX128" s="51">
        <v>0.97</v>
      </c>
      <c r="BY128" s="51">
        <v>0.97</v>
      </c>
      <c r="BZ128" s="51">
        <v>0.97</v>
      </c>
      <c r="CA128" s="51">
        <v>0.97</v>
      </c>
      <c r="CB128" s="51">
        <v>0.97</v>
      </c>
      <c r="CC128" s="51">
        <v>0.97</v>
      </c>
      <c r="CD128" s="51">
        <v>0.97</v>
      </c>
      <c r="CE128" s="51">
        <v>0.97</v>
      </c>
      <c r="CF128" s="51">
        <v>0.97</v>
      </c>
      <c r="CG128" s="51">
        <v>0.97</v>
      </c>
      <c r="CH128" s="51">
        <v>0.97</v>
      </c>
      <c r="CI128" s="51">
        <v>0.97</v>
      </c>
      <c r="CJ128" s="51">
        <v>0.97</v>
      </c>
      <c r="CK128" s="51">
        <v>0.97</v>
      </c>
      <c r="CL128" s="51">
        <v>0.97</v>
      </c>
      <c r="CM128" s="51">
        <v>0.97</v>
      </c>
      <c r="CN128" s="51">
        <v>0.97</v>
      </c>
      <c r="CO128" s="51">
        <v>0.97</v>
      </c>
      <c r="CP128" s="51">
        <v>0.97</v>
      </c>
      <c r="CQ128" s="51">
        <v>0.97</v>
      </c>
      <c r="CR128" s="51">
        <v>0.97</v>
      </c>
      <c r="CS128" s="51">
        <v>0.97</v>
      </c>
      <c r="CT128" s="51">
        <v>0.97</v>
      </c>
      <c r="CU128" s="51">
        <v>0.97</v>
      </c>
      <c r="CV128" s="51">
        <v>0.97</v>
      </c>
      <c r="CW128" s="51">
        <v>0.97</v>
      </c>
      <c r="CX128" s="51">
        <v>0.97</v>
      </c>
      <c r="CY128" s="51">
        <v>0.97</v>
      </c>
      <c r="CZ128" s="51">
        <v>0.97</v>
      </c>
      <c r="DA128" s="51">
        <v>0.97</v>
      </c>
      <c r="DB128" s="51">
        <v>0.97</v>
      </c>
      <c r="DC128" s="51">
        <v>0.97</v>
      </c>
      <c r="DD128" s="51">
        <v>0.97</v>
      </c>
      <c r="DE128" s="51">
        <v>0.97</v>
      </c>
      <c r="DF128" s="51">
        <v>0.97</v>
      </c>
      <c r="DG128" s="51">
        <v>0.97</v>
      </c>
      <c r="DH128" s="51">
        <v>0.97</v>
      </c>
      <c r="DI128" s="51">
        <v>0.97</v>
      </c>
      <c r="DJ128" s="51">
        <v>0.97</v>
      </c>
      <c r="DK128" s="51">
        <v>0.97</v>
      </c>
      <c r="DL128" s="51">
        <v>0.97</v>
      </c>
      <c r="DM128" s="51">
        <v>0.97</v>
      </c>
      <c r="DN128" s="51">
        <v>0.97</v>
      </c>
      <c r="DO128" s="51">
        <v>0.97</v>
      </c>
      <c r="DP128" s="51">
        <v>0.97</v>
      </c>
      <c r="DQ128" s="51">
        <v>0.97</v>
      </c>
      <c r="DR128" s="51">
        <v>0.97</v>
      </c>
      <c r="DS128" s="51">
        <v>0.97</v>
      </c>
      <c r="DT128" s="51">
        <v>0.97</v>
      </c>
      <c r="DU128" s="51">
        <v>0.97</v>
      </c>
      <c r="DV128" s="51">
        <v>0.97</v>
      </c>
      <c r="DW128" s="51">
        <v>0.97</v>
      </c>
      <c r="DX128" s="51">
        <v>0.97</v>
      </c>
      <c r="DY128" s="51">
        <v>0.97</v>
      </c>
      <c r="DZ128" s="51">
        <v>0.97</v>
      </c>
      <c r="EA128" s="51">
        <v>0.97</v>
      </c>
      <c r="EB128" s="51">
        <v>0.97</v>
      </c>
      <c r="EC128" s="51">
        <v>0.97</v>
      </c>
      <c r="ED128" s="51">
        <v>0.97</v>
      </c>
      <c r="EE128" s="51">
        <v>0.97</v>
      </c>
      <c r="EF128" s="51">
        <v>0.97</v>
      </c>
      <c r="EG128" s="51">
        <v>0.97</v>
      </c>
      <c r="EH128" s="51">
        <v>0.97</v>
      </c>
      <c r="EI128" s="51">
        <v>0.97</v>
      </c>
      <c r="EJ128" s="51">
        <v>0.97</v>
      </c>
      <c r="EK128" s="51">
        <v>0.97</v>
      </c>
      <c r="EL128" s="51">
        <v>0.97</v>
      </c>
      <c r="EM128" s="51">
        <v>0.97</v>
      </c>
      <c r="EN128" s="51">
        <v>0.97</v>
      </c>
      <c r="EO128" s="51">
        <v>0.97</v>
      </c>
      <c r="EP128" s="51">
        <v>0.97</v>
      </c>
      <c r="EQ128" s="51">
        <v>0.97</v>
      </c>
      <c r="ER128" s="51">
        <v>0.97</v>
      </c>
      <c r="ES128" s="51">
        <v>0.97</v>
      </c>
      <c r="ET128" s="51">
        <v>0.97</v>
      </c>
      <c r="EU128" s="51">
        <v>0.97</v>
      </c>
      <c r="EV128" s="51">
        <v>0.97</v>
      </c>
      <c r="EW128" s="51">
        <v>0.97</v>
      </c>
      <c r="EX128" s="51">
        <v>0.97</v>
      </c>
      <c r="EY128" s="51">
        <v>0.97</v>
      </c>
      <c r="EZ128" s="51">
        <v>0.97</v>
      </c>
      <c r="FA128" s="51">
        <v>0.97</v>
      </c>
      <c r="FB128" s="51">
        <v>0.97</v>
      </c>
      <c r="FC128" s="51">
        <v>0.97</v>
      </c>
      <c r="FD128" s="51">
        <v>0.97</v>
      </c>
      <c r="FE128" s="51">
        <v>0.97</v>
      </c>
      <c r="FF128" s="51">
        <v>0.97</v>
      </c>
      <c r="FG128" s="51">
        <v>0.97</v>
      </c>
      <c r="FH128" s="51">
        <v>0.97</v>
      </c>
      <c r="FI128" s="51">
        <v>0.97</v>
      </c>
      <c r="FJ128" s="51">
        <v>0.97</v>
      </c>
      <c r="FK128" s="51">
        <v>0.97</v>
      </c>
      <c r="FL128" s="51">
        <v>0.97</v>
      </c>
      <c r="FM128" s="51">
        <v>0.97</v>
      </c>
      <c r="FN128" s="51">
        <v>0.97</v>
      </c>
      <c r="FO128" s="51">
        <v>0.97</v>
      </c>
      <c r="FP128" s="51">
        <v>0.97</v>
      </c>
      <c r="FQ128" s="51">
        <v>0.97</v>
      </c>
      <c r="FR128" s="51">
        <v>0.97</v>
      </c>
      <c r="FS128" s="51">
        <v>0.97</v>
      </c>
      <c r="FT128" s="51">
        <v>0.97</v>
      </c>
      <c r="FU128" s="51">
        <v>0.97</v>
      </c>
      <c r="FV128" s="51">
        <v>0.97</v>
      </c>
      <c r="FW128" s="51">
        <v>0.97</v>
      </c>
      <c r="FX128" s="51">
        <v>0.97</v>
      </c>
      <c r="FY128" s="51">
        <v>0.97</v>
      </c>
      <c r="FZ128" s="51">
        <v>0.97</v>
      </c>
      <c r="GA128" s="51">
        <v>0.97</v>
      </c>
      <c r="GB128" s="51">
        <v>0.97</v>
      </c>
      <c r="GC128" s="51">
        <v>0.97</v>
      </c>
      <c r="GD128" s="51">
        <v>0.97</v>
      </c>
      <c r="GE128" s="51">
        <v>0.97</v>
      </c>
      <c r="GF128" s="51">
        <v>0.97</v>
      </c>
      <c r="GG128" s="51">
        <v>0.97</v>
      </c>
      <c r="GH128" s="51">
        <v>0.97</v>
      </c>
      <c r="GI128" s="51">
        <v>0.97</v>
      </c>
      <c r="GJ128" s="51">
        <v>0.97</v>
      </c>
      <c r="GK128" s="51">
        <v>0.97</v>
      </c>
      <c r="GL128" s="51">
        <v>0.97</v>
      </c>
      <c r="GM128" s="51">
        <v>0.97</v>
      </c>
      <c r="GN128" s="51">
        <v>0.97</v>
      </c>
      <c r="GO128" s="51">
        <v>0.97</v>
      </c>
      <c r="GP128" s="51">
        <v>0.97</v>
      </c>
      <c r="GQ128" s="51">
        <v>0.97</v>
      </c>
      <c r="GR128" s="51">
        <v>0.97</v>
      </c>
      <c r="GS128" s="51">
        <v>0.97</v>
      </c>
      <c r="GT128" s="51">
        <v>0.97</v>
      </c>
      <c r="GU128" s="51">
        <v>0.97</v>
      </c>
      <c r="GV128" s="51">
        <v>0.97</v>
      </c>
      <c r="GW128" s="51">
        <v>0.97</v>
      </c>
      <c r="GX128" s="51">
        <v>0.97</v>
      </c>
      <c r="GY128" s="51">
        <v>0.97</v>
      </c>
      <c r="GZ128" s="51">
        <v>0.97</v>
      </c>
      <c r="HA128" s="51">
        <v>0.97</v>
      </c>
      <c r="HB128" s="51">
        <v>0.97</v>
      </c>
      <c r="HC128" s="51">
        <v>0.97</v>
      </c>
      <c r="HD128" s="51">
        <v>0.97</v>
      </c>
      <c r="HE128" s="51">
        <v>0.97</v>
      </c>
      <c r="HF128" s="51">
        <v>0.97</v>
      </c>
      <c r="HG128" s="51">
        <v>0.97</v>
      </c>
      <c r="HH128" s="51">
        <v>0.97</v>
      </c>
      <c r="HI128" s="51">
        <v>0.97</v>
      </c>
      <c r="HJ128" s="51">
        <v>0.97</v>
      </c>
      <c r="HK128" s="51">
        <v>0.97</v>
      </c>
      <c r="HL128" s="51">
        <v>0.97</v>
      </c>
      <c r="HM128" s="51">
        <v>0.97</v>
      </c>
      <c r="HN128" s="51">
        <v>0.97</v>
      </c>
      <c r="HO128" s="51">
        <v>0.97</v>
      </c>
      <c r="HP128" s="51">
        <v>0.97</v>
      </c>
      <c r="HQ128" s="51">
        <v>0.97</v>
      </c>
      <c r="HR128" s="51">
        <v>0.97</v>
      </c>
      <c r="HS128" s="51">
        <v>0.97</v>
      </c>
      <c r="HT128" s="51">
        <v>0.97</v>
      </c>
      <c r="HU128" s="51">
        <v>0.97</v>
      </c>
      <c r="HV128" s="51">
        <v>0.97</v>
      </c>
      <c r="HW128" s="51">
        <v>0.97</v>
      </c>
      <c r="HX128" s="51">
        <v>0.97</v>
      </c>
      <c r="HY128" s="51">
        <v>0.97</v>
      </c>
      <c r="HZ128" s="51">
        <v>0.97</v>
      </c>
      <c r="IA128" s="51">
        <v>0.97</v>
      </c>
      <c r="IB128" s="51">
        <v>0.97</v>
      </c>
      <c r="IC128" s="51">
        <v>0.97</v>
      </c>
      <c r="ID128" s="51">
        <v>0.97</v>
      </c>
      <c r="IE128" s="51">
        <v>0.97</v>
      </c>
      <c r="IF128" s="51">
        <v>0.97</v>
      </c>
      <c r="IG128" s="51">
        <v>0.97</v>
      </c>
      <c r="IH128" s="51">
        <v>0.97</v>
      </c>
      <c r="II128" s="51">
        <v>0.97</v>
      </c>
      <c r="IJ128" s="51">
        <v>0.97</v>
      </c>
      <c r="IK128" s="51">
        <v>0.97</v>
      </c>
      <c r="IL128" s="51">
        <v>0.97</v>
      </c>
      <c r="IM128" s="51">
        <v>0.97</v>
      </c>
      <c r="IN128" s="51">
        <v>0.97</v>
      </c>
      <c r="IO128" s="51">
        <v>0.97</v>
      </c>
      <c r="IP128" s="51">
        <v>0.97</v>
      </c>
      <c r="IQ128" s="51">
        <v>0.97</v>
      </c>
      <c r="IR128" s="51">
        <v>0.97</v>
      </c>
      <c r="IS128" s="51">
        <v>0.97</v>
      </c>
      <c r="IT128" s="51">
        <v>0.97</v>
      </c>
      <c r="IU128" s="51">
        <v>0.97</v>
      </c>
      <c r="IV128" s="51">
        <v>0.97</v>
      </c>
      <c r="IW128" s="51">
        <v>0.97</v>
      </c>
      <c r="IX128" s="51">
        <v>0.97</v>
      </c>
      <c r="IY128" s="51">
        <v>0.97</v>
      </c>
      <c r="IZ128" s="51">
        <v>0.97</v>
      </c>
      <c r="JA128" s="51">
        <v>0.97</v>
      </c>
      <c r="JB128" s="51">
        <v>0.97</v>
      </c>
      <c r="JC128" s="51">
        <v>0.97</v>
      </c>
      <c r="JD128" s="51">
        <v>0.97</v>
      </c>
      <c r="JE128" s="51">
        <v>0.97</v>
      </c>
      <c r="JF128" s="51">
        <v>0.97</v>
      </c>
      <c r="JG128" s="51">
        <v>0.97</v>
      </c>
      <c r="JH128" s="51">
        <v>0.97</v>
      </c>
      <c r="JI128" s="51">
        <v>0.97</v>
      </c>
      <c r="JJ128" s="51">
        <v>0.97</v>
      </c>
      <c r="JK128" s="51">
        <v>0.97</v>
      </c>
      <c r="JL128" s="51">
        <v>0.97</v>
      </c>
      <c r="JM128" s="51">
        <v>0.97</v>
      </c>
      <c r="JN128" s="51">
        <v>0.97</v>
      </c>
      <c r="JO128" s="51">
        <v>0.97</v>
      </c>
      <c r="JP128" s="51">
        <v>0.97</v>
      </c>
      <c r="JQ128" s="51">
        <v>0.97</v>
      </c>
      <c r="JR128" s="51">
        <v>0.97</v>
      </c>
      <c r="JS128" s="51">
        <v>0.97</v>
      </c>
      <c r="JT128" s="51">
        <v>0.97</v>
      </c>
      <c r="JU128" s="51">
        <v>0.97</v>
      </c>
      <c r="JV128" s="51">
        <v>0.97</v>
      </c>
      <c r="JW128" s="51">
        <v>0.97</v>
      </c>
      <c r="JX128" s="51">
        <v>0.97</v>
      </c>
      <c r="JY128" s="51">
        <v>0.97</v>
      </c>
      <c r="JZ128" s="51">
        <v>0.97</v>
      </c>
      <c r="KA128" s="51">
        <v>0.97</v>
      </c>
      <c r="KB128" s="51">
        <v>0.97</v>
      </c>
      <c r="KC128" s="51">
        <v>0.97</v>
      </c>
      <c r="KD128" s="51">
        <v>0.97</v>
      </c>
      <c r="KE128" s="51">
        <v>0.97</v>
      </c>
      <c r="KF128" s="51">
        <v>0.97</v>
      </c>
      <c r="KG128" s="51">
        <v>0.97</v>
      </c>
      <c r="KH128" s="51">
        <v>0.97</v>
      </c>
      <c r="KI128" s="51">
        <v>0.97</v>
      </c>
      <c r="KJ128" s="51">
        <v>0.97</v>
      </c>
      <c r="KK128" s="51">
        <v>0.97</v>
      </c>
      <c r="KL128" s="51">
        <v>0.97</v>
      </c>
      <c r="KM128" s="51">
        <v>0.97</v>
      </c>
      <c r="KN128" s="51">
        <v>0.97</v>
      </c>
      <c r="KO128" s="51">
        <v>0.97</v>
      </c>
      <c r="KP128" s="51">
        <v>0.97</v>
      </c>
      <c r="KQ128" s="51">
        <v>0.97</v>
      </c>
      <c r="KR128" s="51">
        <v>0.97</v>
      </c>
      <c r="KS128" s="51">
        <v>0.97</v>
      </c>
      <c r="KT128" s="51">
        <v>0.97</v>
      </c>
      <c r="KU128" s="51">
        <v>0.97</v>
      </c>
      <c r="KV128" s="51">
        <v>0.97</v>
      </c>
      <c r="KW128" s="51">
        <v>0.97</v>
      </c>
      <c r="KX128" s="51">
        <v>0.97</v>
      </c>
      <c r="KY128" s="51">
        <v>0.97</v>
      </c>
      <c r="KZ128" s="51">
        <v>0.97</v>
      </c>
      <c r="LA128" s="51">
        <v>0.97</v>
      </c>
      <c r="LB128" s="51">
        <v>0.97</v>
      </c>
      <c r="LC128" s="51">
        <v>0.97</v>
      </c>
      <c r="LD128" s="51">
        <v>0.97</v>
      </c>
      <c r="LE128" s="51">
        <v>0.97</v>
      </c>
      <c r="LF128" s="51">
        <v>0.97</v>
      </c>
      <c r="LG128" s="51">
        <v>0.97</v>
      </c>
      <c r="LH128" s="51">
        <v>0.97</v>
      </c>
      <c r="LI128" s="51">
        <v>0.97</v>
      </c>
      <c r="LJ128" s="51">
        <v>0.97</v>
      </c>
      <c r="LK128" s="51">
        <v>0.97</v>
      </c>
      <c r="LL128" s="51">
        <v>0.97</v>
      </c>
      <c r="LM128" s="51">
        <v>0.97</v>
      </c>
      <c r="LN128" s="51">
        <v>0.97</v>
      </c>
      <c r="LO128" s="51">
        <v>0.97</v>
      </c>
      <c r="LP128" s="51">
        <v>0.97</v>
      </c>
      <c r="LQ128" s="51">
        <v>0.97</v>
      </c>
      <c r="LR128" s="51">
        <v>0.97</v>
      </c>
      <c r="LS128" s="51">
        <v>0.97</v>
      </c>
      <c r="LT128" s="51">
        <v>0.97</v>
      </c>
      <c r="LU128" s="51">
        <v>0.97</v>
      </c>
      <c r="LV128" s="51">
        <v>0.97</v>
      </c>
      <c r="LW128" s="51">
        <v>0.97</v>
      </c>
      <c r="LX128" s="51">
        <v>0.97</v>
      </c>
      <c r="LY128" s="51">
        <v>0.97</v>
      </c>
      <c r="LZ128" s="51">
        <v>0.97</v>
      </c>
      <c r="MA128" s="51">
        <v>0.97</v>
      </c>
      <c r="MB128" s="51">
        <v>0.97</v>
      </c>
      <c r="MC128" s="51">
        <v>0.97</v>
      </c>
      <c r="MD128" s="51">
        <v>0.97</v>
      </c>
      <c r="ME128" s="51">
        <v>0.97</v>
      </c>
      <c r="MF128" s="51">
        <v>0.97</v>
      </c>
      <c r="MG128" s="51">
        <v>0.97</v>
      </c>
      <c r="MH128" s="51">
        <v>0.97</v>
      </c>
      <c r="MI128" s="51">
        <v>0.97</v>
      </c>
      <c r="MJ128" s="51">
        <v>0.97</v>
      </c>
      <c r="MK128" s="51">
        <v>0.97</v>
      </c>
      <c r="ML128" s="51">
        <v>0.97</v>
      </c>
      <c r="MM128" s="51">
        <v>0.97</v>
      </c>
      <c r="MN128" s="51">
        <v>0.97</v>
      </c>
      <c r="MO128" s="51">
        <v>0.97</v>
      </c>
      <c r="MP128" s="51">
        <v>0.97</v>
      </c>
      <c r="MQ128" s="51">
        <v>0.97</v>
      </c>
      <c r="MR128" s="51">
        <v>0.97</v>
      </c>
      <c r="MS128" s="51">
        <v>0.97</v>
      </c>
      <c r="MT128" s="51">
        <v>0.97</v>
      </c>
      <c r="MU128" s="51">
        <v>0.97</v>
      </c>
      <c r="MV128" s="51">
        <v>0.97</v>
      </c>
      <c r="MW128" s="51">
        <v>0.97</v>
      </c>
      <c r="MX128" s="51">
        <v>0.97</v>
      </c>
      <c r="MY128" s="51">
        <v>0.97</v>
      </c>
      <c r="MZ128" s="51">
        <v>0.97</v>
      </c>
      <c r="NA128" s="51">
        <v>0.97</v>
      </c>
      <c r="NB128" s="51">
        <v>0.97</v>
      </c>
      <c r="NC128" s="51">
        <v>0.97</v>
      </c>
      <c r="ND128" s="51">
        <v>0.97</v>
      </c>
      <c r="NE128" s="51">
        <v>0.97</v>
      </c>
      <c r="NF128" s="51">
        <v>0.97</v>
      </c>
      <c r="NG128" s="51">
        <v>0.97</v>
      </c>
      <c r="NH128" s="51">
        <v>0.97</v>
      </c>
      <c r="NI128" s="51">
        <v>0.97</v>
      </c>
      <c r="NJ128" s="51">
        <v>0.97</v>
      </c>
      <c r="NK128" s="51">
        <v>0.97</v>
      </c>
      <c r="NL128" s="51">
        <v>0.97</v>
      </c>
      <c r="NM128" s="51">
        <v>0.97</v>
      </c>
      <c r="NN128" s="51">
        <v>0.97</v>
      </c>
      <c r="NO128" s="51">
        <v>0.97</v>
      </c>
      <c r="NP128" s="51">
        <v>0.97</v>
      </c>
      <c r="NQ128" s="51">
        <v>0.97</v>
      </c>
      <c r="NR128" s="51">
        <v>0.97</v>
      </c>
      <c r="NS128" s="51">
        <v>0.97</v>
      </c>
      <c r="NT128" s="51">
        <v>0.97</v>
      </c>
      <c r="NU128" s="51">
        <v>0.97</v>
      </c>
      <c r="NV128" s="51">
        <v>0.97</v>
      </c>
      <c r="NW128" s="51">
        <v>0.97</v>
      </c>
      <c r="NX128" s="51">
        <v>0.97</v>
      </c>
      <c r="NY128" s="51">
        <v>0.97</v>
      </c>
      <c r="NZ128" s="51">
        <v>0.97</v>
      </c>
      <c r="OA128" s="51">
        <v>0.97</v>
      </c>
      <c r="OB128" s="51">
        <v>0.97</v>
      </c>
      <c r="OC128" s="51">
        <v>0.97</v>
      </c>
      <c r="OD128" s="51">
        <v>0.97</v>
      </c>
      <c r="OE128" s="4">
        <v>0.97</v>
      </c>
      <c r="OF128" s="4">
        <v>0.97</v>
      </c>
      <c r="OG128" s="4">
        <v>0.97</v>
      </c>
      <c r="OH128" s="4">
        <v>0.97</v>
      </c>
      <c r="OI128" s="4">
        <v>0.97</v>
      </c>
      <c r="OJ128" s="4">
        <v>0.97</v>
      </c>
      <c r="OK128" s="4">
        <v>0.97</v>
      </c>
    </row>
    <row r="129" spans="4:401" x14ac:dyDescent="0.3">
      <c r="E129" s="6"/>
      <c r="F129" s="19"/>
      <c r="J129" s="65"/>
      <c r="K129" s="55"/>
      <c r="L129" s="66"/>
      <c r="M129" t="s">
        <v>133</v>
      </c>
      <c r="O129" s="7" t="s">
        <v>15</v>
      </c>
      <c r="P129" cm="1">
        <f t="array" ref="P129:OK129">_xlfn.ANCHORARRAY(P127)*_xlfn.ANCHORARRAY(P128)</f>
        <v>63.05</v>
      </c>
      <c r="Q129">
        <v>63.05</v>
      </c>
      <c r="R129">
        <v>63.05</v>
      </c>
      <c r="S129">
        <v>63.05</v>
      </c>
      <c r="T129">
        <v>63.05</v>
      </c>
      <c r="U129">
        <v>63.05</v>
      </c>
      <c r="V129">
        <v>63.05</v>
      </c>
      <c r="W129">
        <v>63.05</v>
      </c>
      <c r="X129">
        <v>63.05</v>
      </c>
      <c r="Y129">
        <v>63.05</v>
      </c>
      <c r="Z129">
        <v>63.05</v>
      </c>
      <c r="AA129">
        <v>63.05</v>
      </c>
      <c r="AB129">
        <v>63.05</v>
      </c>
      <c r="AC129">
        <v>63.05</v>
      </c>
      <c r="AD129">
        <v>63.05</v>
      </c>
      <c r="AE129">
        <v>63.05</v>
      </c>
      <c r="AF129">
        <v>63.05</v>
      </c>
      <c r="AG129">
        <v>63.05</v>
      </c>
      <c r="AH129">
        <v>63.05</v>
      </c>
      <c r="AI129">
        <v>63.05</v>
      </c>
      <c r="AJ129">
        <v>63.05</v>
      </c>
      <c r="AK129">
        <v>63.05</v>
      </c>
      <c r="AL129">
        <v>63.05</v>
      </c>
      <c r="AM129">
        <v>63.05</v>
      </c>
      <c r="AN129">
        <v>63.05</v>
      </c>
      <c r="AO129">
        <v>63.05</v>
      </c>
      <c r="AP129">
        <v>63.05</v>
      </c>
      <c r="AQ129">
        <v>63.05</v>
      </c>
      <c r="AR129">
        <v>63.05</v>
      </c>
      <c r="AS129">
        <v>63.05</v>
      </c>
      <c r="AT129">
        <v>63.05</v>
      </c>
      <c r="AU129">
        <v>63.05</v>
      </c>
      <c r="AV129">
        <v>63.05</v>
      </c>
      <c r="AW129">
        <v>63.05</v>
      </c>
      <c r="AX129">
        <v>63.05</v>
      </c>
      <c r="AY129">
        <v>63.05</v>
      </c>
      <c r="AZ129">
        <v>63.05</v>
      </c>
      <c r="BA129">
        <v>63.05</v>
      </c>
      <c r="BB129">
        <v>63.05</v>
      </c>
      <c r="BC129">
        <v>63.05</v>
      </c>
      <c r="BD129">
        <v>63.05</v>
      </c>
      <c r="BE129">
        <v>63.05</v>
      </c>
      <c r="BF129">
        <v>63.05</v>
      </c>
      <c r="BG129">
        <v>63.05</v>
      </c>
      <c r="BH129">
        <v>63.05</v>
      </c>
      <c r="BI129">
        <v>63.05</v>
      </c>
      <c r="BJ129">
        <v>63.05</v>
      </c>
      <c r="BK129">
        <v>63.05</v>
      </c>
      <c r="BL129">
        <v>63.05</v>
      </c>
      <c r="BM129">
        <v>63.05</v>
      </c>
      <c r="BN129">
        <v>63.05</v>
      </c>
      <c r="BO129">
        <v>63.05</v>
      </c>
      <c r="BP129">
        <v>63.05</v>
      </c>
      <c r="BQ129">
        <v>63.05</v>
      </c>
      <c r="BR129">
        <v>63.05</v>
      </c>
      <c r="BS129">
        <v>63.05</v>
      </c>
      <c r="BT129">
        <v>63.05</v>
      </c>
      <c r="BU129">
        <v>63.05</v>
      </c>
      <c r="BV129">
        <v>63.05</v>
      </c>
      <c r="BW129">
        <v>63.05</v>
      </c>
      <c r="BX129">
        <v>63.05</v>
      </c>
      <c r="BY129">
        <v>63.05</v>
      </c>
      <c r="BZ129">
        <v>63.05</v>
      </c>
      <c r="CA129">
        <v>63.05</v>
      </c>
      <c r="CB129">
        <v>63.05</v>
      </c>
      <c r="CC129">
        <v>63.05</v>
      </c>
      <c r="CD129">
        <v>63.05</v>
      </c>
      <c r="CE129">
        <v>63.05</v>
      </c>
      <c r="CF129">
        <v>63.05</v>
      </c>
      <c r="CG129">
        <v>63.05</v>
      </c>
      <c r="CH129">
        <v>63.05</v>
      </c>
      <c r="CI129">
        <v>63.05</v>
      </c>
      <c r="CJ129">
        <v>63.05</v>
      </c>
      <c r="CK129">
        <v>63.05</v>
      </c>
      <c r="CL129">
        <v>63.05</v>
      </c>
      <c r="CM129">
        <v>63.05</v>
      </c>
      <c r="CN129">
        <v>63.05</v>
      </c>
      <c r="CO129">
        <v>63.05</v>
      </c>
      <c r="CP129">
        <v>63.05</v>
      </c>
      <c r="CQ129">
        <v>63.05</v>
      </c>
      <c r="CR129">
        <v>63.05</v>
      </c>
      <c r="CS129">
        <v>63.05</v>
      </c>
      <c r="CT129">
        <v>63.05</v>
      </c>
      <c r="CU129">
        <v>63.05</v>
      </c>
      <c r="CV129">
        <v>63.05</v>
      </c>
      <c r="CW129">
        <v>63.05</v>
      </c>
      <c r="CX129">
        <v>63.05</v>
      </c>
      <c r="CY129">
        <v>63.05</v>
      </c>
      <c r="CZ129">
        <v>63.05</v>
      </c>
      <c r="DA129">
        <v>63.05</v>
      </c>
      <c r="DB129">
        <v>63.05</v>
      </c>
      <c r="DC129">
        <v>63.05</v>
      </c>
      <c r="DD129">
        <v>63.05</v>
      </c>
      <c r="DE129">
        <v>63.05</v>
      </c>
      <c r="DF129">
        <v>63.05</v>
      </c>
      <c r="DG129">
        <v>63.05</v>
      </c>
      <c r="DH129">
        <v>63.05</v>
      </c>
      <c r="DI129">
        <v>63.05</v>
      </c>
      <c r="DJ129">
        <v>63.05</v>
      </c>
      <c r="DK129">
        <v>63.05</v>
      </c>
      <c r="DL129">
        <v>63.05</v>
      </c>
      <c r="DM129">
        <v>63.05</v>
      </c>
      <c r="DN129">
        <v>63.05</v>
      </c>
      <c r="DO129">
        <v>63.05</v>
      </c>
      <c r="DP129">
        <v>63.05</v>
      </c>
      <c r="DQ129">
        <v>63.05</v>
      </c>
      <c r="DR129">
        <v>63.05</v>
      </c>
      <c r="DS129">
        <v>63.05</v>
      </c>
      <c r="DT129">
        <v>63.05</v>
      </c>
      <c r="DU129">
        <v>63.05</v>
      </c>
      <c r="DV129">
        <v>63.05</v>
      </c>
      <c r="DW129">
        <v>63.05</v>
      </c>
      <c r="DX129">
        <v>63.05</v>
      </c>
      <c r="DY129">
        <v>63.05</v>
      </c>
      <c r="DZ129">
        <v>63.05</v>
      </c>
      <c r="EA129">
        <v>63.05</v>
      </c>
      <c r="EB129">
        <v>63.05</v>
      </c>
      <c r="EC129">
        <v>63.05</v>
      </c>
      <c r="ED129">
        <v>63.05</v>
      </c>
      <c r="EE129">
        <v>63.05</v>
      </c>
      <c r="EF129">
        <v>63.05</v>
      </c>
      <c r="EG129">
        <v>63.05</v>
      </c>
      <c r="EH129">
        <v>63.05</v>
      </c>
      <c r="EI129">
        <v>63.05</v>
      </c>
      <c r="EJ129">
        <v>63.05</v>
      </c>
      <c r="EK129">
        <v>63.05</v>
      </c>
      <c r="EL129">
        <v>63.05</v>
      </c>
      <c r="EM129">
        <v>63.05</v>
      </c>
      <c r="EN129">
        <v>63.05</v>
      </c>
      <c r="EO129">
        <v>63.05</v>
      </c>
      <c r="EP129">
        <v>63.05</v>
      </c>
      <c r="EQ129">
        <v>63.05</v>
      </c>
      <c r="ER129">
        <v>63.05</v>
      </c>
      <c r="ES129">
        <v>63.05</v>
      </c>
      <c r="ET129">
        <v>63.05</v>
      </c>
      <c r="EU129">
        <v>63.05</v>
      </c>
      <c r="EV129">
        <v>63.05</v>
      </c>
      <c r="EW129">
        <v>63.05</v>
      </c>
      <c r="EX129">
        <v>63.05</v>
      </c>
      <c r="EY129">
        <v>63.05</v>
      </c>
      <c r="EZ129">
        <v>63.05</v>
      </c>
      <c r="FA129">
        <v>63.05</v>
      </c>
      <c r="FB129">
        <v>63.05</v>
      </c>
      <c r="FC129">
        <v>63.05</v>
      </c>
      <c r="FD129">
        <v>63.05</v>
      </c>
      <c r="FE129">
        <v>63.05</v>
      </c>
      <c r="FF129">
        <v>63.05</v>
      </c>
      <c r="FG129">
        <v>63.05</v>
      </c>
      <c r="FH129">
        <v>63.05</v>
      </c>
      <c r="FI129">
        <v>63.05</v>
      </c>
      <c r="FJ129">
        <v>63.05</v>
      </c>
      <c r="FK129">
        <v>63.05</v>
      </c>
      <c r="FL129">
        <v>63.05</v>
      </c>
      <c r="FM129">
        <v>63.05</v>
      </c>
      <c r="FN129">
        <v>63.05</v>
      </c>
      <c r="FO129">
        <v>63.05</v>
      </c>
      <c r="FP129">
        <v>63.05</v>
      </c>
      <c r="FQ129">
        <v>63.05</v>
      </c>
      <c r="FR129">
        <v>63.05</v>
      </c>
      <c r="FS129">
        <v>63.05</v>
      </c>
      <c r="FT129">
        <v>63.05</v>
      </c>
      <c r="FU129">
        <v>63.05</v>
      </c>
      <c r="FV129">
        <v>63.05</v>
      </c>
      <c r="FW129">
        <v>63.05</v>
      </c>
      <c r="FX129">
        <v>63.05</v>
      </c>
      <c r="FY129">
        <v>63.05</v>
      </c>
      <c r="FZ129">
        <v>63.05</v>
      </c>
      <c r="GA129">
        <v>63.05</v>
      </c>
      <c r="GB129">
        <v>63.05</v>
      </c>
      <c r="GC129">
        <v>63.05</v>
      </c>
      <c r="GD129">
        <v>63.05</v>
      </c>
      <c r="GE129">
        <v>63.05</v>
      </c>
      <c r="GF129">
        <v>63.05</v>
      </c>
      <c r="GG129">
        <v>63.05</v>
      </c>
      <c r="GH129">
        <v>63.05</v>
      </c>
      <c r="GI129">
        <v>63.05</v>
      </c>
      <c r="GJ129">
        <v>63.05</v>
      </c>
      <c r="GK129">
        <v>63.05</v>
      </c>
      <c r="GL129">
        <v>63.05</v>
      </c>
      <c r="GM129">
        <v>63.05</v>
      </c>
      <c r="GN129">
        <v>63.05</v>
      </c>
      <c r="GO129">
        <v>63.05</v>
      </c>
      <c r="GP129">
        <v>63.05</v>
      </c>
      <c r="GQ129">
        <v>63.05</v>
      </c>
      <c r="GR129">
        <v>63.05</v>
      </c>
      <c r="GS129">
        <v>63.05</v>
      </c>
      <c r="GT129">
        <v>63.05</v>
      </c>
      <c r="GU129">
        <v>63.05</v>
      </c>
      <c r="GV129">
        <v>63.05</v>
      </c>
      <c r="GW129">
        <v>63.05</v>
      </c>
      <c r="GX129">
        <v>63.05</v>
      </c>
      <c r="GY129">
        <v>63.05</v>
      </c>
      <c r="GZ129">
        <v>63.05</v>
      </c>
      <c r="HA129">
        <v>63.05</v>
      </c>
      <c r="HB129">
        <v>63.05</v>
      </c>
      <c r="HC129">
        <v>63.05</v>
      </c>
      <c r="HD129">
        <v>63.05</v>
      </c>
      <c r="HE129">
        <v>63.05</v>
      </c>
      <c r="HF129">
        <v>63.05</v>
      </c>
      <c r="HG129">
        <v>63.05</v>
      </c>
      <c r="HH129">
        <v>63.05</v>
      </c>
      <c r="HI129">
        <v>63.05</v>
      </c>
      <c r="HJ129">
        <v>63.05</v>
      </c>
      <c r="HK129">
        <v>63.05</v>
      </c>
      <c r="HL129">
        <v>63.05</v>
      </c>
      <c r="HM129">
        <v>63.05</v>
      </c>
      <c r="HN129">
        <v>63.05</v>
      </c>
      <c r="HO129">
        <v>63.05</v>
      </c>
      <c r="HP129">
        <v>63.05</v>
      </c>
      <c r="HQ129">
        <v>63.05</v>
      </c>
      <c r="HR129">
        <v>63.05</v>
      </c>
      <c r="HS129">
        <v>63.05</v>
      </c>
      <c r="HT129">
        <v>63.05</v>
      </c>
      <c r="HU129">
        <v>63.05</v>
      </c>
      <c r="HV129">
        <v>63.05</v>
      </c>
      <c r="HW129">
        <v>63.05</v>
      </c>
      <c r="HX129">
        <v>63.05</v>
      </c>
      <c r="HY129">
        <v>63.05</v>
      </c>
      <c r="HZ129">
        <v>63.05</v>
      </c>
      <c r="IA129">
        <v>63.05</v>
      </c>
      <c r="IB129">
        <v>63.05</v>
      </c>
      <c r="IC129">
        <v>63.05</v>
      </c>
      <c r="ID129">
        <v>63.05</v>
      </c>
      <c r="IE129">
        <v>63.05</v>
      </c>
      <c r="IF129">
        <v>63.05</v>
      </c>
      <c r="IG129">
        <v>63.05</v>
      </c>
      <c r="IH129">
        <v>63.05</v>
      </c>
      <c r="II129">
        <v>63.05</v>
      </c>
      <c r="IJ129">
        <v>63.05</v>
      </c>
      <c r="IK129">
        <v>63.05</v>
      </c>
      <c r="IL129">
        <v>63.05</v>
      </c>
      <c r="IM129">
        <v>63.05</v>
      </c>
      <c r="IN129">
        <v>63.05</v>
      </c>
      <c r="IO129">
        <v>63.05</v>
      </c>
      <c r="IP129">
        <v>63.05</v>
      </c>
      <c r="IQ129">
        <v>63.05</v>
      </c>
      <c r="IR129">
        <v>63.05</v>
      </c>
      <c r="IS129">
        <v>63.05</v>
      </c>
      <c r="IT129">
        <v>63.05</v>
      </c>
      <c r="IU129">
        <v>63.05</v>
      </c>
      <c r="IV129">
        <v>63.05</v>
      </c>
      <c r="IW129">
        <v>63.05</v>
      </c>
      <c r="IX129">
        <v>63.05</v>
      </c>
      <c r="IY129">
        <v>63.05</v>
      </c>
      <c r="IZ129">
        <v>63.05</v>
      </c>
      <c r="JA129">
        <v>63.05</v>
      </c>
      <c r="JB129">
        <v>63.05</v>
      </c>
      <c r="JC129">
        <v>63.05</v>
      </c>
      <c r="JD129">
        <v>63.05</v>
      </c>
      <c r="JE129">
        <v>63.05</v>
      </c>
      <c r="JF129">
        <v>63.05</v>
      </c>
      <c r="JG129">
        <v>63.05</v>
      </c>
      <c r="JH129">
        <v>63.05</v>
      </c>
      <c r="JI129">
        <v>63.05</v>
      </c>
      <c r="JJ129">
        <v>63.05</v>
      </c>
      <c r="JK129">
        <v>63.05</v>
      </c>
      <c r="JL129">
        <v>63.05</v>
      </c>
      <c r="JM129">
        <v>63.05</v>
      </c>
      <c r="JN129">
        <v>63.05</v>
      </c>
      <c r="JO129">
        <v>63.05</v>
      </c>
      <c r="JP129">
        <v>63.05</v>
      </c>
      <c r="JQ129">
        <v>63.05</v>
      </c>
      <c r="JR129">
        <v>63.05</v>
      </c>
      <c r="JS129">
        <v>63.05</v>
      </c>
      <c r="JT129">
        <v>63.05</v>
      </c>
      <c r="JU129">
        <v>63.05</v>
      </c>
      <c r="JV129">
        <v>63.05</v>
      </c>
      <c r="JW129">
        <v>63.05</v>
      </c>
      <c r="JX129">
        <v>63.05</v>
      </c>
      <c r="JY129">
        <v>63.05</v>
      </c>
      <c r="JZ129">
        <v>63.05</v>
      </c>
      <c r="KA129">
        <v>63.05</v>
      </c>
      <c r="KB129">
        <v>63.05</v>
      </c>
      <c r="KC129">
        <v>63.05</v>
      </c>
      <c r="KD129">
        <v>63.05</v>
      </c>
      <c r="KE129">
        <v>63.05</v>
      </c>
      <c r="KF129">
        <v>63.05</v>
      </c>
      <c r="KG129">
        <v>63.05</v>
      </c>
      <c r="KH129">
        <v>63.05</v>
      </c>
      <c r="KI129">
        <v>63.05</v>
      </c>
      <c r="KJ129">
        <v>63.05</v>
      </c>
      <c r="KK129">
        <v>63.05</v>
      </c>
      <c r="KL129">
        <v>63.05</v>
      </c>
      <c r="KM129">
        <v>63.05</v>
      </c>
      <c r="KN129">
        <v>63.05</v>
      </c>
      <c r="KO129">
        <v>63.05</v>
      </c>
      <c r="KP129">
        <v>63.05</v>
      </c>
      <c r="KQ129">
        <v>63.05</v>
      </c>
      <c r="KR129">
        <v>63.05</v>
      </c>
      <c r="KS129">
        <v>63.05</v>
      </c>
      <c r="KT129">
        <v>63.05</v>
      </c>
      <c r="KU129">
        <v>63.05</v>
      </c>
      <c r="KV129">
        <v>63.05</v>
      </c>
      <c r="KW129">
        <v>63.05</v>
      </c>
      <c r="KX129">
        <v>63.05</v>
      </c>
      <c r="KY129">
        <v>63.05</v>
      </c>
      <c r="KZ129">
        <v>63.05</v>
      </c>
      <c r="LA129">
        <v>63.05</v>
      </c>
      <c r="LB129">
        <v>63.05</v>
      </c>
      <c r="LC129">
        <v>63.05</v>
      </c>
      <c r="LD129">
        <v>63.05</v>
      </c>
      <c r="LE129">
        <v>63.05</v>
      </c>
      <c r="LF129">
        <v>63.05</v>
      </c>
      <c r="LG129">
        <v>63.05</v>
      </c>
      <c r="LH129">
        <v>63.05</v>
      </c>
      <c r="LI129">
        <v>63.05</v>
      </c>
      <c r="LJ129">
        <v>63.05</v>
      </c>
      <c r="LK129">
        <v>63.05</v>
      </c>
      <c r="LL129">
        <v>63.05</v>
      </c>
      <c r="LM129">
        <v>63.05</v>
      </c>
      <c r="LN129">
        <v>63.05</v>
      </c>
      <c r="LO129">
        <v>63.05</v>
      </c>
      <c r="LP129">
        <v>63.05</v>
      </c>
      <c r="LQ129">
        <v>63.05</v>
      </c>
      <c r="LR129">
        <v>63.05</v>
      </c>
      <c r="LS129">
        <v>63.05</v>
      </c>
      <c r="LT129">
        <v>63.05</v>
      </c>
      <c r="LU129">
        <v>63.05</v>
      </c>
      <c r="LV129">
        <v>63.05</v>
      </c>
      <c r="LW129">
        <v>63.05</v>
      </c>
      <c r="LX129">
        <v>63.05</v>
      </c>
      <c r="LY129">
        <v>63.05</v>
      </c>
      <c r="LZ129">
        <v>63.05</v>
      </c>
      <c r="MA129">
        <v>63.05</v>
      </c>
      <c r="MB129">
        <v>63.05</v>
      </c>
      <c r="MC129">
        <v>63.05</v>
      </c>
      <c r="MD129">
        <v>63.05</v>
      </c>
      <c r="ME129">
        <v>63.05</v>
      </c>
      <c r="MF129">
        <v>63.05</v>
      </c>
      <c r="MG129">
        <v>63.05</v>
      </c>
      <c r="MH129">
        <v>63.05</v>
      </c>
      <c r="MI129">
        <v>63.05</v>
      </c>
      <c r="MJ129">
        <v>63.05</v>
      </c>
      <c r="MK129">
        <v>63.05</v>
      </c>
      <c r="ML129">
        <v>63.05</v>
      </c>
      <c r="MM129">
        <v>63.05</v>
      </c>
      <c r="MN129">
        <v>63.05</v>
      </c>
      <c r="MO129">
        <v>63.05</v>
      </c>
      <c r="MP129">
        <v>63.05</v>
      </c>
      <c r="MQ129">
        <v>63.05</v>
      </c>
      <c r="MR129">
        <v>63.05</v>
      </c>
      <c r="MS129">
        <v>63.05</v>
      </c>
      <c r="MT129">
        <v>63.05</v>
      </c>
      <c r="MU129">
        <v>63.05</v>
      </c>
      <c r="MV129">
        <v>63.05</v>
      </c>
      <c r="MW129">
        <v>63.05</v>
      </c>
      <c r="MX129">
        <v>63.05</v>
      </c>
      <c r="MY129">
        <v>63.05</v>
      </c>
      <c r="MZ129">
        <v>63.05</v>
      </c>
      <c r="NA129">
        <v>63.05</v>
      </c>
      <c r="NB129">
        <v>63.05</v>
      </c>
      <c r="NC129">
        <v>63.05</v>
      </c>
      <c r="ND129">
        <v>63.05</v>
      </c>
      <c r="NE129">
        <v>63.05</v>
      </c>
      <c r="NF129">
        <v>63.05</v>
      </c>
      <c r="NG129">
        <v>63.05</v>
      </c>
      <c r="NH129">
        <v>63.05</v>
      </c>
      <c r="NI129">
        <v>63.05</v>
      </c>
      <c r="NJ129">
        <v>63.05</v>
      </c>
      <c r="NK129">
        <v>63.05</v>
      </c>
      <c r="NL129">
        <v>63.05</v>
      </c>
      <c r="NM129">
        <v>63.05</v>
      </c>
      <c r="NN129">
        <v>63.05</v>
      </c>
      <c r="NO129">
        <v>63.05</v>
      </c>
      <c r="NP129">
        <v>63.05</v>
      </c>
      <c r="NQ129">
        <v>63.05</v>
      </c>
      <c r="NR129">
        <v>63.05</v>
      </c>
      <c r="NS129">
        <v>63.05</v>
      </c>
      <c r="NT129">
        <v>63.05</v>
      </c>
      <c r="NU129">
        <v>63.05</v>
      </c>
      <c r="NV129">
        <v>63.05</v>
      </c>
      <c r="NW129">
        <v>63.05</v>
      </c>
      <c r="NX129">
        <v>63.05</v>
      </c>
      <c r="NY129">
        <v>63.05</v>
      </c>
      <c r="NZ129">
        <v>63.05</v>
      </c>
      <c r="OA129">
        <v>63.05</v>
      </c>
      <c r="OB129">
        <v>63.05</v>
      </c>
      <c r="OC129">
        <v>63.05</v>
      </c>
      <c r="OD129">
        <v>63.05</v>
      </c>
      <c r="OE129">
        <v>63.05</v>
      </c>
      <c r="OF129">
        <v>63.05</v>
      </c>
      <c r="OG129">
        <v>63.05</v>
      </c>
      <c r="OH129">
        <v>63.05</v>
      </c>
      <c r="OI129">
        <v>63.05</v>
      </c>
      <c r="OJ129">
        <v>63.05</v>
      </c>
      <c r="OK129">
        <v>63.05</v>
      </c>
    </row>
    <row r="130" spans="4:401" x14ac:dyDescent="0.3">
      <c r="E130" s="6"/>
      <c r="F130" s="19"/>
      <c r="J130" s="65"/>
      <c r="K130" s="55"/>
      <c r="L130" s="66"/>
      <c r="M130" s="84" t="s">
        <v>172</v>
      </c>
      <c r="N130" s="85">
        <f>SUM(_xlfn.ANCHORARRAY(P130))</f>
        <v>77349327.169708148</v>
      </c>
      <c r="O130" s="86" t="s">
        <v>81</v>
      </c>
      <c r="P130" s="85" cm="1">
        <f t="array" ref="P130:OK130">_xlfn.ANCHORARRAY(P126)*_xlfn.ANCHORARRAY(P129)</f>
        <v>124353.51029327403</v>
      </c>
      <c r="Q130" s="85">
        <v>89426.824269217308</v>
      </c>
      <c r="R130" s="85">
        <v>102393.27815517127</v>
      </c>
      <c r="S130" s="85">
        <v>135013.93006081792</v>
      </c>
      <c r="T130" s="85">
        <v>202724.81273720021</v>
      </c>
      <c r="U130" s="85">
        <v>239245.95084900968</v>
      </c>
      <c r="V130" s="85">
        <v>279001.6086201304</v>
      </c>
      <c r="W130" s="85">
        <v>307967.7054365825</v>
      </c>
      <c r="X130" s="85">
        <v>331081.62901574245</v>
      </c>
      <c r="Y130" s="85">
        <v>306854.28042008902</v>
      </c>
      <c r="Z130" s="85">
        <v>237683.82428845769</v>
      </c>
      <c r="AA130" s="85">
        <v>191313.37909535869</v>
      </c>
      <c r="AB130" s="85">
        <v>124353.51029327403</v>
      </c>
      <c r="AC130" s="85">
        <v>89426.824269217308</v>
      </c>
      <c r="AD130" s="85">
        <v>102393.27815517127</v>
      </c>
      <c r="AE130" s="85">
        <v>135013.93006081792</v>
      </c>
      <c r="AF130" s="85">
        <v>202724.81273720021</v>
      </c>
      <c r="AG130" s="85">
        <v>239245.95084900968</v>
      </c>
      <c r="AH130" s="85">
        <v>279001.6086201304</v>
      </c>
      <c r="AI130" s="85">
        <v>307967.7054365825</v>
      </c>
      <c r="AJ130" s="85">
        <v>331081.62901574245</v>
      </c>
      <c r="AK130" s="85">
        <v>306854.28042008902</v>
      </c>
      <c r="AL130" s="85">
        <v>237683.82428845769</v>
      </c>
      <c r="AM130" s="85">
        <v>191313.37909535869</v>
      </c>
      <c r="AN130" s="85">
        <v>124353.51029327403</v>
      </c>
      <c r="AO130" s="85">
        <v>89426.824269217308</v>
      </c>
      <c r="AP130" s="85">
        <v>102393.27815517127</v>
      </c>
      <c r="AQ130" s="85">
        <v>135013.93006081792</v>
      </c>
      <c r="AR130" s="85">
        <v>202657.23779962116</v>
      </c>
      <c r="AS130" s="85">
        <v>239086.48013132712</v>
      </c>
      <c r="AT130" s="85">
        <v>278722.70000171306</v>
      </c>
      <c r="AU130" s="85">
        <v>307557.28709551628</v>
      </c>
      <c r="AV130" s="85">
        <v>330530.19404659054</v>
      </c>
      <c r="AW130" s="85">
        <v>306241.08305580693</v>
      </c>
      <c r="AX130" s="85">
        <v>237129.78298603537</v>
      </c>
      <c r="AY130" s="85">
        <v>190803.80488498433</v>
      </c>
      <c r="AZ130" s="85">
        <v>123980.94678975119</v>
      </c>
      <c r="BA130" s="85">
        <v>89129.181591887158</v>
      </c>
      <c r="BB130" s="85">
        <v>102018.46124664911</v>
      </c>
      <c r="BC130" s="85">
        <v>134474.86334343959</v>
      </c>
      <c r="BD130" s="85">
        <v>201848.09335145654</v>
      </c>
      <c r="BE130" s="85">
        <v>238131.88556500443</v>
      </c>
      <c r="BF130" s="85">
        <v>277609.85089880147</v>
      </c>
      <c r="BG130" s="85">
        <v>306329.31086309586</v>
      </c>
      <c r="BH130" s="85">
        <v>329210.4944673038</v>
      </c>
      <c r="BI130" s="85">
        <v>305018.36199809896</v>
      </c>
      <c r="BJ130" s="85">
        <v>236183.00087511295</v>
      </c>
      <c r="BK130" s="85">
        <v>190041.98733981466</v>
      </c>
      <c r="BL130" s="85">
        <v>123485.93118674416</v>
      </c>
      <c r="BM130" s="85">
        <v>88773.317753824595</v>
      </c>
      <c r="BN130" s="85">
        <v>101611.13470640659</v>
      </c>
      <c r="BO130" s="85">
        <v>133937.94894416397</v>
      </c>
      <c r="BP130" s="85">
        <v>201042.17955394671</v>
      </c>
      <c r="BQ130" s="85">
        <v>237181.10238435923</v>
      </c>
      <c r="BR130" s="85">
        <v>276501.44504046912</v>
      </c>
      <c r="BS130" s="85">
        <v>305106.2375404443</v>
      </c>
      <c r="BT130" s="85">
        <v>327896.06401928229</v>
      </c>
      <c r="BU130" s="85">
        <v>303800.5228679562</v>
      </c>
      <c r="BV130" s="85">
        <v>235239.9989572741</v>
      </c>
      <c r="BW130" s="85">
        <v>189283.21148436645</v>
      </c>
      <c r="BX130" s="85">
        <v>122992.89202006515</v>
      </c>
      <c r="BY130" s="85">
        <v>88418.874764343578</v>
      </c>
      <c r="BZ130" s="85">
        <v>101205.43448858023</v>
      </c>
      <c r="CA130" s="85">
        <v>133403.17826948478</v>
      </c>
      <c r="CB130" s="85">
        <v>200239.4835081542</v>
      </c>
      <c r="CC130" s="85">
        <v>236234.1153717679</v>
      </c>
      <c r="CD130" s="85">
        <v>275397.46468628501</v>
      </c>
      <c r="CE130" s="85">
        <v>303888.04755183734</v>
      </c>
      <c r="CF130" s="85">
        <v>326586.88166459848</v>
      </c>
      <c r="CG130" s="85">
        <v>302587.54617342947</v>
      </c>
      <c r="CH130" s="85">
        <v>234300.76213943725</v>
      </c>
      <c r="CI130" s="85">
        <v>188527.46517416174</v>
      </c>
      <c r="CJ130" s="85">
        <v>122501.82139844666</v>
      </c>
      <c r="CK130" s="85">
        <v>88065.84695045781</v>
      </c>
      <c r="CL130" s="85">
        <v>100801.35409979345</v>
      </c>
      <c r="CM130" s="85">
        <v>132870.54276020679</v>
      </c>
      <c r="CN130" s="85">
        <v>199439.99236664275</v>
      </c>
      <c r="CO130" s="85">
        <v>235290.90937036593</v>
      </c>
      <c r="CP130" s="85">
        <v>274297.89216665039</v>
      </c>
      <c r="CQ130" s="85">
        <v>302674.72139971005</v>
      </c>
      <c r="CR130" s="85">
        <v>325282.9264493222</v>
      </c>
      <c r="CS130" s="85">
        <v>301379.41250039439</v>
      </c>
      <c r="CT130" s="85">
        <v>233365.27538878235</v>
      </c>
      <c r="CU130" s="85">
        <v>187774.73631321153</v>
      </c>
      <c r="CV130" s="85">
        <v>122012.7114621284</v>
      </c>
      <c r="CW130" s="85">
        <v>87714.228661831294</v>
      </c>
      <c r="CX130" s="85">
        <v>100398.88707259569</v>
      </c>
      <c r="CY130" s="85">
        <v>132340.03389130894</v>
      </c>
      <c r="CZ130" s="85">
        <v>198643.6933332718</v>
      </c>
      <c r="DA130" s="85">
        <v>234351.46928380523</v>
      </c>
      <c r="DB130" s="85">
        <v>273202.70988251525</v>
      </c>
      <c r="DC130" s="85">
        <v>301466.23966434516</v>
      </c>
      <c r="DD130" s="85">
        <v>323984.17750318558</v>
      </c>
      <c r="DE130" s="85">
        <v>300176.10251224128</v>
      </c>
      <c r="DF130" s="85">
        <v>232433.52373251066</v>
      </c>
      <c r="DG130" s="85">
        <v>187025.01285382223</v>
      </c>
      <c r="DH130" s="85">
        <v>121525.55438273159</v>
      </c>
      <c r="DI130" s="85">
        <v>87364.014270688058</v>
      </c>
      <c r="DJ130" s="85">
        <v>99998.02696535876</v>
      </c>
      <c r="DK130" s="85">
        <v>131811.64317180772</v>
      </c>
      <c r="DL130" s="85">
        <v>197850.57366299158</v>
      </c>
      <c r="DM130" s="85">
        <v>233415.78007601236</v>
      </c>
      <c r="DN130" s="85">
        <v>272111.90030509693</v>
      </c>
      <c r="DO130" s="85">
        <v>300262.58300356177</v>
      </c>
      <c r="DP130" s="85">
        <v>322690.61403924914</v>
      </c>
      <c r="DQ130" s="85">
        <v>298977.59694956488</v>
      </c>
      <c r="DR130" s="85">
        <v>231505.4922576049</v>
      </c>
      <c r="DS130" s="85">
        <v>186278.28279640272</v>
      </c>
      <c r="DT130" s="85">
        <v>121040.34236313352</v>
      </c>
      <c r="DU130" s="85">
        <v>87015.19817172199</v>
      </c>
      <c r="DV130" s="85">
        <v>99598.767362173792</v>
      </c>
      <c r="DW130" s="85">
        <v>131285.36214462141</v>
      </c>
      <c r="DX130" s="85">
        <v>197060.6206616392</v>
      </c>
      <c r="DY130" s="85">
        <v>232483.82677094825</v>
      </c>
      <c r="DZ130" s="85">
        <v>271025.44597559946</v>
      </c>
      <c r="EA130" s="85">
        <v>299063.7321524063</v>
      </c>
      <c r="EB130" s="85">
        <v>321402.21535356849</v>
      </c>
      <c r="EC130" s="85">
        <v>297783.87662985676</v>
      </c>
      <c r="ED130" s="85">
        <v>230581.16611059077</v>
      </c>
      <c r="EE130" s="85">
        <v>185534.53418927238</v>
      </c>
      <c r="EF130" s="85">
        <v>120557.06763734302</v>
      </c>
      <c r="EG130" s="85">
        <v>86667.774782007138</v>
      </c>
      <c r="EH130" s="85">
        <v>99201.101872748593</v>
      </c>
      <c r="EI130" s="85">
        <v>130761.18238643465</v>
      </c>
      <c r="EJ130" s="85">
        <v>196273.82168573537</v>
      </c>
      <c r="EK130" s="85">
        <v>231555.59445236815</v>
      </c>
      <c r="EL130" s="85">
        <v>269943.3295049342</v>
      </c>
      <c r="EM130" s="85">
        <v>297869.66792284354</v>
      </c>
      <c r="EN130" s="85">
        <v>320118.96082486381</v>
      </c>
      <c r="EO130" s="85">
        <v>296594.92244719772</v>
      </c>
      <c r="EP130" s="85">
        <v>229660.53049729881</v>
      </c>
      <c r="EQ130" s="85">
        <v>184793.75512846978</v>
      </c>
      <c r="ER130" s="85">
        <v>120075.72247037585</v>
      </c>
      <c r="ES130" s="85">
        <v>86321.738540908365</v>
      </c>
      <c r="ET130" s="85">
        <v>98805.024132305349</v>
      </c>
      <c r="EU130" s="85">
        <v>130239.09550756364</v>
      </c>
      <c r="EV130" s="85">
        <v>195490.16414228216</v>
      </c>
      <c r="EW130" s="85">
        <v>230631.06826358312</v>
      </c>
      <c r="EX130" s="85">
        <v>268865.53357344144</v>
      </c>
      <c r="EY130" s="85">
        <v>296680.3712034502</v>
      </c>
      <c r="EZ130" s="85">
        <v>318840.829914189</v>
      </c>
      <c r="FA130" s="85">
        <v>295410.71537195239</v>
      </c>
      <c r="FB130" s="85">
        <v>228743.57068262805</v>
      </c>
      <c r="FC130" s="85">
        <v>184055.93375756204</v>
      </c>
      <c r="FD130" s="85">
        <v>119596.29915813114</v>
      </c>
      <c r="FE130" s="85">
        <v>85977.083909992318</v>
      </c>
      <c r="FF130" s="85">
        <v>98410.527801478631</v>
      </c>
      <c r="FG130" s="85">
        <v>129719.09315182184</v>
      </c>
      <c r="FH130" s="85">
        <v>194709.63548856135</v>
      </c>
      <c r="FI130" s="85">
        <v>229710.233407222</v>
      </c>
      <c r="FJ130" s="85">
        <v>267792.04093061329</v>
      </c>
      <c r="FK130" s="85">
        <v>295495.82295910839</v>
      </c>
      <c r="FL130" s="85">
        <v>317567.80216460349</v>
      </c>
      <c r="FM130" s="85">
        <v>294231.23645046487</v>
      </c>
      <c r="FN130" s="85">
        <v>227830.27199030985</v>
      </c>
      <c r="FO130" s="85">
        <v>183321.05826745523</v>
      </c>
      <c r="FP130" s="85">
        <v>119118.79002726791</v>
      </c>
      <c r="FQ130" s="85">
        <v>85633.805372938819</v>
      </c>
      <c r="FR130" s="85">
        <v>98017.606566214148</v>
      </c>
      <c r="FS130" s="85">
        <v>129201.16699638631</v>
      </c>
      <c r="FT130" s="85">
        <v>193932.22323193369</v>
      </c>
      <c r="FU130" s="85">
        <v>228793.07514499486</v>
      </c>
      <c r="FV130" s="85">
        <v>266722.83439481753</v>
      </c>
      <c r="FW130" s="85">
        <v>294316.00423070154</v>
      </c>
      <c r="FX130" s="85">
        <v>316299.8572008445</v>
      </c>
      <c r="FY130" s="85">
        <v>293056.46680475445</v>
      </c>
      <c r="FZ130" s="85">
        <v>226920.61980267341</v>
      </c>
      <c r="GA130" s="85">
        <v>182589.11689620529</v>
      </c>
      <c r="GB130" s="85">
        <v>118643.18743508242</v>
      </c>
      <c r="GC130" s="85">
        <v>85291.897435452614</v>
      </c>
      <c r="GD130" s="85">
        <v>97626.254137667493</v>
      </c>
      <c r="GE130" s="85">
        <v>128685.30875166431</v>
      </c>
      <c r="GF130" s="85">
        <v>193157.91492963908</v>
      </c>
      <c r="GG130" s="85">
        <v>227879.57879745687</v>
      </c>
      <c r="GH130" s="85">
        <v>265657.89685302251</v>
      </c>
      <c r="GI130" s="85">
        <v>293140.89613481046</v>
      </c>
      <c r="GJ130" s="85">
        <v>315036.97472900123</v>
      </c>
      <c r="GK130" s="85">
        <v>291886.38763221452</v>
      </c>
      <c r="GL130" s="85">
        <v>226014.59956041115</v>
      </c>
      <c r="GM130" s="85">
        <v>181860.09792882984</v>
      </c>
      <c r="GN130" s="85">
        <v>118169.48376938571</v>
      </c>
      <c r="GO130" s="85">
        <v>84951.354625175285</v>
      </c>
      <c r="GP130" s="85">
        <v>97236.464252103644</v>
      </c>
      <c r="GQ130" s="85">
        <v>128171.51016116091</v>
      </c>
      <c r="GR130" s="85">
        <v>192386.69818859719</v>
      </c>
      <c r="GS130" s="85">
        <v>226969.72974377364</v>
      </c>
      <c r="GT130" s="85">
        <v>264597.21126052341</v>
      </c>
      <c r="GU130" s="85">
        <v>291970.47986341128</v>
      </c>
      <c r="GV130" s="85">
        <v>313779.13453618955</v>
      </c>
      <c r="GW130" s="85">
        <v>290720.98020531097</v>
      </c>
      <c r="GX130" s="85">
        <v>225112.19676234637</v>
      </c>
      <c r="GY130" s="85">
        <v>181133.98969712047</v>
      </c>
      <c r="GZ130" s="85">
        <v>117697.67144838181</v>
      </c>
      <c r="HA130" s="85">
        <v>84612.171491597823</v>
      </c>
      <c r="HB130" s="85">
        <v>96848.230670796562</v>
      </c>
      <c r="HC130" s="85">
        <v>127659.76300134655</v>
      </c>
      <c r="HD130" s="85">
        <v>191618.56066520934</v>
      </c>
      <c r="HE130" s="85">
        <v>226063.51342148666</v>
      </c>
      <c r="HF130" s="85">
        <v>263540.76064066956</v>
      </c>
      <c r="HG130" s="85">
        <v>290804.73668357462</v>
      </c>
      <c r="HH130" s="85">
        <v>312526.3164902291</v>
      </c>
      <c r="HI130" s="85">
        <v>289560.22587128275</v>
      </c>
      <c r="HJ130" s="85">
        <v>224213.39696520069</v>
      </c>
      <c r="HK130" s="85">
        <v>180410.78057945622</v>
      </c>
      <c r="HL130" s="85">
        <v>117227.74292054643</v>
      </c>
      <c r="HM130" s="85">
        <v>84274.342605973376</v>
      </c>
      <c r="HN130" s="85">
        <v>96461.547179929461</v>
      </c>
      <c r="HO130" s="85">
        <v>127150.05908152561</v>
      </c>
      <c r="HP130" s="85">
        <v>190853.49006516076</v>
      </c>
      <c r="HQ130" s="85">
        <v>225160.91532628099</v>
      </c>
      <c r="HR130" s="85">
        <v>262488.52808459208</v>
      </c>
      <c r="HS130" s="85">
        <v>289643.64793716557</v>
      </c>
      <c r="HT130" s="85">
        <v>311278.5005393207</v>
      </c>
      <c r="HU130" s="85">
        <v>288404.10605184309</v>
      </c>
      <c r="HV130" s="85">
        <v>223318.18578336327</v>
      </c>
      <c r="HW130" s="85">
        <v>179690.45900061756</v>
      </c>
      <c r="HX130" s="85">
        <v>116759.69066450601</v>
      </c>
      <c r="HY130" s="85">
        <v>83937.862561230184</v>
      </c>
      <c r="HZ130" s="85">
        <v>96076.407590495262</v>
      </c>
      <c r="IA130" s="85">
        <v>126642.39024370525</v>
      </c>
      <c r="IB130" s="85">
        <v>190091.47414322384</v>
      </c>
      <c r="IC130" s="85">
        <v>224261.92101175245</v>
      </c>
      <c r="ID130" s="85">
        <v>261440.49675093428</v>
      </c>
      <c r="IE130" s="85">
        <v>288487.19504054496</v>
      </c>
      <c r="IF130" s="85">
        <v>310035.66671172541</v>
      </c>
      <c r="IG130" s="85">
        <v>287252.60224288231</v>
      </c>
      <c r="IH130" s="85">
        <v>222426.54888865995</v>
      </c>
      <c r="II130" s="85">
        <v>178973.01343160085</v>
      </c>
      <c r="IJ130" s="85">
        <v>116293.50718891746</v>
      </c>
      <c r="IK130" s="85">
        <v>83602.725971885273</v>
      </c>
      <c r="IL130" s="85">
        <v>95692.805738197683</v>
      </c>
      <c r="IM130" s="85">
        <v>126136.74836246479</v>
      </c>
      <c r="IN130" s="85">
        <v>189332.50070306228</v>
      </c>
      <c r="IO130" s="85">
        <v>223366.51608917664</v>
      </c>
      <c r="IP130" s="85">
        <v>260396.64986558101</v>
      </c>
      <c r="IQ130" s="85">
        <v>287335.35948427214</v>
      </c>
      <c r="IR130" s="85">
        <v>308797.79511544487</v>
      </c>
      <c r="IS130" s="85">
        <v>286105.6960141717</v>
      </c>
      <c r="IT130" s="85">
        <v>221538.47201012459</v>
      </c>
      <c r="IU130" s="85">
        <v>178258.43238943417</v>
      </c>
      <c r="IV130" s="85">
        <v>115829.18503234813</v>
      </c>
      <c r="IW130" s="85">
        <v>83268.927473958116</v>
      </c>
      <c r="IX130" s="85">
        <v>95310.735483352328</v>
      </c>
      <c r="IY130" s="85">
        <v>125633.12534482582</v>
      </c>
      <c r="IZ130" s="85">
        <v>188576.55759703572</v>
      </c>
      <c r="JA130" s="85">
        <v>222474.68622727881</v>
      </c>
      <c r="JB130" s="85">
        <v>259356.97072139118</v>
      </c>
      <c r="JC130" s="85">
        <v>286188.12283280853</v>
      </c>
      <c r="JD130" s="85">
        <v>307564.86593790329</v>
      </c>
      <c r="JE130" s="85">
        <v>284963.36900906847</v>
      </c>
      <c r="JF130" s="85">
        <v>220653.94093377038</v>
      </c>
      <c r="JG130" s="85">
        <v>177546.70443699334</v>
      </c>
      <c r="JH130" s="85">
        <v>115366.71676315644</v>
      </c>
      <c r="JI130" s="85">
        <v>82936.461724884823</v>
      </c>
      <c r="JJ130" s="85">
        <v>94930.190710788636</v>
      </c>
      <c r="JK130" s="85">
        <v>125131.51313012245</v>
      </c>
      <c r="JL130" s="85">
        <v>187823.63272600542</v>
      </c>
      <c r="JM130" s="85">
        <v>221586.41715200423</v>
      </c>
      <c r="JN130" s="85">
        <v>258321.44267792939</v>
      </c>
      <c r="JO130" s="85">
        <v>285045.46672422293</v>
      </c>
      <c r="JP130" s="85">
        <v>306336.85944562982</v>
      </c>
      <c r="JQ130" s="85">
        <v>283825.60294422176</v>
      </c>
      <c r="JR130" s="85">
        <v>219772.94150236234</v>
      </c>
      <c r="JS130" s="85">
        <v>176837.81818281885</v>
      </c>
      <c r="JT130" s="85">
        <v>114906.09497937298</v>
      </c>
      <c r="JU130" s="85">
        <v>82605.323403432616</v>
      </c>
      <c r="JV130" s="85">
        <v>94551.165329751937</v>
      </c>
      <c r="JW130" s="85">
        <v>124631.90368987246</v>
      </c>
      <c r="JX130" s="85">
        <v>187073.7140391405</v>
      </c>
      <c r="JY130" s="85">
        <v>220701.69464628983</v>
      </c>
      <c r="JZ130" s="85">
        <v>257290.04916120047</v>
      </c>
      <c r="KA130" s="85">
        <v>283907.37286989723</v>
      </c>
      <c r="KB130" s="85">
        <v>305113.755983943</v>
      </c>
      <c r="KC130" s="85">
        <v>282692.37960928038</v>
      </c>
      <c r="KD130" s="85">
        <v>218895.45961519046</v>
      </c>
      <c r="KE130" s="85">
        <v>176131.76228093368</v>
      </c>
      <c r="KF130" s="85">
        <v>114447.312308582</v>
      </c>
      <c r="KG130" s="85">
        <v>82275.507209614676</v>
      </c>
      <c r="KH130" s="85">
        <v>94173.65327380599</v>
      </c>
      <c r="KI130" s="85">
        <v>124134.28902764876</v>
      </c>
      <c r="KJ130" s="85">
        <v>186326.78953372524</v>
      </c>
      <c r="KK130" s="85">
        <v>219820.50454983677</v>
      </c>
      <c r="KL130" s="85">
        <v>256262.77366338359</v>
      </c>
      <c r="KM130" s="85">
        <v>282773.82305423339</v>
      </c>
      <c r="KN130" s="85">
        <v>303895.53597663593</v>
      </c>
      <c r="KO130" s="85">
        <v>281563.680866601</v>
      </c>
      <c r="KP130" s="85">
        <v>218021.4812278446</v>
      </c>
      <c r="KQ130" s="85">
        <v>175428.52543066148</v>
      </c>
      <c r="KR130" s="85">
        <v>113990.36140780333</v>
      </c>
      <c r="KS130" s="85">
        <v>81947.007864605272</v>
      </c>
      <c r="KT130" s="85">
        <v>93797.648500735784</v>
      </c>
      <c r="KU130" s="85">
        <v>123638.66117895134</v>
      </c>
      <c r="KV130" s="85">
        <v>185582.84725496673</v>
      </c>
      <c r="KW130" s="85">
        <v>218942.83275888342</v>
      </c>
      <c r="KX130" s="85">
        <v>255239.59974256853</v>
      </c>
      <c r="KY130" s="85">
        <v>281644.79913436307</v>
      </c>
      <c r="KZ130" s="85">
        <v>302682.17992566363</v>
      </c>
      <c r="LA130" s="85">
        <v>280439.48865095829</v>
      </c>
      <c r="LB130" s="85">
        <v>217150.99235198929</v>
      </c>
      <c r="LC130" s="85">
        <v>174728.09637644593</v>
      </c>
      <c r="LD130" s="85">
        <v>113535.23496337503</v>
      </c>
      <c r="LE130" s="85">
        <v>81619.820110655375</v>
      </c>
      <c r="LF130" s="85">
        <v>93423.14499245098</v>
      </c>
      <c r="LG130" s="85">
        <v>123145.01221107993</v>
      </c>
      <c r="LH130" s="85">
        <v>184841.87529580379</v>
      </c>
      <c r="LI130" s="85">
        <v>218068.66522598016</v>
      </c>
      <c r="LJ130" s="85">
        <v>254220.51102249199</v>
      </c>
      <c r="LK130" s="85">
        <v>280520.28303985606</v>
      </c>
      <c r="LL130" s="85">
        <v>301473.66841082997</v>
      </c>
      <c r="LM130" s="85">
        <v>279319.78496925498</v>
      </c>
      <c r="LN130" s="85">
        <v>216283.97905513988</v>
      </c>
      <c r="LO130" s="85">
        <v>174030.4639076704</v>
      </c>
      <c r="LP130" s="85">
        <v>113081.92569083616</v>
      </c>
      <c r="LQ130" s="85">
        <v>81293.938711008392</v>
      </c>
      <c r="LR130" s="85">
        <v>93050.136754889449</v>
      </c>
      <c r="LS130" s="85">
        <v>122653.33422300687</v>
      </c>
      <c r="LT130" s="85">
        <v>184103.86179671611</v>
      </c>
      <c r="LU130" s="85">
        <v>217197.98795976405</v>
      </c>
      <c r="LV130" s="85">
        <v>253205.49119227595</v>
      </c>
      <c r="LW130" s="85">
        <v>279400.25677243154</v>
      </c>
      <c r="LX130" s="85">
        <v>300269.98208947777</v>
      </c>
      <c r="LY130" s="85">
        <v>278204.55190023495</v>
      </c>
      <c r="LZ130" s="85">
        <v>215420.42746043953</v>
      </c>
      <c r="MA130" s="85">
        <v>173335.61685847872</v>
      </c>
      <c r="MB130" s="85">
        <v>112630.42633481031</v>
      </c>
      <c r="MC130" s="85">
        <v>80969.358449816413</v>
      </c>
      <c r="MD130" s="85">
        <v>92678.617817921535</v>
      </c>
      <c r="ME130" s="85">
        <v>122163.61934525079</v>
      </c>
      <c r="MF130" s="85">
        <v>183368.79494553476</v>
      </c>
      <c r="MG130" s="85">
        <v>216330.78702473539</v>
      </c>
      <c r="MH130" s="85">
        <v>252194.52400616638</v>
      </c>
      <c r="MI130" s="85">
        <v>278284.70240567008</v>
      </c>
      <c r="MJ130" s="85">
        <v>299071.10169617826</v>
      </c>
      <c r="MK130" s="85">
        <v>277093.77159419528</v>
      </c>
      <c r="ML130" s="85">
        <v>214560.32374643747</v>
      </c>
      <c r="MM130" s="85">
        <v>172643.54410759627</v>
      </c>
      <c r="MN130" s="85">
        <v>112180.72966888944</v>
      </c>
      <c r="MO130" s="85">
        <v>80646.074132056674</v>
      </c>
      <c r="MP130" s="85">
        <v>92308.582235254129</v>
      </c>
      <c r="MQ130" s="85">
        <v>121675.85973975058</v>
      </c>
      <c r="MR130" s="85">
        <v>182636.66297725282</v>
      </c>
      <c r="MS130" s="85">
        <v>215467.04854103402</v>
      </c>
      <c r="MT130" s="85">
        <v>251187.59328327322</v>
      </c>
      <c r="MU130" s="85">
        <v>277173.60208472662</v>
      </c>
      <c r="MV130" s="85">
        <v>297877.00804242381</v>
      </c>
      <c r="MW130" s="85">
        <v>275987.42627270165</v>
      </c>
      <c r="MX130" s="85">
        <v>213703.65414686708</v>
      </c>
      <c r="MY130" s="85">
        <v>171954.23457815204</v>
      </c>
      <c r="MZ130" s="85">
        <v>111732.82849551813</v>
      </c>
      <c r="NA130" s="85">
        <v>80324.080583448522</v>
      </c>
      <c r="NB130" s="85">
        <v>91940.024084336022</v>
      </c>
      <c r="NC130" s="85">
        <v>121190.04759973996</v>
      </c>
      <c r="ND130" s="85">
        <v>181907.45417383732</v>
      </c>
      <c r="NE130" s="85">
        <v>214606.75868421784</v>
      </c>
      <c r="NF130" s="85">
        <v>250184.68290731139</v>
      </c>
      <c r="NG130" s="85">
        <v>276066.9380260444</v>
      </c>
      <c r="NH130" s="85">
        <v>296687.68201631983</v>
      </c>
      <c r="NI130" s="85">
        <v>274885.49822830287</v>
      </c>
      <c r="NJ130" s="85">
        <v>212850.40495042637</v>
      </c>
      <c r="NK130" s="85">
        <v>171267.6772375014</v>
      </c>
      <c r="NL130" s="85">
        <v>111286.71564587855</v>
      </c>
      <c r="NM130" s="85">
        <v>80003.372650370482</v>
      </c>
      <c r="NN130" s="85">
        <v>91572.937466262592</v>
      </c>
      <c r="NO130" s="85">
        <v>120706.1751496225</v>
      </c>
      <c r="NP130" s="85">
        <v>181181.15686404146</v>
      </c>
      <c r="NQ130" s="85">
        <v>213749.90368504115</v>
      </c>
      <c r="NR130" s="85">
        <v>249185.77682634312</v>
      </c>
      <c r="NS130" s="85">
        <v>274964.69251707103</v>
      </c>
      <c r="NT130" s="85">
        <v>295503.10458227975</v>
      </c>
      <c r="NU130" s="85">
        <v>273787.96982424788</v>
      </c>
      <c r="NV130" s="85">
        <v>212000.56250055777</v>
      </c>
      <c r="NW130" s="85">
        <v>170583.86109704952</v>
      </c>
      <c r="NX130" s="85">
        <v>110842.38397977554</v>
      </c>
      <c r="NY130" s="85">
        <v>79683.94519977778</v>
      </c>
      <c r="NZ130" s="85">
        <v>91207.316505681796</v>
      </c>
      <c r="OA130" s="85">
        <v>120224.23464484728</v>
      </c>
      <c r="OB130" s="85">
        <v>180457.75942321806</v>
      </c>
      <c r="OC130" s="85">
        <v>212896.46982923444</v>
      </c>
      <c r="OD130" s="85">
        <v>248190.85905252057</v>
      </c>
      <c r="OE130">
        <v>273866.84791597433</v>
      </c>
      <c r="OF130">
        <v>294323.25678071944</v>
      </c>
      <c r="OG130">
        <v>272694.82349420368</v>
      </c>
      <c r="OH130">
        <v>211154.11319523014</v>
      </c>
      <c r="OI130">
        <v>169902.77521207542</v>
      </c>
      <c r="OJ130">
        <v>110399.82638552249</v>
      </c>
      <c r="OK130">
        <v>79365.793119120252</v>
      </c>
    </row>
    <row r="131" spans="4:401" x14ac:dyDescent="0.3">
      <c r="E131" s="6"/>
      <c r="F131" s="19"/>
      <c r="J131" s="65"/>
      <c r="K131" s="55"/>
      <c r="L131" s="66"/>
      <c r="M131" s="29" t="s">
        <v>173</v>
      </c>
      <c r="N131" s="79">
        <f>SUM(_xlfn.ANCHORARRAY(P131))</f>
        <v>77349327.169708148</v>
      </c>
      <c r="O131" s="30" t="s">
        <v>81</v>
      </c>
      <c r="P131" s="79" cm="1">
        <f t="array" ref="P131:OK131">_xlfn.ANCHORARRAY(P130)</f>
        <v>124353.51029327403</v>
      </c>
      <c r="Q131" s="79">
        <v>89426.824269217308</v>
      </c>
      <c r="R131" s="79">
        <v>102393.27815517127</v>
      </c>
      <c r="S131" s="79">
        <v>135013.93006081792</v>
      </c>
      <c r="T131" s="79">
        <v>202724.81273720021</v>
      </c>
      <c r="U131" s="79">
        <v>239245.95084900968</v>
      </c>
      <c r="V131" s="79">
        <v>279001.6086201304</v>
      </c>
      <c r="W131" s="79">
        <v>307967.7054365825</v>
      </c>
      <c r="X131" s="79">
        <v>331081.62901574245</v>
      </c>
      <c r="Y131" s="79">
        <v>306854.28042008902</v>
      </c>
      <c r="Z131" s="79">
        <v>237683.82428845769</v>
      </c>
      <c r="AA131" s="79">
        <v>191313.37909535869</v>
      </c>
      <c r="AB131" s="79">
        <v>124353.51029327403</v>
      </c>
      <c r="AC131" s="79">
        <v>89426.824269217308</v>
      </c>
      <c r="AD131" s="79">
        <v>102393.27815517127</v>
      </c>
      <c r="AE131" s="79">
        <v>135013.93006081792</v>
      </c>
      <c r="AF131" s="79">
        <v>202724.81273720021</v>
      </c>
      <c r="AG131" s="79">
        <v>239245.95084900968</v>
      </c>
      <c r="AH131" s="79">
        <v>279001.6086201304</v>
      </c>
      <c r="AI131" s="79">
        <v>307967.7054365825</v>
      </c>
      <c r="AJ131" s="79">
        <v>331081.62901574245</v>
      </c>
      <c r="AK131" s="79">
        <v>306854.28042008902</v>
      </c>
      <c r="AL131" s="79">
        <v>237683.82428845769</v>
      </c>
      <c r="AM131" s="79">
        <v>191313.37909535869</v>
      </c>
      <c r="AN131" s="79">
        <v>124353.51029327403</v>
      </c>
      <c r="AO131" s="79">
        <v>89426.824269217308</v>
      </c>
      <c r="AP131" s="79">
        <v>102393.27815517127</v>
      </c>
      <c r="AQ131" s="79">
        <v>135013.93006081792</v>
      </c>
      <c r="AR131" s="79">
        <v>202657.23779962116</v>
      </c>
      <c r="AS131" s="79">
        <v>239086.48013132712</v>
      </c>
      <c r="AT131" s="79">
        <v>278722.70000171306</v>
      </c>
      <c r="AU131" s="79">
        <v>307557.28709551628</v>
      </c>
      <c r="AV131" s="79">
        <v>330530.19404659054</v>
      </c>
      <c r="AW131" s="79">
        <v>306241.08305580693</v>
      </c>
      <c r="AX131" s="79">
        <v>237129.78298603537</v>
      </c>
      <c r="AY131" s="79">
        <v>190803.80488498433</v>
      </c>
      <c r="AZ131" s="79">
        <v>123980.94678975119</v>
      </c>
      <c r="BA131" s="79">
        <v>89129.181591887158</v>
      </c>
      <c r="BB131" s="79">
        <v>102018.46124664911</v>
      </c>
      <c r="BC131" s="79">
        <v>134474.86334343959</v>
      </c>
      <c r="BD131" s="79">
        <v>201848.09335145654</v>
      </c>
      <c r="BE131" s="79">
        <v>238131.88556500443</v>
      </c>
      <c r="BF131" s="79">
        <v>277609.85089880147</v>
      </c>
      <c r="BG131" s="79">
        <v>306329.31086309586</v>
      </c>
      <c r="BH131" s="79">
        <v>329210.4944673038</v>
      </c>
      <c r="BI131" s="79">
        <v>305018.36199809896</v>
      </c>
      <c r="BJ131" s="79">
        <v>236183.00087511295</v>
      </c>
      <c r="BK131" s="79">
        <v>190041.98733981466</v>
      </c>
      <c r="BL131" s="79">
        <v>123485.93118674416</v>
      </c>
      <c r="BM131" s="79">
        <v>88773.317753824595</v>
      </c>
      <c r="BN131" s="79">
        <v>101611.13470640659</v>
      </c>
      <c r="BO131" s="79">
        <v>133937.94894416397</v>
      </c>
      <c r="BP131" s="79">
        <v>201042.17955394671</v>
      </c>
      <c r="BQ131" s="79">
        <v>237181.10238435923</v>
      </c>
      <c r="BR131" s="79">
        <v>276501.44504046912</v>
      </c>
      <c r="BS131" s="79">
        <v>305106.2375404443</v>
      </c>
      <c r="BT131" s="79">
        <v>327896.06401928229</v>
      </c>
      <c r="BU131" s="79">
        <v>303800.5228679562</v>
      </c>
      <c r="BV131" s="79">
        <v>235239.9989572741</v>
      </c>
      <c r="BW131" s="79">
        <v>189283.21148436645</v>
      </c>
      <c r="BX131" s="79">
        <v>122992.89202006515</v>
      </c>
      <c r="BY131" s="79">
        <v>88418.874764343578</v>
      </c>
      <c r="BZ131" s="79">
        <v>101205.43448858023</v>
      </c>
      <c r="CA131" s="79">
        <v>133403.17826948478</v>
      </c>
      <c r="CB131" s="79">
        <v>200239.4835081542</v>
      </c>
      <c r="CC131" s="79">
        <v>236234.1153717679</v>
      </c>
      <c r="CD131" s="79">
        <v>275397.46468628501</v>
      </c>
      <c r="CE131" s="79">
        <v>303888.04755183734</v>
      </c>
      <c r="CF131" s="79">
        <v>326586.88166459848</v>
      </c>
      <c r="CG131" s="79">
        <v>302587.54617342947</v>
      </c>
      <c r="CH131" s="79">
        <v>234300.76213943725</v>
      </c>
      <c r="CI131" s="79">
        <v>188527.46517416174</v>
      </c>
      <c r="CJ131" s="79">
        <v>122501.82139844666</v>
      </c>
      <c r="CK131" s="79">
        <v>88065.84695045781</v>
      </c>
      <c r="CL131" s="79">
        <v>100801.35409979345</v>
      </c>
      <c r="CM131" s="79">
        <v>132870.54276020679</v>
      </c>
      <c r="CN131" s="79">
        <v>199439.99236664275</v>
      </c>
      <c r="CO131" s="79">
        <v>235290.90937036593</v>
      </c>
      <c r="CP131" s="79">
        <v>274297.89216665039</v>
      </c>
      <c r="CQ131" s="79">
        <v>302674.72139971005</v>
      </c>
      <c r="CR131" s="79">
        <v>325282.9264493222</v>
      </c>
      <c r="CS131" s="79">
        <v>301379.41250039439</v>
      </c>
      <c r="CT131" s="79">
        <v>233365.27538878235</v>
      </c>
      <c r="CU131" s="79">
        <v>187774.73631321153</v>
      </c>
      <c r="CV131" s="79">
        <v>122012.7114621284</v>
      </c>
      <c r="CW131" s="79">
        <v>87714.228661831294</v>
      </c>
      <c r="CX131" s="79">
        <v>100398.88707259569</v>
      </c>
      <c r="CY131" s="79">
        <v>132340.03389130894</v>
      </c>
      <c r="CZ131" s="79">
        <v>198643.6933332718</v>
      </c>
      <c r="DA131" s="79">
        <v>234351.46928380523</v>
      </c>
      <c r="DB131" s="79">
        <v>273202.70988251525</v>
      </c>
      <c r="DC131" s="79">
        <v>301466.23966434516</v>
      </c>
      <c r="DD131" s="79">
        <v>323984.17750318558</v>
      </c>
      <c r="DE131" s="79">
        <v>300176.10251224128</v>
      </c>
      <c r="DF131" s="79">
        <v>232433.52373251066</v>
      </c>
      <c r="DG131" s="79">
        <v>187025.01285382223</v>
      </c>
      <c r="DH131" s="79">
        <v>121525.55438273159</v>
      </c>
      <c r="DI131" s="79">
        <v>87364.014270688058</v>
      </c>
      <c r="DJ131" s="79">
        <v>99998.02696535876</v>
      </c>
      <c r="DK131" s="79">
        <v>131811.64317180772</v>
      </c>
      <c r="DL131" s="79">
        <v>197850.57366299158</v>
      </c>
      <c r="DM131" s="79">
        <v>233415.78007601236</v>
      </c>
      <c r="DN131" s="79">
        <v>272111.90030509693</v>
      </c>
      <c r="DO131" s="79">
        <v>300262.58300356177</v>
      </c>
      <c r="DP131" s="79">
        <v>322690.61403924914</v>
      </c>
      <c r="DQ131" s="79">
        <v>298977.59694956488</v>
      </c>
      <c r="DR131" s="79">
        <v>231505.4922576049</v>
      </c>
      <c r="DS131" s="79">
        <v>186278.28279640272</v>
      </c>
      <c r="DT131" s="79">
        <v>121040.34236313352</v>
      </c>
      <c r="DU131" s="79">
        <v>87015.19817172199</v>
      </c>
      <c r="DV131" s="79">
        <v>99598.767362173792</v>
      </c>
      <c r="DW131" s="79">
        <v>131285.36214462141</v>
      </c>
      <c r="DX131" s="79">
        <v>197060.6206616392</v>
      </c>
      <c r="DY131" s="79">
        <v>232483.82677094825</v>
      </c>
      <c r="DZ131" s="79">
        <v>271025.44597559946</v>
      </c>
      <c r="EA131" s="79">
        <v>299063.7321524063</v>
      </c>
      <c r="EB131" s="79">
        <v>321402.21535356849</v>
      </c>
      <c r="EC131" s="79">
        <v>297783.87662985676</v>
      </c>
      <c r="ED131" s="79">
        <v>230581.16611059077</v>
      </c>
      <c r="EE131" s="79">
        <v>185534.53418927238</v>
      </c>
      <c r="EF131" s="79">
        <v>120557.06763734302</v>
      </c>
      <c r="EG131" s="79">
        <v>86667.774782007138</v>
      </c>
      <c r="EH131" s="79">
        <v>99201.101872748593</v>
      </c>
      <c r="EI131" s="79">
        <v>130761.18238643465</v>
      </c>
      <c r="EJ131" s="79">
        <v>196273.82168573537</v>
      </c>
      <c r="EK131" s="79">
        <v>231555.59445236815</v>
      </c>
      <c r="EL131" s="79">
        <v>269943.3295049342</v>
      </c>
      <c r="EM131" s="79">
        <v>297869.66792284354</v>
      </c>
      <c r="EN131" s="79">
        <v>320118.96082486381</v>
      </c>
      <c r="EO131" s="79">
        <v>296594.92244719772</v>
      </c>
      <c r="EP131" s="79">
        <v>229660.53049729881</v>
      </c>
      <c r="EQ131" s="79">
        <v>184793.75512846978</v>
      </c>
      <c r="ER131" s="79">
        <v>120075.72247037585</v>
      </c>
      <c r="ES131" s="79">
        <v>86321.738540908365</v>
      </c>
      <c r="ET131" s="79">
        <v>98805.024132305349</v>
      </c>
      <c r="EU131" s="79">
        <v>130239.09550756364</v>
      </c>
      <c r="EV131" s="79">
        <v>195490.16414228216</v>
      </c>
      <c r="EW131" s="79">
        <v>230631.06826358312</v>
      </c>
      <c r="EX131" s="79">
        <v>268865.53357344144</v>
      </c>
      <c r="EY131" s="79">
        <v>296680.3712034502</v>
      </c>
      <c r="EZ131" s="79">
        <v>318840.829914189</v>
      </c>
      <c r="FA131" s="79">
        <v>295410.71537195239</v>
      </c>
      <c r="FB131" s="79">
        <v>228743.57068262805</v>
      </c>
      <c r="FC131" s="79">
        <v>184055.93375756204</v>
      </c>
      <c r="FD131" s="79">
        <v>119596.29915813114</v>
      </c>
      <c r="FE131" s="79">
        <v>85977.083909992318</v>
      </c>
      <c r="FF131" s="79">
        <v>98410.527801478631</v>
      </c>
      <c r="FG131" s="79">
        <v>129719.09315182184</v>
      </c>
      <c r="FH131" s="79">
        <v>194709.63548856135</v>
      </c>
      <c r="FI131" s="79">
        <v>229710.233407222</v>
      </c>
      <c r="FJ131" s="79">
        <v>267792.04093061329</v>
      </c>
      <c r="FK131" s="79">
        <v>295495.82295910839</v>
      </c>
      <c r="FL131" s="79">
        <v>317567.80216460349</v>
      </c>
      <c r="FM131" s="79">
        <v>294231.23645046487</v>
      </c>
      <c r="FN131" s="79">
        <v>227830.27199030985</v>
      </c>
      <c r="FO131" s="79">
        <v>183321.05826745523</v>
      </c>
      <c r="FP131" s="79">
        <v>119118.79002726791</v>
      </c>
      <c r="FQ131" s="79">
        <v>85633.805372938819</v>
      </c>
      <c r="FR131" s="79">
        <v>98017.606566214148</v>
      </c>
      <c r="FS131" s="79">
        <v>129201.16699638631</v>
      </c>
      <c r="FT131" s="79">
        <v>193932.22323193369</v>
      </c>
      <c r="FU131" s="79">
        <v>228793.07514499486</v>
      </c>
      <c r="FV131" s="79">
        <v>266722.83439481753</v>
      </c>
      <c r="FW131" s="79">
        <v>294316.00423070154</v>
      </c>
      <c r="FX131" s="79">
        <v>316299.8572008445</v>
      </c>
      <c r="FY131" s="79">
        <v>293056.46680475445</v>
      </c>
      <c r="FZ131" s="79">
        <v>226920.61980267341</v>
      </c>
      <c r="GA131" s="79">
        <v>182589.11689620529</v>
      </c>
      <c r="GB131" s="79">
        <v>118643.18743508242</v>
      </c>
      <c r="GC131" s="79">
        <v>85291.897435452614</v>
      </c>
      <c r="GD131" s="79">
        <v>97626.254137667493</v>
      </c>
      <c r="GE131" s="79">
        <v>128685.30875166431</v>
      </c>
      <c r="GF131" s="79">
        <v>193157.91492963908</v>
      </c>
      <c r="GG131" s="79">
        <v>227879.57879745687</v>
      </c>
      <c r="GH131" s="79">
        <v>265657.89685302251</v>
      </c>
      <c r="GI131" s="79">
        <v>293140.89613481046</v>
      </c>
      <c r="GJ131" s="79">
        <v>315036.97472900123</v>
      </c>
      <c r="GK131" s="79">
        <v>291886.38763221452</v>
      </c>
      <c r="GL131" s="79">
        <v>226014.59956041115</v>
      </c>
      <c r="GM131" s="79">
        <v>181860.09792882984</v>
      </c>
      <c r="GN131" s="79">
        <v>118169.48376938571</v>
      </c>
      <c r="GO131" s="79">
        <v>84951.354625175285</v>
      </c>
      <c r="GP131" s="79">
        <v>97236.464252103644</v>
      </c>
      <c r="GQ131" s="79">
        <v>128171.51016116091</v>
      </c>
      <c r="GR131" s="79">
        <v>192386.69818859719</v>
      </c>
      <c r="GS131" s="79">
        <v>226969.72974377364</v>
      </c>
      <c r="GT131" s="79">
        <v>264597.21126052341</v>
      </c>
      <c r="GU131" s="79">
        <v>291970.47986341128</v>
      </c>
      <c r="GV131" s="79">
        <v>313779.13453618955</v>
      </c>
      <c r="GW131" s="79">
        <v>290720.98020531097</v>
      </c>
      <c r="GX131" s="79">
        <v>225112.19676234637</v>
      </c>
      <c r="GY131" s="79">
        <v>181133.98969712047</v>
      </c>
      <c r="GZ131" s="79">
        <v>117697.67144838181</v>
      </c>
      <c r="HA131" s="79">
        <v>84612.171491597823</v>
      </c>
      <c r="HB131" s="79">
        <v>96848.230670796562</v>
      </c>
      <c r="HC131" s="79">
        <v>127659.76300134655</v>
      </c>
      <c r="HD131" s="79">
        <v>191618.56066520934</v>
      </c>
      <c r="HE131" s="79">
        <v>226063.51342148666</v>
      </c>
      <c r="HF131" s="79">
        <v>263540.76064066956</v>
      </c>
      <c r="HG131" s="79">
        <v>290804.73668357462</v>
      </c>
      <c r="HH131" s="79">
        <v>312526.3164902291</v>
      </c>
      <c r="HI131" s="79">
        <v>289560.22587128275</v>
      </c>
      <c r="HJ131" s="79">
        <v>224213.39696520069</v>
      </c>
      <c r="HK131" s="79">
        <v>180410.78057945622</v>
      </c>
      <c r="HL131" s="79">
        <v>117227.74292054643</v>
      </c>
      <c r="HM131" s="79">
        <v>84274.342605973376</v>
      </c>
      <c r="HN131" s="79">
        <v>96461.547179929461</v>
      </c>
      <c r="HO131" s="79">
        <v>127150.05908152561</v>
      </c>
      <c r="HP131" s="79">
        <v>190853.49006516076</v>
      </c>
      <c r="HQ131" s="79">
        <v>225160.91532628099</v>
      </c>
      <c r="HR131" s="79">
        <v>262488.52808459208</v>
      </c>
      <c r="HS131" s="79">
        <v>289643.64793716557</v>
      </c>
      <c r="HT131" s="79">
        <v>311278.5005393207</v>
      </c>
      <c r="HU131" s="79">
        <v>288404.10605184309</v>
      </c>
      <c r="HV131" s="79">
        <v>223318.18578336327</v>
      </c>
      <c r="HW131" s="79">
        <v>179690.45900061756</v>
      </c>
      <c r="HX131" s="79">
        <v>116759.69066450601</v>
      </c>
      <c r="HY131" s="79">
        <v>83937.862561230184</v>
      </c>
      <c r="HZ131" s="79">
        <v>96076.407590495262</v>
      </c>
      <c r="IA131" s="79">
        <v>126642.39024370525</v>
      </c>
      <c r="IB131" s="79">
        <v>190091.47414322384</v>
      </c>
      <c r="IC131" s="79">
        <v>224261.92101175245</v>
      </c>
      <c r="ID131" s="79">
        <v>261440.49675093428</v>
      </c>
      <c r="IE131" s="79">
        <v>288487.19504054496</v>
      </c>
      <c r="IF131" s="79">
        <v>310035.66671172541</v>
      </c>
      <c r="IG131" s="79">
        <v>287252.60224288231</v>
      </c>
      <c r="IH131" s="79">
        <v>222426.54888865995</v>
      </c>
      <c r="II131" s="79">
        <v>178973.01343160085</v>
      </c>
      <c r="IJ131" s="79">
        <v>116293.50718891746</v>
      </c>
      <c r="IK131" s="79">
        <v>83602.725971885273</v>
      </c>
      <c r="IL131" s="79">
        <v>95692.805738197683</v>
      </c>
      <c r="IM131" s="79">
        <v>126136.74836246479</v>
      </c>
      <c r="IN131" s="79">
        <v>189332.50070306228</v>
      </c>
      <c r="IO131" s="79">
        <v>223366.51608917664</v>
      </c>
      <c r="IP131" s="79">
        <v>260396.64986558101</v>
      </c>
      <c r="IQ131" s="79">
        <v>287335.35948427214</v>
      </c>
      <c r="IR131" s="79">
        <v>308797.79511544487</v>
      </c>
      <c r="IS131" s="79">
        <v>286105.6960141717</v>
      </c>
      <c r="IT131" s="79">
        <v>221538.47201012459</v>
      </c>
      <c r="IU131" s="79">
        <v>178258.43238943417</v>
      </c>
      <c r="IV131" s="79">
        <v>115829.18503234813</v>
      </c>
      <c r="IW131" s="79">
        <v>83268.927473958116</v>
      </c>
      <c r="IX131" s="79">
        <v>95310.735483352328</v>
      </c>
      <c r="IY131" s="79">
        <v>125633.12534482582</v>
      </c>
      <c r="IZ131" s="79">
        <v>188576.55759703572</v>
      </c>
      <c r="JA131" s="79">
        <v>222474.68622727881</v>
      </c>
      <c r="JB131" s="79">
        <v>259356.97072139118</v>
      </c>
      <c r="JC131" s="79">
        <v>286188.12283280853</v>
      </c>
      <c r="JD131" s="79">
        <v>307564.86593790329</v>
      </c>
      <c r="JE131" s="79">
        <v>284963.36900906847</v>
      </c>
      <c r="JF131" s="79">
        <v>220653.94093377038</v>
      </c>
      <c r="JG131" s="79">
        <v>177546.70443699334</v>
      </c>
      <c r="JH131" s="79">
        <v>115366.71676315644</v>
      </c>
      <c r="JI131" s="79">
        <v>82936.461724884823</v>
      </c>
      <c r="JJ131" s="79">
        <v>94930.190710788636</v>
      </c>
      <c r="JK131" s="79">
        <v>125131.51313012245</v>
      </c>
      <c r="JL131" s="79">
        <v>187823.63272600542</v>
      </c>
      <c r="JM131" s="79">
        <v>221586.41715200423</v>
      </c>
      <c r="JN131" s="79">
        <v>258321.44267792939</v>
      </c>
      <c r="JO131" s="79">
        <v>285045.46672422293</v>
      </c>
      <c r="JP131" s="79">
        <v>306336.85944562982</v>
      </c>
      <c r="JQ131" s="79">
        <v>283825.60294422176</v>
      </c>
      <c r="JR131" s="79">
        <v>219772.94150236234</v>
      </c>
      <c r="JS131" s="79">
        <v>176837.81818281885</v>
      </c>
      <c r="JT131" s="79">
        <v>114906.09497937298</v>
      </c>
      <c r="JU131" s="79">
        <v>82605.323403432616</v>
      </c>
      <c r="JV131" s="79">
        <v>94551.165329751937</v>
      </c>
      <c r="JW131" s="79">
        <v>124631.90368987246</v>
      </c>
      <c r="JX131" s="79">
        <v>187073.7140391405</v>
      </c>
      <c r="JY131" s="79">
        <v>220701.69464628983</v>
      </c>
      <c r="JZ131" s="79">
        <v>257290.04916120047</v>
      </c>
      <c r="KA131" s="79">
        <v>283907.37286989723</v>
      </c>
      <c r="KB131" s="79">
        <v>305113.755983943</v>
      </c>
      <c r="KC131" s="79">
        <v>282692.37960928038</v>
      </c>
      <c r="KD131" s="79">
        <v>218895.45961519046</v>
      </c>
      <c r="KE131" s="79">
        <v>176131.76228093368</v>
      </c>
      <c r="KF131" s="79">
        <v>114447.312308582</v>
      </c>
      <c r="KG131" s="79">
        <v>82275.507209614676</v>
      </c>
      <c r="KH131" s="79">
        <v>94173.65327380599</v>
      </c>
      <c r="KI131" s="79">
        <v>124134.28902764876</v>
      </c>
      <c r="KJ131" s="79">
        <v>186326.78953372524</v>
      </c>
      <c r="KK131" s="79">
        <v>219820.50454983677</v>
      </c>
      <c r="KL131" s="79">
        <v>256262.77366338359</v>
      </c>
      <c r="KM131" s="79">
        <v>282773.82305423339</v>
      </c>
      <c r="KN131" s="79">
        <v>303895.53597663593</v>
      </c>
      <c r="KO131" s="79">
        <v>281563.680866601</v>
      </c>
      <c r="KP131" s="79">
        <v>218021.4812278446</v>
      </c>
      <c r="KQ131" s="79">
        <v>175428.52543066148</v>
      </c>
      <c r="KR131" s="79">
        <v>113990.36140780333</v>
      </c>
      <c r="KS131" s="79">
        <v>81947.007864605272</v>
      </c>
      <c r="KT131" s="79">
        <v>93797.648500735784</v>
      </c>
      <c r="KU131" s="79">
        <v>123638.66117895134</v>
      </c>
      <c r="KV131" s="79">
        <v>185582.84725496673</v>
      </c>
      <c r="KW131" s="79">
        <v>218942.83275888342</v>
      </c>
      <c r="KX131" s="79">
        <v>255239.59974256853</v>
      </c>
      <c r="KY131" s="79">
        <v>281644.79913436307</v>
      </c>
      <c r="KZ131" s="79">
        <v>302682.17992566363</v>
      </c>
      <c r="LA131" s="79">
        <v>280439.48865095829</v>
      </c>
      <c r="LB131" s="79">
        <v>217150.99235198929</v>
      </c>
      <c r="LC131" s="79">
        <v>174728.09637644593</v>
      </c>
      <c r="LD131" s="79">
        <v>113535.23496337503</v>
      </c>
      <c r="LE131" s="79">
        <v>81619.820110655375</v>
      </c>
      <c r="LF131" s="79">
        <v>93423.14499245098</v>
      </c>
      <c r="LG131" s="79">
        <v>123145.01221107993</v>
      </c>
      <c r="LH131" s="79">
        <v>184841.87529580379</v>
      </c>
      <c r="LI131" s="79">
        <v>218068.66522598016</v>
      </c>
      <c r="LJ131" s="79">
        <v>254220.51102249199</v>
      </c>
      <c r="LK131" s="79">
        <v>280520.28303985606</v>
      </c>
      <c r="LL131" s="79">
        <v>301473.66841082997</v>
      </c>
      <c r="LM131" s="79">
        <v>279319.78496925498</v>
      </c>
      <c r="LN131" s="79">
        <v>216283.97905513988</v>
      </c>
      <c r="LO131" s="79">
        <v>174030.4639076704</v>
      </c>
      <c r="LP131" s="79">
        <v>113081.92569083616</v>
      </c>
      <c r="LQ131" s="79">
        <v>81293.938711008392</v>
      </c>
      <c r="LR131" s="79">
        <v>93050.136754889449</v>
      </c>
      <c r="LS131" s="79">
        <v>122653.33422300687</v>
      </c>
      <c r="LT131" s="79">
        <v>184103.86179671611</v>
      </c>
      <c r="LU131" s="79">
        <v>217197.98795976405</v>
      </c>
      <c r="LV131" s="79">
        <v>253205.49119227595</v>
      </c>
      <c r="LW131" s="79">
        <v>279400.25677243154</v>
      </c>
      <c r="LX131" s="79">
        <v>300269.98208947777</v>
      </c>
      <c r="LY131" s="79">
        <v>278204.55190023495</v>
      </c>
      <c r="LZ131" s="79">
        <v>215420.42746043953</v>
      </c>
      <c r="MA131" s="79">
        <v>173335.61685847872</v>
      </c>
      <c r="MB131" s="79">
        <v>112630.42633481031</v>
      </c>
      <c r="MC131" s="79">
        <v>80969.358449816413</v>
      </c>
      <c r="MD131" s="79">
        <v>92678.617817921535</v>
      </c>
      <c r="ME131" s="79">
        <v>122163.61934525079</v>
      </c>
      <c r="MF131" s="79">
        <v>183368.79494553476</v>
      </c>
      <c r="MG131" s="79">
        <v>216330.78702473539</v>
      </c>
      <c r="MH131" s="79">
        <v>252194.52400616638</v>
      </c>
      <c r="MI131" s="79">
        <v>278284.70240567008</v>
      </c>
      <c r="MJ131" s="79">
        <v>299071.10169617826</v>
      </c>
      <c r="MK131" s="79">
        <v>277093.77159419528</v>
      </c>
      <c r="ML131" s="79">
        <v>214560.32374643747</v>
      </c>
      <c r="MM131" s="79">
        <v>172643.54410759627</v>
      </c>
      <c r="MN131" s="79">
        <v>112180.72966888944</v>
      </c>
      <c r="MO131" s="79">
        <v>80646.074132056674</v>
      </c>
      <c r="MP131" s="79">
        <v>92308.582235254129</v>
      </c>
      <c r="MQ131" s="79">
        <v>121675.85973975058</v>
      </c>
      <c r="MR131" s="79">
        <v>182636.66297725282</v>
      </c>
      <c r="MS131" s="79">
        <v>215467.04854103402</v>
      </c>
      <c r="MT131" s="79">
        <v>251187.59328327322</v>
      </c>
      <c r="MU131" s="79">
        <v>277173.60208472662</v>
      </c>
      <c r="MV131" s="79">
        <v>297877.00804242381</v>
      </c>
      <c r="MW131" s="79">
        <v>275987.42627270165</v>
      </c>
      <c r="MX131" s="79">
        <v>213703.65414686708</v>
      </c>
      <c r="MY131" s="79">
        <v>171954.23457815204</v>
      </c>
      <c r="MZ131" s="79">
        <v>111732.82849551813</v>
      </c>
      <c r="NA131" s="79">
        <v>80324.080583448522</v>
      </c>
      <c r="NB131" s="79">
        <v>91940.024084336022</v>
      </c>
      <c r="NC131" s="79">
        <v>121190.04759973996</v>
      </c>
      <c r="ND131" s="79">
        <v>181907.45417383732</v>
      </c>
      <c r="NE131" s="79">
        <v>214606.75868421784</v>
      </c>
      <c r="NF131" s="79">
        <v>250184.68290731139</v>
      </c>
      <c r="NG131" s="79">
        <v>276066.9380260444</v>
      </c>
      <c r="NH131" s="79">
        <v>296687.68201631983</v>
      </c>
      <c r="NI131" s="79">
        <v>274885.49822830287</v>
      </c>
      <c r="NJ131" s="79">
        <v>212850.40495042637</v>
      </c>
      <c r="NK131" s="79">
        <v>171267.6772375014</v>
      </c>
      <c r="NL131" s="79">
        <v>111286.71564587855</v>
      </c>
      <c r="NM131" s="79">
        <v>80003.372650370482</v>
      </c>
      <c r="NN131" s="79">
        <v>91572.937466262592</v>
      </c>
      <c r="NO131" s="79">
        <v>120706.1751496225</v>
      </c>
      <c r="NP131" s="79">
        <v>181181.15686404146</v>
      </c>
      <c r="NQ131" s="79">
        <v>213749.90368504115</v>
      </c>
      <c r="NR131" s="79">
        <v>249185.77682634312</v>
      </c>
      <c r="NS131" s="79">
        <v>274964.69251707103</v>
      </c>
      <c r="NT131" s="79">
        <v>295503.10458227975</v>
      </c>
      <c r="NU131" s="79">
        <v>273787.96982424788</v>
      </c>
      <c r="NV131" s="79">
        <v>212000.56250055777</v>
      </c>
      <c r="NW131" s="79">
        <v>170583.86109704952</v>
      </c>
      <c r="NX131" s="79">
        <v>110842.38397977554</v>
      </c>
      <c r="NY131" s="79">
        <v>79683.94519977778</v>
      </c>
      <c r="NZ131" s="79">
        <v>91207.316505681796</v>
      </c>
      <c r="OA131" s="79">
        <v>120224.23464484728</v>
      </c>
      <c r="OB131" s="79">
        <v>180457.75942321806</v>
      </c>
      <c r="OC131" s="79">
        <v>212896.46982923444</v>
      </c>
      <c r="OD131" s="79">
        <v>248190.85905252057</v>
      </c>
      <c r="OE131">
        <v>273866.84791597433</v>
      </c>
      <c r="OF131">
        <v>294323.25678071944</v>
      </c>
      <c r="OG131">
        <v>272694.82349420368</v>
      </c>
      <c r="OH131">
        <v>211154.11319523014</v>
      </c>
      <c r="OI131">
        <v>169902.77521207542</v>
      </c>
      <c r="OJ131">
        <v>110399.82638552249</v>
      </c>
      <c r="OK131">
        <v>79365.793119120252</v>
      </c>
    </row>
    <row r="132" spans="4:401" x14ac:dyDescent="0.3">
      <c r="D132" s="119"/>
      <c r="E132" s="6"/>
      <c r="F132" s="19"/>
      <c r="J132" s="65"/>
      <c r="K132" s="55"/>
      <c r="L132" s="55"/>
      <c r="M132" s="105"/>
      <c r="N132" s="55"/>
      <c r="O132" s="55"/>
      <c r="P132" s="55"/>
      <c r="Q132" s="55"/>
      <c r="R132" s="55"/>
      <c r="S132" s="55"/>
      <c r="T132" s="55"/>
      <c r="U132" s="55"/>
      <c r="V132" s="55"/>
      <c r="W132" s="55"/>
      <c r="X132" s="55"/>
      <c r="Y132" s="55"/>
      <c r="Z132" s="55"/>
      <c r="AA132" s="55"/>
      <c r="AB132" s="55"/>
      <c r="AC132" s="55"/>
      <c r="AD132" s="55"/>
      <c r="AE132" s="55"/>
      <c r="AF132" s="55"/>
      <c r="AG132" s="55"/>
      <c r="AH132" s="55"/>
      <c r="AI132" s="55"/>
      <c r="AJ132" s="55"/>
      <c r="AK132" s="55"/>
      <c r="AL132" s="55"/>
      <c r="AM132" s="55"/>
      <c r="AN132" s="55"/>
      <c r="AO132" s="55"/>
      <c r="AP132" s="55"/>
      <c r="AQ132" s="55"/>
      <c r="AR132" s="55"/>
      <c r="AS132" s="55"/>
      <c r="AT132" s="55"/>
      <c r="AU132" s="55"/>
      <c r="AV132" s="55"/>
      <c r="AW132" s="55"/>
      <c r="AX132" s="55"/>
      <c r="AY132" s="55"/>
      <c r="AZ132" s="55"/>
      <c r="BA132" s="55"/>
      <c r="BB132" s="55"/>
      <c r="BC132" s="55"/>
      <c r="BD132" s="55"/>
      <c r="BE132" s="55"/>
      <c r="BF132" s="55"/>
      <c r="BG132" s="55"/>
      <c r="BH132" s="55"/>
      <c r="BI132" s="55"/>
      <c r="BJ132" s="55"/>
      <c r="BK132" s="55"/>
      <c r="BL132" s="55"/>
      <c r="BM132" s="55"/>
      <c r="BN132" s="55"/>
      <c r="BO132" s="55"/>
      <c r="BP132" s="55"/>
      <c r="BQ132" s="55"/>
      <c r="BR132" s="55"/>
      <c r="BS132" s="55"/>
      <c r="BT132" s="55"/>
      <c r="BU132" s="55"/>
      <c r="BV132" s="55"/>
      <c r="BW132" s="55"/>
      <c r="BX132" s="55"/>
      <c r="BY132" s="55"/>
      <c r="BZ132" s="55"/>
      <c r="CA132" s="55"/>
      <c r="CB132" s="55"/>
      <c r="CC132" s="55"/>
      <c r="CD132" s="55"/>
      <c r="CE132" s="55"/>
      <c r="CF132" s="55"/>
      <c r="CG132" s="55"/>
      <c r="CH132" s="55"/>
      <c r="CI132" s="55"/>
      <c r="CJ132" s="55"/>
      <c r="CK132" s="55"/>
      <c r="CL132" s="55"/>
      <c r="CM132" s="55"/>
      <c r="CN132" s="55"/>
      <c r="CO132" s="55"/>
      <c r="CP132" s="55"/>
      <c r="CQ132" s="55"/>
      <c r="CR132" s="55"/>
      <c r="CS132" s="55"/>
      <c r="CT132" s="55"/>
      <c r="CU132" s="55"/>
      <c r="CV132" s="55"/>
      <c r="CW132" s="55"/>
      <c r="CX132" s="55"/>
      <c r="CY132" s="55"/>
      <c r="CZ132" s="55"/>
      <c r="DA132" s="55"/>
      <c r="DB132" s="55"/>
      <c r="DC132" s="55"/>
      <c r="DD132" s="55"/>
      <c r="DE132" s="55"/>
      <c r="DF132" s="55"/>
      <c r="DG132" s="55"/>
      <c r="DH132" s="55"/>
      <c r="DI132" s="55"/>
      <c r="DJ132" s="55"/>
      <c r="DK132" s="55"/>
      <c r="DL132" s="55"/>
      <c r="DM132" s="55"/>
      <c r="DN132" s="55"/>
      <c r="DO132" s="55"/>
      <c r="DP132" s="55"/>
      <c r="DQ132" s="55"/>
      <c r="DR132" s="55"/>
      <c r="DS132" s="55"/>
      <c r="DT132" s="55"/>
      <c r="DU132" s="55"/>
      <c r="DV132" s="55"/>
      <c r="DW132" s="55"/>
      <c r="DX132" s="55"/>
      <c r="DY132" s="55"/>
      <c r="DZ132" s="55"/>
      <c r="EA132" s="55"/>
      <c r="EB132" s="55"/>
      <c r="EC132" s="55"/>
      <c r="ED132" s="55"/>
      <c r="EE132" s="55"/>
      <c r="EF132" s="55"/>
      <c r="EG132" s="55"/>
      <c r="EH132" s="55"/>
      <c r="EI132" s="55"/>
      <c r="EJ132" s="55"/>
      <c r="EK132" s="55"/>
      <c r="EL132" s="55"/>
      <c r="EM132" s="55"/>
      <c r="EN132" s="55"/>
      <c r="EO132" s="55"/>
      <c r="EP132" s="55"/>
      <c r="EQ132" s="55"/>
      <c r="ER132" s="55"/>
      <c r="ES132" s="55"/>
      <c r="ET132" s="55"/>
      <c r="EU132" s="55"/>
      <c r="EV132" s="55"/>
      <c r="EW132" s="55"/>
      <c r="EX132" s="55"/>
      <c r="EY132" s="55"/>
      <c r="EZ132" s="55"/>
      <c r="FA132" s="55"/>
      <c r="FB132" s="55"/>
      <c r="FC132" s="55"/>
      <c r="FD132" s="55"/>
      <c r="FE132" s="55"/>
      <c r="FF132" s="55"/>
      <c r="FG132" s="55"/>
      <c r="FH132" s="55"/>
      <c r="FI132" s="55"/>
      <c r="FJ132" s="55"/>
      <c r="FK132" s="55"/>
      <c r="FL132" s="55"/>
      <c r="FM132" s="55"/>
      <c r="FN132" s="55"/>
      <c r="FO132" s="55"/>
      <c r="FP132" s="55"/>
      <c r="FQ132" s="55"/>
      <c r="FR132" s="55"/>
      <c r="FS132" s="55"/>
      <c r="FT132" s="55"/>
      <c r="FU132" s="55"/>
      <c r="FV132" s="55"/>
      <c r="FW132" s="55"/>
      <c r="FX132" s="55"/>
      <c r="FY132" s="55"/>
      <c r="FZ132" s="55"/>
      <c r="GA132" s="55"/>
      <c r="GB132" s="55"/>
      <c r="GC132" s="55"/>
      <c r="GD132" s="55"/>
      <c r="GE132" s="55"/>
      <c r="GF132" s="55"/>
      <c r="GG132" s="55"/>
      <c r="GH132" s="55"/>
      <c r="GI132" s="55"/>
      <c r="GJ132" s="55"/>
      <c r="GK132" s="55"/>
      <c r="GL132" s="55"/>
      <c r="GM132" s="55"/>
      <c r="GN132" s="55"/>
      <c r="GO132" s="55"/>
      <c r="GP132" s="55"/>
      <c r="GQ132" s="55"/>
      <c r="GR132" s="55"/>
      <c r="GS132" s="55"/>
      <c r="GT132" s="55"/>
      <c r="GU132" s="55"/>
      <c r="GV132" s="55"/>
      <c r="GW132" s="55"/>
      <c r="GX132" s="55"/>
      <c r="GY132" s="55"/>
      <c r="GZ132" s="55"/>
      <c r="HA132" s="55"/>
      <c r="HB132" s="55"/>
      <c r="HC132" s="55"/>
      <c r="HD132" s="55"/>
      <c r="HE132" s="55"/>
      <c r="HF132" s="55"/>
      <c r="HG132" s="55"/>
      <c r="HH132" s="55"/>
      <c r="HI132" s="55"/>
      <c r="HJ132" s="55"/>
      <c r="HK132" s="55"/>
      <c r="HL132" s="55"/>
      <c r="HM132" s="55"/>
      <c r="HN132" s="55"/>
      <c r="HO132" s="55"/>
      <c r="HP132" s="55"/>
      <c r="HQ132" s="55"/>
      <c r="HR132" s="55"/>
      <c r="HS132" s="55"/>
      <c r="HT132" s="55"/>
      <c r="HU132" s="55"/>
      <c r="HV132" s="55"/>
      <c r="HW132" s="55"/>
      <c r="HX132" s="55"/>
      <c r="HY132" s="55"/>
      <c r="HZ132" s="55"/>
      <c r="IA132" s="55"/>
      <c r="IB132" s="55"/>
      <c r="IC132" s="55"/>
      <c r="ID132" s="55"/>
      <c r="IE132" s="55"/>
      <c r="IF132" s="55"/>
      <c r="IG132" s="55"/>
      <c r="IH132" s="55"/>
      <c r="II132" s="55"/>
      <c r="IJ132" s="55"/>
      <c r="IK132" s="55"/>
      <c r="IL132" s="55"/>
      <c r="IM132" s="55"/>
      <c r="IN132" s="55"/>
      <c r="IO132" s="55"/>
      <c r="IP132" s="55"/>
      <c r="IQ132" s="55"/>
      <c r="IR132" s="55"/>
      <c r="IS132" s="55"/>
      <c r="IT132" s="55"/>
      <c r="IU132" s="55"/>
      <c r="IV132" s="55"/>
      <c r="IW132" s="55"/>
      <c r="IX132" s="55"/>
      <c r="IY132" s="55"/>
      <c r="IZ132" s="55"/>
      <c r="JA132" s="55"/>
      <c r="JB132" s="55"/>
      <c r="JC132" s="55"/>
      <c r="JD132" s="55"/>
      <c r="JE132" s="55"/>
      <c r="JF132" s="55"/>
      <c r="JG132" s="55"/>
      <c r="JH132" s="55"/>
      <c r="JI132" s="55"/>
      <c r="JJ132" s="55"/>
      <c r="JK132" s="55"/>
      <c r="JL132" s="55"/>
      <c r="JM132" s="55"/>
      <c r="JN132" s="55"/>
      <c r="JO132" s="55"/>
      <c r="JP132" s="55"/>
      <c r="JQ132" s="55"/>
      <c r="JR132" s="55"/>
      <c r="JS132" s="55"/>
      <c r="JT132" s="55"/>
      <c r="JU132" s="55"/>
      <c r="JV132" s="55"/>
      <c r="JW132" s="55"/>
      <c r="JX132" s="55"/>
      <c r="JY132" s="55"/>
      <c r="JZ132" s="55"/>
      <c r="KA132" s="55"/>
      <c r="KB132" s="55"/>
      <c r="KC132" s="55"/>
      <c r="KD132" s="55"/>
      <c r="KE132" s="55"/>
      <c r="KF132" s="55"/>
      <c r="KG132" s="55"/>
      <c r="KH132" s="55"/>
      <c r="KI132" s="55"/>
      <c r="KJ132" s="55"/>
      <c r="KK132" s="55"/>
      <c r="KL132" s="55"/>
      <c r="KM132" s="55"/>
      <c r="KN132" s="55"/>
      <c r="KO132" s="55"/>
      <c r="KP132" s="55"/>
      <c r="KQ132" s="55"/>
      <c r="KR132" s="55"/>
      <c r="KS132" s="55"/>
      <c r="KT132" s="55"/>
      <c r="KU132" s="55"/>
      <c r="KV132" s="55"/>
      <c r="KW132" s="55"/>
      <c r="KX132" s="55"/>
      <c r="KY132" s="55"/>
      <c r="KZ132" s="55"/>
      <c r="LA132" s="55"/>
      <c r="LB132" s="55"/>
      <c r="LC132" s="55"/>
      <c r="LD132" s="55"/>
      <c r="LE132" s="55"/>
      <c r="LF132" s="55"/>
      <c r="LG132" s="55"/>
      <c r="LH132" s="55"/>
      <c r="LI132" s="55"/>
      <c r="LJ132" s="55"/>
      <c r="LK132" s="55"/>
      <c r="LL132" s="55"/>
      <c r="LM132" s="55"/>
      <c r="LN132" s="55"/>
      <c r="LO132" s="55"/>
      <c r="LP132" s="55"/>
      <c r="LQ132" s="55"/>
      <c r="LR132" s="55"/>
      <c r="LS132" s="55"/>
      <c r="LT132" s="55"/>
      <c r="LU132" s="55"/>
      <c r="LV132" s="55"/>
      <c r="LW132" s="55"/>
      <c r="LX132" s="55"/>
      <c r="LY132" s="55"/>
      <c r="LZ132" s="55"/>
      <c r="MA132" s="55"/>
      <c r="MB132" s="55"/>
      <c r="MC132" s="55"/>
      <c r="MD132" s="55"/>
      <c r="ME132" s="55"/>
      <c r="MF132" s="55"/>
      <c r="MG132" s="55"/>
      <c r="MH132" s="55"/>
      <c r="MI132" s="55"/>
      <c r="MJ132" s="55"/>
      <c r="MK132" s="55"/>
      <c r="ML132" s="55"/>
      <c r="MM132" s="55"/>
      <c r="MN132" s="55"/>
      <c r="MO132" s="55"/>
      <c r="MP132" s="55"/>
      <c r="MQ132" s="55"/>
      <c r="MR132" s="55"/>
      <c r="MS132" s="55"/>
      <c r="MT132" s="55"/>
      <c r="MU132" s="55"/>
      <c r="MV132" s="55"/>
      <c r="MW132" s="55"/>
      <c r="MX132" s="55"/>
      <c r="MY132" s="55"/>
      <c r="MZ132" s="55"/>
      <c r="NA132" s="55"/>
      <c r="NB132" s="55"/>
      <c r="NC132" s="55"/>
      <c r="ND132" s="55"/>
      <c r="NE132" s="55"/>
      <c r="NF132" s="55"/>
      <c r="NG132" s="55"/>
      <c r="NH132" s="55"/>
      <c r="NI132" s="55"/>
      <c r="NJ132" s="55"/>
      <c r="NK132" s="55"/>
      <c r="NL132" s="55"/>
      <c r="NM132" s="55"/>
      <c r="NN132" s="55"/>
      <c r="NO132" s="55"/>
      <c r="NP132" s="55"/>
      <c r="NQ132" s="55"/>
      <c r="NR132" s="55"/>
      <c r="NS132" s="55"/>
      <c r="NT132" s="55"/>
      <c r="NU132" s="55"/>
      <c r="NV132" s="55"/>
      <c r="NW132" s="55"/>
      <c r="NX132" s="55"/>
      <c r="NY132" s="55"/>
      <c r="NZ132" s="55"/>
      <c r="OA132" s="55"/>
      <c r="OB132" s="55"/>
      <c r="OC132" s="55"/>
      <c r="OD132" s="55"/>
    </row>
    <row r="133" spans="4:401" x14ac:dyDescent="0.3">
      <c r="J133" s="65"/>
      <c r="K133" s="55"/>
      <c r="L133" s="55"/>
      <c r="M133" s="58"/>
      <c r="N133" s="55"/>
      <c r="O133" s="55"/>
      <c r="P133" s="55"/>
      <c r="Q133" s="55"/>
      <c r="R133" s="55"/>
      <c r="S133" s="55"/>
      <c r="T133" s="55"/>
      <c r="U133" s="55"/>
      <c r="V133" s="55"/>
      <c r="W133" s="55"/>
      <c r="X133" s="55"/>
      <c r="Y133" s="55"/>
      <c r="Z133" s="55"/>
      <c r="AA133" s="55"/>
      <c r="AB133" s="55"/>
      <c r="AC133" s="55"/>
      <c r="AD133" s="55"/>
      <c r="AE133" s="55"/>
      <c r="AF133" s="55"/>
      <c r="AG133" s="55"/>
      <c r="AH133" s="55"/>
      <c r="AI133" s="55"/>
      <c r="AJ133" s="55"/>
      <c r="AK133" s="55"/>
      <c r="AL133" s="55"/>
      <c r="AM133" s="55"/>
      <c r="AN133" s="55"/>
      <c r="AO133" s="55"/>
      <c r="AP133" s="55"/>
      <c r="AQ133" s="55"/>
      <c r="AR133" s="55"/>
      <c r="AS133" s="55"/>
      <c r="AT133" s="55"/>
      <c r="AU133" s="55"/>
      <c r="AV133" s="55"/>
      <c r="AW133" s="55"/>
      <c r="AX133" s="55"/>
      <c r="AY133" s="55"/>
      <c r="AZ133" s="55"/>
      <c r="BA133" s="55"/>
      <c r="BB133" s="55"/>
      <c r="BC133" s="55"/>
      <c r="BD133" s="55"/>
      <c r="BE133" s="55"/>
      <c r="BF133" s="55"/>
      <c r="BG133" s="55"/>
      <c r="BH133" s="55"/>
      <c r="BI133" s="55"/>
      <c r="BJ133" s="55"/>
      <c r="BK133" s="55"/>
      <c r="BL133" s="55"/>
      <c r="BM133" s="55"/>
      <c r="BN133" s="55"/>
      <c r="BO133" s="55"/>
      <c r="BP133" s="55"/>
      <c r="BQ133" s="55"/>
      <c r="BR133" s="55"/>
      <c r="BS133" s="55"/>
      <c r="BT133" s="55"/>
      <c r="BU133" s="55"/>
      <c r="BV133" s="55"/>
      <c r="BW133" s="55"/>
      <c r="BX133" s="55"/>
      <c r="BY133" s="55"/>
      <c r="BZ133" s="55"/>
      <c r="CA133" s="55"/>
      <c r="CB133" s="55"/>
      <c r="CC133" s="55"/>
      <c r="CD133" s="55"/>
      <c r="CE133" s="55"/>
      <c r="CF133" s="55"/>
      <c r="CG133" s="55"/>
      <c r="CH133" s="55"/>
      <c r="CI133" s="55"/>
      <c r="CJ133" s="55"/>
      <c r="CK133" s="55"/>
      <c r="CL133" s="55"/>
      <c r="CM133" s="55"/>
      <c r="CN133" s="55"/>
      <c r="CO133" s="55"/>
      <c r="CP133" s="55"/>
      <c r="CQ133" s="55"/>
      <c r="CR133" s="55"/>
      <c r="CS133" s="55"/>
      <c r="CT133" s="55"/>
      <c r="CU133" s="55"/>
      <c r="CV133" s="55"/>
      <c r="CW133" s="55"/>
      <c r="CX133" s="55"/>
      <c r="CY133" s="55"/>
      <c r="CZ133" s="55"/>
      <c r="DA133" s="55"/>
      <c r="DB133" s="55"/>
      <c r="DC133" s="55"/>
      <c r="DD133" s="55"/>
      <c r="DE133" s="55"/>
      <c r="DF133" s="55"/>
      <c r="DG133" s="55"/>
      <c r="DH133" s="55"/>
      <c r="DI133" s="55"/>
      <c r="DJ133" s="55"/>
      <c r="DK133" s="55"/>
      <c r="DL133" s="55"/>
      <c r="DM133" s="55"/>
      <c r="DN133" s="55"/>
      <c r="DO133" s="55"/>
      <c r="DP133" s="55"/>
      <c r="DQ133" s="55"/>
      <c r="DR133" s="55"/>
      <c r="DS133" s="55"/>
      <c r="DT133" s="55"/>
      <c r="DU133" s="55"/>
      <c r="DV133" s="55"/>
      <c r="DW133" s="55"/>
      <c r="DX133" s="55"/>
      <c r="DY133" s="55"/>
      <c r="DZ133" s="55"/>
      <c r="EA133" s="55"/>
      <c r="EB133" s="55"/>
      <c r="EC133" s="55"/>
      <c r="ED133" s="55"/>
      <c r="EE133" s="55"/>
      <c r="EF133" s="55"/>
      <c r="EG133" s="55"/>
      <c r="EH133" s="55"/>
      <c r="EI133" s="55"/>
      <c r="EJ133" s="55"/>
      <c r="EK133" s="55"/>
      <c r="EL133" s="55"/>
      <c r="EM133" s="55"/>
      <c r="EN133" s="55"/>
      <c r="EO133" s="55"/>
      <c r="EP133" s="55"/>
      <c r="EQ133" s="55"/>
      <c r="ER133" s="55"/>
      <c r="ES133" s="55"/>
      <c r="ET133" s="55"/>
      <c r="EU133" s="55"/>
      <c r="EV133" s="55"/>
      <c r="EW133" s="55"/>
      <c r="EX133" s="55"/>
      <c r="EY133" s="55"/>
      <c r="EZ133" s="55"/>
      <c r="FA133" s="55"/>
      <c r="FB133" s="55"/>
      <c r="FC133" s="55"/>
      <c r="FD133" s="55"/>
      <c r="FE133" s="55"/>
      <c r="FF133" s="55"/>
      <c r="FG133" s="55"/>
      <c r="FH133" s="55"/>
      <c r="FI133" s="55"/>
      <c r="FJ133" s="55"/>
      <c r="FK133" s="55"/>
      <c r="FL133" s="55"/>
      <c r="FM133" s="55"/>
      <c r="FN133" s="55"/>
      <c r="FO133" s="55"/>
      <c r="FP133" s="55"/>
      <c r="FQ133" s="55"/>
      <c r="FR133" s="55"/>
      <c r="FS133" s="55"/>
      <c r="FT133" s="55"/>
      <c r="FU133" s="55"/>
      <c r="FV133" s="55"/>
      <c r="FW133" s="55"/>
      <c r="FX133" s="55"/>
      <c r="FY133" s="55"/>
      <c r="FZ133" s="55"/>
      <c r="GA133" s="55"/>
      <c r="GB133" s="55"/>
      <c r="GC133" s="55"/>
      <c r="GD133" s="55"/>
      <c r="GE133" s="55"/>
      <c r="GF133" s="55"/>
      <c r="GG133" s="55"/>
      <c r="GH133" s="55"/>
      <c r="GI133" s="55"/>
      <c r="GJ133" s="55"/>
      <c r="GK133" s="55"/>
      <c r="GL133" s="55"/>
      <c r="GM133" s="55"/>
      <c r="GN133" s="55"/>
      <c r="GO133" s="55"/>
      <c r="GP133" s="55"/>
      <c r="GQ133" s="55"/>
      <c r="GR133" s="55"/>
      <c r="GS133" s="55"/>
      <c r="GT133" s="55"/>
      <c r="GU133" s="55"/>
      <c r="GV133" s="55"/>
      <c r="GW133" s="55"/>
      <c r="GX133" s="55"/>
      <c r="GY133" s="55"/>
      <c r="GZ133" s="55"/>
      <c r="HA133" s="55"/>
      <c r="HB133" s="55"/>
      <c r="HC133" s="55"/>
      <c r="HD133" s="55"/>
      <c r="HE133" s="55"/>
      <c r="HF133" s="55"/>
      <c r="HG133" s="55"/>
      <c r="HH133" s="55"/>
      <c r="HI133" s="55"/>
      <c r="HJ133" s="55"/>
      <c r="HK133" s="55"/>
      <c r="HL133" s="55"/>
      <c r="HM133" s="55"/>
      <c r="HN133" s="55"/>
      <c r="HO133" s="55"/>
      <c r="HP133" s="55"/>
      <c r="HQ133" s="55"/>
      <c r="HR133" s="55"/>
      <c r="HS133" s="55"/>
      <c r="HT133" s="55"/>
      <c r="HU133" s="55"/>
      <c r="HV133" s="55"/>
      <c r="HW133" s="55"/>
      <c r="HX133" s="55"/>
      <c r="HY133" s="55"/>
      <c r="HZ133" s="55"/>
      <c r="IA133" s="55"/>
      <c r="IB133" s="55"/>
      <c r="IC133" s="55"/>
      <c r="ID133" s="55"/>
      <c r="IE133" s="55"/>
      <c r="IF133" s="55"/>
      <c r="IG133" s="55"/>
      <c r="IH133" s="55"/>
      <c r="II133" s="55"/>
      <c r="IJ133" s="55"/>
      <c r="IK133" s="55"/>
      <c r="IL133" s="55"/>
      <c r="IM133" s="55"/>
      <c r="IN133" s="55"/>
      <c r="IO133" s="55"/>
      <c r="IP133" s="55"/>
      <c r="IQ133" s="55"/>
      <c r="IR133" s="55"/>
      <c r="IS133" s="55"/>
      <c r="IT133" s="55"/>
      <c r="IU133" s="55"/>
      <c r="IV133" s="55"/>
      <c r="IW133" s="55"/>
      <c r="IX133" s="55"/>
      <c r="IY133" s="55"/>
      <c r="IZ133" s="55"/>
      <c r="JA133" s="55"/>
      <c r="JB133" s="55"/>
      <c r="JC133" s="55"/>
      <c r="JD133" s="55"/>
      <c r="JE133" s="55"/>
      <c r="JF133" s="55"/>
      <c r="JG133" s="55"/>
      <c r="JH133" s="55"/>
      <c r="JI133" s="55"/>
      <c r="JJ133" s="55"/>
      <c r="JK133" s="55"/>
      <c r="JL133" s="55"/>
      <c r="JM133" s="55"/>
      <c r="JN133" s="55"/>
      <c r="JO133" s="55"/>
      <c r="JP133" s="55"/>
      <c r="JQ133" s="55"/>
      <c r="JR133" s="55"/>
      <c r="JS133" s="55"/>
      <c r="JT133" s="55"/>
      <c r="JU133" s="55"/>
      <c r="JV133" s="55"/>
      <c r="JW133" s="55"/>
      <c r="JX133" s="55"/>
      <c r="JY133" s="55"/>
      <c r="JZ133" s="55"/>
      <c r="KA133" s="55"/>
      <c r="KB133" s="55"/>
      <c r="KC133" s="55"/>
      <c r="KD133" s="55"/>
      <c r="KE133" s="55"/>
      <c r="KF133" s="55"/>
      <c r="KG133" s="55"/>
      <c r="KH133" s="55"/>
      <c r="KI133" s="55"/>
      <c r="KJ133" s="55"/>
      <c r="KK133" s="55"/>
      <c r="KL133" s="55"/>
      <c r="KM133" s="55"/>
      <c r="KN133" s="55"/>
      <c r="KO133" s="55"/>
      <c r="KP133" s="55"/>
      <c r="KQ133" s="55"/>
      <c r="KR133" s="55"/>
      <c r="KS133" s="55"/>
      <c r="KT133" s="55"/>
      <c r="KU133" s="55"/>
      <c r="KV133" s="55"/>
      <c r="KW133" s="55"/>
      <c r="KX133" s="55"/>
      <c r="KY133" s="55"/>
      <c r="KZ133" s="55"/>
      <c r="LA133" s="55"/>
      <c r="LB133" s="55"/>
      <c r="LC133" s="55"/>
      <c r="LD133" s="55"/>
      <c r="LE133" s="55"/>
      <c r="LF133" s="55"/>
      <c r="LG133" s="55"/>
      <c r="LH133" s="55"/>
      <c r="LI133" s="55"/>
      <c r="LJ133" s="55"/>
      <c r="LK133" s="55"/>
      <c r="LL133" s="55"/>
      <c r="LM133" s="55"/>
      <c r="LN133" s="55"/>
      <c r="LO133" s="55"/>
      <c r="LP133" s="55"/>
      <c r="LQ133" s="55"/>
      <c r="LR133" s="55"/>
      <c r="LS133" s="55"/>
      <c r="LT133" s="55"/>
      <c r="LU133" s="55"/>
      <c r="LV133" s="55"/>
      <c r="LW133" s="55"/>
      <c r="LX133" s="55"/>
      <c r="LY133" s="55"/>
      <c r="LZ133" s="55"/>
      <c r="MA133" s="55"/>
      <c r="MB133" s="55"/>
      <c r="MC133" s="55"/>
      <c r="MD133" s="55"/>
      <c r="ME133" s="55"/>
      <c r="MF133" s="55"/>
      <c r="MG133" s="55"/>
      <c r="MH133" s="55"/>
      <c r="MI133" s="55"/>
      <c r="MJ133" s="55"/>
      <c r="MK133" s="55"/>
      <c r="ML133" s="55"/>
      <c r="MM133" s="55"/>
      <c r="MN133" s="55"/>
      <c r="MO133" s="55"/>
      <c r="MP133" s="55"/>
      <c r="MQ133" s="55"/>
      <c r="MR133" s="55"/>
      <c r="MS133" s="55"/>
      <c r="MT133" s="55"/>
      <c r="MU133" s="55"/>
      <c r="MV133" s="55"/>
      <c r="MW133" s="55"/>
      <c r="MX133" s="55"/>
      <c r="MY133" s="55"/>
      <c r="MZ133" s="55"/>
      <c r="NA133" s="55"/>
      <c r="NB133" s="55"/>
      <c r="NC133" s="55"/>
      <c r="ND133" s="55"/>
      <c r="NE133" s="55"/>
      <c r="NF133" s="55"/>
      <c r="NG133" s="55"/>
      <c r="NH133" s="55"/>
      <c r="NI133" s="55"/>
      <c r="NJ133" s="55"/>
      <c r="NK133" s="55"/>
      <c r="NL133" s="55"/>
      <c r="NM133" s="55"/>
      <c r="NN133" s="55"/>
      <c r="NO133" s="55"/>
      <c r="NP133" s="55"/>
      <c r="NQ133" s="55"/>
      <c r="NR133" s="55"/>
      <c r="NS133" s="55"/>
      <c r="NT133" s="55"/>
      <c r="NU133" s="55"/>
      <c r="NV133" s="55"/>
      <c r="NW133" s="55"/>
      <c r="NX133" s="55"/>
      <c r="NY133" s="55"/>
      <c r="NZ133" s="55"/>
      <c r="OA133" s="55"/>
      <c r="OB133" s="55"/>
      <c r="OC133" s="55"/>
      <c r="OD133" s="55"/>
    </row>
    <row r="134" spans="4:401" x14ac:dyDescent="0.3">
      <c r="J134" s="65"/>
      <c r="K134" s="55"/>
      <c r="L134" s="66"/>
      <c r="M134" s="93" t="s">
        <v>167</v>
      </c>
      <c r="N134" s="94"/>
      <c r="O134" s="95"/>
      <c r="P134" s="94"/>
      <c r="Q134" s="25"/>
    </row>
    <row r="135" spans="4:401" x14ac:dyDescent="0.3">
      <c r="J135" s="65"/>
      <c r="K135" s="55"/>
      <c r="L135" s="66"/>
      <c r="M135" s="76"/>
      <c r="O135" s="78"/>
    </row>
    <row r="136" spans="4:401" x14ac:dyDescent="0.3">
      <c r="J136" s="65"/>
      <c r="K136" s="55"/>
      <c r="L136" s="66"/>
      <c r="O136" s="7"/>
      <c r="Q136" s="25"/>
    </row>
    <row r="137" spans="4:401" x14ac:dyDescent="0.3">
      <c r="J137" s="65"/>
      <c r="K137" s="55"/>
      <c r="L137" s="66"/>
      <c r="M137" s="137" t="s">
        <v>175</v>
      </c>
      <c r="N137" s="138"/>
      <c r="O137" s="139"/>
      <c r="P137" s="138"/>
      <c r="Q137" s="25"/>
    </row>
    <row r="138" spans="4:401" x14ac:dyDescent="0.3">
      <c r="J138" s="65"/>
      <c r="K138" s="55"/>
      <c r="L138" s="66"/>
      <c r="M138" t="s">
        <v>232</v>
      </c>
      <c r="O138" s="7"/>
      <c r="Q138" s="25"/>
    </row>
    <row r="139" spans="4:401" x14ac:dyDescent="0.3">
      <c r="J139" s="65"/>
      <c r="K139" s="55"/>
      <c r="L139" s="66"/>
      <c r="M139" t="s">
        <v>231</v>
      </c>
      <c r="O139" s="7"/>
      <c r="Q139" s="25"/>
    </row>
    <row r="140" spans="4:401" x14ac:dyDescent="0.3">
      <c r="J140" s="65"/>
      <c r="K140" s="55"/>
      <c r="L140" s="66"/>
      <c r="M140" s="137" t="s">
        <v>170</v>
      </c>
      <c r="N140" s="138"/>
      <c r="O140" s="139"/>
      <c r="P140" s="140"/>
      <c r="Q140" s="25"/>
    </row>
    <row r="141" spans="4:401" x14ac:dyDescent="0.3">
      <c r="J141" s="65"/>
      <c r="K141" s="55"/>
      <c r="L141" s="66"/>
      <c r="O141" s="7"/>
      <c r="Q141" s="25"/>
    </row>
    <row r="142" spans="4:401" x14ac:dyDescent="0.3">
      <c r="J142" s="65"/>
      <c r="K142" s="55"/>
      <c r="L142" s="66"/>
      <c r="N142" s="25"/>
      <c r="O142" s="27"/>
      <c r="P142" s="51"/>
    </row>
    <row r="143" spans="4:401" x14ac:dyDescent="0.3">
      <c r="J143" s="65"/>
      <c r="K143" s="55"/>
      <c r="L143" s="66"/>
      <c r="M143" s="25"/>
      <c r="N143" s="25"/>
      <c r="O143" s="27"/>
      <c r="P143" s="25"/>
    </row>
    <row r="144" spans="4:401" x14ac:dyDescent="0.3">
      <c r="J144" s="65"/>
      <c r="K144" s="55"/>
      <c r="L144" s="66"/>
      <c r="M144" s="133" t="s">
        <v>171</v>
      </c>
      <c r="N144" s="134"/>
      <c r="O144" s="135"/>
      <c r="P144" s="136"/>
    </row>
    <row r="145" spans="10:16" x14ac:dyDescent="0.3">
      <c r="J145" s="65"/>
      <c r="K145" s="55"/>
      <c r="L145" s="66"/>
      <c r="M145" s="97" t="s">
        <v>6</v>
      </c>
      <c r="N145" s="98"/>
      <c r="O145" s="99"/>
      <c r="P145" s="98"/>
    </row>
    <row r="146" spans="10:16" x14ac:dyDescent="0.3">
      <c r="J146" s="65"/>
      <c r="K146" s="55"/>
      <c r="L146" s="66"/>
      <c r="N146" s="96"/>
      <c r="O146" s="50"/>
      <c r="P146" s="96"/>
    </row>
    <row r="147" spans="10:16" x14ac:dyDescent="0.3">
      <c r="J147" s="65"/>
      <c r="K147" s="55"/>
      <c r="L147" s="66"/>
      <c r="N147" s="25"/>
      <c r="O147" s="27"/>
      <c r="P147" s="80"/>
    </row>
    <row r="148" spans="10:16" x14ac:dyDescent="0.3">
      <c r="J148" s="65"/>
      <c r="K148" s="55"/>
      <c r="L148" s="66"/>
      <c r="M148" s="133" t="s">
        <v>169</v>
      </c>
      <c r="N148" s="134"/>
      <c r="O148" s="135"/>
      <c r="P148" s="134"/>
    </row>
    <row r="149" spans="10:16" x14ac:dyDescent="0.3">
      <c r="J149" s="65"/>
      <c r="K149" s="55"/>
      <c r="L149" s="66"/>
      <c r="N149" s="25"/>
      <c r="O149" s="27"/>
      <c r="P149" s="54"/>
    </row>
    <row r="150" spans="10:16" x14ac:dyDescent="0.3">
      <c r="J150" s="65"/>
      <c r="K150" s="55"/>
      <c r="L150" s="66"/>
      <c r="N150" s="25"/>
      <c r="O150" s="27"/>
      <c r="P150" s="25"/>
    </row>
    <row r="151" spans="10:16" x14ac:dyDescent="0.3">
      <c r="J151" s="65"/>
      <c r="K151" s="55"/>
      <c r="L151" s="66"/>
      <c r="M151" s="25"/>
      <c r="N151" s="25"/>
      <c r="O151" s="27"/>
      <c r="P151" s="25"/>
    </row>
    <row r="152" spans="10:16" x14ac:dyDescent="0.3">
      <c r="J152" s="65"/>
      <c r="K152" s="55"/>
      <c r="L152" s="66"/>
      <c r="M152" s="133" t="s">
        <v>168</v>
      </c>
      <c r="N152" s="134"/>
      <c r="O152" s="135"/>
      <c r="P152" s="134"/>
    </row>
    <row r="153" spans="10:16" x14ac:dyDescent="0.3">
      <c r="J153" s="65"/>
      <c r="K153" s="55"/>
      <c r="L153" s="66"/>
      <c r="M153" s="100" t="s">
        <v>176</v>
      </c>
      <c r="N153" s="101"/>
      <c r="O153" s="102" t="s">
        <v>81</v>
      </c>
      <c r="P153" s="101"/>
    </row>
    <row r="154" spans="10:16" x14ac:dyDescent="0.3">
      <c r="J154" s="65"/>
      <c r="K154" s="55"/>
      <c r="L154" s="66"/>
      <c r="M154" s="87" t="s">
        <v>173</v>
      </c>
      <c r="N154" s="88"/>
      <c r="O154" s="89" t="s">
        <v>81</v>
      </c>
      <c r="P154" s="88"/>
    </row>
    <row r="155" spans="10:16" x14ac:dyDescent="0.3">
      <c r="J155" s="65"/>
      <c r="K155" s="55"/>
      <c r="L155" s="55"/>
      <c r="M155" s="105"/>
      <c r="N155" s="55"/>
      <c r="O155" s="55"/>
      <c r="P155" s="55"/>
    </row>
    <row r="156" spans="10:16" x14ac:dyDescent="0.3">
      <c r="J156" s="65"/>
      <c r="K156" s="55"/>
      <c r="L156" s="55"/>
      <c r="M156" s="55" t="s">
        <v>5</v>
      </c>
      <c r="N156" s="55"/>
      <c r="O156" s="55"/>
      <c r="P156" s="55"/>
    </row>
    <row r="157" spans="10:16" x14ac:dyDescent="0.3">
      <c r="J157" s="65"/>
      <c r="K157" s="55"/>
      <c r="L157" s="55"/>
      <c r="M157" s="55" t="s">
        <v>204</v>
      </c>
      <c r="N157" s="55"/>
      <c r="O157" s="55"/>
      <c r="P157" s="55"/>
    </row>
    <row r="158" spans="10:16" x14ac:dyDescent="0.3">
      <c r="J158" s="65"/>
      <c r="K158" s="55"/>
      <c r="L158" s="55"/>
      <c r="M158" s="55" t="s">
        <v>205</v>
      </c>
      <c r="N158" s="55"/>
      <c r="O158" s="55"/>
      <c r="P158" s="55"/>
    </row>
    <row r="159" spans="10:16" x14ac:dyDescent="0.3">
      <c r="J159" s="65"/>
      <c r="K159" s="55"/>
      <c r="L159" s="55"/>
      <c r="M159" s="55" t="s">
        <v>206</v>
      </c>
      <c r="N159" s="55"/>
      <c r="O159" s="55"/>
      <c r="P159" s="55"/>
    </row>
    <row r="160" spans="10:16" x14ac:dyDescent="0.3">
      <c r="J160" s="65"/>
      <c r="K160" s="55"/>
      <c r="L160" s="55"/>
      <c r="M160" s="55"/>
      <c r="N160" s="55"/>
      <c r="O160" s="55"/>
      <c r="P160" s="55"/>
    </row>
    <row r="161" spans="10:16" x14ac:dyDescent="0.3">
      <c r="J161" s="65"/>
      <c r="K161" s="55"/>
      <c r="L161" s="66"/>
      <c r="M161" s="125" t="s">
        <v>1</v>
      </c>
      <c r="N161" s="126"/>
      <c r="O161" s="148"/>
      <c r="P161" s="126"/>
    </row>
    <row r="162" spans="10:16" x14ac:dyDescent="0.3">
      <c r="J162" s="65"/>
      <c r="K162" s="55"/>
      <c r="L162" s="66"/>
      <c r="M162" t="s">
        <v>177</v>
      </c>
      <c r="O162" s="7"/>
    </row>
    <row r="163" spans="10:16" x14ac:dyDescent="0.3">
      <c r="J163" s="65"/>
      <c r="K163" s="55"/>
      <c r="L163" s="66"/>
      <c r="M163" t="s">
        <v>207</v>
      </c>
      <c r="O163" s="7"/>
    </row>
    <row r="164" spans="10:16" x14ac:dyDescent="0.3">
      <c r="J164" s="65"/>
      <c r="K164" s="55"/>
      <c r="L164" s="66"/>
      <c r="M164" t="s">
        <v>208</v>
      </c>
      <c r="O164" s="7"/>
    </row>
    <row r="165" spans="10:16" x14ac:dyDescent="0.3">
      <c r="J165" s="65"/>
      <c r="K165" s="55"/>
      <c r="L165" s="66"/>
      <c r="M165" t="s">
        <v>252</v>
      </c>
      <c r="O165" s="7"/>
      <c r="P165" s="53"/>
    </row>
    <row r="166" spans="10:16" x14ac:dyDescent="0.3">
      <c r="J166" s="65"/>
      <c r="K166" s="55"/>
      <c r="L166" s="66"/>
      <c r="M166" t="s">
        <v>253</v>
      </c>
      <c r="O166" s="7"/>
      <c r="P166" s="53"/>
    </row>
    <row r="167" spans="10:16" x14ac:dyDescent="0.3">
      <c r="J167" s="65"/>
      <c r="K167" s="55"/>
      <c r="L167" s="66"/>
      <c r="M167" s="75" t="s">
        <v>224</v>
      </c>
      <c r="N167" s="5"/>
      <c r="O167" s="28"/>
      <c r="P167" s="5"/>
    </row>
    <row r="168" spans="10:16" x14ac:dyDescent="0.3">
      <c r="J168" s="65"/>
      <c r="K168" s="55"/>
      <c r="L168" s="66"/>
      <c r="M168" s="145" t="s">
        <v>225</v>
      </c>
      <c r="N168" s="145"/>
      <c r="O168" s="149" t="s">
        <v>81</v>
      </c>
      <c r="P168" s="145"/>
    </row>
    <row r="169" spans="10:16" x14ac:dyDescent="0.3">
      <c r="J169" s="65"/>
      <c r="K169" s="55"/>
      <c r="L169" s="66"/>
      <c r="M169" s="125" t="s">
        <v>173</v>
      </c>
      <c r="N169" s="126"/>
      <c r="O169" s="148" t="s">
        <v>81</v>
      </c>
      <c r="P169" s="126"/>
    </row>
    <row r="170" spans="10:16" x14ac:dyDescent="0.3">
      <c r="J170" s="65"/>
      <c r="K170" s="55"/>
      <c r="L170" s="55"/>
      <c r="M170" s="105"/>
      <c r="N170" s="55"/>
      <c r="O170" s="55"/>
      <c r="P170" s="55"/>
    </row>
    <row r="171" spans="10:16" x14ac:dyDescent="0.3">
      <c r="J171" s="65"/>
      <c r="K171" s="55"/>
      <c r="L171" s="55"/>
      <c r="M171" s="55" t="s">
        <v>250</v>
      </c>
      <c r="N171" s="55"/>
      <c r="O171" s="55"/>
      <c r="P171" s="55"/>
    </row>
    <row r="172" spans="10:16" x14ac:dyDescent="0.3">
      <c r="J172" s="65"/>
      <c r="K172" s="55"/>
      <c r="L172" s="55"/>
      <c r="M172" s="55" t="s">
        <v>251</v>
      </c>
      <c r="N172" s="55"/>
      <c r="O172" s="55"/>
      <c r="P172" s="55"/>
    </row>
    <row r="173" spans="10:16" x14ac:dyDescent="0.3">
      <c r="J173" s="65"/>
      <c r="K173" s="55"/>
      <c r="L173" s="55"/>
      <c r="M173" s="55"/>
      <c r="N173" s="55"/>
      <c r="O173" s="55"/>
      <c r="P173" s="55"/>
    </row>
    <row r="174" spans="10:16" ht="14.4" thickBot="1" x14ac:dyDescent="0.35">
      <c r="J174" s="143"/>
      <c r="K174" s="142"/>
      <c r="L174" s="141" t="s">
        <v>209</v>
      </c>
      <c r="M174" s="142"/>
      <c r="N174" s="142"/>
      <c r="O174" s="142"/>
      <c r="P174" s="142"/>
    </row>
    <row r="175" spans="10:16" x14ac:dyDescent="0.3">
      <c r="J175" s="65"/>
      <c r="K175" s="55"/>
      <c r="L175" s="112" t="s">
        <v>210</v>
      </c>
      <c r="M175" s="55"/>
      <c r="N175" s="55"/>
      <c r="O175" s="55"/>
      <c r="P175" s="55"/>
    </row>
    <row r="176" spans="10:16" x14ac:dyDescent="0.3">
      <c r="J176" s="65"/>
      <c r="K176" s="55"/>
      <c r="L176" s="112"/>
      <c r="M176" s="55"/>
      <c r="N176" s="55"/>
      <c r="O176" s="55"/>
      <c r="P176" s="55"/>
    </row>
    <row r="177" spans="10:16" x14ac:dyDescent="0.3">
      <c r="J177" s="65"/>
      <c r="K177" s="55"/>
      <c r="L177" s="66"/>
      <c r="M177" s="121" t="s">
        <v>230</v>
      </c>
      <c r="N177" s="122"/>
      <c r="O177" s="150"/>
      <c r="P177" s="122"/>
    </row>
    <row r="178" spans="10:16" x14ac:dyDescent="0.3">
      <c r="J178" s="65"/>
      <c r="K178" s="55"/>
      <c r="L178" s="66"/>
      <c r="M178" s="144" t="s">
        <v>205</v>
      </c>
      <c r="N178" s="73"/>
      <c r="O178" s="74" t="s">
        <v>81</v>
      </c>
      <c r="P178" s="73"/>
    </row>
    <row r="179" spans="10:16" x14ac:dyDescent="0.3">
      <c r="J179" s="65"/>
      <c r="K179" s="55"/>
      <c r="L179" s="66"/>
      <c r="M179" s="144" t="s">
        <v>1</v>
      </c>
      <c r="N179" s="73"/>
      <c r="O179" s="74" t="s">
        <v>81</v>
      </c>
      <c r="P179" s="73"/>
    </row>
    <row r="180" spans="10:16" x14ac:dyDescent="0.3">
      <c r="J180" s="65"/>
      <c r="K180" s="55"/>
      <c r="L180" s="66"/>
      <c r="M180" s="25" t="s">
        <v>220</v>
      </c>
      <c r="N180" s="25"/>
      <c r="O180" s="27" t="s">
        <v>223</v>
      </c>
      <c r="P180" s="25"/>
    </row>
    <row r="181" spans="10:16" x14ac:dyDescent="0.3">
      <c r="J181" s="65"/>
      <c r="K181" s="55"/>
      <c r="L181" s="66"/>
      <c r="M181" s="25" t="s">
        <v>221</v>
      </c>
      <c r="N181" s="25"/>
      <c r="O181" s="27"/>
      <c r="P181" s="25"/>
    </row>
    <row r="182" spans="10:16" x14ac:dyDescent="0.3">
      <c r="J182" s="65"/>
      <c r="K182" s="55"/>
      <c r="L182" s="66"/>
      <c r="M182" s="25" t="s">
        <v>222</v>
      </c>
      <c r="N182" s="25"/>
      <c r="O182" s="27"/>
      <c r="P182" s="25"/>
    </row>
    <row r="183" spans="10:16" x14ac:dyDescent="0.3">
      <c r="J183" s="65"/>
      <c r="K183" s="55"/>
      <c r="L183" s="66"/>
      <c r="M183" s="75" t="s">
        <v>218</v>
      </c>
      <c r="N183" s="5"/>
      <c r="O183" s="28" t="s">
        <v>81</v>
      </c>
      <c r="P183" s="5"/>
    </row>
    <row r="184" spans="10:16" x14ac:dyDescent="0.3">
      <c r="J184" s="65"/>
      <c r="K184" s="55"/>
      <c r="L184" s="66"/>
      <c r="M184" s="2" t="s">
        <v>212</v>
      </c>
      <c r="N184" s="146"/>
      <c r="O184" s="151"/>
      <c r="P184" s="146"/>
    </row>
    <row r="185" spans="10:16" x14ac:dyDescent="0.3">
      <c r="J185" s="65"/>
      <c r="K185" s="55"/>
      <c r="L185" s="66"/>
      <c r="M185" s="147" t="s">
        <v>219</v>
      </c>
      <c r="N185" s="147"/>
      <c r="O185" s="152" t="s">
        <v>81</v>
      </c>
      <c r="P185" s="147"/>
    </row>
    <row r="186" spans="10:16" x14ac:dyDescent="0.3">
      <c r="J186" s="65"/>
      <c r="K186" s="55"/>
      <c r="L186" s="66"/>
      <c r="M186" s="121" t="s">
        <v>173</v>
      </c>
      <c r="N186" s="122"/>
      <c r="O186" s="150" t="s">
        <v>81</v>
      </c>
      <c r="P186" s="122"/>
    </row>
    <row r="187" spans="10:16" x14ac:dyDescent="0.3">
      <c r="J187" s="65"/>
      <c r="K187" s="55"/>
      <c r="L187" s="55"/>
      <c r="M187" s="55"/>
      <c r="N187" s="55"/>
      <c r="O187" s="55"/>
      <c r="P187" s="55"/>
    </row>
    <row r="188" spans="10:16" x14ac:dyDescent="0.3">
      <c r="J188" s="65"/>
      <c r="K188" s="55"/>
      <c r="L188" s="55"/>
      <c r="M188" s="55" t="s">
        <v>237</v>
      </c>
      <c r="N188" s="55"/>
      <c r="O188" s="55"/>
      <c r="P188" s="55"/>
    </row>
    <row r="189" spans="10:16" x14ac:dyDescent="0.3">
      <c r="J189" s="65"/>
      <c r="K189" s="55"/>
      <c r="L189" s="55"/>
      <c r="M189" s="55" t="s">
        <v>235</v>
      </c>
      <c r="N189" s="55"/>
      <c r="O189" s="55"/>
      <c r="P189" s="55"/>
    </row>
    <row r="190" spans="10:16" x14ac:dyDescent="0.3">
      <c r="J190" s="65"/>
      <c r="K190" s="55"/>
      <c r="L190" s="55"/>
      <c r="M190" s="55"/>
      <c r="N190" s="55"/>
      <c r="O190" s="55"/>
      <c r="P190" s="55"/>
    </row>
    <row r="191" spans="10:16" x14ac:dyDescent="0.3">
      <c r="J191" s="65"/>
      <c r="K191" s="55"/>
      <c r="L191" s="66"/>
      <c r="M191" s="123" t="s">
        <v>270</v>
      </c>
      <c r="N191" s="124"/>
      <c r="O191" s="153"/>
      <c r="P191" s="124"/>
    </row>
    <row r="192" spans="10:16" x14ac:dyDescent="0.3">
      <c r="J192" s="65"/>
      <c r="K192" s="55"/>
      <c r="L192" s="66"/>
      <c r="M192" t="s">
        <v>272</v>
      </c>
      <c r="O192" s="7"/>
    </row>
    <row r="193" spans="10:16" x14ac:dyDescent="0.3">
      <c r="J193" s="65"/>
      <c r="K193" s="55"/>
      <c r="L193" s="66"/>
      <c r="M193" t="s">
        <v>273</v>
      </c>
      <c r="O193" s="7"/>
    </row>
    <row r="194" spans="10:16" x14ac:dyDescent="0.3">
      <c r="J194" s="65"/>
      <c r="K194" s="55"/>
      <c r="L194" s="66"/>
      <c r="M194" t="s">
        <v>274</v>
      </c>
      <c r="O194" s="7"/>
    </row>
    <row r="195" spans="10:16" x14ac:dyDescent="0.3">
      <c r="J195" s="65"/>
      <c r="K195" s="55"/>
      <c r="L195" s="66"/>
      <c r="M195" t="s">
        <v>275</v>
      </c>
      <c r="O195" s="7"/>
    </row>
    <row r="196" spans="10:16" x14ac:dyDescent="0.3">
      <c r="J196" s="65"/>
      <c r="K196" s="55"/>
      <c r="L196" s="66"/>
      <c r="M196" s="175" t="s">
        <v>271</v>
      </c>
      <c r="N196" s="176"/>
      <c r="O196" s="177"/>
      <c r="P196" s="176"/>
    </row>
    <row r="197" spans="10:16" x14ac:dyDescent="0.3">
      <c r="J197" s="65"/>
      <c r="K197" s="55"/>
      <c r="L197" s="66"/>
      <c r="M197" t="s">
        <v>276</v>
      </c>
      <c r="O197" s="7"/>
    </row>
    <row r="198" spans="10:16" x14ac:dyDescent="0.3">
      <c r="J198" s="65"/>
      <c r="K198" s="55"/>
      <c r="L198" s="66"/>
      <c r="M198" t="s">
        <v>277</v>
      </c>
      <c r="O198" s="7"/>
    </row>
    <row r="199" spans="10:16" x14ac:dyDescent="0.3">
      <c r="J199" s="65"/>
      <c r="K199" s="55"/>
      <c r="L199" s="66"/>
      <c r="M199" t="s">
        <v>279</v>
      </c>
      <c r="O199" s="7"/>
    </row>
    <row r="200" spans="10:16" x14ac:dyDescent="0.3">
      <c r="J200" s="65"/>
      <c r="K200" s="55"/>
      <c r="L200" s="66"/>
      <c r="M200" t="s">
        <v>280</v>
      </c>
      <c r="O200" s="7"/>
    </row>
    <row r="201" spans="10:16" x14ac:dyDescent="0.3">
      <c r="J201" s="65"/>
      <c r="K201" s="55"/>
      <c r="L201" s="66"/>
      <c r="M201" t="s">
        <v>278</v>
      </c>
      <c r="O201" s="7"/>
    </row>
    <row r="202" spans="10:16" x14ac:dyDescent="0.3">
      <c r="J202" s="65"/>
      <c r="K202" s="55"/>
      <c r="L202" s="66"/>
      <c r="M202" t="s">
        <v>281</v>
      </c>
      <c r="O202" s="7"/>
    </row>
    <row r="203" spans="10:16" x14ac:dyDescent="0.3">
      <c r="J203" s="65"/>
      <c r="K203" s="55"/>
      <c r="L203" s="66"/>
      <c r="M203" s="175" t="s">
        <v>285</v>
      </c>
      <c r="N203" s="176"/>
      <c r="O203" s="177"/>
      <c r="P203" s="176"/>
    </row>
    <row r="204" spans="10:16" x14ac:dyDescent="0.3">
      <c r="J204" s="65"/>
      <c r="K204" s="55"/>
      <c r="L204" s="66"/>
      <c r="M204" t="s">
        <v>282</v>
      </c>
      <c r="O204" s="7"/>
    </row>
    <row r="205" spans="10:16" x14ac:dyDescent="0.3">
      <c r="J205" s="65"/>
      <c r="K205" s="55"/>
      <c r="L205" s="66"/>
      <c r="M205" t="s">
        <v>283</v>
      </c>
      <c r="O205" s="7"/>
    </row>
    <row r="206" spans="10:16" x14ac:dyDescent="0.3">
      <c r="J206" s="65"/>
      <c r="K206" s="55"/>
      <c r="L206" s="66"/>
      <c r="M206" t="s">
        <v>284</v>
      </c>
      <c r="O206" s="7"/>
    </row>
    <row r="207" spans="10:16" x14ac:dyDescent="0.3">
      <c r="J207" s="65"/>
      <c r="K207" s="55"/>
      <c r="L207" s="66"/>
      <c r="M207" s="175" t="s">
        <v>214</v>
      </c>
      <c r="N207" s="176"/>
      <c r="O207" s="177"/>
      <c r="P207" s="176"/>
    </row>
    <row r="208" spans="10:16" x14ac:dyDescent="0.3">
      <c r="J208" s="65"/>
      <c r="K208" s="55"/>
      <c r="L208" s="66"/>
      <c r="M208" s="123" t="s">
        <v>173</v>
      </c>
      <c r="N208" s="124"/>
      <c r="O208" s="153"/>
      <c r="P208" s="124"/>
    </row>
    <row r="209" spans="4:394" x14ac:dyDescent="0.3">
      <c r="J209" s="65"/>
      <c r="K209" s="55"/>
      <c r="L209" s="55"/>
      <c r="M209" s="55"/>
      <c r="N209" s="55"/>
      <c r="O209" s="55"/>
      <c r="P209" s="55"/>
    </row>
    <row r="210" spans="4:394" x14ac:dyDescent="0.3">
      <c r="J210" s="65"/>
      <c r="K210" s="55"/>
      <c r="L210" s="55"/>
      <c r="M210" s="55"/>
      <c r="N210" s="55"/>
      <c r="O210" s="55"/>
      <c r="P210" s="55"/>
    </row>
    <row r="211" spans="4:394" x14ac:dyDescent="0.3">
      <c r="J211" s="65"/>
      <c r="K211" s="55"/>
      <c r="L211" s="66"/>
      <c r="M211" s="181" t="s">
        <v>213</v>
      </c>
      <c r="N211" s="128"/>
      <c r="O211" s="154"/>
      <c r="P211" s="128"/>
    </row>
    <row r="212" spans="4:394" x14ac:dyDescent="0.3">
      <c r="J212" s="65"/>
      <c r="K212" s="55"/>
      <c r="L212" s="66"/>
      <c r="O212" s="7"/>
    </row>
    <row r="213" spans="4:394" x14ac:dyDescent="0.3">
      <c r="J213" s="65"/>
      <c r="K213" s="55"/>
      <c r="L213" s="66"/>
      <c r="O213" s="7"/>
    </row>
    <row r="214" spans="4:394" x14ac:dyDescent="0.3">
      <c r="D214" s="119"/>
      <c r="E214" s="6"/>
      <c r="F214" s="19"/>
      <c r="J214" s="65"/>
      <c r="K214" s="55"/>
      <c r="L214" s="66"/>
      <c r="O214" s="7"/>
    </row>
    <row r="215" spans="4:394" x14ac:dyDescent="0.3">
      <c r="D215" s="119"/>
      <c r="E215" s="6"/>
      <c r="F215" s="19"/>
      <c r="J215" s="65"/>
      <c r="K215" s="55"/>
      <c r="L215" s="66"/>
      <c r="M215" s="178" t="s">
        <v>174</v>
      </c>
      <c r="N215" s="179"/>
      <c r="O215" s="180"/>
      <c r="P215" s="179"/>
    </row>
    <row r="216" spans="4:394" x14ac:dyDescent="0.3">
      <c r="D216" s="119"/>
      <c r="E216" s="6"/>
      <c r="F216" s="19"/>
      <c r="J216" s="65"/>
      <c r="K216" s="55"/>
      <c r="L216" s="66"/>
      <c r="O216" s="7"/>
    </row>
    <row r="217" spans="4:394" x14ac:dyDescent="0.3">
      <c r="D217" s="119"/>
      <c r="E217" s="6"/>
      <c r="F217" s="19"/>
      <c r="J217" s="65"/>
      <c r="K217" s="55"/>
      <c r="L217" s="66"/>
      <c r="O217" s="7"/>
      <c r="Q217" s="53"/>
      <c r="W217" s="53"/>
      <c r="X217" s="53"/>
      <c r="Y217" s="53"/>
      <c r="Z217" s="53"/>
      <c r="AA217" s="53"/>
      <c r="AB217" s="53"/>
      <c r="AC217" s="53"/>
      <c r="AD217" s="53"/>
      <c r="AE217" s="53"/>
      <c r="AF217" s="53"/>
      <c r="AG217" s="53"/>
      <c r="AH217" s="53"/>
      <c r="AI217" s="53"/>
      <c r="AJ217" s="53"/>
      <c r="AK217" s="53"/>
      <c r="AL217" s="53"/>
      <c r="AM217" s="53"/>
      <c r="AN217" s="53"/>
      <c r="AO217" s="53"/>
      <c r="AP217" s="53"/>
      <c r="AQ217" s="53"/>
      <c r="AR217" s="53"/>
      <c r="AS217" s="53"/>
      <c r="AT217" s="53"/>
      <c r="AU217" s="53"/>
      <c r="AV217" s="53"/>
      <c r="AW217" s="53"/>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c r="CD217" s="53"/>
      <c r="CE217" s="53"/>
      <c r="CF217" s="53"/>
      <c r="CG217" s="53"/>
      <c r="CH217" s="53"/>
      <c r="CI217" s="53"/>
      <c r="CJ217" s="53"/>
      <c r="CK217" s="53"/>
      <c r="CL217" s="53"/>
      <c r="CM217" s="53"/>
      <c r="CN217" s="53"/>
      <c r="CO217" s="53"/>
      <c r="CP217" s="53"/>
      <c r="CQ217" s="53"/>
      <c r="CR217" s="53"/>
      <c r="CS217" s="53"/>
      <c r="CT217" s="53"/>
      <c r="CU217" s="53"/>
      <c r="CV217" s="53"/>
      <c r="CW217" s="53"/>
      <c r="CX217" s="53"/>
      <c r="CY217" s="53"/>
      <c r="CZ217" s="53"/>
      <c r="DA217" s="53"/>
      <c r="DB217" s="53"/>
      <c r="DC217" s="53"/>
      <c r="DD217" s="53"/>
      <c r="DE217" s="53"/>
      <c r="DF217" s="53"/>
      <c r="DG217" s="53"/>
      <c r="DH217" s="53"/>
      <c r="DI217" s="53"/>
      <c r="DJ217" s="53"/>
      <c r="DK217" s="53"/>
      <c r="DL217" s="53"/>
      <c r="DM217" s="53"/>
      <c r="DN217" s="53"/>
      <c r="DO217" s="53"/>
      <c r="DP217" s="53"/>
      <c r="DQ217" s="53"/>
      <c r="DR217" s="53"/>
      <c r="DS217" s="53"/>
      <c r="DT217" s="53"/>
      <c r="DU217" s="53"/>
      <c r="DV217" s="53"/>
      <c r="DW217" s="53"/>
      <c r="DX217" s="53"/>
      <c r="DY217" s="53"/>
      <c r="DZ217" s="53"/>
      <c r="EA217" s="53"/>
      <c r="EB217" s="53"/>
      <c r="EC217" s="53"/>
      <c r="ED217" s="53"/>
      <c r="EE217" s="53"/>
      <c r="EF217" s="53"/>
      <c r="EG217" s="53"/>
      <c r="EH217" s="53"/>
      <c r="EI217" s="53"/>
      <c r="EJ217" s="53"/>
      <c r="EK217" s="53"/>
      <c r="EL217" s="53"/>
      <c r="EM217" s="53"/>
      <c r="EN217" s="53"/>
      <c r="EO217" s="53"/>
      <c r="EP217" s="53"/>
      <c r="EQ217" s="53"/>
      <c r="ER217" s="53"/>
      <c r="ES217" s="53"/>
      <c r="ET217" s="53"/>
      <c r="EU217" s="53"/>
      <c r="EV217" s="53"/>
      <c r="EW217" s="53"/>
      <c r="EX217" s="53"/>
      <c r="EY217" s="53"/>
      <c r="EZ217" s="53"/>
      <c r="FA217" s="53"/>
      <c r="FB217" s="53"/>
      <c r="FC217" s="53"/>
      <c r="FD217" s="53"/>
      <c r="FE217" s="53"/>
      <c r="FF217" s="53"/>
      <c r="FG217" s="53"/>
      <c r="FH217" s="53"/>
      <c r="FI217" s="53"/>
      <c r="FJ217" s="53"/>
      <c r="FK217" s="53"/>
      <c r="FL217" s="53"/>
      <c r="FM217" s="53"/>
      <c r="FN217" s="53"/>
      <c r="FO217" s="53"/>
      <c r="FP217" s="53"/>
      <c r="FQ217" s="53"/>
      <c r="FR217" s="53"/>
      <c r="FS217" s="53"/>
      <c r="FT217" s="53"/>
      <c r="FU217" s="53"/>
      <c r="FV217" s="53"/>
      <c r="FW217" s="53"/>
      <c r="FX217" s="53"/>
      <c r="FY217" s="53"/>
      <c r="FZ217" s="53"/>
      <c r="GA217" s="53"/>
      <c r="GB217" s="53"/>
      <c r="GC217" s="53"/>
      <c r="GD217" s="53"/>
      <c r="GE217" s="53"/>
      <c r="GF217" s="53"/>
      <c r="GG217" s="53"/>
      <c r="GH217" s="53"/>
      <c r="GI217" s="53"/>
      <c r="GJ217" s="53"/>
      <c r="GK217" s="53"/>
      <c r="GL217" s="53"/>
      <c r="GM217" s="53"/>
      <c r="GN217" s="53"/>
      <c r="GO217" s="53"/>
      <c r="GP217" s="53"/>
      <c r="GQ217" s="53"/>
      <c r="GR217" s="53"/>
      <c r="GS217" s="53"/>
      <c r="GT217" s="53"/>
      <c r="GU217" s="53"/>
      <c r="GV217" s="53"/>
      <c r="GW217" s="53"/>
      <c r="GX217" s="53"/>
      <c r="GY217" s="53"/>
      <c r="GZ217" s="53"/>
      <c r="HA217" s="53"/>
      <c r="HB217" s="53"/>
      <c r="HC217" s="53"/>
      <c r="HD217" s="53"/>
      <c r="HE217" s="53"/>
      <c r="HF217" s="53"/>
      <c r="HG217" s="53"/>
      <c r="HH217" s="53"/>
      <c r="HI217" s="53"/>
      <c r="HJ217" s="53"/>
      <c r="HK217" s="53"/>
      <c r="HL217" s="53"/>
      <c r="HM217" s="53"/>
      <c r="HN217" s="53"/>
      <c r="HO217" s="53"/>
      <c r="HP217" s="53"/>
      <c r="HQ217" s="53"/>
      <c r="HR217" s="53"/>
      <c r="HS217" s="53"/>
      <c r="HT217" s="53"/>
      <c r="HU217" s="53"/>
      <c r="HV217" s="53"/>
      <c r="HW217" s="53"/>
      <c r="HX217" s="53"/>
      <c r="HY217" s="53"/>
      <c r="HZ217" s="53"/>
      <c r="IA217" s="53"/>
      <c r="IB217" s="53"/>
      <c r="IC217" s="53"/>
      <c r="ID217" s="53"/>
      <c r="IE217" s="53"/>
      <c r="IF217" s="53"/>
      <c r="IG217" s="53"/>
      <c r="IH217" s="53"/>
      <c r="II217" s="53"/>
      <c r="IJ217" s="53"/>
      <c r="IK217" s="53"/>
      <c r="IL217" s="53"/>
      <c r="IM217" s="53"/>
      <c r="IN217" s="53"/>
      <c r="IO217" s="53"/>
      <c r="IP217" s="53"/>
      <c r="IQ217" s="53"/>
      <c r="IR217" s="53"/>
      <c r="IS217" s="53"/>
      <c r="IT217" s="53"/>
      <c r="IU217" s="53"/>
      <c r="IV217" s="53"/>
      <c r="IW217" s="53"/>
      <c r="IX217" s="53"/>
      <c r="IY217" s="53"/>
      <c r="IZ217" s="53"/>
      <c r="JA217" s="53"/>
      <c r="JB217" s="53"/>
      <c r="JC217" s="53"/>
      <c r="JD217" s="53"/>
      <c r="JE217" s="53"/>
      <c r="JF217" s="53"/>
      <c r="JG217" s="53"/>
      <c r="JH217" s="53"/>
      <c r="JI217" s="53"/>
      <c r="JJ217" s="53"/>
      <c r="JK217" s="53"/>
      <c r="JL217" s="53"/>
      <c r="JM217" s="53"/>
      <c r="JN217" s="53"/>
      <c r="JO217" s="53"/>
      <c r="JP217" s="53"/>
      <c r="JQ217" s="53"/>
      <c r="JR217" s="53"/>
      <c r="JS217" s="53"/>
      <c r="JT217" s="53"/>
      <c r="JU217" s="53"/>
      <c r="JV217" s="53"/>
      <c r="JW217" s="53"/>
      <c r="JX217" s="53"/>
      <c r="JY217" s="53"/>
      <c r="JZ217" s="53"/>
      <c r="KA217" s="53"/>
      <c r="KB217" s="53"/>
      <c r="KC217" s="53"/>
      <c r="KD217" s="53"/>
      <c r="KE217" s="53"/>
      <c r="KF217" s="53"/>
      <c r="KG217" s="53"/>
      <c r="KH217" s="53"/>
      <c r="KI217" s="53"/>
      <c r="KJ217" s="53"/>
      <c r="KK217" s="53"/>
      <c r="KL217" s="53"/>
      <c r="KM217" s="53"/>
      <c r="KN217" s="53"/>
      <c r="KO217" s="53"/>
      <c r="KP217" s="53"/>
      <c r="KQ217" s="53"/>
      <c r="KR217" s="53"/>
      <c r="KS217" s="53"/>
      <c r="KT217" s="53"/>
      <c r="KU217" s="53"/>
      <c r="KV217" s="53"/>
      <c r="KW217" s="53"/>
      <c r="KX217" s="53"/>
      <c r="KY217" s="53"/>
      <c r="KZ217" s="53"/>
      <c r="LA217" s="53"/>
      <c r="LB217" s="53"/>
      <c r="LC217" s="53"/>
      <c r="LD217" s="53"/>
      <c r="LE217" s="53"/>
      <c r="LF217" s="53"/>
      <c r="LG217" s="53"/>
      <c r="LH217" s="53"/>
      <c r="LI217" s="53"/>
      <c r="LJ217" s="53"/>
      <c r="LK217" s="53"/>
      <c r="LL217" s="53"/>
      <c r="LM217" s="53"/>
      <c r="LN217" s="53"/>
      <c r="LO217" s="53"/>
      <c r="LP217" s="53"/>
      <c r="LQ217" s="53"/>
      <c r="LR217" s="53"/>
      <c r="LS217" s="53"/>
      <c r="LT217" s="53"/>
      <c r="LU217" s="53"/>
      <c r="LV217" s="53"/>
      <c r="LW217" s="53"/>
      <c r="LX217" s="53"/>
      <c r="LY217" s="53"/>
      <c r="LZ217" s="53"/>
      <c r="MA217" s="53"/>
      <c r="MB217" s="53"/>
      <c r="MC217" s="53"/>
      <c r="MD217" s="53"/>
      <c r="ME217" s="53"/>
      <c r="MF217" s="53"/>
      <c r="MG217" s="53"/>
      <c r="MH217" s="53"/>
      <c r="MI217" s="53"/>
      <c r="MJ217" s="53"/>
      <c r="MK217" s="53"/>
      <c r="ML217" s="53"/>
      <c r="MM217" s="53"/>
      <c r="MN217" s="53"/>
      <c r="MO217" s="53"/>
      <c r="MP217" s="53"/>
      <c r="MQ217" s="53"/>
      <c r="MR217" s="53"/>
      <c r="MS217" s="53"/>
      <c r="MT217" s="53"/>
      <c r="MU217" s="53"/>
      <c r="MV217" s="53"/>
      <c r="MW217" s="53"/>
      <c r="MX217" s="53"/>
      <c r="MY217" s="53"/>
      <c r="MZ217" s="53"/>
      <c r="NA217" s="53"/>
      <c r="NB217" s="53"/>
      <c r="NC217" s="53"/>
      <c r="ND217" s="53"/>
      <c r="NE217" s="53"/>
      <c r="NF217" s="53"/>
      <c r="NG217" s="53"/>
      <c r="NH217" s="53"/>
      <c r="NI217" s="53"/>
      <c r="NJ217" s="53"/>
      <c r="NK217" s="53"/>
      <c r="NL217" s="53"/>
      <c r="NM217" s="53"/>
      <c r="NN217" s="53"/>
      <c r="NO217" s="53"/>
      <c r="NP217" s="53"/>
      <c r="NQ217" s="53"/>
      <c r="NR217" s="53"/>
      <c r="NS217" s="53"/>
      <c r="NT217" s="53"/>
      <c r="NU217" s="53"/>
      <c r="NV217" s="53"/>
      <c r="NW217" s="53"/>
      <c r="NX217" s="53"/>
      <c r="NY217" s="53"/>
      <c r="NZ217" s="53"/>
      <c r="OA217" s="53"/>
      <c r="OB217" s="53"/>
      <c r="OC217" s="53"/>
      <c r="OD217" s="53"/>
    </row>
    <row r="218" spans="4:394" x14ac:dyDescent="0.3">
      <c r="D218" s="119"/>
      <c r="E218" s="6"/>
      <c r="F218" s="19"/>
      <c r="J218" s="65"/>
      <c r="K218" s="55"/>
      <c r="L218" s="66"/>
      <c r="M218" s="178" t="s">
        <v>286</v>
      </c>
      <c r="N218" s="179"/>
      <c r="O218" s="180"/>
      <c r="P218" s="179"/>
      <c r="Q218" s="53"/>
      <c r="W218" s="53"/>
      <c r="X218" s="53"/>
      <c r="Y218" s="53"/>
      <c r="Z218" s="53"/>
      <c r="AA218" s="53"/>
      <c r="AB218" s="53"/>
      <c r="AC218" s="53"/>
      <c r="AD218" s="53"/>
      <c r="AE218" s="53"/>
      <c r="AF218" s="53"/>
      <c r="AG218" s="53"/>
      <c r="AH218" s="53"/>
      <c r="AI218" s="53"/>
      <c r="AJ218" s="53"/>
      <c r="AK218" s="53"/>
      <c r="AL218" s="53"/>
      <c r="AM218" s="53"/>
      <c r="AN218" s="53"/>
      <c r="AO218" s="53"/>
      <c r="AP218" s="53"/>
      <c r="AQ218" s="53"/>
      <c r="AR218" s="53"/>
      <c r="AS218" s="53"/>
      <c r="AT218" s="53"/>
      <c r="AU218" s="53"/>
      <c r="AV218" s="53"/>
      <c r="AW218" s="53"/>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c r="CD218" s="53"/>
      <c r="CE218" s="53"/>
      <c r="CF218" s="53"/>
      <c r="CG218" s="53"/>
      <c r="CH218" s="53"/>
      <c r="CI218" s="53"/>
      <c r="CJ218" s="53"/>
      <c r="CK218" s="53"/>
      <c r="CL218" s="53"/>
      <c r="CM218" s="53"/>
      <c r="CN218" s="53"/>
      <c r="CO218" s="53"/>
      <c r="CP218" s="53"/>
      <c r="CQ218" s="53"/>
      <c r="CR218" s="53"/>
      <c r="CS218" s="53"/>
      <c r="CT218" s="53"/>
      <c r="CU218" s="53"/>
      <c r="CV218" s="53"/>
      <c r="CW218" s="53"/>
      <c r="CX218" s="53"/>
      <c r="CY218" s="53"/>
      <c r="CZ218" s="53"/>
      <c r="DA218" s="53"/>
      <c r="DB218" s="53"/>
      <c r="DC218" s="53"/>
      <c r="DD218" s="53"/>
      <c r="DE218" s="53"/>
      <c r="DF218" s="53"/>
      <c r="DG218" s="53"/>
      <c r="DH218" s="53"/>
      <c r="DI218" s="53"/>
      <c r="DJ218" s="53"/>
      <c r="DK218" s="53"/>
      <c r="DL218" s="53"/>
      <c r="DM218" s="53"/>
      <c r="DN218" s="53"/>
      <c r="DO218" s="53"/>
      <c r="DP218" s="53"/>
      <c r="DQ218" s="53"/>
      <c r="DR218" s="53"/>
      <c r="DS218" s="53"/>
      <c r="DT218" s="53"/>
      <c r="DU218" s="53"/>
      <c r="DV218" s="53"/>
      <c r="DW218" s="53"/>
      <c r="DX218" s="53"/>
      <c r="DY218" s="53"/>
      <c r="DZ218" s="53"/>
      <c r="EA218" s="53"/>
      <c r="EB218" s="53"/>
      <c r="EC218" s="53"/>
      <c r="ED218" s="53"/>
      <c r="EE218" s="53"/>
      <c r="EF218" s="53"/>
      <c r="EG218" s="53"/>
      <c r="EH218" s="53"/>
      <c r="EI218" s="53"/>
      <c r="EJ218" s="53"/>
      <c r="EK218" s="53"/>
      <c r="EL218" s="53"/>
      <c r="EM218" s="53"/>
      <c r="EN218" s="53"/>
      <c r="EO218" s="53"/>
      <c r="EP218" s="53"/>
      <c r="EQ218" s="53"/>
      <c r="ER218" s="53"/>
      <c r="ES218" s="53"/>
      <c r="ET218" s="53"/>
      <c r="EU218" s="53"/>
      <c r="EV218" s="53"/>
      <c r="EW218" s="53"/>
      <c r="EX218" s="53"/>
      <c r="EY218" s="53"/>
      <c r="EZ218" s="53"/>
      <c r="FA218" s="53"/>
      <c r="FB218" s="53"/>
      <c r="FC218" s="53"/>
      <c r="FD218" s="53"/>
      <c r="FE218" s="53"/>
      <c r="FF218" s="53"/>
      <c r="FG218" s="53"/>
      <c r="FH218" s="53"/>
      <c r="FI218" s="53"/>
      <c r="FJ218" s="53"/>
      <c r="FK218" s="53"/>
      <c r="FL218" s="53"/>
      <c r="FM218" s="53"/>
      <c r="FN218" s="53"/>
      <c r="FO218" s="53"/>
      <c r="FP218" s="53"/>
      <c r="FQ218" s="53"/>
      <c r="FR218" s="53"/>
      <c r="FS218" s="53"/>
      <c r="FT218" s="53"/>
      <c r="FU218" s="53"/>
      <c r="FV218" s="53"/>
      <c r="FW218" s="53"/>
      <c r="FX218" s="53"/>
      <c r="FY218" s="53"/>
      <c r="FZ218" s="53"/>
      <c r="GA218" s="53"/>
      <c r="GB218" s="53"/>
      <c r="GC218" s="53"/>
      <c r="GD218" s="53"/>
      <c r="GE218" s="53"/>
      <c r="GF218" s="53"/>
      <c r="GG218" s="53"/>
      <c r="GH218" s="53"/>
      <c r="GI218" s="53"/>
      <c r="GJ218" s="53"/>
      <c r="GK218" s="53"/>
      <c r="GL218" s="53"/>
      <c r="GM218" s="53"/>
      <c r="GN218" s="53"/>
      <c r="GO218" s="53"/>
      <c r="GP218" s="53"/>
      <c r="GQ218" s="53"/>
      <c r="GR218" s="53"/>
      <c r="GS218" s="53"/>
      <c r="GT218" s="53"/>
      <c r="GU218" s="53"/>
      <c r="GV218" s="53"/>
      <c r="GW218" s="53"/>
      <c r="GX218" s="53"/>
      <c r="GY218" s="53"/>
      <c r="GZ218" s="53"/>
      <c r="HA218" s="53"/>
      <c r="HB218" s="53"/>
      <c r="HC218" s="53"/>
      <c r="HD218" s="53"/>
      <c r="HE218" s="53"/>
      <c r="HF218" s="53"/>
      <c r="HG218" s="53"/>
      <c r="HH218" s="53"/>
      <c r="HI218" s="53"/>
      <c r="HJ218" s="53"/>
      <c r="HK218" s="53"/>
      <c r="HL218" s="53"/>
      <c r="HM218" s="53"/>
      <c r="HN218" s="53"/>
      <c r="HO218" s="53"/>
      <c r="HP218" s="53"/>
      <c r="HQ218" s="53"/>
      <c r="HR218" s="53"/>
      <c r="HS218" s="53"/>
      <c r="HT218" s="53"/>
      <c r="HU218" s="53"/>
      <c r="HV218" s="53"/>
      <c r="HW218" s="53"/>
      <c r="HX218" s="53"/>
      <c r="HY218" s="53"/>
      <c r="HZ218" s="53"/>
      <c r="IA218" s="53"/>
      <c r="IB218" s="53"/>
      <c r="IC218" s="53"/>
      <c r="ID218" s="53"/>
      <c r="IE218" s="53"/>
      <c r="IF218" s="53"/>
      <c r="IG218" s="53"/>
      <c r="IH218" s="53"/>
      <c r="II218" s="53"/>
      <c r="IJ218" s="53"/>
      <c r="IK218" s="53"/>
      <c r="IL218" s="53"/>
      <c r="IM218" s="53"/>
      <c r="IN218" s="53"/>
      <c r="IO218" s="53"/>
      <c r="IP218" s="53"/>
      <c r="IQ218" s="53"/>
      <c r="IR218" s="53"/>
      <c r="IS218" s="53"/>
      <c r="IT218" s="53"/>
      <c r="IU218" s="53"/>
      <c r="IV218" s="53"/>
      <c r="IW218" s="53"/>
      <c r="IX218" s="53"/>
      <c r="IY218" s="53"/>
      <c r="IZ218" s="53"/>
      <c r="JA218" s="53"/>
      <c r="JB218" s="53"/>
      <c r="JC218" s="53"/>
      <c r="JD218" s="53"/>
      <c r="JE218" s="53"/>
      <c r="JF218" s="53"/>
      <c r="JG218" s="53"/>
      <c r="JH218" s="53"/>
      <c r="JI218" s="53"/>
      <c r="JJ218" s="53"/>
      <c r="JK218" s="53"/>
      <c r="JL218" s="53"/>
      <c r="JM218" s="53"/>
      <c r="JN218" s="53"/>
      <c r="JO218" s="53"/>
      <c r="JP218" s="53"/>
      <c r="JQ218" s="53"/>
      <c r="JR218" s="53"/>
      <c r="JS218" s="53"/>
      <c r="JT218" s="53"/>
      <c r="JU218" s="53"/>
      <c r="JV218" s="53"/>
      <c r="JW218" s="53"/>
      <c r="JX218" s="53"/>
      <c r="JY218" s="53"/>
      <c r="JZ218" s="53"/>
      <c r="KA218" s="53"/>
      <c r="KB218" s="53"/>
      <c r="KC218" s="53"/>
      <c r="KD218" s="53"/>
      <c r="KE218" s="53"/>
      <c r="KF218" s="53"/>
      <c r="KG218" s="53"/>
      <c r="KH218" s="53"/>
      <c r="KI218" s="53"/>
      <c r="KJ218" s="53"/>
      <c r="KK218" s="53"/>
      <c r="KL218" s="53"/>
      <c r="KM218" s="53"/>
      <c r="KN218" s="53"/>
      <c r="KO218" s="53"/>
      <c r="KP218" s="53"/>
      <c r="KQ218" s="53"/>
      <c r="KR218" s="53"/>
      <c r="KS218" s="53"/>
      <c r="KT218" s="53"/>
      <c r="KU218" s="53"/>
      <c r="KV218" s="53"/>
      <c r="KW218" s="53"/>
      <c r="KX218" s="53"/>
      <c r="KY218" s="53"/>
      <c r="KZ218" s="53"/>
      <c r="LA218" s="53"/>
      <c r="LB218" s="53"/>
      <c r="LC218" s="53"/>
      <c r="LD218" s="53"/>
      <c r="LE218" s="53"/>
      <c r="LF218" s="53"/>
      <c r="LG218" s="53"/>
      <c r="LH218" s="53"/>
      <c r="LI218" s="53"/>
      <c r="LJ218" s="53"/>
      <c r="LK218" s="53"/>
      <c r="LL218" s="53"/>
      <c r="LM218" s="53"/>
      <c r="LN218" s="53"/>
      <c r="LO218" s="53"/>
      <c r="LP218" s="53"/>
      <c r="LQ218" s="53"/>
      <c r="LR218" s="53"/>
      <c r="LS218" s="53"/>
      <c r="LT218" s="53"/>
      <c r="LU218" s="53"/>
      <c r="LV218" s="53"/>
      <c r="LW218" s="53"/>
      <c r="LX218" s="53"/>
      <c r="LY218" s="53"/>
      <c r="LZ218" s="53"/>
      <c r="MA218" s="53"/>
      <c r="MB218" s="53"/>
      <c r="MC218" s="53"/>
      <c r="MD218" s="53"/>
      <c r="ME218" s="53"/>
      <c r="MF218" s="53"/>
      <c r="MG218" s="53"/>
      <c r="MH218" s="53"/>
      <c r="MI218" s="53"/>
      <c r="MJ218" s="53"/>
      <c r="MK218" s="53"/>
      <c r="ML218" s="53"/>
      <c r="MM218" s="53"/>
      <c r="MN218" s="53"/>
      <c r="MO218" s="53"/>
      <c r="MP218" s="53"/>
      <c r="MQ218" s="53"/>
      <c r="MR218" s="53"/>
      <c r="MS218" s="53"/>
      <c r="MT218" s="53"/>
      <c r="MU218" s="53"/>
      <c r="MV218" s="53"/>
      <c r="MW218" s="53"/>
      <c r="MX218" s="53"/>
      <c r="MY218" s="53"/>
      <c r="MZ218" s="53"/>
      <c r="NA218" s="53"/>
      <c r="NB218" s="53"/>
      <c r="NC218" s="53"/>
      <c r="ND218" s="53"/>
      <c r="NE218" s="53"/>
      <c r="NF218" s="53"/>
      <c r="NG218" s="53"/>
      <c r="NH218" s="53"/>
      <c r="NI218" s="53"/>
      <c r="NJ218" s="53"/>
      <c r="NK218" s="53"/>
      <c r="NL218" s="53"/>
      <c r="NM218" s="53"/>
      <c r="NN218" s="53"/>
      <c r="NO218" s="53"/>
      <c r="NP218" s="53"/>
      <c r="NQ218" s="53"/>
      <c r="NR218" s="53"/>
      <c r="NS218" s="53"/>
      <c r="NT218" s="53"/>
      <c r="NU218" s="53"/>
      <c r="NV218" s="53"/>
      <c r="NW218" s="53"/>
      <c r="NX218" s="53"/>
      <c r="NY218" s="53"/>
      <c r="NZ218" s="53"/>
      <c r="OA218" s="53"/>
      <c r="OB218" s="53"/>
      <c r="OC218" s="53"/>
      <c r="OD218" s="53"/>
    </row>
    <row r="219" spans="4:394" x14ac:dyDescent="0.3">
      <c r="D219" s="119"/>
      <c r="E219" s="6"/>
      <c r="F219" s="19"/>
      <c r="J219" s="65"/>
      <c r="K219" s="55"/>
      <c r="L219" s="66"/>
      <c r="M219" s="127" t="s">
        <v>173</v>
      </c>
      <c r="N219" s="128"/>
      <c r="O219" s="154"/>
      <c r="P219" s="128"/>
    </row>
    <row r="220" spans="4:394" x14ac:dyDescent="0.3">
      <c r="D220" s="119"/>
      <c r="J220" s="65"/>
      <c r="K220" s="55"/>
      <c r="L220" s="55"/>
      <c r="M220" s="55"/>
      <c r="N220" s="55"/>
      <c r="O220" s="55"/>
      <c r="P220" s="55"/>
    </row>
    <row r="221" spans="4:394" x14ac:dyDescent="0.3">
      <c r="D221" s="119"/>
      <c r="J221" s="65"/>
      <c r="K221" s="55"/>
      <c r="L221" s="55"/>
      <c r="M221" s="55" t="s">
        <v>216</v>
      </c>
      <c r="N221" s="55"/>
      <c r="O221" s="55"/>
      <c r="P221" s="55"/>
    </row>
    <row r="222" spans="4:394" x14ac:dyDescent="0.3">
      <c r="D222" s="119"/>
      <c r="J222" s="65"/>
      <c r="K222" s="55"/>
      <c r="L222" s="55"/>
      <c r="M222" s="55" t="s">
        <v>238</v>
      </c>
      <c r="N222" s="55"/>
      <c r="O222" s="55"/>
      <c r="P222" s="55"/>
    </row>
    <row r="223" spans="4:394" x14ac:dyDescent="0.3">
      <c r="D223" s="119"/>
      <c r="J223" s="65"/>
      <c r="K223" s="55"/>
      <c r="L223" s="55"/>
      <c r="M223" s="55" t="s">
        <v>236</v>
      </c>
      <c r="N223" s="55"/>
      <c r="O223" s="55"/>
      <c r="P223" s="55"/>
    </row>
    <row r="224" spans="4:394" x14ac:dyDescent="0.3">
      <c r="D224" s="119"/>
      <c r="J224" s="65"/>
      <c r="K224" s="55"/>
      <c r="L224" s="55"/>
      <c r="M224" s="55"/>
      <c r="N224" s="55"/>
      <c r="O224" s="55"/>
      <c r="P224" s="55"/>
    </row>
    <row r="225" spans="2:401" x14ac:dyDescent="0.3">
      <c r="D225" s="119"/>
      <c r="J225" s="65"/>
      <c r="K225" s="55"/>
      <c r="L225" s="66"/>
      <c r="M225" s="129" t="s">
        <v>249</v>
      </c>
      <c r="N225" s="130"/>
      <c r="O225" s="155"/>
      <c r="P225" s="130"/>
    </row>
    <row r="226" spans="2:401" x14ac:dyDescent="0.3">
      <c r="D226" s="119"/>
      <c r="E226" s="13"/>
      <c r="F226" s="14"/>
      <c r="J226" s="65"/>
      <c r="K226" s="55"/>
      <c r="L226" s="66"/>
      <c r="M226" s="25" t="s">
        <v>248</v>
      </c>
      <c r="N226" s="25"/>
      <c r="O226" s="27" t="s">
        <v>31</v>
      </c>
      <c r="P226" s="4" cm="1">
        <f t="array" ref="P226:OK226">IF((EDATE(E55,$E$112*12)&lt;=_xlfn.ANCHORARRAY(P2)),$E$116,0%)</f>
        <v>0</v>
      </c>
      <c r="Q226" s="4">
        <v>0</v>
      </c>
      <c r="R226" s="4">
        <v>0</v>
      </c>
      <c r="S226" s="4">
        <v>0</v>
      </c>
      <c r="T226" s="4">
        <v>0</v>
      </c>
      <c r="U226" s="4">
        <v>0</v>
      </c>
      <c r="V226" s="4">
        <v>0</v>
      </c>
      <c r="W226" s="4">
        <v>0</v>
      </c>
      <c r="X226" s="4">
        <v>0</v>
      </c>
      <c r="Y226" s="4">
        <v>0</v>
      </c>
      <c r="Z226" s="4">
        <v>0</v>
      </c>
      <c r="AA226" s="4">
        <v>0</v>
      </c>
      <c r="AB226" s="4">
        <v>0</v>
      </c>
      <c r="AC226" s="4">
        <v>0</v>
      </c>
      <c r="AD226" s="4">
        <v>0</v>
      </c>
      <c r="AE226" s="4">
        <v>0</v>
      </c>
      <c r="AF226" s="4">
        <v>0</v>
      </c>
      <c r="AG226" s="4">
        <v>0</v>
      </c>
      <c r="AH226" s="4">
        <v>0</v>
      </c>
      <c r="AI226" s="4">
        <v>0</v>
      </c>
      <c r="AJ226" s="4">
        <v>0</v>
      </c>
      <c r="AK226" s="4">
        <v>0</v>
      </c>
      <c r="AL226" s="4">
        <v>0</v>
      </c>
      <c r="AM226" s="4">
        <v>0</v>
      </c>
      <c r="AN226" s="4">
        <v>0</v>
      </c>
      <c r="AO226" s="4">
        <v>0</v>
      </c>
      <c r="AP226" s="4">
        <v>0</v>
      </c>
      <c r="AQ226" s="4">
        <v>0</v>
      </c>
      <c r="AR226" s="4">
        <v>0</v>
      </c>
      <c r="AS226" s="4">
        <v>0</v>
      </c>
      <c r="AT226" s="4">
        <v>0</v>
      </c>
      <c r="AU226" s="4">
        <v>0</v>
      </c>
      <c r="AV226" s="4">
        <v>0</v>
      </c>
      <c r="AW226" s="4">
        <v>0</v>
      </c>
      <c r="AX226" s="4">
        <v>0</v>
      </c>
      <c r="AY226" s="4">
        <v>0</v>
      </c>
      <c r="AZ226" s="4">
        <v>0</v>
      </c>
      <c r="BA226" s="4">
        <v>0</v>
      </c>
      <c r="BB226" s="4">
        <v>0</v>
      </c>
      <c r="BC226" s="4">
        <v>0</v>
      </c>
      <c r="BD226" s="4">
        <v>0</v>
      </c>
      <c r="BE226" s="4">
        <v>0</v>
      </c>
      <c r="BF226" s="4">
        <v>0</v>
      </c>
      <c r="BG226" s="4">
        <v>0</v>
      </c>
      <c r="BH226" s="4">
        <v>0</v>
      </c>
      <c r="BI226" s="4">
        <v>0</v>
      </c>
      <c r="BJ226" s="4">
        <v>0</v>
      </c>
      <c r="BK226" s="4">
        <v>0</v>
      </c>
      <c r="BL226" s="4">
        <v>0</v>
      </c>
      <c r="BM226" s="4">
        <v>0</v>
      </c>
      <c r="BN226" s="4">
        <v>0</v>
      </c>
      <c r="BO226" s="4">
        <v>0</v>
      </c>
      <c r="BP226" s="4">
        <v>0</v>
      </c>
      <c r="BQ226" s="4">
        <v>0</v>
      </c>
      <c r="BR226" s="4">
        <v>0</v>
      </c>
      <c r="BS226" s="4">
        <v>0</v>
      </c>
      <c r="BT226" s="4">
        <v>0</v>
      </c>
      <c r="BU226" s="4">
        <v>0</v>
      </c>
      <c r="BV226" s="4">
        <v>0</v>
      </c>
      <c r="BW226" s="4">
        <v>0</v>
      </c>
      <c r="BX226" s="4">
        <v>0</v>
      </c>
      <c r="BY226" s="4">
        <v>0</v>
      </c>
      <c r="BZ226" s="4">
        <v>0</v>
      </c>
      <c r="CA226" s="4">
        <v>0</v>
      </c>
      <c r="CB226" s="4">
        <v>0</v>
      </c>
      <c r="CC226" s="4">
        <v>0</v>
      </c>
      <c r="CD226" s="4">
        <v>0</v>
      </c>
      <c r="CE226" s="4">
        <v>0</v>
      </c>
      <c r="CF226" s="4">
        <v>0</v>
      </c>
      <c r="CG226" s="4">
        <v>0</v>
      </c>
      <c r="CH226" s="4">
        <v>0</v>
      </c>
      <c r="CI226" s="4">
        <v>0</v>
      </c>
      <c r="CJ226" s="4">
        <v>0</v>
      </c>
      <c r="CK226" s="4">
        <v>0</v>
      </c>
      <c r="CL226" s="4">
        <v>0</v>
      </c>
      <c r="CM226" s="4">
        <v>0</v>
      </c>
      <c r="CN226" s="4">
        <v>1</v>
      </c>
      <c r="CO226" s="4">
        <v>1</v>
      </c>
      <c r="CP226" s="4">
        <v>1</v>
      </c>
      <c r="CQ226" s="4">
        <v>1</v>
      </c>
      <c r="CR226" s="4">
        <v>1</v>
      </c>
      <c r="CS226" s="4">
        <v>1</v>
      </c>
      <c r="CT226" s="4">
        <v>1</v>
      </c>
      <c r="CU226" s="4">
        <v>1</v>
      </c>
      <c r="CV226" s="4">
        <v>1</v>
      </c>
      <c r="CW226" s="4">
        <v>1</v>
      </c>
      <c r="CX226" s="4">
        <v>1</v>
      </c>
      <c r="CY226" s="4">
        <v>1</v>
      </c>
      <c r="CZ226" s="4">
        <v>1</v>
      </c>
      <c r="DA226" s="4">
        <v>1</v>
      </c>
      <c r="DB226" s="4">
        <v>1</v>
      </c>
      <c r="DC226" s="4">
        <v>1</v>
      </c>
      <c r="DD226" s="4">
        <v>1</v>
      </c>
      <c r="DE226" s="4">
        <v>1</v>
      </c>
      <c r="DF226" s="4">
        <v>1</v>
      </c>
      <c r="DG226" s="4">
        <v>1</v>
      </c>
      <c r="DH226" s="4">
        <v>1</v>
      </c>
      <c r="DI226" s="4">
        <v>1</v>
      </c>
      <c r="DJ226" s="4">
        <v>1</v>
      </c>
      <c r="DK226" s="4">
        <v>1</v>
      </c>
      <c r="DL226" s="4">
        <v>1</v>
      </c>
      <c r="DM226" s="4">
        <v>1</v>
      </c>
      <c r="DN226" s="4">
        <v>1</v>
      </c>
      <c r="DO226" s="4">
        <v>1</v>
      </c>
      <c r="DP226" s="4">
        <v>1</v>
      </c>
      <c r="DQ226" s="4">
        <v>1</v>
      </c>
      <c r="DR226" s="4">
        <v>1</v>
      </c>
      <c r="DS226" s="4">
        <v>1</v>
      </c>
      <c r="DT226" s="4">
        <v>1</v>
      </c>
      <c r="DU226" s="4">
        <v>1</v>
      </c>
      <c r="DV226" s="4">
        <v>1</v>
      </c>
      <c r="DW226" s="4">
        <v>1</v>
      </c>
      <c r="DX226" s="4">
        <v>1</v>
      </c>
      <c r="DY226" s="4">
        <v>1</v>
      </c>
      <c r="DZ226" s="4">
        <v>1</v>
      </c>
      <c r="EA226" s="4">
        <v>1</v>
      </c>
      <c r="EB226" s="4">
        <v>1</v>
      </c>
      <c r="EC226" s="4">
        <v>1</v>
      </c>
      <c r="ED226" s="4">
        <v>1</v>
      </c>
      <c r="EE226" s="4">
        <v>1</v>
      </c>
      <c r="EF226" s="4">
        <v>1</v>
      </c>
      <c r="EG226" s="4">
        <v>1</v>
      </c>
      <c r="EH226" s="4">
        <v>1</v>
      </c>
      <c r="EI226" s="4">
        <v>1</v>
      </c>
      <c r="EJ226" s="4">
        <v>1</v>
      </c>
      <c r="EK226" s="4">
        <v>1</v>
      </c>
      <c r="EL226" s="4">
        <v>1</v>
      </c>
      <c r="EM226" s="4">
        <v>1</v>
      </c>
      <c r="EN226" s="4">
        <v>1</v>
      </c>
      <c r="EO226" s="4">
        <v>1</v>
      </c>
      <c r="EP226" s="4">
        <v>1</v>
      </c>
      <c r="EQ226" s="4">
        <v>1</v>
      </c>
      <c r="ER226" s="4">
        <v>1</v>
      </c>
      <c r="ES226" s="4">
        <v>1</v>
      </c>
      <c r="ET226" s="4">
        <v>1</v>
      </c>
      <c r="EU226" s="4">
        <v>1</v>
      </c>
      <c r="EV226" s="4">
        <v>1</v>
      </c>
      <c r="EW226" s="4">
        <v>1</v>
      </c>
      <c r="EX226" s="4">
        <v>1</v>
      </c>
      <c r="EY226" s="4">
        <v>1</v>
      </c>
      <c r="EZ226" s="4">
        <v>1</v>
      </c>
      <c r="FA226" s="4">
        <v>1</v>
      </c>
      <c r="FB226" s="4">
        <v>1</v>
      </c>
      <c r="FC226" s="4">
        <v>1</v>
      </c>
      <c r="FD226" s="4">
        <v>1</v>
      </c>
      <c r="FE226" s="4">
        <v>1</v>
      </c>
      <c r="FF226" s="4">
        <v>1</v>
      </c>
      <c r="FG226" s="4">
        <v>1</v>
      </c>
      <c r="FH226" s="4">
        <v>1</v>
      </c>
      <c r="FI226" s="4">
        <v>1</v>
      </c>
      <c r="FJ226" s="4">
        <v>1</v>
      </c>
      <c r="FK226" s="4">
        <v>1</v>
      </c>
      <c r="FL226" s="4">
        <v>1</v>
      </c>
      <c r="FM226" s="4">
        <v>1</v>
      </c>
      <c r="FN226" s="4">
        <v>1</v>
      </c>
      <c r="FO226" s="4">
        <v>1</v>
      </c>
      <c r="FP226" s="4">
        <v>1</v>
      </c>
      <c r="FQ226" s="4">
        <v>1</v>
      </c>
      <c r="FR226" s="4">
        <v>1</v>
      </c>
      <c r="FS226" s="4">
        <v>1</v>
      </c>
      <c r="FT226" s="4">
        <v>1</v>
      </c>
      <c r="FU226" s="4">
        <v>1</v>
      </c>
      <c r="FV226" s="4">
        <v>1</v>
      </c>
      <c r="FW226" s="4">
        <v>1</v>
      </c>
      <c r="FX226" s="4">
        <v>1</v>
      </c>
      <c r="FY226" s="4">
        <v>1</v>
      </c>
      <c r="FZ226" s="4">
        <v>1</v>
      </c>
      <c r="GA226" s="4">
        <v>1</v>
      </c>
      <c r="GB226" s="4">
        <v>1</v>
      </c>
      <c r="GC226" s="4">
        <v>1</v>
      </c>
      <c r="GD226" s="4">
        <v>1</v>
      </c>
      <c r="GE226" s="4">
        <v>1</v>
      </c>
      <c r="GF226" s="4">
        <v>1</v>
      </c>
      <c r="GG226" s="4">
        <v>1</v>
      </c>
      <c r="GH226" s="4">
        <v>1</v>
      </c>
      <c r="GI226" s="4">
        <v>1</v>
      </c>
      <c r="GJ226" s="4">
        <v>1</v>
      </c>
      <c r="GK226" s="4">
        <v>1</v>
      </c>
      <c r="GL226" s="4">
        <v>1</v>
      </c>
      <c r="GM226" s="4">
        <v>1</v>
      </c>
      <c r="GN226" s="4">
        <v>1</v>
      </c>
      <c r="GO226" s="4">
        <v>1</v>
      </c>
      <c r="GP226" s="4">
        <v>1</v>
      </c>
      <c r="GQ226" s="4">
        <v>1</v>
      </c>
      <c r="GR226" s="4">
        <v>1</v>
      </c>
      <c r="GS226" s="4">
        <v>1</v>
      </c>
      <c r="GT226" s="4">
        <v>1</v>
      </c>
      <c r="GU226" s="4">
        <v>1</v>
      </c>
      <c r="GV226" s="4">
        <v>1</v>
      </c>
      <c r="GW226" s="4">
        <v>1</v>
      </c>
      <c r="GX226" s="4">
        <v>1</v>
      </c>
      <c r="GY226" s="4">
        <v>1</v>
      </c>
      <c r="GZ226" s="4">
        <v>1</v>
      </c>
      <c r="HA226" s="4">
        <v>1</v>
      </c>
      <c r="HB226" s="4">
        <v>1</v>
      </c>
      <c r="HC226" s="4">
        <v>1</v>
      </c>
      <c r="HD226" s="4">
        <v>1</v>
      </c>
      <c r="HE226" s="4">
        <v>1</v>
      </c>
      <c r="HF226" s="4">
        <v>1</v>
      </c>
      <c r="HG226" s="4">
        <v>1</v>
      </c>
      <c r="HH226" s="4">
        <v>1</v>
      </c>
      <c r="HI226" s="4">
        <v>1</v>
      </c>
      <c r="HJ226" s="4">
        <v>1</v>
      </c>
      <c r="HK226" s="4">
        <v>1</v>
      </c>
      <c r="HL226" s="4">
        <v>1</v>
      </c>
      <c r="HM226" s="4">
        <v>1</v>
      </c>
      <c r="HN226" s="4">
        <v>1</v>
      </c>
      <c r="HO226" s="4">
        <v>1</v>
      </c>
      <c r="HP226" s="4">
        <v>1</v>
      </c>
      <c r="HQ226" s="4">
        <v>1</v>
      </c>
      <c r="HR226" s="4">
        <v>1</v>
      </c>
      <c r="HS226" s="4">
        <v>1</v>
      </c>
      <c r="HT226" s="4">
        <v>1</v>
      </c>
      <c r="HU226" s="4">
        <v>1</v>
      </c>
      <c r="HV226" s="4">
        <v>1</v>
      </c>
      <c r="HW226" s="4">
        <v>1</v>
      </c>
      <c r="HX226" s="4">
        <v>1</v>
      </c>
      <c r="HY226" s="4">
        <v>1</v>
      </c>
      <c r="HZ226" s="4">
        <v>1</v>
      </c>
      <c r="IA226" s="4">
        <v>1</v>
      </c>
      <c r="IB226" s="4">
        <v>1</v>
      </c>
      <c r="IC226" s="4">
        <v>1</v>
      </c>
      <c r="ID226" s="4">
        <v>1</v>
      </c>
      <c r="IE226" s="4">
        <v>1</v>
      </c>
      <c r="IF226" s="4">
        <v>1</v>
      </c>
      <c r="IG226" s="4">
        <v>1</v>
      </c>
      <c r="IH226" s="4">
        <v>1</v>
      </c>
      <c r="II226" s="4">
        <v>1</v>
      </c>
      <c r="IJ226" s="4">
        <v>1</v>
      </c>
      <c r="IK226" s="4">
        <v>1</v>
      </c>
      <c r="IL226" s="4">
        <v>1</v>
      </c>
      <c r="IM226" s="4">
        <v>1</v>
      </c>
      <c r="IN226" s="4">
        <v>1</v>
      </c>
      <c r="IO226" s="4">
        <v>1</v>
      </c>
      <c r="IP226" s="4">
        <v>1</v>
      </c>
      <c r="IQ226" s="4">
        <v>1</v>
      </c>
      <c r="IR226" s="4">
        <v>1</v>
      </c>
      <c r="IS226" s="4">
        <v>1</v>
      </c>
      <c r="IT226" s="4">
        <v>1</v>
      </c>
      <c r="IU226" s="4">
        <v>1</v>
      </c>
      <c r="IV226" s="4">
        <v>1</v>
      </c>
      <c r="IW226" s="4">
        <v>1</v>
      </c>
      <c r="IX226" s="4">
        <v>1</v>
      </c>
      <c r="IY226" s="4">
        <v>1</v>
      </c>
      <c r="IZ226" s="4">
        <v>1</v>
      </c>
      <c r="JA226" s="4">
        <v>1</v>
      </c>
      <c r="JB226" s="4">
        <v>1</v>
      </c>
      <c r="JC226" s="4">
        <v>1</v>
      </c>
      <c r="JD226" s="4">
        <v>1</v>
      </c>
      <c r="JE226" s="4">
        <v>1</v>
      </c>
      <c r="JF226" s="4">
        <v>1</v>
      </c>
      <c r="JG226" s="4">
        <v>1</v>
      </c>
      <c r="JH226" s="4">
        <v>1</v>
      </c>
      <c r="JI226" s="4">
        <v>1</v>
      </c>
      <c r="JJ226" s="4">
        <v>1</v>
      </c>
      <c r="JK226" s="4">
        <v>1</v>
      </c>
      <c r="JL226" s="4">
        <v>1</v>
      </c>
      <c r="JM226" s="4">
        <v>1</v>
      </c>
      <c r="JN226" s="4">
        <v>1</v>
      </c>
      <c r="JO226" s="4">
        <v>1</v>
      </c>
      <c r="JP226" s="4">
        <v>1</v>
      </c>
      <c r="JQ226" s="4">
        <v>1</v>
      </c>
      <c r="JR226" s="4">
        <v>1</v>
      </c>
      <c r="JS226" s="4">
        <v>1</v>
      </c>
      <c r="JT226" s="4">
        <v>1</v>
      </c>
      <c r="JU226" s="4">
        <v>1</v>
      </c>
      <c r="JV226" s="4">
        <v>1</v>
      </c>
      <c r="JW226" s="4">
        <v>1</v>
      </c>
      <c r="JX226" s="4">
        <v>1</v>
      </c>
      <c r="JY226" s="4">
        <v>1</v>
      </c>
      <c r="JZ226" s="4">
        <v>1</v>
      </c>
      <c r="KA226" s="4">
        <v>1</v>
      </c>
      <c r="KB226" s="4">
        <v>1</v>
      </c>
      <c r="KC226" s="4">
        <v>1</v>
      </c>
      <c r="KD226" s="4">
        <v>1</v>
      </c>
      <c r="KE226" s="4">
        <v>1</v>
      </c>
      <c r="KF226" s="4">
        <v>1</v>
      </c>
      <c r="KG226" s="4">
        <v>1</v>
      </c>
      <c r="KH226" s="4">
        <v>1</v>
      </c>
      <c r="KI226" s="4">
        <v>1</v>
      </c>
      <c r="KJ226" s="4">
        <v>1</v>
      </c>
      <c r="KK226" s="4">
        <v>1</v>
      </c>
      <c r="KL226" s="4">
        <v>1</v>
      </c>
      <c r="KM226" s="4">
        <v>1</v>
      </c>
      <c r="KN226" s="4">
        <v>1</v>
      </c>
      <c r="KO226" s="4">
        <v>1</v>
      </c>
      <c r="KP226" s="4">
        <v>1</v>
      </c>
      <c r="KQ226" s="4">
        <v>1</v>
      </c>
      <c r="KR226" s="4">
        <v>1</v>
      </c>
      <c r="KS226" s="4">
        <v>1</v>
      </c>
      <c r="KT226" s="4">
        <v>1</v>
      </c>
      <c r="KU226" s="4">
        <v>1</v>
      </c>
      <c r="KV226" s="4">
        <v>1</v>
      </c>
      <c r="KW226" s="4">
        <v>1</v>
      </c>
      <c r="KX226" s="4">
        <v>1</v>
      </c>
      <c r="KY226" s="4">
        <v>1</v>
      </c>
      <c r="KZ226" s="4">
        <v>1</v>
      </c>
      <c r="LA226" s="4">
        <v>1</v>
      </c>
      <c r="LB226" s="4">
        <v>1</v>
      </c>
      <c r="LC226" s="4">
        <v>1</v>
      </c>
      <c r="LD226" s="4">
        <v>1</v>
      </c>
      <c r="LE226" s="4">
        <v>1</v>
      </c>
      <c r="LF226" s="4">
        <v>1</v>
      </c>
      <c r="LG226" s="4">
        <v>1</v>
      </c>
      <c r="LH226" s="4">
        <v>1</v>
      </c>
      <c r="LI226" s="4">
        <v>1</v>
      </c>
      <c r="LJ226" s="4">
        <v>1</v>
      </c>
      <c r="LK226" s="4">
        <v>1</v>
      </c>
      <c r="LL226" s="4">
        <v>1</v>
      </c>
      <c r="LM226" s="4">
        <v>1</v>
      </c>
      <c r="LN226" s="4">
        <v>1</v>
      </c>
      <c r="LO226" s="4">
        <v>1</v>
      </c>
      <c r="LP226" s="4">
        <v>1</v>
      </c>
      <c r="LQ226" s="4">
        <v>1</v>
      </c>
      <c r="LR226" s="4">
        <v>1</v>
      </c>
      <c r="LS226" s="4">
        <v>1</v>
      </c>
      <c r="LT226" s="4">
        <v>1</v>
      </c>
      <c r="LU226" s="4">
        <v>1</v>
      </c>
      <c r="LV226" s="4">
        <v>1</v>
      </c>
      <c r="LW226" s="4">
        <v>1</v>
      </c>
      <c r="LX226" s="4">
        <v>1</v>
      </c>
      <c r="LY226" s="4">
        <v>1</v>
      </c>
      <c r="LZ226" s="4">
        <v>1</v>
      </c>
      <c r="MA226" s="4">
        <v>1</v>
      </c>
      <c r="MB226" s="4">
        <v>1</v>
      </c>
      <c r="MC226" s="4">
        <v>1</v>
      </c>
      <c r="MD226" s="4">
        <v>1</v>
      </c>
      <c r="ME226" s="4">
        <v>1</v>
      </c>
      <c r="MF226" s="4">
        <v>1</v>
      </c>
      <c r="MG226" s="4">
        <v>1</v>
      </c>
      <c r="MH226" s="4">
        <v>1</v>
      </c>
      <c r="MI226" s="4">
        <v>1</v>
      </c>
      <c r="MJ226" s="4">
        <v>1</v>
      </c>
      <c r="MK226" s="4">
        <v>1</v>
      </c>
      <c r="ML226" s="4">
        <v>1</v>
      </c>
      <c r="MM226" s="4">
        <v>1</v>
      </c>
      <c r="MN226" s="4">
        <v>1</v>
      </c>
      <c r="MO226" s="4">
        <v>1</v>
      </c>
      <c r="MP226" s="4">
        <v>1</v>
      </c>
      <c r="MQ226" s="4">
        <v>1</v>
      </c>
      <c r="MR226" s="4">
        <v>1</v>
      </c>
      <c r="MS226" s="4">
        <v>1</v>
      </c>
      <c r="MT226" s="4">
        <v>1</v>
      </c>
      <c r="MU226" s="4">
        <v>1</v>
      </c>
      <c r="MV226" s="4">
        <v>1</v>
      </c>
      <c r="MW226" s="4">
        <v>1</v>
      </c>
      <c r="MX226" s="4">
        <v>1</v>
      </c>
      <c r="MY226" s="4">
        <v>1</v>
      </c>
      <c r="MZ226" s="4">
        <v>1</v>
      </c>
      <c r="NA226" s="4">
        <v>1</v>
      </c>
      <c r="NB226" s="4">
        <v>1</v>
      </c>
      <c r="NC226" s="4">
        <v>1</v>
      </c>
      <c r="ND226" s="4">
        <v>1</v>
      </c>
      <c r="NE226" s="4">
        <v>1</v>
      </c>
      <c r="NF226" s="4">
        <v>1</v>
      </c>
      <c r="NG226" s="4">
        <v>1</v>
      </c>
      <c r="NH226" s="4">
        <v>1</v>
      </c>
      <c r="NI226" s="4">
        <v>1</v>
      </c>
      <c r="NJ226" s="4">
        <v>1</v>
      </c>
      <c r="NK226" s="4">
        <v>1</v>
      </c>
      <c r="NL226" s="4">
        <v>1</v>
      </c>
      <c r="NM226" s="4">
        <v>1</v>
      </c>
      <c r="NN226" s="4">
        <v>1</v>
      </c>
      <c r="NO226" s="4">
        <v>1</v>
      </c>
      <c r="NP226" s="4">
        <v>1</v>
      </c>
      <c r="NQ226" s="4">
        <v>1</v>
      </c>
      <c r="NR226" s="4">
        <v>1</v>
      </c>
      <c r="NS226" s="4">
        <v>1</v>
      </c>
      <c r="NT226" s="4">
        <v>1</v>
      </c>
      <c r="NU226" s="4">
        <v>1</v>
      </c>
      <c r="NV226" s="4">
        <v>1</v>
      </c>
      <c r="NW226" s="4">
        <v>1</v>
      </c>
      <c r="NX226" s="4">
        <v>1</v>
      </c>
      <c r="NY226" s="4">
        <v>1</v>
      </c>
      <c r="NZ226" s="4">
        <v>1</v>
      </c>
      <c r="OA226" s="4">
        <v>1</v>
      </c>
      <c r="OB226" s="4">
        <v>1</v>
      </c>
      <c r="OC226" s="4">
        <v>1</v>
      </c>
      <c r="OD226" s="4">
        <v>1</v>
      </c>
      <c r="OE226">
        <v>1</v>
      </c>
      <c r="OF226">
        <v>1</v>
      </c>
      <c r="OG226">
        <v>1</v>
      </c>
      <c r="OH226">
        <v>1</v>
      </c>
      <c r="OI226">
        <v>1</v>
      </c>
      <c r="OJ226">
        <v>1</v>
      </c>
      <c r="OK226">
        <v>1</v>
      </c>
    </row>
    <row r="227" spans="2:401" x14ac:dyDescent="0.3">
      <c r="B227" s="116"/>
      <c r="D227" s="119"/>
      <c r="J227" s="65"/>
      <c r="K227" s="55"/>
      <c r="L227" s="66"/>
      <c r="M227" s="159" t="s">
        <v>247</v>
      </c>
      <c r="N227" s="186"/>
      <c r="O227" s="187" t="s">
        <v>31</v>
      </c>
      <c r="P227" s="157" cm="1">
        <f t="array" ref="P227:OK227">100%-_xlfn.ANCHORARRAY(P226)</f>
        <v>1</v>
      </c>
      <c r="Q227" s="157">
        <v>1</v>
      </c>
      <c r="R227" s="157">
        <v>1</v>
      </c>
      <c r="S227" s="157">
        <v>1</v>
      </c>
      <c r="T227" s="157">
        <v>1</v>
      </c>
      <c r="U227" s="157">
        <v>1</v>
      </c>
      <c r="V227" s="157">
        <v>1</v>
      </c>
      <c r="W227" s="157">
        <v>1</v>
      </c>
      <c r="X227" s="157">
        <v>1</v>
      </c>
      <c r="Y227" s="157">
        <v>1</v>
      </c>
      <c r="Z227" s="157">
        <v>1</v>
      </c>
      <c r="AA227" s="157">
        <v>1</v>
      </c>
      <c r="AB227" s="157">
        <v>1</v>
      </c>
      <c r="AC227" s="157">
        <v>1</v>
      </c>
      <c r="AD227" s="157">
        <v>1</v>
      </c>
      <c r="AE227" s="157">
        <v>1</v>
      </c>
      <c r="AF227" s="157">
        <v>1</v>
      </c>
      <c r="AG227" s="157">
        <v>1</v>
      </c>
      <c r="AH227" s="157">
        <v>1</v>
      </c>
      <c r="AI227" s="157">
        <v>1</v>
      </c>
      <c r="AJ227" s="157">
        <v>1</v>
      </c>
      <c r="AK227" s="157">
        <v>1</v>
      </c>
      <c r="AL227" s="157">
        <v>1</v>
      </c>
      <c r="AM227" s="157">
        <v>1</v>
      </c>
      <c r="AN227" s="157">
        <v>1</v>
      </c>
      <c r="AO227" s="157">
        <v>1</v>
      </c>
      <c r="AP227" s="157">
        <v>1</v>
      </c>
      <c r="AQ227" s="157">
        <v>1</v>
      </c>
      <c r="AR227" s="157">
        <v>1</v>
      </c>
      <c r="AS227" s="157">
        <v>1</v>
      </c>
      <c r="AT227" s="157">
        <v>1</v>
      </c>
      <c r="AU227" s="157">
        <v>1</v>
      </c>
      <c r="AV227" s="157">
        <v>1</v>
      </c>
      <c r="AW227" s="157">
        <v>1</v>
      </c>
      <c r="AX227" s="157">
        <v>1</v>
      </c>
      <c r="AY227" s="157">
        <v>1</v>
      </c>
      <c r="AZ227" s="157">
        <v>1</v>
      </c>
      <c r="BA227" s="157">
        <v>1</v>
      </c>
      <c r="BB227" s="157">
        <v>1</v>
      </c>
      <c r="BC227" s="157">
        <v>1</v>
      </c>
      <c r="BD227" s="157">
        <v>1</v>
      </c>
      <c r="BE227" s="157">
        <v>1</v>
      </c>
      <c r="BF227" s="157">
        <v>1</v>
      </c>
      <c r="BG227" s="157">
        <v>1</v>
      </c>
      <c r="BH227" s="157">
        <v>1</v>
      </c>
      <c r="BI227" s="157">
        <v>1</v>
      </c>
      <c r="BJ227" s="157">
        <v>1</v>
      </c>
      <c r="BK227" s="157">
        <v>1</v>
      </c>
      <c r="BL227" s="157">
        <v>1</v>
      </c>
      <c r="BM227" s="157">
        <v>1</v>
      </c>
      <c r="BN227" s="157">
        <v>1</v>
      </c>
      <c r="BO227" s="157">
        <v>1</v>
      </c>
      <c r="BP227" s="157">
        <v>1</v>
      </c>
      <c r="BQ227" s="157">
        <v>1</v>
      </c>
      <c r="BR227" s="157">
        <v>1</v>
      </c>
      <c r="BS227" s="157">
        <v>1</v>
      </c>
      <c r="BT227" s="157">
        <v>1</v>
      </c>
      <c r="BU227" s="157">
        <v>1</v>
      </c>
      <c r="BV227" s="157">
        <v>1</v>
      </c>
      <c r="BW227" s="157">
        <v>1</v>
      </c>
      <c r="BX227" s="157">
        <v>1</v>
      </c>
      <c r="BY227" s="157">
        <v>1</v>
      </c>
      <c r="BZ227" s="157">
        <v>1</v>
      </c>
      <c r="CA227" s="157">
        <v>1</v>
      </c>
      <c r="CB227" s="157">
        <v>1</v>
      </c>
      <c r="CC227" s="157">
        <v>1</v>
      </c>
      <c r="CD227" s="157">
        <v>1</v>
      </c>
      <c r="CE227" s="157">
        <v>1</v>
      </c>
      <c r="CF227" s="157">
        <v>1</v>
      </c>
      <c r="CG227" s="157">
        <v>1</v>
      </c>
      <c r="CH227" s="157">
        <v>1</v>
      </c>
      <c r="CI227" s="157">
        <v>1</v>
      </c>
      <c r="CJ227" s="157">
        <v>1</v>
      </c>
      <c r="CK227" s="157">
        <v>1</v>
      </c>
      <c r="CL227" s="157">
        <v>1</v>
      </c>
      <c r="CM227" s="157">
        <v>1</v>
      </c>
      <c r="CN227" s="157">
        <v>0</v>
      </c>
      <c r="CO227" s="157">
        <v>0</v>
      </c>
      <c r="CP227" s="157">
        <v>0</v>
      </c>
      <c r="CQ227" s="157">
        <v>0</v>
      </c>
      <c r="CR227" s="157">
        <v>0</v>
      </c>
      <c r="CS227" s="157">
        <v>0</v>
      </c>
      <c r="CT227" s="157">
        <v>0</v>
      </c>
      <c r="CU227" s="157">
        <v>0</v>
      </c>
      <c r="CV227" s="157">
        <v>0</v>
      </c>
      <c r="CW227" s="157">
        <v>0</v>
      </c>
      <c r="CX227" s="157">
        <v>0</v>
      </c>
      <c r="CY227" s="157">
        <v>0</v>
      </c>
      <c r="CZ227" s="157">
        <v>0</v>
      </c>
      <c r="DA227" s="157">
        <v>0</v>
      </c>
      <c r="DB227" s="157">
        <v>0</v>
      </c>
      <c r="DC227" s="157">
        <v>0</v>
      </c>
      <c r="DD227" s="157">
        <v>0</v>
      </c>
      <c r="DE227" s="157">
        <v>0</v>
      </c>
      <c r="DF227" s="157">
        <v>0</v>
      </c>
      <c r="DG227" s="157">
        <v>0</v>
      </c>
      <c r="DH227" s="157">
        <v>0</v>
      </c>
      <c r="DI227" s="157">
        <v>0</v>
      </c>
      <c r="DJ227" s="157">
        <v>0</v>
      </c>
      <c r="DK227" s="157">
        <v>0</v>
      </c>
      <c r="DL227" s="157">
        <v>0</v>
      </c>
      <c r="DM227" s="157">
        <v>0</v>
      </c>
      <c r="DN227" s="157">
        <v>0</v>
      </c>
      <c r="DO227" s="157">
        <v>0</v>
      </c>
      <c r="DP227" s="157">
        <v>0</v>
      </c>
      <c r="DQ227" s="157">
        <v>0</v>
      </c>
      <c r="DR227" s="157">
        <v>0</v>
      </c>
      <c r="DS227" s="157">
        <v>0</v>
      </c>
      <c r="DT227" s="157">
        <v>0</v>
      </c>
      <c r="DU227" s="157">
        <v>0</v>
      </c>
      <c r="DV227" s="157">
        <v>0</v>
      </c>
      <c r="DW227" s="157">
        <v>0</v>
      </c>
      <c r="DX227" s="157">
        <v>0</v>
      </c>
      <c r="DY227" s="157">
        <v>0</v>
      </c>
      <c r="DZ227" s="157">
        <v>0</v>
      </c>
      <c r="EA227" s="157">
        <v>0</v>
      </c>
      <c r="EB227" s="157">
        <v>0</v>
      </c>
      <c r="EC227" s="157">
        <v>0</v>
      </c>
      <c r="ED227" s="157">
        <v>0</v>
      </c>
      <c r="EE227" s="157">
        <v>0</v>
      </c>
      <c r="EF227" s="157">
        <v>0</v>
      </c>
      <c r="EG227" s="157">
        <v>0</v>
      </c>
      <c r="EH227" s="157">
        <v>0</v>
      </c>
      <c r="EI227" s="157">
        <v>0</v>
      </c>
      <c r="EJ227" s="157">
        <v>0</v>
      </c>
      <c r="EK227" s="157">
        <v>0</v>
      </c>
      <c r="EL227" s="157">
        <v>0</v>
      </c>
      <c r="EM227" s="157">
        <v>0</v>
      </c>
      <c r="EN227" s="157">
        <v>0</v>
      </c>
      <c r="EO227" s="157">
        <v>0</v>
      </c>
      <c r="EP227" s="157">
        <v>0</v>
      </c>
      <c r="EQ227" s="157">
        <v>0</v>
      </c>
      <c r="ER227" s="157">
        <v>0</v>
      </c>
      <c r="ES227" s="157">
        <v>0</v>
      </c>
      <c r="ET227" s="157">
        <v>0</v>
      </c>
      <c r="EU227" s="157">
        <v>0</v>
      </c>
      <c r="EV227" s="157">
        <v>0</v>
      </c>
      <c r="EW227" s="157">
        <v>0</v>
      </c>
      <c r="EX227" s="157">
        <v>0</v>
      </c>
      <c r="EY227" s="157">
        <v>0</v>
      </c>
      <c r="EZ227" s="157">
        <v>0</v>
      </c>
      <c r="FA227" s="157">
        <v>0</v>
      </c>
      <c r="FB227" s="157">
        <v>0</v>
      </c>
      <c r="FC227" s="157">
        <v>0</v>
      </c>
      <c r="FD227" s="157">
        <v>0</v>
      </c>
      <c r="FE227" s="157">
        <v>0</v>
      </c>
      <c r="FF227" s="157">
        <v>0</v>
      </c>
      <c r="FG227" s="157">
        <v>0</v>
      </c>
      <c r="FH227" s="157">
        <v>0</v>
      </c>
      <c r="FI227" s="157">
        <v>0</v>
      </c>
      <c r="FJ227" s="157">
        <v>0</v>
      </c>
      <c r="FK227" s="157">
        <v>0</v>
      </c>
      <c r="FL227" s="157">
        <v>0</v>
      </c>
      <c r="FM227" s="157">
        <v>0</v>
      </c>
      <c r="FN227" s="157">
        <v>0</v>
      </c>
      <c r="FO227" s="157">
        <v>0</v>
      </c>
      <c r="FP227" s="157">
        <v>0</v>
      </c>
      <c r="FQ227" s="157">
        <v>0</v>
      </c>
      <c r="FR227" s="157">
        <v>0</v>
      </c>
      <c r="FS227" s="157">
        <v>0</v>
      </c>
      <c r="FT227" s="157">
        <v>0</v>
      </c>
      <c r="FU227" s="157">
        <v>0</v>
      </c>
      <c r="FV227" s="157">
        <v>0</v>
      </c>
      <c r="FW227" s="157">
        <v>0</v>
      </c>
      <c r="FX227" s="157">
        <v>0</v>
      </c>
      <c r="FY227" s="157">
        <v>0</v>
      </c>
      <c r="FZ227" s="157">
        <v>0</v>
      </c>
      <c r="GA227" s="157">
        <v>0</v>
      </c>
      <c r="GB227" s="157">
        <v>0</v>
      </c>
      <c r="GC227" s="157">
        <v>0</v>
      </c>
      <c r="GD227" s="157">
        <v>0</v>
      </c>
      <c r="GE227" s="157">
        <v>0</v>
      </c>
      <c r="GF227" s="157">
        <v>0</v>
      </c>
      <c r="GG227" s="157">
        <v>0</v>
      </c>
      <c r="GH227" s="157">
        <v>0</v>
      </c>
      <c r="GI227" s="157">
        <v>0</v>
      </c>
      <c r="GJ227" s="157">
        <v>0</v>
      </c>
      <c r="GK227" s="157">
        <v>0</v>
      </c>
      <c r="GL227" s="157">
        <v>0</v>
      </c>
      <c r="GM227" s="157">
        <v>0</v>
      </c>
      <c r="GN227" s="157">
        <v>0</v>
      </c>
      <c r="GO227" s="157">
        <v>0</v>
      </c>
      <c r="GP227" s="157">
        <v>0</v>
      </c>
      <c r="GQ227" s="157">
        <v>0</v>
      </c>
      <c r="GR227" s="157">
        <v>0</v>
      </c>
      <c r="GS227" s="157">
        <v>0</v>
      </c>
      <c r="GT227" s="157">
        <v>0</v>
      </c>
      <c r="GU227" s="157">
        <v>0</v>
      </c>
      <c r="GV227" s="157">
        <v>0</v>
      </c>
      <c r="GW227" s="157">
        <v>0</v>
      </c>
      <c r="GX227" s="157">
        <v>0</v>
      </c>
      <c r="GY227" s="157">
        <v>0</v>
      </c>
      <c r="GZ227" s="157">
        <v>0</v>
      </c>
      <c r="HA227" s="157">
        <v>0</v>
      </c>
      <c r="HB227" s="157">
        <v>0</v>
      </c>
      <c r="HC227" s="157">
        <v>0</v>
      </c>
      <c r="HD227" s="157">
        <v>0</v>
      </c>
      <c r="HE227" s="157">
        <v>0</v>
      </c>
      <c r="HF227" s="157">
        <v>0</v>
      </c>
      <c r="HG227" s="157">
        <v>0</v>
      </c>
      <c r="HH227" s="157">
        <v>0</v>
      </c>
      <c r="HI227" s="157">
        <v>0</v>
      </c>
      <c r="HJ227" s="157">
        <v>0</v>
      </c>
      <c r="HK227" s="157">
        <v>0</v>
      </c>
      <c r="HL227" s="157">
        <v>0</v>
      </c>
      <c r="HM227" s="157">
        <v>0</v>
      </c>
      <c r="HN227" s="157">
        <v>0</v>
      </c>
      <c r="HO227" s="157">
        <v>0</v>
      </c>
      <c r="HP227" s="157">
        <v>0</v>
      </c>
      <c r="HQ227" s="157">
        <v>0</v>
      </c>
      <c r="HR227" s="157">
        <v>0</v>
      </c>
      <c r="HS227" s="157">
        <v>0</v>
      </c>
      <c r="HT227" s="157">
        <v>0</v>
      </c>
      <c r="HU227" s="157">
        <v>0</v>
      </c>
      <c r="HV227" s="157">
        <v>0</v>
      </c>
      <c r="HW227" s="157">
        <v>0</v>
      </c>
      <c r="HX227" s="157">
        <v>0</v>
      </c>
      <c r="HY227" s="157">
        <v>0</v>
      </c>
      <c r="HZ227" s="157">
        <v>0</v>
      </c>
      <c r="IA227" s="157">
        <v>0</v>
      </c>
      <c r="IB227" s="157">
        <v>0</v>
      </c>
      <c r="IC227" s="157">
        <v>0</v>
      </c>
      <c r="ID227" s="157">
        <v>0</v>
      </c>
      <c r="IE227" s="157">
        <v>0</v>
      </c>
      <c r="IF227" s="157">
        <v>0</v>
      </c>
      <c r="IG227" s="157">
        <v>0</v>
      </c>
      <c r="IH227" s="157">
        <v>0</v>
      </c>
      <c r="II227" s="157">
        <v>0</v>
      </c>
      <c r="IJ227" s="157">
        <v>0</v>
      </c>
      <c r="IK227" s="157">
        <v>0</v>
      </c>
      <c r="IL227" s="157">
        <v>0</v>
      </c>
      <c r="IM227" s="157">
        <v>0</v>
      </c>
      <c r="IN227" s="157">
        <v>0</v>
      </c>
      <c r="IO227" s="157">
        <v>0</v>
      </c>
      <c r="IP227" s="157">
        <v>0</v>
      </c>
      <c r="IQ227" s="157">
        <v>0</v>
      </c>
      <c r="IR227" s="157">
        <v>0</v>
      </c>
      <c r="IS227" s="157">
        <v>0</v>
      </c>
      <c r="IT227" s="157">
        <v>0</v>
      </c>
      <c r="IU227" s="157">
        <v>0</v>
      </c>
      <c r="IV227" s="157">
        <v>0</v>
      </c>
      <c r="IW227" s="157">
        <v>0</v>
      </c>
      <c r="IX227" s="157">
        <v>0</v>
      </c>
      <c r="IY227" s="157">
        <v>0</v>
      </c>
      <c r="IZ227" s="157">
        <v>0</v>
      </c>
      <c r="JA227" s="157">
        <v>0</v>
      </c>
      <c r="JB227" s="157">
        <v>0</v>
      </c>
      <c r="JC227" s="157">
        <v>0</v>
      </c>
      <c r="JD227" s="157">
        <v>0</v>
      </c>
      <c r="JE227" s="157">
        <v>0</v>
      </c>
      <c r="JF227" s="157">
        <v>0</v>
      </c>
      <c r="JG227" s="157">
        <v>0</v>
      </c>
      <c r="JH227" s="157">
        <v>0</v>
      </c>
      <c r="JI227" s="157">
        <v>0</v>
      </c>
      <c r="JJ227" s="157">
        <v>0</v>
      </c>
      <c r="JK227" s="157">
        <v>0</v>
      </c>
      <c r="JL227" s="157">
        <v>0</v>
      </c>
      <c r="JM227" s="157">
        <v>0</v>
      </c>
      <c r="JN227" s="157">
        <v>0</v>
      </c>
      <c r="JO227" s="157">
        <v>0</v>
      </c>
      <c r="JP227" s="157">
        <v>0</v>
      </c>
      <c r="JQ227" s="157">
        <v>0</v>
      </c>
      <c r="JR227" s="157">
        <v>0</v>
      </c>
      <c r="JS227" s="157">
        <v>0</v>
      </c>
      <c r="JT227" s="157">
        <v>0</v>
      </c>
      <c r="JU227" s="157">
        <v>0</v>
      </c>
      <c r="JV227" s="157">
        <v>0</v>
      </c>
      <c r="JW227" s="157">
        <v>0</v>
      </c>
      <c r="JX227" s="157">
        <v>0</v>
      </c>
      <c r="JY227" s="157">
        <v>0</v>
      </c>
      <c r="JZ227" s="157">
        <v>0</v>
      </c>
      <c r="KA227" s="157">
        <v>0</v>
      </c>
      <c r="KB227" s="157">
        <v>0</v>
      </c>
      <c r="KC227" s="157">
        <v>0</v>
      </c>
      <c r="KD227" s="157">
        <v>0</v>
      </c>
      <c r="KE227" s="157">
        <v>0</v>
      </c>
      <c r="KF227" s="157">
        <v>0</v>
      </c>
      <c r="KG227" s="157">
        <v>0</v>
      </c>
      <c r="KH227" s="157">
        <v>0</v>
      </c>
      <c r="KI227" s="157">
        <v>0</v>
      </c>
      <c r="KJ227" s="157">
        <v>0</v>
      </c>
      <c r="KK227" s="157">
        <v>0</v>
      </c>
      <c r="KL227" s="157">
        <v>0</v>
      </c>
      <c r="KM227" s="157">
        <v>0</v>
      </c>
      <c r="KN227" s="157">
        <v>0</v>
      </c>
      <c r="KO227" s="157">
        <v>0</v>
      </c>
      <c r="KP227" s="157">
        <v>0</v>
      </c>
      <c r="KQ227" s="157">
        <v>0</v>
      </c>
      <c r="KR227" s="157">
        <v>0</v>
      </c>
      <c r="KS227" s="157">
        <v>0</v>
      </c>
      <c r="KT227" s="157">
        <v>0</v>
      </c>
      <c r="KU227" s="157">
        <v>0</v>
      </c>
      <c r="KV227" s="157">
        <v>0</v>
      </c>
      <c r="KW227" s="157">
        <v>0</v>
      </c>
      <c r="KX227" s="157">
        <v>0</v>
      </c>
      <c r="KY227" s="157">
        <v>0</v>
      </c>
      <c r="KZ227" s="157">
        <v>0</v>
      </c>
      <c r="LA227" s="157">
        <v>0</v>
      </c>
      <c r="LB227" s="157">
        <v>0</v>
      </c>
      <c r="LC227" s="157">
        <v>0</v>
      </c>
      <c r="LD227" s="157">
        <v>0</v>
      </c>
      <c r="LE227" s="157">
        <v>0</v>
      </c>
      <c r="LF227" s="157">
        <v>0</v>
      </c>
      <c r="LG227" s="157">
        <v>0</v>
      </c>
      <c r="LH227" s="157">
        <v>0</v>
      </c>
      <c r="LI227" s="157">
        <v>0</v>
      </c>
      <c r="LJ227" s="157">
        <v>0</v>
      </c>
      <c r="LK227" s="157">
        <v>0</v>
      </c>
      <c r="LL227" s="157">
        <v>0</v>
      </c>
      <c r="LM227" s="157">
        <v>0</v>
      </c>
      <c r="LN227" s="157">
        <v>0</v>
      </c>
      <c r="LO227" s="157">
        <v>0</v>
      </c>
      <c r="LP227" s="157">
        <v>0</v>
      </c>
      <c r="LQ227" s="157">
        <v>0</v>
      </c>
      <c r="LR227" s="157">
        <v>0</v>
      </c>
      <c r="LS227" s="157">
        <v>0</v>
      </c>
      <c r="LT227" s="157">
        <v>0</v>
      </c>
      <c r="LU227" s="157">
        <v>0</v>
      </c>
      <c r="LV227" s="157">
        <v>0</v>
      </c>
      <c r="LW227" s="157">
        <v>0</v>
      </c>
      <c r="LX227" s="157">
        <v>0</v>
      </c>
      <c r="LY227" s="157">
        <v>0</v>
      </c>
      <c r="LZ227" s="157">
        <v>0</v>
      </c>
      <c r="MA227" s="157">
        <v>0</v>
      </c>
      <c r="MB227" s="157">
        <v>0</v>
      </c>
      <c r="MC227" s="157">
        <v>0</v>
      </c>
      <c r="MD227" s="157">
        <v>0</v>
      </c>
      <c r="ME227" s="157">
        <v>0</v>
      </c>
      <c r="MF227" s="157">
        <v>0</v>
      </c>
      <c r="MG227" s="157">
        <v>0</v>
      </c>
      <c r="MH227" s="157">
        <v>0</v>
      </c>
      <c r="MI227" s="157">
        <v>0</v>
      </c>
      <c r="MJ227" s="157">
        <v>0</v>
      </c>
      <c r="MK227" s="157">
        <v>0</v>
      </c>
      <c r="ML227" s="157">
        <v>0</v>
      </c>
      <c r="MM227" s="157">
        <v>0</v>
      </c>
      <c r="MN227" s="157">
        <v>0</v>
      </c>
      <c r="MO227" s="157">
        <v>0</v>
      </c>
      <c r="MP227" s="157">
        <v>0</v>
      </c>
      <c r="MQ227" s="157">
        <v>0</v>
      </c>
      <c r="MR227" s="157">
        <v>0</v>
      </c>
      <c r="MS227" s="157">
        <v>0</v>
      </c>
      <c r="MT227" s="157">
        <v>0</v>
      </c>
      <c r="MU227" s="157">
        <v>0</v>
      </c>
      <c r="MV227" s="157">
        <v>0</v>
      </c>
      <c r="MW227" s="157">
        <v>0</v>
      </c>
      <c r="MX227" s="157">
        <v>0</v>
      </c>
      <c r="MY227" s="157">
        <v>0</v>
      </c>
      <c r="MZ227" s="157">
        <v>0</v>
      </c>
      <c r="NA227" s="157">
        <v>0</v>
      </c>
      <c r="NB227" s="157">
        <v>0</v>
      </c>
      <c r="NC227" s="157">
        <v>0</v>
      </c>
      <c r="ND227" s="157">
        <v>0</v>
      </c>
      <c r="NE227" s="157">
        <v>0</v>
      </c>
      <c r="NF227" s="157">
        <v>0</v>
      </c>
      <c r="NG227" s="157">
        <v>0</v>
      </c>
      <c r="NH227" s="157">
        <v>0</v>
      </c>
      <c r="NI227" s="157">
        <v>0</v>
      </c>
      <c r="NJ227" s="157">
        <v>0</v>
      </c>
      <c r="NK227" s="157">
        <v>0</v>
      </c>
      <c r="NL227" s="157">
        <v>0</v>
      </c>
      <c r="NM227" s="157">
        <v>0</v>
      </c>
      <c r="NN227" s="157">
        <v>0</v>
      </c>
      <c r="NO227" s="157">
        <v>0</v>
      </c>
      <c r="NP227" s="157">
        <v>0</v>
      </c>
      <c r="NQ227" s="157">
        <v>0</v>
      </c>
      <c r="NR227" s="157">
        <v>0</v>
      </c>
      <c r="NS227" s="157">
        <v>0</v>
      </c>
      <c r="NT227" s="157">
        <v>0</v>
      </c>
      <c r="NU227" s="157">
        <v>0</v>
      </c>
      <c r="NV227" s="157">
        <v>0</v>
      </c>
      <c r="NW227" s="157">
        <v>0</v>
      </c>
      <c r="NX227" s="157">
        <v>0</v>
      </c>
      <c r="NY227" s="157">
        <v>0</v>
      </c>
      <c r="NZ227" s="157">
        <v>0</v>
      </c>
      <c r="OA227" s="157">
        <v>0</v>
      </c>
      <c r="OB227" s="157">
        <v>0</v>
      </c>
      <c r="OC227" s="157">
        <v>0</v>
      </c>
      <c r="OD227" s="157">
        <v>0</v>
      </c>
      <c r="OE227">
        <v>0</v>
      </c>
      <c r="OF227">
        <v>0</v>
      </c>
      <c r="OG227">
        <v>0</v>
      </c>
      <c r="OH227">
        <v>0</v>
      </c>
      <c r="OI227">
        <v>0</v>
      </c>
      <c r="OJ227">
        <v>0</v>
      </c>
      <c r="OK227">
        <v>0</v>
      </c>
    </row>
    <row r="228" spans="2:401" x14ac:dyDescent="0.3">
      <c r="B228" s="116"/>
      <c r="D228" s="119"/>
      <c r="J228" s="65"/>
      <c r="K228" s="55"/>
      <c r="L228" s="66"/>
      <c r="M228" s="182" t="s">
        <v>215</v>
      </c>
      <c r="N228" s="183"/>
      <c r="O228" s="184"/>
      <c r="P228" s="185" t="e" cm="1">
        <f t="array" ref="P228">IF(_xlfn.ANCHORARRAY(P221)&lt;0,-_xlfn.ANCHORARRAY(P221),0)</f>
        <v>#REF!</v>
      </c>
    </row>
    <row r="229" spans="2:401" x14ac:dyDescent="0.3">
      <c r="B229" s="116"/>
      <c r="D229" s="119"/>
      <c r="J229" s="65"/>
      <c r="K229" s="55"/>
      <c r="L229" s="66"/>
      <c r="M229" s="158" t="s">
        <v>244</v>
      </c>
      <c r="O229" s="7"/>
      <c r="P229" t="e" cm="1">
        <f t="array" ref="P229:OK229">_xlfn.ANCHORARRAY(P228)*_xlfn.ANCHORARRAY(P226)</f>
        <v>#REF!</v>
      </c>
      <c r="Q229" t="e">
        <v>#REF!</v>
      </c>
      <c r="R229" t="e">
        <v>#REF!</v>
      </c>
      <c r="S229" t="e">
        <v>#REF!</v>
      </c>
      <c r="T229" t="e">
        <v>#REF!</v>
      </c>
      <c r="U229" t="e">
        <v>#REF!</v>
      </c>
      <c r="V229" t="e">
        <v>#REF!</v>
      </c>
      <c r="W229" t="e">
        <v>#REF!</v>
      </c>
      <c r="X229" t="e">
        <v>#REF!</v>
      </c>
      <c r="Y229" t="e">
        <v>#REF!</v>
      </c>
      <c r="Z229" t="e">
        <v>#REF!</v>
      </c>
      <c r="AA229" t="e">
        <v>#REF!</v>
      </c>
      <c r="AB229" t="e">
        <v>#REF!</v>
      </c>
      <c r="AC229" t="e">
        <v>#REF!</v>
      </c>
      <c r="AD229" t="e">
        <v>#REF!</v>
      </c>
      <c r="AE229" t="e">
        <v>#REF!</v>
      </c>
      <c r="AF229" t="e">
        <v>#REF!</v>
      </c>
      <c r="AG229" t="e">
        <v>#REF!</v>
      </c>
      <c r="AH229" t="e">
        <v>#REF!</v>
      </c>
      <c r="AI229" t="e">
        <v>#REF!</v>
      </c>
      <c r="AJ229" t="e">
        <v>#REF!</v>
      </c>
      <c r="AK229" t="e">
        <v>#REF!</v>
      </c>
      <c r="AL229" t="e">
        <v>#REF!</v>
      </c>
      <c r="AM229" t="e">
        <v>#REF!</v>
      </c>
      <c r="AN229" t="e">
        <v>#REF!</v>
      </c>
      <c r="AO229" t="e">
        <v>#REF!</v>
      </c>
      <c r="AP229" t="e">
        <v>#REF!</v>
      </c>
      <c r="AQ229" t="e">
        <v>#REF!</v>
      </c>
      <c r="AR229" t="e">
        <v>#REF!</v>
      </c>
      <c r="AS229" t="e">
        <v>#REF!</v>
      </c>
      <c r="AT229" t="e">
        <v>#REF!</v>
      </c>
      <c r="AU229" t="e">
        <v>#REF!</v>
      </c>
      <c r="AV229" t="e">
        <v>#REF!</v>
      </c>
      <c r="AW229" t="e">
        <v>#REF!</v>
      </c>
      <c r="AX229" t="e">
        <v>#REF!</v>
      </c>
      <c r="AY229" t="e">
        <v>#REF!</v>
      </c>
      <c r="AZ229" t="e">
        <v>#REF!</v>
      </c>
      <c r="BA229" t="e">
        <v>#REF!</v>
      </c>
      <c r="BB229" t="e">
        <v>#REF!</v>
      </c>
      <c r="BC229" t="e">
        <v>#REF!</v>
      </c>
      <c r="BD229" t="e">
        <v>#REF!</v>
      </c>
      <c r="BE229" t="e">
        <v>#REF!</v>
      </c>
      <c r="BF229" t="e">
        <v>#REF!</v>
      </c>
      <c r="BG229" t="e">
        <v>#REF!</v>
      </c>
      <c r="BH229" t="e">
        <v>#REF!</v>
      </c>
      <c r="BI229" t="e">
        <v>#REF!</v>
      </c>
      <c r="BJ229" t="e">
        <v>#REF!</v>
      </c>
      <c r="BK229" t="e">
        <v>#REF!</v>
      </c>
      <c r="BL229" t="e">
        <v>#REF!</v>
      </c>
      <c r="BM229" t="e">
        <v>#REF!</v>
      </c>
      <c r="BN229" t="e">
        <v>#REF!</v>
      </c>
      <c r="BO229" t="e">
        <v>#REF!</v>
      </c>
      <c r="BP229" t="e">
        <v>#REF!</v>
      </c>
      <c r="BQ229" t="e">
        <v>#REF!</v>
      </c>
      <c r="BR229" t="e">
        <v>#REF!</v>
      </c>
      <c r="BS229" t="e">
        <v>#REF!</v>
      </c>
      <c r="BT229" t="e">
        <v>#REF!</v>
      </c>
      <c r="BU229" t="e">
        <v>#REF!</v>
      </c>
      <c r="BV229" t="e">
        <v>#REF!</v>
      </c>
      <c r="BW229" t="e">
        <v>#REF!</v>
      </c>
      <c r="BX229" t="e">
        <v>#REF!</v>
      </c>
      <c r="BY229" t="e">
        <v>#REF!</v>
      </c>
      <c r="BZ229" t="e">
        <v>#REF!</v>
      </c>
      <c r="CA229" t="e">
        <v>#REF!</v>
      </c>
      <c r="CB229" t="e">
        <v>#REF!</v>
      </c>
      <c r="CC229" t="e">
        <v>#REF!</v>
      </c>
      <c r="CD229" t="e">
        <v>#REF!</v>
      </c>
      <c r="CE229" t="e">
        <v>#REF!</v>
      </c>
      <c r="CF229" t="e">
        <v>#REF!</v>
      </c>
      <c r="CG229" t="e">
        <v>#REF!</v>
      </c>
      <c r="CH229" t="e">
        <v>#REF!</v>
      </c>
      <c r="CI229" t="e">
        <v>#REF!</v>
      </c>
      <c r="CJ229" t="e">
        <v>#REF!</v>
      </c>
      <c r="CK229" t="e">
        <v>#REF!</v>
      </c>
      <c r="CL229" t="e">
        <v>#REF!</v>
      </c>
      <c r="CM229" t="e">
        <v>#REF!</v>
      </c>
      <c r="CN229" t="e">
        <v>#REF!</v>
      </c>
      <c r="CO229" t="e">
        <v>#REF!</v>
      </c>
      <c r="CP229" t="e">
        <v>#REF!</v>
      </c>
      <c r="CQ229" t="e">
        <v>#REF!</v>
      </c>
      <c r="CR229" t="e">
        <v>#REF!</v>
      </c>
      <c r="CS229" t="e">
        <v>#REF!</v>
      </c>
      <c r="CT229" t="e">
        <v>#REF!</v>
      </c>
      <c r="CU229" t="e">
        <v>#REF!</v>
      </c>
      <c r="CV229" t="e">
        <v>#REF!</v>
      </c>
      <c r="CW229" t="e">
        <v>#REF!</v>
      </c>
      <c r="CX229" t="e">
        <v>#REF!</v>
      </c>
      <c r="CY229" t="e">
        <v>#REF!</v>
      </c>
      <c r="CZ229" t="e">
        <v>#REF!</v>
      </c>
      <c r="DA229" t="e">
        <v>#REF!</v>
      </c>
      <c r="DB229" t="e">
        <v>#REF!</v>
      </c>
      <c r="DC229" t="e">
        <v>#REF!</v>
      </c>
      <c r="DD229" t="e">
        <v>#REF!</v>
      </c>
      <c r="DE229" t="e">
        <v>#REF!</v>
      </c>
      <c r="DF229" t="e">
        <v>#REF!</v>
      </c>
      <c r="DG229" t="e">
        <v>#REF!</v>
      </c>
      <c r="DH229" t="e">
        <v>#REF!</v>
      </c>
      <c r="DI229" t="e">
        <v>#REF!</v>
      </c>
      <c r="DJ229" t="e">
        <v>#REF!</v>
      </c>
      <c r="DK229" t="e">
        <v>#REF!</v>
      </c>
      <c r="DL229" t="e">
        <v>#REF!</v>
      </c>
      <c r="DM229" t="e">
        <v>#REF!</v>
      </c>
      <c r="DN229" t="e">
        <v>#REF!</v>
      </c>
      <c r="DO229" t="e">
        <v>#REF!</v>
      </c>
      <c r="DP229" t="e">
        <v>#REF!</v>
      </c>
      <c r="DQ229" t="e">
        <v>#REF!</v>
      </c>
      <c r="DR229" t="e">
        <v>#REF!</v>
      </c>
      <c r="DS229" t="e">
        <v>#REF!</v>
      </c>
      <c r="DT229" t="e">
        <v>#REF!</v>
      </c>
      <c r="DU229" t="e">
        <v>#REF!</v>
      </c>
      <c r="DV229" t="e">
        <v>#REF!</v>
      </c>
      <c r="DW229" t="e">
        <v>#REF!</v>
      </c>
      <c r="DX229" t="e">
        <v>#REF!</v>
      </c>
      <c r="DY229" t="e">
        <v>#REF!</v>
      </c>
      <c r="DZ229" t="e">
        <v>#REF!</v>
      </c>
      <c r="EA229" t="e">
        <v>#REF!</v>
      </c>
      <c r="EB229" t="e">
        <v>#REF!</v>
      </c>
      <c r="EC229" t="e">
        <v>#REF!</v>
      </c>
      <c r="ED229" t="e">
        <v>#REF!</v>
      </c>
      <c r="EE229" t="e">
        <v>#REF!</v>
      </c>
      <c r="EF229" t="e">
        <v>#REF!</v>
      </c>
      <c r="EG229" t="e">
        <v>#REF!</v>
      </c>
      <c r="EH229" t="e">
        <v>#REF!</v>
      </c>
      <c r="EI229" t="e">
        <v>#REF!</v>
      </c>
      <c r="EJ229" t="e">
        <v>#REF!</v>
      </c>
      <c r="EK229" t="e">
        <v>#REF!</v>
      </c>
      <c r="EL229" t="e">
        <v>#REF!</v>
      </c>
      <c r="EM229" t="e">
        <v>#REF!</v>
      </c>
      <c r="EN229" t="e">
        <v>#REF!</v>
      </c>
      <c r="EO229" t="e">
        <v>#REF!</v>
      </c>
      <c r="EP229" t="e">
        <v>#REF!</v>
      </c>
      <c r="EQ229" t="e">
        <v>#REF!</v>
      </c>
      <c r="ER229" t="e">
        <v>#REF!</v>
      </c>
      <c r="ES229" t="e">
        <v>#REF!</v>
      </c>
      <c r="ET229" t="e">
        <v>#REF!</v>
      </c>
      <c r="EU229" t="e">
        <v>#REF!</v>
      </c>
      <c r="EV229" t="e">
        <v>#REF!</v>
      </c>
      <c r="EW229" t="e">
        <v>#REF!</v>
      </c>
      <c r="EX229" t="e">
        <v>#REF!</v>
      </c>
      <c r="EY229" t="e">
        <v>#REF!</v>
      </c>
      <c r="EZ229" t="e">
        <v>#REF!</v>
      </c>
      <c r="FA229" t="e">
        <v>#REF!</v>
      </c>
      <c r="FB229" t="e">
        <v>#REF!</v>
      </c>
      <c r="FC229" t="e">
        <v>#REF!</v>
      </c>
      <c r="FD229" t="e">
        <v>#REF!</v>
      </c>
      <c r="FE229" t="e">
        <v>#REF!</v>
      </c>
      <c r="FF229" t="e">
        <v>#REF!</v>
      </c>
      <c r="FG229" t="e">
        <v>#REF!</v>
      </c>
      <c r="FH229" t="e">
        <v>#REF!</v>
      </c>
      <c r="FI229" t="e">
        <v>#REF!</v>
      </c>
      <c r="FJ229" t="e">
        <v>#REF!</v>
      </c>
      <c r="FK229" t="e">
        <v>#REF!</v>
      </c>
      <c r="FL229" t="e">
        <v>#REF!</v>
      </c>
      <c r="FM229" t="e">
        <v>#REF!</v>
      </c>
      <c r="FN229" t="e">
        <v>#REF!</v>
      </c>
      <c r="FO229" t="e">
        <v>#REF!</v>
      </c>
      <c r="FP229" t="e">
        <v>#REF!</v>
      </c>
      <c r="FQ229" t="e">
        <v>#REF!</v>
      </c>
      <c r="FR229" t="e">
        <v>#REF!</v>
      </c>
      <c r="FS229" t="e">
        <v>#REF!</v>
      </c>
      <c r="FT229" t="e">
        <v>#REF!</v>
      </c>
      <c r="FU229" t="e">
        <v>#REF!</v>
      </c>
      <c r="FV229" t="e">
        <v>#REF!</v>
      </c>
      <c r="FW229" t="e">
        <v>#REF!</v>
      </c>
      <c r="FX229" t="e">
        <v>#REF!</v>
      </c>
      <c r="FY229" t="e">
        <v>#REF!</v>
      </c>
      <c r="FZ229" t="e">
        <v>#REF!</v>
      </c>
      <c r="GA229" t="e">
        <v>#REF!</v>
      </c>
      <c r="GB229" t="e">
        <v>#REF!</v>
      </c>
      <c r="GC229" t="e">
        <v>#REF!</v>
      </c>
      <c r="GD229" t="e">
        <v>#REF!</v>
      </c>
      <c r="GE229" t="e">
        <v>#REF!</v>
      </c>
      <c r="GF229" t="e">
        <v>#REF!</v>
      </c>
      <c r="GG229" t="e">
        <v>#REF!</v>
      </c>
      <c r="GH229" t="e">
        <v>#REF!</v>
      </c>
      <c r="GI229" t="e">
        <v>#REF!</v>
      </c>
      <c r="GJ229" t="e">
        <v>#REF!</v>
      </c>
      <c r="GK229" t="e">
        <v>#REF!</v>
      </c>
      <c r="GL229" t="e">
        <v>#REF!</v>
      </c>
      <c r="GM229" t="e">
        <v>#REF!</v>
      </c>
      <c r="GN229" t="e">
        <v>#REF!</v>
      </c>
      <c r="GO229" t="e">
        <v>#REF!</v>
      </c>
      <c r="GP229" t="e">
        <v>#REF!</v>
      </c>
      <c r="GQ229" t="e">
        <v>#REF!</v>
      </c>
      <c r="GR229" t="e">
        <v>#REF!</v>
      </c>
      <c r="GS229" t="e">
        <v>#REF!</v>
      </c>
      <c r="GT229" t="e">
        <v>#REF!</v>
      </c>
      <c r="GU229" t="e">
        <v>#REF!</v>
      </c>
      <c r="GV229" t="e">
        <v>#REF!</v>
      </c>
      <c r="GW229" t="e">
        <v>#REF!</v>
      </c>
      <c r="GX229" t="e">
        <v>#REF!</v>
      </c>
      <c r="GY229" t="e">
        <v>#REF!</v>
      </c>
      <c r="GZ229" t="e">
        <v>#REF!</v>
      </c>
      <c r="HA229" t="e">
        <v>#REF!</v>
      </c>
      <c r="HB229" t="e">
        <v>#REF!</v>
      </c>
      <c r="HC229" t="e">
        <v>#REF!</v>
      </c>
      <c r="HD229" t="e">
        <v>#REF!</v>
      </c>
      <c r="HE229" t="e">
        <v>#REF!</v>
      </c>
      <c r="HF229" t="e">
        <v>#REF!</v>
      </c>
      <c r="HG229" t="e">
        <v>#REF!</v>
      </c>
      <c r="HH229" t="e">
        <v>#REF!</v>
      </c>
      <c r="HI229" t="e">
        <v>#REF!</v>
      </c>
      <c r="HJ229" t="e">
        <v>#REF!</v>
      </c>
      <c r="HK229" t="e">
        <v>#REF!</v>
      </c>
      <c r="HL229" t="e">
        <v>#REF!</v>
      </c>
      <c r="HM229" t="e">
        <v>#REF!</v>
      </c>
      <c r="HN229" t="e">
        <v>#REF!</v>
      </c>
      <c r="HO229" t="e">
        <v>#REF!</v>
      </c>
      <c r="HP229" t="e">
        <v>#REF!</v>
      </c>
      <c r="HQ229" t="e">
        <v>#REF!</v>
      </c>
      <c r="HR229" t="e">
        <v>#REF!</v>
      </c>
      <c r="HS229" t="e">
        <v>#REF!</v>
      </c>
      <c r="HT229" t="e">
        <v>#REF!</v>
      </c>
      <c r="HU229" t="e">
        <v>#REF!</v>
      </c>
      <c r="HV229" t="e">
        <v>#REF!</v>
      </c>
      <c r="HW229" t="e">
        <v>#REF!</v>
      </c>
      <c r="HX229" t="e">
        <v>#REF!</v>
      </c>
      <c r="HY229" t="e">
        <v>#REF!</v>
      </c>
      <c r="HZ229" t="e">
        <v>#REF!</v>
      </c>
      <c r="IA229" t="e">
        <v>#REF!</v>
      </c>
      <c r="IB229" t="e">
        <v>#REF!</v>
      </c>
      <c r="IC229" t="e">
        <v>#REF!</v>
      </c>
      <c r="ID229" t="e">
        <v>#REF!</v>
      </c>
      <c r="IE229" t="e">
        <v>#REF!</v>
      </c>
      <c r="IF229" t="e">
        <v>#REF!</v>
      </c>
      <c r="IG229" t="e">
        <v>#REF!</v>
      </c>
      <c r="IH229" t="e">
        <v>#REF!</v>
      </c>
      <c r="II229" t="e">
        <v>#REF!</v>
      </c>
      <c r="IJ229" t="e">
        <v>#REF!</v>
      </c>
      <c r="IK229" t="e">
        <v>#REF!</v>
      </c>
      <c r="IL229" t="e">
        <v>#REF!</v>
      </c>
      <c r="IM229" t="e">
        <v>#REF!</v>
      </c>
      <c r="IN229" t="e">
        <v>#REF!</v>
      </c>
      <c r="IO229" t="e">
        <v>#REF!</v>
      </c>
      <c r="IP229" t="e">
        <v>#REF!</v>
      </c>
      <c r="IQ229" t="e">
        <v>#REF!</v>
      </c>
      <c r="IR229" t="e">
        <v>#REF!</v>
      </c>
      <c r="IS229" t="e">
        <v>#REF!</v>
      </c>
      <c r="IT229" t="e">
        <v>#REF!</v>
      </c>
      <c r="IU229" t="e">
        <v>#REF!</v>
      </c>
      <c r="IV229" t="e">
        <v>#REF!</v>
      </c>
      <c r="IW229" t="e">
        <v>#REF!</v>
      </c>
      <c r="IX229" t="e">
        <v>#REF!</v>
      </c>
      <c r="IY229" t="e">
        <v>#REF!</v>
      </c>
      <c r="IZ229" t="e">
        <v>#REF!</v>
      </c>
      <c r="JA229" t="e">
        <v>#REF!</v>
      </c>
      <c r="JB229" t="e">
        <v>#REF!</v>
      </c>
      <c r="JC229" t="e">
        <v>#REF!</v>
      </c>
      <c r="JD229" t="e">
        <v>#REF!</v>
      </c>
      <c r="JE229" t="e">
        <v>#REF!</v>
      </c>
      <c r="JF229" t="e">
        <v>#REF!</v>
      </c>
      <c r="JG229" t="e">
        <v>#REF!</v>
      </c>
      <c r="JH229" t="e">
        <v>#REF!</v>
      </c>
      <c r="JI229" t="e">
        <v>#REF!</v>
      </c>
      <c r="JJ229" t="e">
        <v>#REF!</v>
      </c>
      <c r="JK229" t="e">
        <v>#REF!</v>
      </c>
      <c r="JL229" t="e">
        <v>#REF!</v>
      </c>
      <c r="JM229" t="e">
        <v>#REF!</v>
      </c>
      <c r="JN229" t="e">
        <v>#REF!</v>
      </c>
      <c r="JO229" t="e">
        <v>#REF!</v>
      </c>
      <c r="JP229" t="e">
        <v>#REF!</v>
      </c>
      <c r="JQ229" t="e">
        <v>#REF!</v>
      </c>
      <c r="JR229" t="e">
        <v>#REF!</v>
      </c>
      <c r="JS229" t="e">
        <v>#REF!</v>
      </c>
      <c r="JT229" t="e">
        <v>#REF!</v>
      </c>
      <c r="JU229" t="e">
        <v>#REF!</v>
      </c>
      <c r="JV229" t="e">
        <v>#REF!</v>
      </c>
      <c r="JW229" t="e">
        <v>#REF!</v>
      </c>
      <c r="JX229" t="e">
        <v>#REF!</v>
      </c>
      <c r="JY229" t="e">
        <v>#REF!</v>
      </c>
      <c r="JZ229" t="e">
        <v>#REF!</v>
      </c>
      <c r="KA229" t="e">
        <v>#REF!</v>
      </c>
      <c r="KB229" t="e">
        <v>#REF!</v>
      </c>
      <c r="KC229" t="e">
        <v>#REF!</v>
      </c>
      <c r="KD229" t="e">
        <v>#REF!</v>
      </c>
      <c r="KE229" t="e">
        <v>#REF!</v>
      </c>
      <c r="KF229" t="e">
        <v>#REF!</v>
      </c>
      <c r="KG229" t="e">
        <v>#REF!</v>
      </c>
      <c r="KH229" t="e">
        <v>#REF!</v>
      </c>
      <c r="KI229" t="e">
        <v>#REF!</v>
      </c>
      <c r="KJ229" t="e">
        <v>#REF!</v>
      </c>
      <c r="KK229" t="e">
        <v>#REF!</v>
      </c>
      <c r="KL229" t="e">
        <v>#REF!</v>
      </c>
      <c r="KM229" t="e">
        <v>#REF!</v>
      </c>
      <c r="KN229" t="e">
        <v>#REF!</v>
      </c>
      <c r="KO229" t="e">
        <v>#REF!</v>
      </c>
      <c r="KP229" t="e">
        <v>#REF!</v>
      </c>
      <c r="KQ229" t="e">
        <v>#REF!</v>
      </c>
      <c r="KR229" t="e">
        <v>#REF!</v>
      </c>
      <c r="KS229" t="e">
        <v>#REF!</v>
      </c>
      <c r="KT229" t="e">
        <v>#REF!</v>
      </c>
      <c r="KU229" t="e">
        <v>#REF!</v>
      </c>
      <c r="KV229" t="e">
        <v>#REF!</v>
      </c>
      <c r="KW229" t="e">
        <v>#REF!</v>
      </c>
      <c r="KX229" t="e">
        <v>#REF!</v>
      </c>
      <c r="KY229" t="e">
        <v>#REF!</v>
      </c>
      <c r="KZ229" t="e">
        <v>#REF!</v>
      </c>
      <c r="LA229" t="e">
        <v>#REF!</v>
      </c>
      <c r="LB229" t="e">
        <v>#REF!</v>
      </c>
      <c r="LC229" t="e">
        <v>#REF!</v>
      </c>
      <c r="LD229" t="e">
        <v>#REF!</v>
      </c>
      <c r="LE229" t="e">
        <v>#REF!</v>
      </c>
      <c r="LF229" t="e">
        <v>#REF!</v>
      </c>
      <c r="LG229" t="e">
        <v>#REF!</v>
      </c>
      <c r="LH229" t="e">
        <v>#REF!</v>
      </c>
      <c r="LI229" t="e">
        <v>#REF!</v>
      </c>
      <c r="LJ229" t="e">
        <v>#REF!</v>
      </c>
      <c r="LK229" t="e">
        <v>#REF!</v>
      </c>
      <c r="LL229" t="e">
        <v>#REF!</v>
      </c>
      <c r="LM229" t="e">
        <v>#REF!</v>
      </c>
      <c r="LN229" t="e">
        <v>#REF!</v>
      </c>
      <c r="LO229" t="e">
        <v>#REF!</v>
      </c>
      <c r="LP229" t="e">
        <v>#REF!</v>
      </c>
      <c r="LQ229" t="e">
        <v>#REF!</v>
      </c>
      <c r="LR229" t="e">
        <v>#REF!</v>
      </c>
      <c r="LS229" t="e">
        <v>#REF!</v>
      </c>
      <c r="LT229" t="e">
        <v>#REF!</v>
      </c>
      <c r="LU229" t="e">
        <v>#REF!</v>
      </c>
      <c r="LV229" t="e">
        <v>#REF!</v>
      </c>
      <c r="LW229" t="e">
        <v>#REF!</v>
      </c>
      <c r="LX229" t="e">
        <v>#REF!</v>
      </c>
      <c r="LY229" t="e">
        <v>#REF!</v>
      </c>
      <c r="LZ229" t="e">
        <v>#REF!</v>
      </c>
      <c r="MA229" t="e">
        <v>#REF!</v>
      </c>
      <c r="MB229" t="e">
        <v>#REF!</v>
      </c>
      <c r="MC229" t="e">
        <v>#REF!</v>
      </c>
      <c r="MD229" t="e">
        <v>#REF!</v>
      </c>
      <c r="ME229" t="e">
        <v>#REF!</v>
      </c>
      <c r="MF229" t="e">
        <v>#REF!</v>
      </c>
      <c r="MG229" t="e">
        <v>#REF!</v>
      </c>
      <c r="MH229" t="e">
        <v>#REF!</v>
      </c>
      <c r="MI229" t="e">
        <v>#REF!</v>
      </c>
      <c r="MJ229" t="e">
        <v>#REF!</v>
      </c>
      <c r="MK229" t="e">
        <v>#REF!</v>
      </c>
      <c r="ML229" t="e">
        <v>#REF!</v>
      </c>
      <c r="MM229" t="e">
        <v>#REF!</v>
      </c>
      <c r="MN229" t="e">
        <v>#REF!</v>
      </c>
      <c r="MO229" t="e">
        <v>#REF!</v>
      </c>
      <c r="MP229" t="e">
        <v>#REF!</v>
      </c>
      <c r="MQ229" t="e">
        <v>#REF!</v>
      </c>
      <c r="MR229" t="e">
        <v>#REF!</v>
      </c>
      <c r="MS229" t="e">
        <v>#REF!</v>
      </c>
      <c r="MT229" t="e">
        <v>#REF!</v>
      </c>
      <c r="MU229" t="e">
        <v>#REF!</v>
      </c>
      <c r="MV229" t="e">
        <v>#REF!</v>
      </c>
      <c r="MW229" t="e">
        <v>#REF!</v>
      </c>
      <c r="MX229" t="e">
        <v>#REF!</v>
      </c>
      <c r="MY229" t="e">
        <v>#REF!</v>
      </c>
      <c r="MZ229" t="e">
        <v>#REF!</v>
      </c>
      <c r="NA229" t="e">
        <v>#REF!</v>
      </c>
      <c r="NB229" t="e">
        <v>#REF!</v>
      </c>
      <c r="NC229" t="e">
        <v>#REF!</v>
      </c>
      <c r="ND229" t="e">
        <v>#REF!</v>
      </c>
      <c r="NE229" t="e">
        <v>#REF!</v>
      </c>
      <c r="NF229" t="e">
        <v>#REF!</v>
      </c>
      <c r="NG229" t="e">
        <v>#REF!</v>
      </c>
      <c r="NH229" t="e">
        <v>#REF!</v>
      </c>
      <c r="NI229" t="e">
        <v>#REF!</v>
      </c>
      <c r="NJ229" t="e">
        <v>#REF!</v>
      </c>
      <c r="NK229" t="e">
        <v>#REF!</v>
      </c>
      <c r="NL229" t="e">
        <v>#REF!</v>
      </c>
      <c r="NM229" t="e">
        <v>#REF!</v>
      </c>
      <c r="NN229" t="e">
        <v>#REF!</v>
      </c>
      <c r="NO229" t="e">
        <v>#REF!</v>
      </c>
      <c r="NP229" t="e">
        <v>#REF!</v>
      </c>
      <c r="NQ229" t="e">
        <v>#REF!</v>
      </c>
      <c r="NR229" t="e">
        <v>#REF!</v>
      </c>
      <c r="NS229" t="e">
        <v>#REF!</v>
      </c>
      <c r="NT229" t="e">
        <v>#REF!</v>
      </c>
      <c r="NU229" t="e">
        <v>#REF!</v>
      </c>
      <c r="NV229" t="e">
        <v>#REF!</v>
      </c>
      <c r="NW229" t="e">
        <v>#REF!</v>
      </c>
      <c r="NX229" t="e">
        <v>#REF!</v>
      </c>
      <c r="NY229" t="e">
        <v>#REF!</v>
      </c>
      <c r="NZ229" t="e">
        <v>#REF!</v>
      </c>
      <c r="OA229" t="e">
        <v>#REF!</v>
      </c>
      <c r="OB229" t="e">
        <v>#REF!</v>
      </c>
      <c r="OC229" t="e">
        <v>#REF!</v>
      </c>
      <c r="OD229" t="e">
        <v>#REF!</v>
      </c>
      <c r="OE229" t="e">
        <v>#REF!</v>
      </c>
      <c r="OF229" t="e">
        <v>#REF!</v>
      </c>
      <c r="OG229" t="e">
        <v>#REF!</v>
      </c>
      <c r="OH229" t="e">
        <v>#REF!</v>
      </c>
      <c r="OI229" t="e">
        <v>#REF!</v>
      </c>
      <c r="OJ229" t="e">
        <v>#REF!</v>
      </c>
      <c r="OK229" t="e">
        <v>#REF!</v>
      </c>
    </row>
    <row r="230" spans="2:401" x14ac:dyDescent="0.3">
      <c r="B230" s="117"/>
      <c r="D230" s="119"/>
      <c r="J230" s="65"/>
      <c r="K230" s="55"/>
      <c r="L230" s="66"/>
      <c r="M230" s="159" t="s">
        <v>245</v>
      </c>
      <c r="N230" s="5"/>
      <c r="O230" s="28"/>
      <c r="P230" s="5" t="e" cm="1">
        <f t="array" ref="P230:OK230">_xlfn.ANCHORARRAY(P228)*_xlfn.ANCHORARRAY(P227)</f>
        <v>#REF!</v>
      </c>
      <c r="Q230" s="5" t="e">
        <v>#REF!</v>
      </c>
      <c r="R230" s="5" t="e">
        <v>#REF!</v>
      </c>
      <c r="S230" s="5" t="e">
        <v>#REF!</v>
      </c>
      <c r="T230" s="5" t="e">
        <v>#REF!</v>
      </c>
      <c r="U230" s="5" t="e">
        <v>#REF!</v>
      </c>
      <c r="V230" s="5" t="e">
        <v>#REF!</v>
      </c>
      <c r="W230" s="5" t="e">
        <v>#REF!</v>
      </c>
      <c r="X230" s="5" t="e">
        <v>#REF!</v>
      </c>
      <c r="Y230" s="5" t="e">
        <v>#REF!</v>
      </c>
      <c r="Z230" s="5" t="e">
        <v>#REF!</v>
      </c>
      <c r="AA230" s="5" t="e">
        <v>#REF!</v>
      </c>
      <c r="AB230" s="5" t="e">
        <v>#REF!</v>
      </c>
      <c r="AC230" s="5" t="e">
        <v>#REF!</v>
      </c>
      <c r="AD230" s="5" t="e">
        <v>#REF!</v>
      </c>
      <c r="AE230" s="5" t="e">
        <v>#REF!</v>
      </c>
      <c r="AF230" s="5" t="e">
        <v>#REF!</v>
      </c>
      <c r="AG230" s="5" t="e">
        <v>#REF!</v>
      </c>
      <c r="AH230" s="5" t="e">
        <v>#REF!</v>
      </c>
      <c r="AI230" s="5" t="e">
        <v>#REF!</v>
      </c>
      <c r="AJ230" s="5" t="e">
        <v>#REF!</v>
      </c>
      <c r="AK230" s="5" t="e">
        <v>#REF!</v>
      </c>
      <c r="AL230" s="5" t="e">
        <v>#REF!</v>
      </c>
      <c r="AM230" s="5" t="e">
        <v>#REF!</v>
      </c>
      <c r="AN230" s="5" t="e">
        <v>#REF!</v>
      </c>
      <c r="AO230" s="5" t="e">
        <v>#REF!</v>
      </c>
      <c r="AP230" s="5" t="e">
        <v>#REF!</v>
      </c>
      <c r="AQ230" s="5" t="e">
        <v>#REF!</v>
      </c>
      <c r="AR230" s="5" t="e">
        <v>#REF!</v>
      </c>
      <c r="AS230" s="5" t="e">
        <v>#REF!</v>
      </c>
      <c r="AT230" s="5" t="e">
        <v>#REF!</v>
      </c>
      <c r="AU230" s="5" t="e">
        <v>#REF!</v>
      </c>
      <c r="AV230" s="5" t="e">
        <v>#REF!</v>
      </c>
      <c r="AW230" s="5" t="e">
        <v>#REF!</v>
      </c>
      <c r="AX230" s="5" t="e">
        <v>#REF!</v>
      </c>
      <c r="AY230" s="5" t="e">
        <v>#REF!</v>
      </c>
      <c r="AZ230" s="5" t="e">
        <v>#REF!</v>
      </c>
      <c r="BA230" s="5" t="e">
        <v>#REF!</v>
      </c>
      <c r="BB230" s="5" t="e">
        <v>#REF!</v>
      </c>
      <c r="BC230" s="5" t="e">
        <v>#REF!</v>
      </c>
      <c r="BD230" s="5" t="e">
        <v>#REF!</v>
      </c>
      <c r="BE230" s="5" t="e">
        <v>#REF!</v>
      </c>
      <c r="BF230" s="5" t="e">
        <v>#REF!</v>
      </c>
      <c r="BG230" s="5" t="e">
        <v>#REF!</v>
      </c>
      <c r="BH230" s="5" t="e">
        <v>#REF!</v>
      </c>
      <c r="BI230" s="5" t="e">
        <v>#REF!</v>
      </c>
      <c r="BJ230" s="5" t="e">
        <v>#REF!</v>
      </c>
      <c r="BK230" s="5" t="e">
        <v>#REF!</v>
      </c>
      <c r="BL230" s="5" t="e">
        <v>#REF!</v>
      </c>
      <c r="BM230" s="5" t="e">
        <v>#REF!</v>
      </c>
      <c r="BN230" s="5" t="e">
        <v>#REF!</v>
      </c>
      <c r="BO230" s="5" t="e">
        <v>#REF!</v>
      </c>
      <c r="BP230" s="5" t="e">
        <v>#REF!</v>
      </c>
      <c r="BQ230" s="5" t="e">
        <v>#REF!</v>
      </c>
      <c r="BR230" s="5" t="e">
        <v>#REF!</v>
      </c>
      <c r="BS230" s="5" t="e">
        <v>#REF!</v>
      </c>
      <c r="BT230" s="5" t="e">
        <v>#REF!</v>
      </c>
      <c r="BU230" s="5" t="e">
        <v>#REF!</v>
      </c>
      <c r="BV230" s="5" t="e">
        <v>#REF!</v>
      </c>
      <c r="BW230" s="5" t="e">
        <v>#REF!</v>
      </c>
      <c r="BX230" s="5" t="e">
        <v>#REF!</v>
      </c>
      <c r="BY230" s="5" t="e">
        <v>#REF!</v>
      </c>
      <c r="BZ230" s="5" t="e">
        <v>#REF!</v>
      </c>
      <c r="CA230" s="5" t="e">
        <v>#REF!</v>
      </c>
      <c r="CB230" s="5" t="e">
        <v>#REF!</v>
      </c>
      <c r="CC230" s="5" t="e">
        <v>#REF!</v>
      </c>
      <c r="CD230" s="5" t="e">
        <v>#REF!</v>
      </c>
      <c r="CE230" s="5" t="e">
        <v>#REF!</v>
      </c>
      <c r="CF230" s="5" t="e">
        <v>#REF!</v>
      </c>
      <c r="CG230" s="5" t="e">
        <v>#REF!</v>
      </c>
      <c r="CH230" s="5" t="e">
        <v>#REF!</v>
      </c>
      <c r="CI230" s="5" t="e">
        <v>#REF!</v>
      </c>
      <c r="CJ230" s="5" t="e">
        <v>#REF!</v>
      </c>
      <c r="CK230" s="5" t="e">
        <v>#REF!</v>
      </c>
      <c r="CL230" s="5" t="e">
        <v>#REF!</v>
      </c>
      <c r="CM230" s="5" t="e">
        <v>#REF!</v>
      </c>
      <c r="CN230" s="5" t="e">
        <v>#REF!</v>
      </c>
      <c r="CO230" s="5" t="e">
        <v>#REF!</v>
      </c>
      <c r="CP230" s="5" t="e">
        <v>#REF!</v>
      </c>
      <c r="CQ230" s="5" t="e">
        <v>#REF!</v>
      </c>
      <c r="CR230" s="5" t="e">
        <v>#REF!</v>
      </c>
      <c r="CS230" s="5" t="e">
        <v>#REF!</v>
      </c>
      <c r="CT230" s="5" t="e">
        <v>#REF!</v>
      </c>
      <c r="CU230" s="5" t="e">
        <v>#REF!</v>
      </c>
      <c r="CV230" s="5" t="e">
        <v>#REF!</v>
      </c>
      <c r="CW230" s="5" t="e">
        <v>#REF!</v>
      </c>
      <c r="CX230" s="5" t="e">
        <v>#REF!</v>
      </c>
      <c r="CY230" s="5" t="e">
        <v>#REF!</v>
      </c>
      <c r="CZ230" s="5" t="e">
        <v>#REF!</v>
      </c>
      <c r="DA230" s="5" t="e">
        <v>#REF!</v>
      </c>
      <c r="DB230" s="5" t="e">
        <v>#REF!</v>
      </c>
      <c r="DC230" s="5" t="e">
        <v>#REF!</v>
      </c>
      <c r="DD230" s="5" t="e">
        <v>#REF!</v>
      </c>
      <c r="DE230" s="5" t="e">
        <v>#REF!</v>
      </c>
      <c r="DF230" s="5" t="e">
        <v>#REF!</v>
      </c>
      <c r="DG230" s="5" t="e">
        <v>#REF!</v>
      </c>
      <c r="DH230" s="5" t="e">
        <v>#REF!</v>
      </c>
      <c r="DI230" s="5" t="e">
        <v>#REF!</v>
      </c>
      <c r="DJ230" s="5" t="e">
        <v>#REF!</v>
      </c>
      <c r="DK230" s="5" t="e">
        <v>#REF!</v>
      </c>
      <c r="DL230" s="5" t="e">
        <v>#REF!</v>
      </c>
      <c r="DM230" s="5" t="e">
        <v>#REF!</v>
      </c>
      <c r="DN230" s="5" t="e">
        <v>#REF!</v>
      </c>
      <c r="DO230" s="5" t="e">
        <v>#REF!</v>
      </c>
      <c r="DP230" s="5" t="e">
        <v>#REF!</v>
      </c>
      <c r="DQ230" s="5" t="e">
        <v>#REF!</v>
      </c>
      <c r="DR230" s="5" t="e">
        <v>#REF!</v>
      </c>
      <c r="DS230" s="5" t="e">
        <v>#REF!</v>
      </c>
      <c r="DT230" s="5" t="e">
        <v>#REF!</v>
      </c>
      <c r="DU230" s="5" t="e">
        <v>#REF!</v>
      </c>
      <c r="DV230" s="5" t="e">
        <v>#REF!</v>
      </c>
      <c r="DW230" s="5" t="e">
        <v>#REF!</v>
      </c>
      <c r="DX230" s="5" t="e">
        <v>#REF!</v>
      </c>
      <c r="DY230" s="5" t="e">
        <v>#REF!</v>
      </c>
      <c r="DZ230" s="5" t="e">
        <v>#REF!</v>
      </c>
      <c r="EA230" s="5" t="e">
        <v>#REF!</v>
      </c>
      <c r="EB230" s="5" t="e">
        <v>#REF!</v>
      </c>
      <c r="EC230" s="5" t="e">
        <v>#REF!</v>
      </c>
      <c r="ED230" s="5" t="e">
        <v>#REF!</v>
      </c>
      <c r="EE230" s="5" t="e">
        <v>#REF!</v>
      </c>
      <c r="EF230" s="5" t="e">
        <v>#REF!</v>
      </c>
      <c r="EG230" s="5" t="e">
        <v>#REF!</v>
      </c>
      <c r="EH230" s="5" t="e">
        <v>#REF!</v>
      </c>
      <c r="EI230" s="5" t="e">
        <v>#REF!</v>
      </c>
      <c r="EJ230" s="5" t="e">
        <v>#REF!</v>
      </c>
      <c r="EK230" s="5" t="e">
        <v>#REF!</v>
      </c>
      <c r="EL230" s="5" t="e">
        <v>#REF!</v>
      </c>
      <c r="EM230" s="5" t="e">
        <v>#REF!</v>
      </c>
      <c r="EN230" s="5" t="e">
        <v>#REF!</v>
      </c>
      <c r="EO230" s="5" t="e">
        <v>#REF!</v>
      </c>
      <c r="EP230" s="5" t="e">
        <v>#REF!</v>
      </c>
      <c r="EQ230" s="5" t="e">
        <v>#REF!</v>
      </c>
      <c r="ER230" s="5" t="e">
        <v>#REF!</v>
      </c>
      <c r="ES230" s="5" t="e">
        <v>#REF!</v>
      </c>
      <c r="ET230" s="5" t="e">
        <v>#REF!</v>
      </c>
      <c r="EU230" s="5" t="e">
        <v>#REF!</v>
      </c>
      <c r="EV230" s="5" t="e">
        <v>#REF!</v>
      </c>
      <c r="EW230" s="5" t="e">
        <v>#REF!</v>
      </c>
      <c r="EX230" s="5" t="e">
        <v>#REF!</v>
      </c>
      <c r="EY230" s="5" t="e">
        <v>#REF!</v>
      </c>
      <c r="EZ230" s="5" t="e">
        <v>#REF!</v>
      </c>
      <c r="FA230" s="5" t="e">
        <v>#REF!</v>
      </c>
      <c r="FB230" s="5" t="e">
        <v>#REF!</v>
      </c>
      <c r="FC230" s="5" t="e">
        <v>#REF!</v>
      </c>
      <c r="FD230" s="5" t="e">
        <v>#REF!</v>
      </c>
      <c r="FE230" s="5" t="e">
        <v>#REF!</v>
      </c>
      <c r="FF230" s="5" t="e">
        <v>#REF!</v>
      </c>
      <c r="FG230" s="5" t="e">
        <v>#REF!</v>
      </c>
      <c r="FH230" s="5" t="e">
        <v>#REF!</v>
      </c>
      <c r="FI230" s="5" t="e">
        <v>#REF!</v>
      </c>
      <c r="FJ230" s="5" t="e">
        <v>#REF!</v>
      </c>
      <c r="FK230" s="5" t="e">
        <v>#REF!</v>
      </c>
      <c r="FL230" s="5" t="e">
        <v>#REF!</v>
      </c>
      <c r="FM230" s="5" t="e">
        <v>#REF!</v>
      </c>
      <c r="FN230" s="5" t="e">
        <v>#REF!</v>
      </c>
      <c r="FO230" s="5" t="e">
        <v>#REF!</v>
      </c>
      <c r="FP230" s="5" t="e">
        <v>#REF!</v>
      </c>
      <c r="FQ230" s="5" t="e">
        <v>#REF!</v>
      </c>
      <c r="FR230" s="5" t="e">
        <v>#REF!</v>
      </c>
      <c r="FS230" s="5" t="e">
        <v>#REF!</v>
      </c>
      <c r="FT230" s="5" t="e">
        <v>#REF!</v>
      </c>
      <c r="FU230" s="5" t="e">
        <v>#REF!</v>
      </c>
      <c r="FV230" s="5" t="e">
        <v>#REF!</v>
      </c>
      <c r="FW230" s="5" t="e">
        <v>#REF!</v>
      </c>
      <c r="FX230" s="5" t="e">
        <v>#REF!</v>
      </c>
      <c r="FY230" s="5" t="e">
        <v>#REF!</v>
      </c>
      <c r="FZ230" s="5" t="e">
        <v>#REF!</v>
      </c>
      <c r="GA230" s="5" t="e">
        <v>#REF!</v>
      </c>
      <c r="GB230" s="5" t="e">
        <v>#REF!</v>
      </c>
      <c r="GC230" s="5" t="e">
        <v>#REF!</v>
      </c>
      <c r="GD230" s="5" t="e">
        <v>#REF!</v>
      </c>
      <c r="GE230" s="5" t="e">
        <v>#REF!</v>
      </c>
      <c r="GF230" s="5" t="e">
        <v>#REF!</v>
      </c>
      <c r="GG230" s="5" t="e">
        <v>#REF!</v>
      </c>
      <c r="GH230" s="5" t="e">
        <v>#REF!</v>
      </c>
      <c r="GI230" s="5" t="e">
        <v>#REF!</v>
      </c>
      <c r="GJ230" s="5" t="e">
        <v>#REF!</v>
      </c>
      <c r="GK230" s="5" t="e">
        <v>#REF!</v>
      </c>
      <c r="GL230" s="5" t="e">
        <v>#REF!</v>
      </c>
      <c r="GM230" s="5" t="e">
        <v>#REF!</v>
      </c>
      <c r="GN230" s="5" t="e">
        <v>#REF!</v>
      </c>
      <c r="GO230" s="5" t="e">
        <v>#REF!</v>
      </c>
      <c r="GP230" s="5" t="e">
        <v>#REF!</v>
      </c>
      <c r="GQ230" s="5" t="e">
        <v>#REF!</v>
      </c>
      <c r="GR230" s="5" t="e">
        <v>#REF!</v>
      </c>
      <c r="GS230" s="5" t="e">
        <v>#REF!</v>
      </c>
      <c r="GT230" s="5" t="e">
        <v>#REF!</v>
      </c>
      <c r="GU230" s="5" t="e">
        <v>#REF!</v>
      </c>
      <c r="GV230" s="5" t="e">
        <v>#REF!</v>
      </c>
      <c r="GW230" s="5" t="e">
        <v>#REF!</v>
      </c>
      <c r="GX230" s="5" t="e">
        <v>#REF!</v>
      </c>
      <c r="GY230" s="5" t="e">
        <v>#REF!</v>
      </c>
      <c r="GZ230" s="5" t="e">
        <v>#REF!</v>
      </c>
      <c r="HA230" s="5" t="e">
        <v>#REF!</v>
      </c>
      <c r="HB230" s="5" t="e">
        <v>#REF!</v>
      </c>
      <c r="HC230" s="5" t="e">
        <v>#REF!</v>
      </c>
      <c r="HD230" s="5" t="e">
        <v>#REF!</v>
      </c>
      <c r="HE230" s="5" t="e">
        <v>#REF!</v>
      </c>
      <c r="HF230" s="5" t="e">
        <v>#REF!</v>
      </c>
      <c r="HG230" s="5" t="e">
        <v>#REF!</v>
      </c>
      <c r="HH230" s="5" t="e">
        <v>#REF!</v>
      </c>
      <c r="HI230" s="5" t="e">
        <v>#REF!</v>
      </c>
      <c r="HJ230" s="5" t="e">
        <v>#REF!</v>
      </c>
      <c r="HK230" s="5" t="e">
        <v>#REF!</v>
      </c>
      <c r="HL230" s="5" t="e">
        <v>#REF!</v>
      </c>
      <c r="HM230" s="5" t="e">
        <v>#REF!</v>
      </c>
      <c r="HN230" s="5" t="e">
        <v>#REF!</v>
      </c>
      <c r="HO230" s="5" t="e">
        <v>#REF!</v>
      </c>
      <c r="HP230" s="5" t="e">
        <v>#REF!</v>
      </c>
      <c r="HQ230" s="5" t="e">
        <v>#REF!</v>
      </c>
      <c r="HR230" s="5" t="e">
        <v>#REF!</v>
      </c>
      <c r="HS230" s="5" t="e">
        <v>#REF!</v>
      </c>
      <c r="HT230" s="5" t="e">
        <v>#REF!</v>
      </c>
      <c r="HU230" s="5" t="e">
        <v>#REF!</v>
      </c>
      <c r="HV230" s="5" t="e">
        <v>#REF!</v>
      </c>
      <c r="HW230" s="5" t="e">
        <v>#REF!</v>
      </c>
      <c r="HX230" s="5" t="e">
        <v>#REF!</v>
      </c>
      <c r="HY230" s="5" t="e">
        <v>#REF!</v>
      </c>
      <c r="HZ230" s="5" t="e">
        <v>#REF!</v>
      </c>
      <c r="IA230" s="5" t="e">
        <v>#REF!</v>
      </c>
      <c r="IB230" s="5" t="e">
        <v>#REF!</v>
      </c>
      <c r="IC230" s="5" t="e">
        <v>#REF!</v>
      </c>
      <c r="ID230" s="5" t="e">
        <v>#REF!</v>
      </c>
      <c r="IE230" s="5" t="e">
        <v>#REF!</v>
      </c>
      <c r="IF230" s="5" t="e">
        <v>#REF!</v>
      </c>
      <c r="IG230" s="5" t="e">
        <v>#REF!</v>
      </c>
      <c r="IH230" s="5" t="e">
        <v>#REF!</v>
      </c>
      <c r="II230" s="5" t="e">
        <v>#REF!</v>
      </c>
      <c r="IJ230" s="5" t="e">
        <v>#REF!</v>
      </c>
      <c r="IK230" s="5" t="e">
        <v>#REF!</v>
      </c>
      <c r="IL230" s="5" t="e">
        <v>#REF!</v>
      </c>
      <c r="IM230" s="5" t="e">
        <v>#REF!</v>
      </c>
      <c r="IN230" s="5" t="e">
        <v>#REF!</v>
      </c>
      <c r="IO230" s="5" t="e">
        <v>#REF!</v>
      </c>
      <c r="IP230" s="5" t="e">
        <v>#REF!</v>
      </c>
      <c r="IQ230" s="5" t="e">
        <v>#REF!</v>
      </c>
      <c r="IR230" s="5" t="e">
        <v>#REF!</v>
      </c>
      <c r="IS230" s="5" t="e">
        <v>#REF!</v>
      </c>
      <c r="IT230" s="5" t="e">
        <v>#REF!</v>
      </c>
      <c r="IU230" s="5" t="e">
        <v>#REF!</v>
      </c>
      <c r="IV230" s="5" t="e">
        <v>#REF!</v>
      </c>
      <c r="IW230" s="5" t="e">
        <v>#REF!</v>
      </c>
      <c r="IX230" s="5" t="e">
        <v>#REF!</v>
      </c>
      <c r="IY230" s="5" t="e">
        <v>#REF!</v>
      </c>
      <c r="IZ230" s="5" t="e">
        <v>#REF!</v>
      </c>
      <c r="JA230" s="5" t="e">
        <v>#REF!</v>
      </c>
      <c r="JB230" s="5" t="e">
        <v>#REF!</v>
      </c>
      <c r="JC230" s="5" t="e">
        <v>#REF!</v>
      </c>
      <c r="JD230" s="5" t="e">
        <v>#REF!</v>
      </c>
      <c r="JE230" s="5" t="e">
        <v>#REF!</v>
      </c>
      <c r="JF230" s="5" t="e">
        <v>#REF!</v>
      </c>
      <c r="JG230" s="5" t="e">
        <v>#REF!</v>
      </c>
      <c r="JH230" s="5" t="e">
        <v>#REF!</v>
      </c>
      <c r="JI230" s="5" t="e">
        <v>#REF!</v>
      </c>
      <c r="JJ230" s="5" t="e">
        <v>#REF!</v>
      </c>
      <c r="JK230" s="5" t="e">
        <v>#REF!</v>
      </c>
      <c r="JL230" s="5" t="e">
        <v>#REF!</v>
      </c>
      <c r="JM230" s="5" t="e">
        <v>#REF!</v>
      </c>
      <c r="JN230" s="5" t="e">
        <v>#REF!</v>
      </c>
      <c r="JO230" s="5" t="e">
        <v>#REF!</v>
      </c>
      <c r="JP230" s="5" t="e">
        <v>#REF!</v>
      </c>
      <c r="JQ230" s="5" t="e">
        <v>#REF!</v>
      </c>
      <c r="JR230" s="5" t="e">
        <v>#REF!</v>
      </c>
      <c r="JS230" s="5" t="e">
        <v>#REF!</v>
      </c>
      <c r="JT230" s="5" t="e">
        <v>#REF!</v>
      </c>
      <c r="JU230" s="5" t="e">
        <v>#REF!</v>
      </c>
      <c r="JV230" s="5" t="e">
        <v>#REF!</v>
      </c>
      <c r="JW230" s="5" t="e">
        <v>#REF!</v>
      </c>
      <c r="JX230" s="5" t="e">
        <v>#REF!</v>
      </c>
      <c r="JY230" s="5" t="e">
        <v>#REF!</v>
      </c>
      <c r="JZ230" s="5" t="e">
        <v>#REF!</v>
      </c>
      <c r="KA230" s="5" t="e">
        <v>#REF!</v>
      </c>
      <c r="KB230" s="5" t="e">
        <v>#REF!</v>
      </c>
      <c r="KC230" s="5" t="e">
        <v>#REF!</v>
      </c>
      <c r="KD230" s="5" t="e">
        <v>#REF!</v>
      </c>
      <c r="KE230" s="5" t="e">
        <v>#REF!</v>
      </c>
      <c r="KF230" s="5" t="e">
        <v>#REF!</v>
      </c>
      <c r="KG230" s="5" t="e">
        <v>#REF!</v>
      </c>
      <c r="KH230" s="5" t="e">
        <v>#REF!</v>
      </c>
      <c r="KI230" s="5" t="e">
        <v>#REF!</v>
      </c>
      <c r="KJ230" s="5" t="e">
        <v>#REF!</v>
      </c>
      <c r="KK230" s="5" t="e">
        <v>#REF!</v>
      </c>
      <c r="KL230" s="5" t="e">
        <v>#REF!</v>
      </c>
      <c r="KM230" s="5" t="e">
        <v>#REF!</v>
      </c>
      <c r="KN230" s="5" t="e">
        <v>#REF!</v>
      </c>
      <c r="KO230" s="5" t="e">
        <v>#REF!</v>
      </c>
      <c r="KP230" s="5" t="e">
        <v>#REF!</v>
      </c>
      <c r="KQ230" s="5" t="e">
        <v>#REF!</v>
      </c>
      <c r="KR230" s="5" t="e">
        <v>#REF!</v>
      </c>
      <c r="KS230" s="5" t="e">
        <v>#REF!</v>
      </c>
      <c r="KT230" s="5" t="e">
        <v>#REF!</v>
      </c>
      <c r="KU230" s="5" t="e">
        <v>#REF!</v>
      </c>
      <c r="KV230" s="5" t="e">
        <v>#REF!</v>
      </c>
      <c r="KW230" s="5" t="e">
        <v>#REF!</v>
      </c>
      <c r="KX230" s="5" t="e">
        <v>#REF!</v>
      </c>
      <c r="KY230" s="5" t="e">
        <v>#REF!</v>
      </c>
      <c r="KZ230" s="5" t="e">
        <v>#REF!</v>
      </c>
      <c r="LA230" s="5" t="e">
        <v>#REF!</v>
      </c>
      <c r="LB230" s="5" t="e">
        <v>#REF!</v>
      </c>
      <c r="LC230" s="5" t="e">
        <v>#REF!</v>
      </c>
      <c r="LD230" s="5" t="e">
        <v>#REF!</v>
      </c>
      <c r="LE230" s="5" t="e">
        <v>#REF!</v>
      </c>
      <c r="LF230" s="5" t="e">
        <v>#REF!</v>
      </c>
      <c r="LG230" s="5" t="e">
        <v>#REF!</v>
      </c>
      <c r="LH230" s="5" t="e">
        <v>#REF!</v>
      </c>
      <c r="LI230" s="5" t="e">
        <v>#REF!</v>
      </c>
      <c r="LJ230" s="5" t="e">
        <v>#REF!</v>
      </c>
      <c r="LK230" s="5" t="e">
        <v>#REF!</v>
      </c>
      <c r="LL230" s="5" t="e">
        <v>#REF!</v>
      </c>
      <c r="LM230" s="5" t="e">
        <v>#REF!</v>
      </c>
      <c r="LN230" s="5" t="e">
        <v>#REF!</v>
      </c>
      <c r="LO230" s="5" t="e">
        <v>#REF!</v>
      </c>
      <c r="LP230" s="5" t="e">
        <v>#REF!</v>
      </c>
      <c r="LQ230" s="5" t="e">
        <v>#REF!</v>
      </c>
      <c r="LR230" s="5" t="e">
        <v>#REF!</v>
      </c>
      <c r="LS230" s="5" t="e">
        <v>#REF!</v>
      </c>
      <c r="LT230" s="5" t="e">
        <v>#REF!</v>
      </c>
      <c r="LU230" s="5" t="e">
        <v>#REF!</v>
      </c>
      <c r="LV230" s="5" t="e">
        <v>#REF!</v>
      </c>
      <c r="LW230" s="5" t="e">
        <v>#REF!</v>
      </c>
      <c r="LX230" s="5" t="e">
        <v>#REF!</v>
      </c>
      <c r="LY230" s="5" t="e">
        <v>#REF!</v>
      </c>
      <c r="LZ230" s="5" t="e">
        <v>#REF!</v>
      </c>
      <c r="MA230" s="5" t="e">
        <v>#REF!</v>
      </c>
      <c r="MB230" s="5" t="e">
        <v>#REF!</v>
      </c>
      <c r="MC230" s="5" t="e">
        <v>#REF!</v>
      </c>
      <c r="MD230" s="5" t="e">
        <v>#REF!</v>
      </c>
      <c r="ME230" s="5" t="e">
        <v>#REF!</v>
      </c>
      <c r="MF230" s="5" t="e">
        <v>#REF!</v>
      </c>
      <c r="MG230" s="5" t="e">
        <v>#REF!</v>
      </c>
      <c r="MH230" s="5" t="e">
        <v>#REF!</v>
      </c>
      <c r="MI230" s="5" t="e">
        <v>#REF!</v>
      </c>
      <c r="MJ230" s="5" t="e">
        <v>#REF!</v>
      </c>
      <c r="MK230" s="5" t="e">
        <v>#REF!</v>
      </c>
      <c r="ML230" s="5" t="e">
        <v>#REF!</v>
      </c>
      <c r="MM230" s="5" t="e">
        <v>#REF!</v>
      </c>
      <c r="MN230" s="5" t="e">
        <v>#REF!</v>
      </c>
      <c r="MO230" s="5" t="e">
        <v>#REF!</v>
      </c>
      <c r="MP230" s="5" t="e">
        <v>#REF!</v>
      </c>
      <c r="MQ230" s="5" t="e">
        <v>#REF!</v>
      </c>
      <c r="MR230" s="5" t="e">
        <v>#REF!</v>
      </c>
      <c r="MS230" s="5" t="e">
        <v>#REF!</v>
      </c>
      <c r="MT230" s="5" t="e">
        <v>#REF!</v>
      </c>
      <c r="MU230" s="5" t="e">
        <v>#REF!</v>
      </c>
      <c r="MV230" s="5" t="e">
        <v>#REF!</v>
      </c>
      <c r="MW230" s="5" t="e">
        <v>#REF!</v>
      </c>
      <c r="MX230" s="5" t="e">
        <v>#REF!</v>
      </c>
      <c r="MY230" s="5" t="e">
        <v>#REF!</v>
      </c>
      <c r="MZ230" s="5" t="e">
        <v>#REF!</v>
      </c>
      <c r="NA230" s="5" t="e">
        <v>#REF!</v>
      </c>
      <c r="NB230" s="5" t="e">
        <v>#REF!</v>
      </c>
      <c r="NC230" s="5" t="e">
        <v>#REF!</v>
      </c>
      <c r="ND230" s="5" t="e">
        <v>#REF!</v>
      </c>
      <c r="NE230" s="5" t="e">
        <v>#REF!</v>
      </c>
      <c r="NF230" s="5" t="e">
        <v>#REF!</v>
      </c>
      <c r="NG230" s="5" t="e">
        <v>#REF!</v>
      </c>
      <c r="NH230" s="5" t="e">
        <v>#REF!</v>
      </c>
      <c r="NI230" s="5" t="e">
        <v>#REF!</v>
      </c>
      <c r="NJ230" s="5" t="e">
        <v>#REF!</v>
      </c>
      <c r="NK230" s="5" t="e">
        <v>#REF!</v>
      </c>
      <c r="NL230" s="5" t="e">
        <v>#REF!</v>
      </c>
      <c r="NM230" s="5" t="e">
        <v>#REF!</v>
      </c>
      <c r="NN230" s="5" t="e">
        <v>#REF!</v>
      </c>
      <c r="NO230" s="5" t="e">
        <v>#REF!</v>
      </c>
      <c r="NP230" s="5" t="e">
        <v>#REF!</v>
      </c>
      <c r="NQ230" s="5" t="e">
        <v>#REF!</v>
      </c>
      <c r="NR230" s="5" t="e">
        <v>#REF!</v>
      </c>
      <c r="NS230" s="5" t="e">
        <v>#REF!</v>
      </c>
      <c r="NT230" s="5" t="e">
        <v>#REF!</v>
      </c>
      <c r="NU230" s="5" t="e">
        <v>#REF!</v>
      </c>
      <c r="NV230" s="5" t="e">
        <v>#REF!</v>
      </c>
      <c r="NW230" s="5" t="e">
        <v>#REF!</v>
      </c>
      <c r="NX230" s="5" t="e">
        <v>#REF!</v>
      </c>
      <c r="NY230" s="5" t="e">
        <v>#REF!</v>
      </c>
      <c r="NZ230" s="5" t="e">
        <v>#REF!</v>
      </c>
      <c r="OA230" s="5" t="e">
        <v>#REF!</v>
      </c>
      <c r="OB230" s="5" t="e">
        <v>#REF!</v>
      </c>
      <c r="OC230" s="5" t="e">
        <v>#REF!</v>
      </c>
      <c r="OD230" s="5" t="e">
        <v>#REF!</v>
      </c>
      <c r="OE230" t="e">
        <v>#REF!</v>
      </c>
      <c r="OF230" t="e">
        <v>#REF!</v>
      </c>
      <c r="OG230" t="e">
        <v>#REF!</v>
      </c>
      <c r="OH230" t="e">
        <v>#REF!</v>
      </c>
      <c r="OI230" t="e">
        <v>#REF!</v>
      </c>
      <c r="OJ230" t="e">
        <v>#REF!</v>
      </c>
      <c r="OK230" t="e">
        <v>#REF!</v>
      </c>
    </row>
    <row r="231" spans="2:401" x14ac:dyDescent="0.3">
      <c r="B231" s="116"/>
      <c r="D231" s="119"/>
      <c r="J231" s="65"/>
      <c r="K231" s="55"/>
      <c r="L231" s="66"/>
      <c r="M231" s="182" t="s">
        <v>2</v>
      </c>
      <c r="N231" s="183"/>
      <c r="O231" s="184"/>
      <c r="P231" s="185" t="e" cm="1">
        <f t="array" ref="P231">IF(_xlfn.ANCHORARRAY(P221)&gt;=0,-_xlfn.ANCHORARRAY(P221),0)</f>
        <v>#REF!</v>
      </c>
    </row>
    <row r="232" spans="2:401" x14ac:dyDescent="0.3">
      <c r="D232" s="120"/>
      <c r="E232" s="52"/>
      <c r="F232" s="52"/>
      <c r="J232" s="65"/>
      <c r="K232" s="55"/>
      <c r="L232" s="66"/>
      <c r="M232" s="158" t="s">
        <v>242</v>
      </c>
      <c r="O232" s="7"/>
      <c r="P232" t="e" cm="1">
        <f t="array" ref="P232:OK232">_xlfn.ANCHORARRAY(P231)*_xlfn.ANCHORARRAY(P226)</f>
        <v>#REF!</v>
      </c>
      <c r="Q232" t="e">
        <v>#REF!</v>
      </c>
      <c r="R232" t="e">
        <v>#REF!</v>
      </c>
      <c r="S232" t="e">
        <v>#REF!</v>
      </c>
      <c r="T232" t="e">
        <v>#REF!</v>
      </c>
      <c r="U232" t="e">
        <v>#REF!</v>
      </c>
      <c r="V232" t="e">
        <v>#REF!</v>
      </c>
      <c r="W232" t="e">
        <v>#REF!</v>
      </c>
      <c r="X232" t="e">
        <v>#REF!</v>
      </c>
      <c r="Y232" t="e">
        <v>#REF!</v>
      </c>
      <c r="Z232" t="e">
        <v>#REF!</v>
      </c>
      <c r="AA232" t="e">
        <v>#REF!</v>
      </c>
      <c r="AB232" t="e">
        <v>#REF!</v>
      </c>
      <c r="AC232" t="e">
        <v>#REF!</v>
      </c>
      <c r="AD232" t="e">
        <v>#REF!</v>
      </c>
      <c r="AE232" t="e">
        <v>#REF!</v>
      </c>
      <c r="AF232" t="e">
        <v>#REF!</v>
      </c>
      <c r="AG232" t="e">
        <v>#REF!</v>
      </c>
      <c r="AH232" t="e">
        <v>#REF!</v>
      </c>
      <c r="AI232" t="e">
        <v>#REF!</v>
      </c>
      <c r="AJ232" t="e">
        <v>#REF!</v>
      </c>
      <c r="AK232" t="e">
        <v>#REF!</v>
      </c>
      <c r="AL232" t="e">
        <v>#REF!</v>
      </c>
      <c r="AM232" t="e">
        <v>#REF!</v>
      </c>
      <c r="AN232" t="e">
        <v>#REF!</v>
      </c>
      <c r="AO232" t="e">
        <v>#REF!</v>
      </c>
      <c r="AP232" t="e">
        <v>#REF!</v>
      </c>
      <c r="AQ232" t="e">
        <v>#REF!</v>
      </c>
      <c r="AR232" t="e">
        <v>#REF!</v>
      </c>
      <c r="AS232" t="e">
        <v>#REF!</v>
      </c>
      <c r="AT232" t="e">
        <v>#REF!</v>
      </c>
      <c r="AU232" t="e">
        <v>#REF!</v>
      </c>
      <c r="AV232" t="e">
        <v>#REF!</v>
      </c>
      <c r="AW232" t="e">
        <v>#REF!</v>
      </c>
      <c r="AX232" t="e">
        <v>#REF!</v>
      </c>
      <c r="AY232" t="e">
        <v>#REF!</v>
      </c>
      <c r="AZ232" t="e">
        <v>#REF!</v>
      </c>
      <c r="BA232" t="e">
        <v>#REF!</v>
      </c>
      <c r="BB232" t="e">
        <v>#REF!</v>
      </c>
      <c r="BC232" t="e">
        <v>#REF!</v>
      </c>
      <c r="BD232" t="e">
        <v>#REF!</v>
      </c>
      <c r="BE232" t="e">
        <v>#REF!</v>
      </c>
      <c r="BF232" t="e">
        <v>#REF!</v>
      </c>
      <c r="BG232" t="e">
        <v>#REF!</v>
      </c>
      <c r="BH232" t="e">
        <v>#REF!</v>
      </c>
      <c r="BI232" t="e">
        <v>#REF!</v>
      </c>
      <c r="BJ232" t="e">
        <v>#REF!</v>
      </c>
      <c r="BK232" t="e">
        <v>#REF!</v>
      </c>
      <c r="BL232" t="e">
        <v>#REF!</v>
      </c>
      <c r="BM232" t="e">
        <v>#REF!</v>
      </c>
      <c r="BN232" t="e">
        <v>#REF!</v>
      </c>
      <c r="BO232" t="e">
        <v>#REF!</v>
      </c>
      <c r="BP232" t="e">
        <v>#REF!</v>
      </c>
      <c r="BQ232" t="e">
        <v>#REF!</v>
      </c>
      <c r="BR232" t="e">
        <v>#REF!</v>
      </c>
      <c r="BS232" t="e">
        <v>#REF!</v>
      </c>
      <c r="BT232" t="e">
        <v>#REF!</v>
      </c>
      <c r="BU232" t="e">
        <v>#REF!</v>
      </c>
      <c r="BV232" t="e">
        <v>#REF!</v>
      </c>
      <c r="BW232" t="e">
        <v>#REF!</v>
      </c>
      <c r="BX232" t="e">
        <v>#REF!</v>
      </c>
      <c r="BY232" t="e">
        <v>#REF!</v>
      </c>
      <c r="BZ232" t="e">
        <v>#REF!</v>
      </c>
      <c r="CA232" t="e">
        <v>#REF!</v>
      </c>
      <c r="CB232" t="e">
        <v>#REF!</v>
      </c>
      <c r="CC232" t="e">
        <v>#REF!</v>
      </c>
      <c r="CD232" t="e">
        <v>#REF!</v>
      </c>
      <c r="CE232" t="e">
        <v>#REF!</v>
      </c>
      <c r="CF232" t="e">
        <v>#REF!</v>
      </c>
      <c r="CG232" t="e">
        <v>#REF!</v>
      </c>
      <c r="CH232" t="e">
        <v>#REF!</v>
      </c>
      <c r="CI232" t="e">
        <v>#REF!</v>
      </c>
      <c r="CJ232" t="e">
        <v>#REF!</v>
      </c>
      <c r="CK232" t="e">
        <v>#REF!</v>
      </c>
      <c r="CL232" t="e">
        <v>#REF!</v>
      </c>
      <c r="CM232" t="e">
        <v>#REF!</v>
      </c>
      <c r="CN232" t="e">
        <v>#REF!</v>
      </c>
      <c r="CO232" t="e">
        <v>#REF!</v>
      </c>
      <c r="CP232" t="e">
        <v>#REF!</v>
      </c>
      <c r="CQ232" t="e">
        <v>#REF!</v>
      </c>
      <c r="CR232" t="e">
        <v>#REF!</v>
      </c>
      <c r="CS232" t="e">
        <v>#REF!</v>
      </c>
      <c r="CT232" t="e">
        <v>#REF!</v>
      </c>
      <c r="CU232" t="e">
        <v>#REF!</v>
      </c>
      <c r="CV232" t="e">
        <v>#REF!</v>
      </c>
      <c r="CW232" t="e">
        <v>#REF!</v>
      </c>
      <c r="CX232" t="e">
        <v>#REF!</v>
      </c>
      <c r="CY232" t="e">
        <v>#REF!</v>
      </c>
      <c r="CZ232" t="e">
        <v>#REF!</v>
      </c>
      <c r="DA232" t="e">
        <v>#REF!</v>
      </c>
      <c r="DB232" t="e">
        <v>#REF!</v>
      </c>
      <c r="DC232" t="e">
        <v>#REF!</v>
      </c>
      <c r="DD232" t="e">
        <v>#REF!</v>
      </c>
      <c r="DE232" t="e">
        <v>#REF!</v>
      </c>
      <c r="DF232" t="e">
        <v>#REF!</v>
      </c>
      <c r="DG232" t="e">
        <v>#REF!</v>
      </c>
      <c r="DH232" t="e">
        <v>#REF!</v>
      </c>
      <c r="DI232" t="e">
        <v>#REF!</v>
      </c>
      <c r="DJ232" t="e">
        <v>#REF!</v>
      </c>
      <c r="DK232" t="e">
        <v>#REF!</v>
      </c>
      <c r="DL232" t="e">
        <v>#REF!</v>
      </c>
      <c r="DM232" t="e">
        <v>#REF!</v>
      </c>
      <c r="DN232" t="e">
        <v>#REF!</v>
      </c>
      <c r="DO232" t="e">
        <v>#REF!</v>
      </c>
      <c r="DP232" t="e">
        <v>#REF!</v>
      </c>
      <c r="DQ232" t="e">
        <v>#REF!</v>
      </c>
      <c r="DR232" t="e">
        <v>#REF!</v>
      </c>
      <c r="DS232" t="e">
        <v>#REF!</v>
      </c>
      <c r="DT232" t="e">
        <v>#REF!</v>
      </c>
      <c r="DU232" t="e">
        <v>#REF!</v>
      </c>
      <c r="DV232" t="e">
        <v>#REF!</v>
      </c>
      <c r="DW232" t="e">
        <v>#REF!</v>
      </c>
      <c r="DX232" t="e">
        <v>#REF!</v>
      </c>
      <c r="DY232" t="e">
        <v>#REF!</v>
      </c>
      <c r="DZ232" t="e">
        <v>#REF!</v>
      </c>
      <c r="EA232" t="e">
        <v>#REF!</v>
      </c>
      <c r="EB232" t="e">
        <v>#REF!</v>
      </c>
      <c r="EC232" t="e">
        <v>#REF!</v>
      </c>
      <c r="ED232" t="e">
        <v>#REF!</v>
      </c>
      <c r="EE232" t="e">
        <v>#REF!</v>
      </c>
      <c r="EF232" t="e">
        <v>#REF!</v>
      </c>
      <c r="EG232" t="e">
        <v>#REF!</v>
      </c>
      <c r="EH232" t="e">
        <v>#REF!</v>
      </c>
      <c r="EI232" t="e">
        <v>#REF!</v>
      </c>
      <c r="EJ232" t="e">
        <v>#REF!</v>
      </c>
      <c r="EK232" t="e">
        <v>#REF!</v>
      </c>
      <c r="EL232" t="e">
        <v>#REF!</v>
      </c>
      <c r="EM232" t="e">
        <v>#REF!</v>
      </c>
      <c r="EN232" t="e">
        <v>#REF!</v>
      </c>
      <c r="EO232" t="e">
        <v>#REF!</v>
      </c>
      <c r="EP232" t="e">
        <v>#REF!</v>
      </c>
      <c r="EQ232" t="e">
        <v>#REF!</v>
      </c>
      <c r="ER232" t="e">
        <v>#REF!</v>
      </c>
      <c r="ES232" t="e">
        <v>#REF!</v>
      </c>
      <c r="ET232" t="e">
        <v>#REF!</v>
      </c>
      <c r="EU232" t="e">
        <v>#REF!</v>
      </c>
      <c r="EV232" t="e">
        <v>#REF!</v>
      </c>
      <c r="EW232" t="e">
        <v>#REF!</v>
      </c>
      <c r="EX232" t="e">
        <v>#REF!</v>
      </c>
      <c r="EY232" t="e">
        <v>#REF!</v>
      </c>
      <c r="EZ232" t="e">
        <v>#REF!</v>
      </c>
      <c r="FA232" t="e">
        <v>#REF!</v>
      </c>
      <c r="FB232" t="e">
        <v>#REF!</v>
      </c>
      <c r="FC232" t="e">
        <v>#REF!</v>
      </c>
      <c r="FD232" t="e">
        <v>#REF!</v>
      </c>
      <c r="FE232" t="e">
        <v>#REF!</v>
      </c>
      <c r="FF232" t="e">
        <v>#REF!</v>
      </c>
      <c r="FG232" t="e">
        <v>#REF!</v>
      </c>
      <c r="FH232" t="e">
        <v>#REF!</v>
      </c>
      <c r="FI232" t="e">
        <v>#REF!</v>
      </c>
      <c r="FJ232" t="e">
        <v>#REF!</v>
      </c>
      <c r="FK232" t="e">
        <v>#REF!</v>
      </c>
      <c r="FL232" t="e">
        <v>#REF!</v>
      </c>
      <c r="FM232" t="e">
        <v>#REF!</v>
      </c>
      <c r="FN232" t="e">
        <v>#REF!</v>
      </c>
      <c r="FO232" t="e">
        <v>#REF!</v>
      </c>
      <c r="FP232" t="e">
        <v>#REF!</v>
      </c>
      <c r="FQ232" t="e">
        <v>#REF!</v>
      </c>
      <c r="FR232" t="e">
        <v>#REF!</v>
      </c>
      <c r="FS232" t="e">
        <v>#REF!</v>
      </c>
      <c r="FT232" t="e">
        <v>#REF!</v>
      </c>
      <c r="FU232" t="e">
        <v>#REF!</v>
      </c>
      <c r="FV232" t="e">
        <v>#REF!</v>
      </c>
      <c r="FW232" t="e">
        <v>#REF!</v>
      </c>
      <c r="FX232" t="e">
        <v>#REF!</v>
      </c>
      <c r="FY232" t="e">
        <v>#REF!</v>
      </c>
      <c r="FZ232" t="e">
        <v>#REF!</v>
      </c>
      <c r="GA232" t="e">
        <v>#REF!</v>
      </c>
      <c r="GB232" t="e">
        <v>#REF!</v>
      </c>
      <c r="GC232" t="e">
        <v>#REF!</v>
      </c>
      <c r="GD232" t="e">
        <v>#REF!</v>
      </c>
      <c r="GE232" t="e">
        <v>#REF!</v>
      </c>
      <c r="GF232" t="e">
        <v>#REF!</v>
      </c>
      <c r="GG232" t="e">
        <v>#REF!</v>
      </c>
      <c r="GH232" t="e">
        <v>#REF!</v>
      </c>
      <c r="GI232" t="e">
        <v>#REF!</v>
      </c>
      <c r="GJ232" t="e">
        <v>#REF!</v>
      </c>
      <c r="GK232" t="e">
        <v>#REF!</v>
      </c>
      <c r="GL232" t="e">
        <v>#REF!</v>
      </c>
      <c r="GM232" t="e">
        <v>#REF!</v>
      </c>
      <c r="GN232" t="e">
        <v>#REF!</v>
      </c>
      <c r="GO232" t="e">
        <v>#REF!</v>
      </c>
      <c r="GP232" t="e">
        <v>#REF!</v>
      </c>
      <c r="GQ232" t="e">
        <v>#REF!</v>
      </c>
      <c r="GR232" t="e">
        <v>#REF!</v>
      </c>
      <c r="GS232" t="e">
        <v>#REF!</v>
      </c>
      <c r="GT232" t="e">
        <v>#REF!</v>
      </c>
      <c r="GU232" t="e">
        <v>#REF!</v>
      </c>
      <c r="GV232" t="e">
        <v>#REF!</v>
      </c>
      <c r="GW232" t="e">
        <v>#REF!</v>
      </c>
      <c r="GX232" t="e">
        <v>#REF!</v>
      </c>
      <c r="GY232" t="e">
        <v>#REF!</v>
      </c>
      <c r="GZ232" t="e">
        <v>#REF!</v>
      </c>
      <c r="HA232" t="e">
        <v>#REF!</v>
      </c>
      <c r="HB232" t="e">
        <v>#REF!</v>
      </c>
      <c r="HC232" t="e">
        <v>#REF!</v>
      </c>
      <c r="HD232" t="e">
        <v>#REF!</v>
      </c>
      <c r="HE232" t="e">
        <v>#REF!</v>
      </c>
      <c r="HF232" t="e">
        <v>#REF!</v>
      </c>
      <c r="HG232" t="e">
        <v>#REF!</v>
      </c>
      <c r="HH232" t="e">
        <v>#REF!</v>
      </c>
      <c r="HI232" t="e">
        <v>#REF!</v>
      </c>
      <c r="HJ232" t="e">
        <v>#REF!</v>
      </c>
      <c r="HK232" t="e">
        <v>#REF!</v>
      </c>
      <c r="HL232" t="e">
        <v>#REF!</v>
      </c>
      <c r="HM232" t="e">
        <v>#REF!</v>
      </c>
      <c r="HN232" t="e">
        <v>#REF!</v>
      </c>
      <c r="HO232" t="e">
        <v>#REF!</v>
      </c>
      <c r="HP232" t="e">
        <v>#REF!</v>
      </c>
      <c r="HQ232" t="e">
        <v>#REF!</v>
      </c>
      <c r="HR232" t="e">
        <v>#REF!</v>
      </c>
      <c r="HS232" t="e">
        <v>#REF!</v>
      </c>
      <c r="HT232" t="e">
        <v>#REF!</v>
      </c>
      <c r="HU232" t="e">
        <v>#REF!</v>
      </c>
      <c r="HV232" t="e">
        <v>#REF!</v>
      </c>
      <c r="HW232" t="e">
        <v>#REF!</v>
      </c>
      <c r="HX232" t="e">
        <v>#REF!</v>
      </c>
      <c r="HY232" t="e">
        <v>#REF!</v>
      </c>
      <c r="HZ232" t="e">
        <v>#REF!</v>
      </c>
      <c r="IA232" t="e">
        <v>#REF!</v>
      </c>
      <c r="IB232" t="e">
        <v>#REF!</v>
      </c>
      <c r="IC232" t="e">
        <v>#REF!</v>
      </c>
      <c r="ID232" t="e">
        <v>#REF!</v>
      </c>
      <c r="IE232" t="e">
        <v>#REF!</v>
      </c>
      <c r="IF232" t="e">
        <v>#REF!</v>
      </c>
      <c r="IG232" t="e">
        <v>#REF!</v>
      </c>
      <c r="IH232" t="e">
        <v>#REF!</v>
      </c>
      <c r="II232" t="e">
        <v>#REF!</v>
      </c>
      <c r="IJ232" t="e">
        <v>#REF!</v>
      </c>
      <c r="IK232" t="e">
        <v>#REF!</v>
      </c>
      <c r="IL232" t="e">
        <v>#REF!</v>
      </c>
      <c r="IM232" t="e">
        <v>#REF!</v>
      </c>
      <c r="IN232" t="e">
        <v>#REF!</v>
      </c>
      <c r="IO232" t="e">
        <v>#REF!</v>
      </c>
      <c r="IP232" t="e">
        <v>#REF!</v>
      </c>
      <c r="IQ232" t="e">
        <v>#REF!</v>
      </c>
      <c r="IR232" t="e">
        <v>#REF!</v>
      </c>
      <c r="IS232" t="e">
        <v>#REF!</v>
      </c>
      <c r="IT232" t="e">
        <v>#REF!</v>
      </c>
      <c r="IU232" t="e">
        <v>#REF!</v>
      </c>
      <c r="IV232" t="e">
        <v>#REF!</v>
      </c>
      <c r="IW232" t="e">
        <v>#REF!</v>
      </c>
      <c r="IX232" t="e">
        <v>#REF!</v>
      </c>
      <c r="IY232" t="e">
        <v>#REF!</v>
      </c>
      <c r="IZ232" t="e">
        <v>#REF!</v>
      </c>
      <c r="JA232" t="e">
        <v>#REF!</v>
      </c>
      <c r="JB232" t="e">
        <v>#REF!</v>
      </c>
      <c r="JC232" t="e">
        <v>#REF!</v>
      </c>
      <c r="JD232" t="e">
        <v>#REF!</v>
      </c>
      <c r="JE232" t="e">
        <v>#REF!</v>
      </c>
      <c r="JF232" t="e">
        <v>#REF!</v>
      </c>
      <c r="JG232" t="e">
        <v>#REF!</v>
      </c>
      <c r="JH232" t="e">
        <v>#REF!</v>
      </c>
      <c r="JI232" t="e">
        <v>#REF!</v>
      </c>
      <c r="JJ232" t="e">
        <v>#REF!</v>
      </c>
      <c r="JK232" t="e">
        <v>#REF!</v>
      </c>
      <c r="JL232" t="e">
        <v>#REF!</v>
      </c>
      <c r="JM232" t="e">
        <v>#REF!</v>
      </c>
      <c r="JN232" t="e">
        <v>#REF!</v>
      </c>
      <c r="JO232" t="e">
        <v>#REF!</v>
      </c>
      <c r="JP232" t="e">
        <v>#REF!</v>
      </c>
      <c r="JQ232" t="e">
        <v>#REF!</v>
      </c>
      <c r="JR232" t="e">
        <v>#REF!</v>
      </c>
      <c r="JS232" t="e">
        <v>#REF!</v>
      </c>
      <c r="JT232" t="e">
        <v>#REF!</v>
      </c>
      <c r="JU232" t="e">
        <v>#REF!</v>
      </c>
      <c r="JV232" t="e">
        <v>#REF!</v>
      </c>
      <c r="JW232" t="e">
        <v>#REF!</v>
      </c>
      <c r="JX232" t="e">
        <v>#REF!</v>
      </c>
      <c r="JY232" t="e">
        <v>#REF!</v>
      </c>
      <c r="JZ232" t="e">
        <v>#REF!</v>
      </c>
      <c r="KA232" t="e">
        <v>#REF!</v>
      </c>
      <c r="KB232" t="e">
        <v>#REF!</v>
      </c>
      <c r="KC232" t="e">
        <v>#REF!</v>
      </c>
      <c r="KD232" t="e">
        <v>#REF!</v>
      </c>
      <c r="KE232" t="e">
        <v>#REF!</v>
      </c>
      <c r="KF232" t="e">
        <v>#REF!</v>
      </c>
      <c r="KG232" t="e">
        <v>#REF!</v>
      </c>
      <c r="KH232" t="e">
        <v>#REF!</v>
      </c>
      <c r="KI232" t="e">
        <v>#REF!</v>
      </c>
      <c r="KJ232" t="e">
        <v>#REF!</v>
      </c>
      <c r="KK232" t="e">
        <v>#REF!</v>
      </c>
      <c r="KL232" t="e">
        <v>#REF!</v>
      </c>
      <c r="KM232" t="e">
        <v>#REF!</v>
      </c>
      <c r="KN232" t="e">
        <v>#REF!</v>
      </c>
      <c r="KO232" t="e">
        <v>#REF!</v>
      </c>
      <c r="KP232" t="e">
        <v>#REF!</v>
      </c>
      <c r="KQ232" t="e">
        <v>#REF!</v>
      </c>
      <c r="KR232" t="e">
        <v>#REF!</v>
      </c>
      <c r="KS232" t="e">
        <v>#REF!</v>
      </c>
      <c r="KT232" t="e">
        <v>#REF!</v>
      </c>
      <c r="KU232" t="e">
        <v>#REF!</v>
      </c>
      <c r="KV232" t="e">
        <v>#REF!</v>
      </c>
      <c r="KW232" t="e">
        <v>#REF!</v>
      </c>
      <c r="KX232" t="e">
        <v>#REF!</v>
      </c>
      <c r="KY232" t="e">
        <v>#REF!</v>
      </c>
      <c r="KZ232" t="e">
        <v>#REF!</v>
      </c>
      <c r="LA232" t="e">
        <v>#REF!</v>
      </c>
      <c r="LB232" t="e">
        <v>#REF!</v>
      </c>
      <c r="LC232" t="e">
        <v>#REF!</v>
      </c>
      <c r="LD232" t="e">
        <v>#REF!</v>
      </c>
      <c r="LE232" t="e">
        <v>#REF!</v>
      </c>
      <c r="LF232" t="e">
        <v>#REF!</v>
      </c>
      <c r="LG232" t="e">
        <v>#REF!</v>
      </c>
      <c r="LH232" t="e">
        <v>#REF!</v>
      </c>
      <c r="LI232" t="e">
        <v>#REF!</v>
      </c>
      <c r="LJ232" t="e">
        <v>#REF!</v>
      </c>
      <c r="LK232" t="e">
        <v>#REF!</v>
      </c>
      <c r="LL232" t="e">
        <v>#REF!</v>
      </c>
      <c r="LM232" t="e">
        <v>#REF!</v>
      </c>
      <c r="LN232" t="e">
        <v>#REF!</v>
      </c>
      <c r="LO232" t="e">
        <v>#REF!</v>
      </c>
      <c r="LP232" t="e">
        <v>#REF!</v>
      </c>
      <c r="LQ232" t="e">
        <v>#REF!</v>
      </c>
      <c r="LR232" t="e">
        <v>#REF!</v>
      </c>
      <c r="LS232" t="e">
        <v>#REF!</v>
      </c>
      <c r="LT232" t="e">
        <v>#REF!</v>
      </c>
      <c r="LU232" t="e">
        <v>#REF!</v>
      </c>
      <c r="LV232" t="e">
        <v>#REF!</v>
      </c>
      <c r="LW232" t="e">
        <v>#REF!</v>
      </c>
      <c r="LX232" t="e">
        <v>#REF!</v>
      </c>
      <c r="LY232" t="e">
        <v>#REF!</v>
      </c>
      <c r="LZ232" t="e">
        <v>#REF!</v>
      </c>
      <c r="MA232" t="e">
        <v>#REF!</v>
      </c>
      <c r="MB232" t="e">
        <v>#REF!</v>
      </c>
      <c r="MC232" t="e">
        <v>#REF!</v>
      </c>
      <c r="MD232" t="e">
        <v>#REF!</v>
      </c>
      <c r="ME232" t="e">
        <v>#REF!</v>
      </c>
      <c r="MF232" t="e">
        <v>#REF!</v>
      </c>
      <c r="MG232" t="e">
        <v>#REF!</v>
      </c>
      <c r="MH232" t="e">
        <v>#REF!</v>
      </c>
      <c r="MI232" t="e">
        <v>#REF!</v>
      </c>
      <c r="MJ232" t="e">
        <v>#REF!</v>
      </c>
      <c r="MK232" t="e">
        <v>#REF!</v>
      </c>
      <c r="ML232" t="e">
        <v>#REF!</v>
      </c>
      <c r="MM232" t="e">
        <v>#REF!</v>
      </c>
      <c r="MN232" t="e">
        <v>#REF!</v>
      </c>
      <c r="MO232" t="e">
        <v>#REF!</v>
      </c>
      <c r="MP232" t="e">
        <v>#REF!</v>
      </c>
      <c r="MQ232" t="e">
        <v>#REF!</v>
      </c>
      <c r="MR232" t="e">
        <v>#REF!</v>
      </c>
      <c r="MS232" t="e">
        <v>#REF!</v>
      </c>
      <c r="MT232" t="e">
        <v>#REF!</v>
      </c>
      <c r="MU232" t="e">
        <v>#REF!</v>
      </c>
      <c r="MV232" t="e">
        <v>#REF!</v>
      </c>
      <c r="MW232" t="e">
        <v>#REF!</v>
      </c>
      <c r="MX232" t="e">
        <v>#REF!</v>
      </c>
      <c r="MY232" t="e">
        <v>#REF!</v>
      </c>
      <c r="MZ232" t="e">
        <v>#REF!</v>
      </c>
      <c r="NA232" t="e">
        <v>#REF!</v>
      </c>
      <c r="NB232" t="e">
        <v>#REF!</v>
      </c>
      <c r="NC232" t="e">
        <v>#REF!</v>
      </c>
      <c r="ND232" t="e">
        <v>#REF!</v>
      </c>
      <c r="NE232" t="e">
        <v>#REF!</v>
      </c>
      <c r="NF232" t="e">
        <v>#REF!</v>
      </c>
      <c r="NG232" t="e">
        <v>#REF!</v>
      </c>
      <c r="NH232" t="e">
        <v>#REF!</v>
      </c>
      <c r="NI232" t="e">
        <v>#REF!</v>
      </c>
      <c r="NJ232" t="e">
        <v>#REF!</v>
      </c>
      <c r="NK232" t="e">
        <v>#REF!</v>
      </c>
      <c r="NL232" t="e">
        <v>#REF!</v>
      </c>
      <c r="NM232" t="e">
        <v>#REF!</v>
      </c>
      <c r="NN232" t="e">
        <v>#REF!</v>
      </c>
      <c r="NO232" t="e">
        <v>#REF!</v>
      </c>
      <c r="NP232" t="e">
        <v>#REF!</v>
      </c>
      <c r="NQ232" t="e">
        <v>#REF!</v>
      </c>
      <c r="NR232" t="e">
        <v>#REF!</v>
      </c>
      <c r="NS232" t="e">
        <v>#REF!</v>
      </c>
      <c r="NT232" t="e">
        <v>#REF!</v>
      </c>
      <c r="NU232" t="e">
        <v>#REF!</v>
      </c>
      <c r="NV232" t="e">
        <v>#REF!</v>
      </c>
      <c r="NW232" t="e">
        <v>#REF!</v>
      </c>
      <c r="NX232" t="e">
        <v>#REF!</v>
      </c>
      <c r="NY232" t="e">
        <v>#REF!</v>
      </c>
      <c r="NZ232" t="e">
        <v>#REF!</v>
      </c>
      <c r="OA232" t="e">
        <v>#REF!</v>
      </c>
      <c r="OB232" t="e">
        <v>#REF!</v>
      </c>
      <c r="OC232" t="e">
        <v>#REF!</v>
      </c>
      <c r="OD232" t="e">
        <v>#REF!</v>
      </c>
      <c r="OE232" t="e">
        <v>#REF!</v>
      </c>
      <c r="OF232" t="e">
        <v>#REF!</v>
      </c>
      <c r="OG232" t="e">
        <v>#REF!</v>
      </c>
      <c r="OH232" t="e">
        <v>#REF!</v>
      </c>
      <c r="OI232" t="e">
        <v>#REF!</v>
      </c>
      <c r="OJ232" t="e">
        <v>#REF!</v>
      </c>
      <c r="OK232" t="e">
        <v>#REF!</v>
      </c>
    </row>
    <row r="233" spans="2:401" x14ac:dyDescent="0.3">
      <c r="B233" s="116"/>
      <c r="D233" s="119"/>
      <c r="J233" s="65"/>
      <c r="K233" s="55"/>
      <c r="L233" s="66"/>
      <c r="M233" s="159" t="s">
        <v>243</v>
      </c>
      <c r="N233" s="5"/>
      <c r="O233" s="28"/>
      <c r="P233" s="5" t="e" cm="1">
        <f t="array" ref="P233:OK233">_xlfn.ANCHORARRAY(P231)*_xlfn.ANCHORARRAY(P227)</f>
        <v>#REF!</v>
      </c>
      <c r="Q233" s="5" t="e">
        <v>#REF!</v>
      </c>
      <c r="R233" s="5" t="e">
        <v>#REF!</v>
      </c>
      <c r="S233" s="5" t="e">
        <v>#REF!</v>
      </c>
      <c r="T233" s="5" t="e">
        <v>#REF!</v>
      </c>
      <c r="U233" s="5" t="e">
        <v>#REF!</v>
      </c>
      <c r="V233" s="5" t="e">
        <v>#REF!</v>
      </c>
      <c r="W233" s="5" t="e">
        <v>#REF!</v>
      </c>
      <c r="X233" s="5" t="e">
        <v>#REF!</v>
      </c>
      <c r="Y233" s="5" t="e">
        <v>#REF!</v>
      </c>
      <c r="Z233" s="5" t="e">
        <v>#REF!</v>
      </c>
      <c r="AA233" s="5" t="e">
        <v>#REF!</v>
      </c>
      <c r="AB233" s="5" t="e">
        <v>#REF!</v>
      </c>
      <c r="AC233" s="5" t="e">
        <v>#REF!</v>
      </c>
      <c r="AD233" s="5" t="e">
        <v>#REF!</v>
      </c>
      <c r="AE233" s="5" t="e">
        <v>#REF!</v>
      </c>
      <c r="AF233" s="5" t="e">
        <v>#REF!</v>
      </c>
      <c r="AG233" s="5" t="e">
        <v>#REF!</v>
      </c>
      <c r="AH233" s="5" t="e">
        <v>#REF!</v>
      </c>
      <c r="AI233" s="5" t="e">
        <v>#REF!</v>
      </c>
      <c r="AJ233" s="5" t="e">
        <v>#REF!</v>
      </c>
      <c r="AK233" s="5" t="e">
        <v>#REF!</v>
      </c>
      <c r="AL233" s="5" t="e">
        <v>#REF!</v>
      </c>
      <c r="AM233" s="5" t="e">
        <v>#REF!</v>
      </c>
      <c r="AN233" s="5" t="e">
        <v>#REF!</v>
      </c>
      <c r="AO233" s="5" t="e">
        <v>#REF!</v>
      </c>
      <c r="AP233" s="5" t="e">
        <v>#REF!</v>
      </c>
      <c r="AQ233" s="5" t="e">
        <v>#REF!</v>
      </c>
      <c r="AR233" s="5" t="e">
        <v>#REF!</v>
      </c>
      <c r="AS233" s="5" t="e">
        <v>#REF!</v>
      </c>
      <c r="AT233" s="5" t="e">
        <v>#REF!</v>
      </c>
      <c r="AU233" s="5" t="e">
        <v>#REF!</v>
      </c>
      <c r="AV233" s="5" t="e">
        <v>#REF!</v>
      </c>
      <c r="AW233" s="5" t="e">
        <v>#REF!</v>
      </c>
      <c r="AX233" s="5" t="e">
        <v>#REF!</v>
      </c>
      <c r="AY233" s="5" t="e">
        <v>#REF!</v>
      </c>
      <c r="AZ233" s="5" t="e">
        <v>#REF!</v>
      </c>
      <c r="BA233" s="5" t="e">
        <v>#REF!</v>
      </c>
      <c r="BB233" s="5" t="e">
        <v>#REF!</v>
      </c>
      <c r="BC233" s="5" t="e">
        <v>#REF!</v>
      </c>
      <c r="BD233" s="5" t="e">
        <v>#REF!</v>
      </c>
      <c r="BE233" s="5" t="e">
        <v>#REF!</v>
      </c>
      <c r="BF233" s="5" t="e">
        <v>#REF!</v>
      </c>
      <c r="BG233" s="5" t="e">
        <v>#REF!</v>
      </c>
      <c r="BH233" s="5" t="e">
        <v>#REF!</v>
      </c>
      <c r="BI233" s="5" t="e">
        <v>#REF!</v>
      </c>
      <c r="BJ233" s="5" t="e">
        <v>#REF!</v>
      </c>
      <c r="BK233" s="5" t="e">
        <v>#REF!</v>
      </c>
      <c r="BL233" s="5" t="e">
        <v>#REF!</v>
      </c>
      <c r="BM233" s="5" t="e">
        <v>#REF!</v>
      </c>
      <c r="BN233" s="5" t="e">
        <v>#REF!</v>
      </c>
      <c r="BO233" s="5" t="e">
        <v>#REF!</v>
      </c>
      <c r="BP233" s="5" t="e">
        <v>#REF!</v>
      </c>
      <c r="BQ233" s="5" t="e">
        <v>#REF!</v>
      </c>
      <c r="BR233" s="5" t="e">
        <v>#REF!</v>
      </c>
      <c r="BS233" s="5" t="e">
        <v>#REF!</v>
      </c>
      <c r="BT233" s="5" t="e">
        <v>#REF!</v>
      </c>
      <c r="BU233" s="5" t="e">
        <v>#REF!</v>
      </c>
      <c r="BV233" s="5" t="e">
        <v>#REF!</v>
      </c>
      <c r="BW233" s="5" t="e">
        <v>#REF!</v>
      </c>
      <c r="BX233" s="5" t="e">
        <v>#REF!</v>
      </c>
      <c r="BY233" s="5" t="e">
        <v>#REF!</v>
      </c>
      <c r="BZ233" s="5" t="e">
        <v>#REF!</v>
      </c>
      <c r="CA233" s="5" t="e">
        <v>#REF!</v>
      </c>
      <c r="CB233" s="5" t="e">
        <v>#REF!</v>
      </c>
      <c r="CC233" s="5" t="e">
        <v>#REF!</v>
      </c>
      <c r="CD233" s="5" t="e">
        <v>#REF!</v>
      </c>
      <c r="CE233" s="5" t="e">
        <v>#REF!</v>
      </c>
      <c r="CF233" s="5" t="e">
        <v>#REF!</v>
      </c>
      <c r="CG233" s="5" t="e">
        <v>#REF!</v>
      </c>
      <c r="CH233" s="5" t="e">
        <v>#REF!</v>
      </c>
      <c r="CI233" s="5" t="e">
        <v>#REF!</v>
      </c>
      <c r="CJ233" s="5" t="e">
        <v>#REF!</v>
      </c>
      <c r="CK233" s="5" t="e">
        <v>#REF!</v>
      </c>
      <c r="CL233" s="5" t="e">
        <v>#REF!</v>
      </c>
      <c r="CM233" s="5" t="e">
        <v>#REF!</v>
      </c>
      <c r="CN233" s="5" t="e">
        <v>#REF!</v>
      </c>
      <c r="CO233" s="5" t="e">
        <v>#REF!</v>
      </c>
      <c r="CP233" s="5" t="e">
        <v>#REF!</v>
      </c>
      <c r="CQ233" s="5" t="e">
        <v>#REF!</v>
      </c>
      <c r="CR233" s="5" t="e">
        <v>#REF!</v>
      </c>
      <c r="CS233" s="5" t="e">
        <v>#REF!</v>
      </c>
      <c r="CT233" s="5" t="e">
        <v>#REF!</v>
      </c>
      <c r="CU233" s="5" t="e">
        <v>#REF!</v>
      </c>
      <c r="CV233" s="5" t="e">
        <v>#REF!</v>
      </c>
      <c r="CW233" s="5" t="e">
        <v>#REF!</v>
      </c>
      <c r="CX233" s="5" t="e">
        <v>#REF!</v>
      </c>
      <c r="CY233" s="5" t="e">
        <v>#REF!</v>
      </c>
      <c r="CZ233" s="5" t="e">
        <v>#REF!</v>
      </c>
      <c r="DA233" s="5" t="e">
        <v>#REF!</v>
      </c>
      <c r="DB233" s="5" t="e">
        <v>#REF!</v>
      </c>
      <c r="DC233" s="5" t="e">
        <v>#REF!</v>
      </c>
      <c r="DD233" s="5" t="e">
        <v>#REF!</v>
      </c>
      <c r="DE233" s="5" t="e">
        <v>#REF!</v>
      </c>
      <c r="DF233" s="5" t="e">
        <v>#REF!</v>
      </c>
      <c r="DG233" s="5" t="e">
        <v>#REF!</v>
      </c>
      <c r="DH233" s="5" t="e">
        <v>#REF!</v>
      </c>
      <c r="DI233" s="5" t="e">
        <v>#REF!</v>
      </c>
      <c r="DJ233" s="5" t="e">
        <v>#REF!</v>
      </c>
      <c r="DK233" s="5" t="e">
        <v>#REF!</v>
      </c>
      <c r="DL233" s="5" t="e">
        <v>#REF!</v>
      </c>
      <c r="DM233" s="5" t="e">
        <v>#REF!</v>
      </c>
      <c r="DN233" s="5" t="e">
        <v>#REF!</v>
      </c>
      <c r="DO233" s="5" t="e">
        <v>#REF!</v>
      </c>
      <c r="DP233" s="5" t="e">
        <v>#REF!</v>
      </c>
      <c r="DQ233" s="5" t="e">
        <v>#REF!</v>
      </c>
      <c r="DR233" s="5" t="e">
        <v>#REF!</v>
      </c>
      <c r="DS233" s="5" t="e">
        <v>#REF!</v>
      </c>
      <c r="DT233" s="5" t="e">
        <v>#REF!</v>
      </c>
      <c r="DU233" s="5" t="e">
        <v>#REF!</v>
      </c>
      <c r="DV233" s="5" t="e">
        <v>#REF!</v>
      </c>
      <c r="DW233" s="5" t="e">
        <v>#REF!</v>
      </c>
      <c r="DX233" s="5" t="e">
        <v>#REF!</v>
      </c>
      <c r="DY233" s="5" t="e">
        <v>#REF!</v>
      </c>
      <c r="DZ233" s="5" t="e">
        <v>#REF!</v>
      </c>
      <c r="EA233" s="5" t="e">
        <v>#REF!</v>
      </c>
      <c r="EB233" s="5" t="e">
        <v>#REF!</v>
      </c>
      <c r="EC233" s="5" t="e">
        <v>#REF!</v>
      </c>
      <c r="ED233" s="5" t="e">
        <v>#REF!</v>
      </c>
      <c r="EE233" s="5" t="e">
        <v>#REF!</v>
      </c>
      <c r="EF233" s="5" t="e">
        <v>#REF!</v>
      </c>
      <c r="EG233" s="5" t="e">
        <v>#REF!</v>
      </c>
      <c r="EH233" s="5" t="e">
        <v>#REF!</v>
      </c>
      <c r="EI233" s="5" t="e">
        <v>#REF!</v>
      </c>
      <c r="EJ233" s="5" t="e">
        <v>#REF!</v>
      </c>
      <c r="EK233" s="5" t="e">
        <v>#REF!</v>
      </c>
      <c r="EL233" s="5" t="e">
        <v>#REF!</v>
      </c>
      <c r="EM233" s="5" t="e">
        <v>#REF!</v>
      </c>
      <c r="EN233" s="5" t="e">
        <v>#REF!</v>
      </c>
      <c r="EO233" s="5" t="e">
        <v>#REF!</v>
      </c>
      <c r="EP233" s="5" t="e">
        <v>#REF!</v>
      </c>
      <c r="EQ233" s="5" t="e">
        <v>#REF!</v>
      </c>
      <c r="ER233" s="5" t="e">
        <v>#REF!</v>
      </c>
      <c r="ES233" s="5" t="e">
        <v>#REF!</v>
      </c>
      <c r="ET233" s="5" t="e">
        <v>#REF!</v>
      </c>
      <c r="EU233" s="5" t="e">
        <v>#REF!</v>
      </c>
      <c r="EV233" s="5" t="e">
        <v>#REF!</v>
      </c>
      <c r="EW233" s="5" t="e">
        <v>#REF!</v>
      </c>
      <c r="EX233" s="5" t="e">
        <v>#REF!</v>
      </c>
      <c r="EY233" s="5" t="e">
        <v>#REF!</v>
      </c>
      <c r="EZ233" s="5" t="e">
        <v>#REF!</v>
      </c>
      <c r="FA233" s="5" t="e">
        <v>#REF!</v>
      </c>
      <c r="FB233" s="5" t="e">
        <v>#REF!</v>
      </c>
      <c r="FC233" s="5" t="e">
        <v>#REF!</v>
      </c>
      <c r="FD233" s="5" t="e">
        <v>#REF!</v>
      </c>
      <c r="FE233" s="5" t="e">
        <v>#REF!</v>
      </c>
      <c r="FF233" s="5" t="e">
        <v>#REF!</v>
      </c>
      <c r="FG233" s="5" t="e">
        <v>#REF!</v>
      </c>
      <c r="FH233" s="5" t="e">
        <v>#REF!</v>
      </c>
      <c r="FI233" s="5" t="e">
        <v>#REF!</v>
      </c>
      <c r="FJ233" s="5" t="e">
        <v>#REF!</v>
      </c>
      <c r="FK233" s="5" t="e">
        <v>#REF!</v>
      </c>
      <c r="FL233" s="5" t="e">
        <v>#REF!</v>
      </c>
      <c r="FM233" s="5" t="e">
        <v>#REF!</v>
      </c>
      <c r="FN233" s="5" t="e">
        <v>#REF!</v>
      </c>
      <c r="FO233" s="5" t="e">
        <v>#REF!</v>
      </c>
      <c r="FP233" s="5" t="e">
        <v>#REF!</v>
      </c>
      <c r="FQ233" s="5" t="e">
        <v>#REF!</v>
      </c>
      <c r="FR233" s="5" t="e">
        <v>#REF!</v>
      </c>
      <c r="FS233" s="5" t="e">
        <v>#REF!</v>
      </c>
      <c r="FT233" s="5" t="e">
        <v>#REF!</v>
      </c>
      <c r="FU233" s="5" t="e">
        <v>#REF!</v>
      </c>
      <c r="FV233" s="5" t="e">
        <v>#REF!</v>
      </c>
      <c r="FW233" s="5" t="e">
        <v>#REF!</v>
      </c>
      <c r="FX233" s="5" t="e">
        <v>#REF!</v>
      </c>
      <c r="FY233" s="5" t="e">
        <v>#REF!</v>
      </c>
      <c r="FZ233" s="5" t="e">
        <v>#REF!</v>
      </c>
      <c r="GA233" s="5" t="e">
        <v>#REF!</v>
      </c>
      <c r="GB233" s="5" t="e">
        <v>#REF!</v>
      </c>
      <c r="GC233" s="5" t="e">
        <v>#REF!</v>
      </c>
      <c r="GD233" s="5" t="e">
        <v>#REF!</v>
      </c>
      <c r="GE233" s="5" t="e">
        <v>#REF!</v>
      </c>
      <c r="GF233" s="5" t="e">
        <v>#REF!</v>
      </c>
      <c r="GG233" s="5" t="e">
        <v>#REF!</v>
      </c>
      <c r="GH233" s="5" t="e">
        <v>#REF!</v>
      </c>
      <c r="GI233" s="5" t="e">
        <v>#REF!</v>
      </c>
      <c r="GJ233" s="5" t="e">
        <v>#REF!</v>
      </c>
      <c r="GK233" s="5" t="e">
        <v>#REF!</v>
      </c>
      <c r="GL233" s="5" t="e">
        <v>#REF!</v>
      </c>
      <c r="GM233" s="5" t="e">
        <v>#REF!</v>
      </c>
      <c r="GN233" s="5" t="e">
        <v>#REF!</v>
      </c>
      <c r="GO233" s="5" t="e">
        <v>#REF!</v>
      </c>
      <c r="GP233" s="5" t="e">
        <v>#REF!</v>
      </c>
      <c r="GQ233" s="5" t="e">
        <v>#REF!</v>
      </c>
      <c r="GR233" s="5" t="e">
        <v>#REF!</v>
      </c>
      <c r="GS233" s="5" t="e">
        <v>#REF!</v>
      </c>
      <c r="GT233" s="5" t="e">
        <v>#REF!</v>
      </c>
      <c r="GU233" s="5" t="e">
        <v>#REF!</v>
      </c>
      <c r="GV233" s="5" t="e">
        <v>#REF!</v>
      </c>
      <c r="GW233" s="5" t="e">
        <v>#REF!</v>
      </c>
      <c r="GX233" s="5" t="e">
        <v>#REF!</v>
      </c>
      <c r="GY233" s="5" t="e">
        <v>#REF!</v>
      </c>
      <c r="GZ233" s="5" t="e">
        <v>#REF!</v>
      </c>
      <c r="HA233" s="5" t="e">
        <v>#REF!</v>
      </c>
      <c r="HB233" s="5" t="e">
        <v>#REF!</v>
      </c>
      <c r="HC233" s="5" t="e">
        <v>#REF!</v>
      </c>
      <c r="HD233" s="5" t="e">
        <v>#REF!</v>
      </c>
      <c r="HE233" s="5" t="e">
        <v>#REF!</v>
      </c>
      <c r="HF233" s="5" t="e">
        <v>#REF!</v>
      </c>
      <c r="HG233" s="5" t="e">
        <v>#REF!</v>
      </c>
      <c r="HH233" s="5" t="e">
        <v>#REF!</v>
      </c>
      <c r="HI233" s="5" t="e">
        <v>#REF!</v>
      </c>
      <c r="HJ233" s="5" t="e">
        <v>#REF!</v>
      </c>
      <c r="HK233" s="5" t="e">
        <v>#REF!</v>
      </c>
      <c r="HL233" s="5" t="e">
        <v>#REF!</v>
      </c>
      <c r="HM233" s="5" t="e">
        <v>#REF!</v>
      </c>
      <c r="HN233" s="5" t="e">
        <v>#REF!</v>
      </c>
      <c r="HO233" s="5" t="e">
        <v>#REF!</v>
      </c>
      <c r="HP233" s="5" t="e">
        <v>#REF!</v>
      </c>
      <c r="HQ233" s="5" t="e">
        <v>#REF!</v>
      </c>
      <c r="HR233" s="5" t="e">
        <v>#REF!</v>
      </c>
      <c r="HS233" s="5" t="e">
        <v>#REF!</v>
      </c>
      <c r="HT233" s="5" t="e">
        <v>#REF!</v>
      </c>
      <c r="HU233" s="5" t="e">
        <v>#REF!</v>
      </c>
      <c r="HV233" s="5" t="e">
        <v>#REF!</v>
      </c>
      <c r="HW233" s="5" t="e">
        <v>#REF!</v>
      </c>
      <c r="HX233" s="5" t="e">
        <v>#REF!</v>
      </c>
      <c r="HY233" s="5" t="e">
        <v>#REF!</v>
      </c>
      <c r="HZ233" s="5" t="e">
        <v>#REF!</v>
      </c>
      <c r="IA233" s="5" t="e">
        <v>#REF!</v>
      </c>
      <c r="IB233" s="5" t="e">
        <v>#REF!</v>
      </c>
      <c r="IC233" s="5" t="e">
        <v>#REF!</v>
      </c>
      <c r="ID233" s="5" t="e">
        <v>#REF!</v>
      </c>
      <c r="IE233" s="5" t="e">
        <v>#REF!</v>
      </c>
      <c r="IF233" s="5" t="e">
        <v>#REF!</v>
      </c>
      <c r="IG233" s="5" t="e">
        <v>#REF!</v>
      </c>
      <c r="IH233" s="5" t="e">
        <v>#REF!</v>
      </c>
      <c r="II233" s="5" t="e">
        <v>#REF!</v>
      </c>
      <c r="IJ233" s="5" t="e">
        <v>#REF!</v>
      </c>
      <c r="IK233" s="5" t="e">
        <v>#REF!</v>
      </c>
      <c r="IL233" s="5" t="e">
        <v>#REF!</v>
      </c>
      <c r="IM233" s="5" t="e">
        <v>#REF!</v>
      </c>
      <c r="IN233" s="5" t="e">
        <v>#REF!</v>
      </c>
      <c r="IO233" s="5" t="e">
        <v>#REF!</v>
      </c>
      <c r="IP233" s="5" t="e">
        <v>#REF!</v>
      </c>
      <c r="IQ233" s="5" t="e">
        <v>#REF!</v>
      </c>
      <c r="IR233" s="5" t="e">
        <v>#REF!</v>
      </c>
      <c r="IS233" s="5" t="e">
        <v>#REF!</v>
      </c>
      <c r="IT233" s="5" t="e">
        <v>#REF!</v>
      </c>
      <c r="IU233" s="5" t="e">
        <v>#REF!</v>
      </c>
      <c r="IV233" s="5" t="e">
        <v>#REF!</v>
      </c>
      <c r="IW233" s="5" t="e">
        <v>#REF!</v>
      </c>
      <c r="IX233" s="5" t="e">
        <v>#REF!</v>
      </c>
      <c r="IY233" s="5" t="e">
        <v>#REF!</v>
      </c>
      <c r="IZ233" s="5" t="e">
        <v>#REF!</v>
      </c>
      <c r="JA233" s="5" t="e">
        <v>#REF!</v>
      </c>
      <c r="JB233" s="5" t="e">
        <v>#REF!</v>
      </c>
      <c r="JC233" s="5" t="e">
        <v>#REF!</v>
      </c>
      <c r="JD233" s="5" t="e">
        <v>#REF!</v>
      </c>
      <c r="JE233" s="5" t="e">
        <v>#REF!</v>
      </c>
      <c r="JF233" s="5" t="e">
        <v>#REF!</v>
      </c>
      <c r="JG233" s="5" t="e">
        <v>#REF!</v>
      </c>
      <c r="JH233" s="5" t="e">
        <v>#REF!</v>
      </c>
      <c r="JI233" s="5" t="e">
        <v>#REF!</v>
      </c>
      <c r="JJ233" s="5" t="e">
        <v>#REF!</v>
      </c>
      <c r="JK233" s="5" t="e">
        <v>#REF!</v>
      </c>
      <c r="JL233" s="5" t="e">
        <v>#REF!</v>
      </c>
      <c r="JM233" s="5" t="e">
        <v>#REF!</v>
      </c>
      <c r="JN233" s="5" t="e">
        <v>#REF!</v>
      </c>
      <c r="JO233" s="5" t="e">
        <v>#REF!</v>
      </c>
      <c r="JP233" s="5" t="e">
        <v>#REF!</v>
      </c>
      <c r="JQ233" s="5" t="e">
        <v>#REF!</v>
      </c>
      <c r="JR233" s="5" t="e">
        <v>#REF!</v>
      </c>
      <c r="JS233" s="5" t="e">
        <v>#REF!</v>
      </c>
      <c r="JT233" s="5" t="e">
        <v>#REF!</v>
      </c>
      <c r="JU233" s="5" t="e">
        <v>#REF!</v>
      </c>
      <c r="JV233" s="5" t="e">
        <v>#REF!</v>
      </c>
      <c r="JW233" s="5" t="e">
        <v>#REF!</v>
      </c>
      <c r="JX233" s="5" t="e">
        <v>#REF!</v>
      </c>
      <c r="JY233" s="5" t="e">
        <v>#REF!</v>
      </c>
      <c r="JZ233" s="5" t="e">
        <v>#REF!</v>
      </c>
      <c r="KA233" s="5" t="e">
        <v>#REF!</v>
      </c>
      <c r="KB233" s="5" t="e">
        <v>#REF!</v>
      </c>
      <c r="KC233" s="5" t="e">
        <v>#REF!</v>
      </c>
      <c r="KD233" s="5" t="e">
        <v>#REF!</v>
      </c>
      <c r="KE233" s="5" t="e">
        <v>#REF!</v>
      </c>
      <c r="KF233" s="5" t="e">
        <v>#REF!</v>
      </c>
      <c r="KG233" s="5" t="e">
        <v>#REF!</v>
      </c>
      <c r="KH233" s="5" t="e">
        <v>#REF!</v>
      </c>
      <c r="KI233" s="5" t="e">
        <v>#REF!</v>
      </c>
      <c r="KJ233" s="5" t="e">
        <v>#REF!</v>
      </c>
      <c r="KK233" s="5" t="e">
        <v>#REF!</v>
      </c>
      <c r="KL233" s="5" t="e">
        <v>#REF!</v>
      </c>
      <c r="KM233" s="5" t="e">
        <v>#REF!</v>
      </c>
      <c r="KN233" s="5" t="e">
        <v>#REF!</v>
      </c>
      <c r="KO233" s="5" t="e">
        <v>#REF!</v>
      </c>
      <c r="KP233" s="5" t="e">
        <v>#REF!</v>
      </c>
      <c r="KQ233" s="5" t="e">
        <v>#REF!</v>
      </c>
      <c r="KR233" s="5" t="e">
        <v>#REF!</v>
      </c>
      <c r="KS233" s="5" t="e">
        <v>#REF!</v>
      </c>
      <c r="KT233" s="5" t="e">
        <v>#REF!</v>
      </c>
      <c r="KU233" s="5" t="e">
        <v>#REF!</v>
      </c>
      <c r="KV233" s="5" t="e">
        <v>#REF!</v>
      </c>
      <c r="KW233" s="5" t="e">
        <v>#REF!</v>
      </c>
      <c r="KX233" s="5" t="e">
        <v>#REF!</v>
      </c>
      <c r="KY233" s="5" t="e">
        <v>#REF!</v>
      </c>
      <c r="KZ233" s="5" t="e">
        <v>#REF!</v>
      </c>
      <c r="LA233" s="5" t="e">
        <v>#REF!</v>
      </c>
      <c r="LB233" s="5" t="e">
        <v>#REF!</v>
      </c>
      <c r="LC233" s="5" t="e">
        <v>#REF!</v>
      </c>
      <c r="LD233" s="5" t="e">
        <v>#REF!</v>
      </c>
      <c r="LE233" s="5" t="e">
        <v>#REF!</v>
      </c>
      <c r="LF233" s="5" t="e">
        <v>#REF!</v>
      </c>
      <c r="LG233" s="5" t="e">
        <v>#REF!</v>
      </c>
      <c r="LH233" s="5" t="e">
        <v>#REF!</v>
      </c>
      <c r="LI233" s="5" t="e">
        <v>#REF!</v>
      </c>
      <c r="LJ233" s="5" t="e">
        <v>#REF!</v>
      </c>
      <c r="LK233" s="5" t="e">
        <v>#REF!</v>
      </c>
      <c r="LL233" s="5" t="e">
        <v>#REF!</v>
      </c>
      <c r="LM233" s="5" t="e">
        <v>#REF!</v>
      </c>
      <c r="LN233" s="5" t="e">
        <v>#REF!</v>
      </c>
      <c r="LO233" s="5" t="e">
        <v>#REF!</v>
      </c>
      <c r="LP233" s="5" t="e">
        <v>#REF!</v>
      </c>
      <c r="LQ233" s="5" t="e">
        <v>#REF!</v>
      </c>
      <c r="LR233" s="5" t="e">
        <v>#REF!</v>
      </c>
      <c r="LS233" s="5" t="e">
        <v>#REF!</v>
      </c>
      <c r="LT233" s="5" t="e">
        <v>#REF!</v>
      </c>
      <c r="LU233" s="5" t="e">
        <v>#REF!</v>
      </c>
      <c r="LV233" s="5" t="e">
        <v>#REF!</v>
      </c>
      <c r="LW233" s="5" t="e">
        <v>#REF!</v>
      </c>
      <c r="LX233" s="5" t="e">
        <v>#REF!</v>
      </c>
      <c r="LY233" s="5" t="e">
        <v>#REF!</v>
      </c>
      <c r="LZ233" s="5" t="e">
        <v>#REF!</v>
      </c>
      <c r="MA233" s="5" t="e">
        <v>#REF!</v>
      </c>
      <c r="MB233" s="5" t="e">
        <v>#REF!</v>
      </c>
      <c r="MC233" s="5" t="e">
        <v>#REF!</v>
      </c>
      <c r="MD233" s="5" t="e">
        <v>#REF!</v>
      </c>
      <c r="ME233" s="5" t="e">
        <v>#REF!</v>
      </c>
      <c r="MF233" s="5" t="e">
        <v>#REF!</v>
      </c>
      <c r="MG233" s="5" t="e">
        <v>#REF!</v>
      </c>
      <c r="MH233" s="5" t="e">
        <v>#REF!</v>
      </c>
      <c r="MI233" s="5" t="e">
        <v>#REF!</v>
      </c>
      <c r="MJ233" s="5" t="e">
        <v>#REF!</v>
      </c>
      <c r="MK233" s="5" t="e">
        <v>#REF!</v>
      </c>
      <c r="ML233" s="5" t="e">
        <v>#REF!</v>
      </c>
      <c r="MM233" s="5" t="e">
        <v>#REF!</v>
      </c>
      <c r="MN233" s="5" t="e">
        <v>#REF!</v>
      </c>
      <c r="MO233" s="5" t="e">
        <v>#REF!</v>
      </c>
      <c r="MP233" s="5" t="e">
        <v>#REF!</v>
      </c>
      <c r="MQ233" s="5" t="e">
        <v>#REF!</v>
      </c>
      <c r="MR233" s="5" t="e">
        <v>#REF!</v>
      </c>
      <c r="MS233" s="5" t="e">
        <v>#REF!</v>
      </c>
      <c r="MT233" s="5" t="e">
        <v>#REF!</v>
      </c>
      <c r="MU233" s="5" t="e">
        <v>#REF!</v>
      </c>
      <c r="MV233" s="5" t="e">
        <v>#REF!</v>
      </c>
      <c r="MW233" s="5" t="e">
        <v>#REF!</v>
      </c>
      <c r="MX233" s="5" t="e">
        <v>#REF!</v>
      </c>
      <c r="MY233" s="5" t="e">
        <v>#REF!</v>
      </c>
      <c r="MZ233" s="5" t="e">
        <v>#REF!</v>
      </c>
      <c r="NA233" s="5" t="e">
        <v>#REF!</v>
      </c>
      <c r="NB233" s="5" t="e">
        <v>#REF!</v>
      </c>
      <c r="NC233" s="5" t="e">
        <v>#REF!</v>
      </c>
      <c r="ND233" s="5" t="e">
        <v>#REF!</v>
      </c>
      <c r="NE233" s="5" t="e">
        <v>#REF!</v>
      </c>
      <c r="NF233" s="5" t="e">
        <v>#REF!</v>
      </c>
      <c r="NG233" s="5" t="e">
        <v>#REF!</v>
      </c>
      <c r="NH233" s="5" t="e">
        <v>#REF!</v>
      </c>
      <c r="NI233" s="5" t="e">
        <v>#REF!</v>
      </c>
      <c r="NJ233" s="5" t="e">
        <v>#REF!</v>
      </c>
      <c r="NK233" s="5" t="e">
        <v>#REF!</v>
      </c>
      <c r="NL233" s="5" t="e">
        <v>#REF!</v>
      </c>
      <c r="NM233" s="5" t="e">
        <v>#REF!</v>
      </c>
      <c r="NN233" s="5" t="e">
        <v>#REF!</v>
      </c>
      <c r="NO233" s="5" t="e">
        <v>#REF!</v>
      </c>
      <c r="NP233" s="5" t="e">
        <v>#REF!</v>
      </c>
      <c r="NQ233" s="5" t="e">
        <v>#REF!</v>
      </c>
      <c r="NR233" s="5" t="e">
        <v>#REF!</v>
      </c>
      <c r="NS233" s="5" t="e">
        <v>#REF!</v>
      </c>
      <c r="NT233" s="5" t="e">
        <v>#REF!</v>
      </c>
      <c r="NU233" s="5" t="e">
        <v>#REF!</v>
      </c>
      <c r="NV233" s="5" t="e">
        <v>#REF!</v>
      </c>
      <c r="NW233" s="5" t="e">
        <v>#REF!</v>
      </c>
      <c r="NX233" s="5" t="e">
        <v>#REF!</v>
      </c>
      <c r="NY233" s="5" t="e">
        <v>#REF!</v>
      </c>
      <c r="NZ233" s="5" t="e">
        <v>#REF!</v>
      </c>
      <c r="OA233" s="5" t="e">
        <v>#REF!</v>
      </c>
      <c r="OB233" s="5" t="e">
        <v>#REF!</v>
      </c>
      <c r="OC233" s="5" t="e">
        <v>#REF!</v>
      </c>
      <c r="OD233" s="5" t="e">
        <v>#REF!</v>
      </c>
      <c r="OE233" t="e">
        <v>#REF!</v>
      </c>
      <c r="OF233" t="e">
        <v>#REF!</v>
      </c>
      <c r="OG233" t="e">
        <v>#REF!</v>
      </c>
      <c r="OH233" t="e">
        <v>#REF!</v>
      </c>
      <c r="OI233" t="e">
        <v>#REF!</v>
      </c>
      <c r="OJ233" t="e">
        <v>#REF!</v>
      </c>
      <c r="OK233" t="e">
        <v>#REF!</v>
      </c>
    </row>
    <row r="234" spans="2:401" x14ac:dyDescent="0.3">
      <c r="D234" s="119"/>
      <c r="J234" s="65"/>
      <c r="K234" s="55"/>
      <c r="L234" s="66"/>
      <c r="M234" s="129" t="s">
        <v>173</v>
      </c>
      <c r="N234" s="130"/>
      <c r="O234" s="155"/>
      <c r="P234" s="130" t="e" cm="1">
        <f t="array" ref="P234">_xlfn.ANCHORARRAY(P221)+_xlfn.ANCHORARRAY(P228)-_xlfn.ANCHORARRAY(P231)</f>
        <v>#REF!</v>
      </c>
    </row>
    <row r="235" spans="2:401" x14ac:dyDescent="0.3">
      <c r="D235" s="119"/>
      <c r="J235" s="65"/>
      <c r="K235" s="55"/>
      <c r="L235" s="55"/>
      <c r="M235" s="55"/>
      <c r="N235" s="55"/>
      <c r="O235" s="55"/>
      <c r="P235" s="55"/>
    </row>
    <row r="236" spans="2:401" x14ac:dyDescent="0.3">
      <c r="D236" s="119"/>
      <c r="J236" s="65"/>
      <c r="K236" s="55"/>
      <c r="L236" s="55"/>
      <c r="M236" s="55" t="s">
        <v>227</v>
      </c>
      <c r="N236" s="55"/>
      <c r="O236" s="55"/>
      <c r="P236" s="55"/>
    </row>
    <row r="237" spans="2:401" x14ac:dyDescent="0.3">
      <c r="D237" s="119"/>
      <c r="J237" s="65"/>
      <c r="K237" s="55"/>
      <c r="L237" s="55"/>
      <c r="M237" s="55" t="s">
        <v>226</v>
      </c>
      <c r="N237" s="55"/>
      <c r="O237" s="55"/>
      <c r="P237" s="55"/>
    </row>
    <row r="238" spans="2:401" x14ac:dyDescent="0.3">
      <c r="D238" s="119"/>
      <c r="J238" s="65"/>
      <c r="K238" s="55"/>
      <c r="L238" s="55"/>
      <c r="M238" s="55" t="s">
        <v>228</v>
      </c>
      <c r="N238" s="55"/>
      <c r="O238" s="55"/>
      <c r="P238" s="55"/>
    </row>
    <row r="239" spans="2:401" ht="14.4" thickBot="1" x14ac:dyDescent="0.35">
      <c r="D239" s="119"/>
      <c r="J239" s="143"/>
      <c r="K239" s="142"/>
      <c r="L239" s="141" t="s">
        <v>217</v>
      </c>
      <c r="M239" s="142"/>
      <c r="N239" s="142"/>
      <c r="O239" s="142"/>
      <c r="P239" s="142"/>
    </row>
    <row r="240" spans="2:401" x14ac:dyDescent="0.3">
      <c r="D240" s="119"/>
      <c r="J240" s="192"/>
      <c r="K240" s="193"/>
      <c r="L240" s="194" t="s">
        <v>287</v>
      </c>
      <c r="M240" s="193"/>
      <c r="N240" s="189"/>
      <c r="O240" s="189"/>
      <c r="P240" s="189"/>
    </row>
    <row r="241" spans="4:401" x14ac:dyDescent="0.3">
      <c r="D241" s="119"/>
      <c r="J241" s="104"/>
      <c r="K241" s="189"/>
      <c r="L241" s="189"/>
      <c r="M241" s="189"/>
      <c r="N241" s="189"/>
      <c r="O241" s="189"/>
      <c r="P241" s="189"/>
    </row>
    <row r="242" spans="4:401" x14ac:dyDescent="0.3">
      <c r="D242" s="119"/>
      <c r="J242" s="65"/>
      <c r="K242" s="55"/>
      <c r="L242" s="66"/>
      <c r="M242" s="217" t="s">
        <v>254</v>
      </c>
      <c r="N242" s="218"/>
      <c r="O242" s="219"/>
      <c r="P242" s="218"/>
    </row>
    <row r="243" spans="4:401" x14ac:dyDescent="0.3">
      <c r="D243" s="119"/>
      <c r="J243" s="65"/>
      <c r="K243" s="55"/>
      <c r="L243" s="66"/>
      <c r="M243" s="222" t="s">
        <v>259</v>
      </c>
      <c r="N243" s="225">
        <f>SUM(_xlfn.ANCHORARRAY(P243))</f>
        <v>-31714387.857752088</v>
      </c>
      <c r="O243" s="223" t="s">
        <v>81</v>
      </c>
      <c r="P243" s="226" cm="1">
        <f t="array" ref="P243:OK243">IF((E55&lt;=_xlfn.ANCHORARRAY(P2))*(_xlfn.ANCHORARRAY(P2)&lt;EDATE(E55,$E$112*12)),-_xlfn.ANCHORARRAY(P126)*E113,0%)</f>
        <v>0</v>
      </c>
      <c r="Q243" s="226">
        <v>0</v>
      </c>
      <c r="R243" s="226">
        <v>0</v>
      </c>
      <c r="S243" s="226">
        <v>0</v>
      </c>
      <c r="T243" s="226">
        <v>0</v>
      </c>
      <c r="U243" s="226">
        <v>0</v>
      </c>
      <c r="V243" s="226">
        <v>0</v>
      </c>
      <c r="W243" s="226">
        <v>0</v>
      </c>
      <c r="X243" s="226">
        <v>0</v>
      </c>
      <c r="Y243" s="226">
        <v>0</v>
      </c>
      <c r="Z243" s="226">
        <v>0</v>
      </c>
      <c r="AA243" s="226">
        <v>0</v>
      </c>
      <c r="AB243" s="226">
        <v>0</v>
      </c>
      <c r="AC243" s="226">
        <v>0</v>
      </c>
      <c r="AD243" s="226">
        <v>0</v>
      </c>
      <c r="AE243" s="226">
        <v>0</v>
      </c>
      <c r="AF243" s="226">
        <v>-508017.77022169129</v>
      </c>
      <c r="AG243" s="226">
        <v>-599537.83083494892</v>
      </c>
      <c r="AH243" s="226">
        <v>-699163.42842157977</v>
      </c>
      <c r="AI243" s="226">
        <v>-771750.95097509969</v>
      </c>
      <c r="AJ243" s="226">
        <v>-829673.23369527853</v>
      </c>
      <c r="AK243" s="226">
        <v>-768960.76615977904</v>
      </c>
      <c r="AL243" s="226">
        <v>-595623.22343499318</v>
      </c>
      <c r="AM243" s="226">
        <v>-479421.31478297658</v>
      </c>
      <c r="AN243" s="226">
        <v>-311623.38820519106</v>
      </c>
      <c r="AO243" s="226">
        <v>-224098.94107115519</v>
      </c>
      <c r="AP243" s="226">
        <v>-256592.19585276864</v>
      </c>
      <c r="AQ243" s="226">
        <v>-338337.84218254132</v>
      </c>
      <c r="AR243" s="226">
        <v>-507848.4309649507</v>
      </c>
      <c r="AS243" s="226">
        <v>-599138.20556304022</v>
      </c>
      <c r="AT243" s="226">
        <v>-698464.49802173942</v>
      </c>
      <c r="AU243" s="226">
        <v>-770722.46409344289</v>
      </c>
      <c r="AV243" s="226">
        <v>-828291.36652436655</v>
      </c>
      <c r="AW243" s="226">
        <v>-767424.12565927836</v>
      </c>
      <c r="AX243" s="226">
        <v>-594234.82492931944</v>
      </c>
      <c r="AY243" s="226">
        <v>-478144.3484825936</v>
      </c>
      <c r="AZ243" s="226">
        <v>-310689.76356511802</v>
      </c>
      <c r="BA243" s="226">
        <v>-223353.0641002089</v>
      </c>
      <c r="BB243" s="226">
        <v>-255652.92429770911</v>
      </c>
      <c r="BC243" s="226">
        <v>-336986.96920322691</v>
      </c>
      <c r="BD243" s="226">
        <v>-505820.75732799579</v>
      </c>
      <c r="BE243" s="226">
        <v>-596746.04154275497</v>
      </c>
      <c r="BF243" s="226">
        <v>-695675.75641571195</v>
      </c>
      <c r="BG243" s="226">
        <v>-767645.21992655273</v>
      </c>
      <c r="BH243" s="226">
        <v>-824984.26845097542</v>
      </c>
      <c r="BI243" s="226">
        <v>-764360.05068516475</v>
      </c>
      <c r="BJ243" s="226">
        <v>-591862.23851336795</v>
      </c>
      <c r="BK243" s="226">
        <v>-476235.27358748164</v>
      </c>
      <c r="BL243" s="226">
        <v>-309449.28037280851</v>
      </c>
      <c r="BM243" s="226">
        <v>-222461.28794772859</v>
      </c>
      <c r="BN243" s="226">
        <v>-254632.18530709346</v>
      </c>
      <c r="BO243" s="226">
        <v>-335641.4898204268</v>
      </c>
      <c r="BP243" s="226">
        <v>-503801.17953249137</v>
      </c>
      <c r="BQ243" s="226">
        <v>-594363.42865549179</v>
      </c>
      <c r="BR243" s="226">
        <v>-692898.14934804314</v>
      </c>
      <c r="BS243" s="226">
        <v>-764580.2621949279</v>
      </c>
      <c r="BT243" s="226">
        <v>-821690.37454475195</v>
      </c>
      <c r="BU243" s="226">
        <v>-761308.20956601249</v>
      </c>
      <c r="BV243" s="226">
        <v>-589499.12506343075</v>
      </c>
      <c r="BW243" s="226">
        <v>-474333.8210076114</v>
      </c>
      <c r="BX243" s="226">
        <v>-308213.75002649159</v>
      </c>
      <c r="BY243" s="226">
        <v>-221573.0723674272</v>
      </c>
      <c r="BZ243" s="226">
        <v>-253615.52179533191</v>
      </c>
      <c r="CA243" s="226">
        <v>-334301.38249926403</v>
      </c>
      <c r="CB243" s="226">
        <v>-501789.66525437532</v>
      </c>
      <c r="CC243" s="226">
        <v>-591990.32876668253</v>
      </c>
      <c r="CD243" s="226">
        <v>-690131.63236214162</v>
      </c>
      <c r="CE243" s="226">
        <v>-761527.54184282792</v>
      </c>
      <c r="CF243" s="226">
        <v>-818409.63208575035</v>
      </c>
      <c r="CG243" s="226">
        <v>-758268.5534560167</v>
      </c>
      <c r="CH243" s="226">
        <v>-587145.44675703545</v>
      </c>
      <c r="CI243" s="226">
        <v>-472439.9603095568</v>
      </c>
      <c r="CJ243" s="226">
        <v>-306983.15275106381</v>
      </c>
      <c r="CK243" s="226">
        <v>-220688.40314309808</v>
      </c>
      <c r="CL243" s="226">
        <v>-252602.91749036266</v>
      </c>
      <c r="CM243" s="226">
        <v>-332966.62579084339</v>
      </c>
      <c r="CN243" s="226">
        <v>0</v>
      </c>
      <c r="CO243" s="226">
        <v>0</v>
      </c>
      <c r="CP243" s="226">
        <v>0</v>
      </c>
      <c r="CQ243" s="226">
        <v>0</v>
      </c>
      <c r="CR243" s="226">
        <v>0</v>
      </c>
      <c r="CS243" s="226">
        <v>0</v>
      </c>
      <c r="CT243" s="226">
        <v>0</v>
      </c>
      <c r="CU243" s="226">
        <v>0</v>
      </c>
      <c r="CV243" s="226">
        <v>0</v>
      </c>
      <c r="CW243" s="226">
        <v>0</v>
      </c>
      <c r="CX243" s="226">
        <v>0</v>
      </c>
      <c r="CY243" s="226">
        <v>0</v>
      </c>
      <c r="CZ243" s="226">
        <v>0</v>
      </c>
      <c r="DA243" s="226">
        <v>0</v>
      </c>
      <c r="DB243" s="226">
        <v>0</v>
      </c>
      <c r="DC243" s="226">
        <v>0</v>
      </c>
      <c r="DD243" s="226">
        <v>0</v>
      </c>
      <c r="DE243" s="226">
        <v>0</v>
      </c>
      <c r="DF243" s="226">
        <v>0</v>
      </c>
      <c r="DG243" s="226">
        <v>0</v>
      </c>
      <c r="DH243" s="226">
        <v>0</v>
      </c>
      <c r="DI243" s="226">
        <v>0</v>
      </c>
      <c r="DJ243" s="226">
        <v>0</v>
      </c>
      <c r="DK243" s="226">
        <v>0</v>
      </c>
      <c r="DL243" s="226">
        <v>0</v>
      </c>
      <c r="DM243" s="226">
        <v>0</v>
      </c>
      <c r="DN243" s="226">
        <v>0</v>
      </c>
      <c r="DO243" s="226">
        <v>0</v>
      </c>
      <c r="DP243" s="226">
        <v>0</v>
      </c>
      <c r="DQ243" s="226">
        <v>0</v>
      </c>
      <c r="DR243" s="226">
        <v>0</v>
      </c>
      <c r="DS243" s="226">
        <v>0</v>
      </c>
      <c r="DT243" s="226">
        <v>0</v>
      </c>
      <c r="DU243" s="226">
        <v>0</v>
      </c>
      <c r="DV243" s="226">
        <v>0</v>
      </c>
      <c r="DW243" s="226">
        <v>0</v>
      </c>
      <c r="DX243" s="226">
        <v>0</v>
      </c>
      <c r="DY243" s="226">
        <v>0</v>
      </c>
      <c r="DZ243" s="226">
        <v>0</v>
      </c>
      <c r="EA243" s="226">
        <v>0</v>
      </c>
      <c r="EB243" s="226">
        <v>0</v>
      </c>
      <c r="EC243" s="226">
        <v>0</v>
      </c>
      <c r="ED243" s="226">
        <v>0</v>
      </c>
      <c r="EE243" s="226">
        <v>0</v>
      </c>
      <c r="EF243" s="226">
        <v>0</v>
      </c>
      <c r="EG243" s="226">
        <v>0</v>
      </c>
      <c r="EH243" s="226">
        <v>0</v>
      </c>
      <c r="EI243" s="226">
        <v>0</v>
      </c>
      <c r="EJ243" s="226">
        <v>0</v>
      </c>
      <c r="EK243" s="226">
        <v>0</v>
      </c>
      <c r="EL243" s="226">
        <v>0</v>
      </c>
      <c r="EM243" s="226">
        <v>0</v>
      </c>
      <c r="EN243" s="226">
        <v>0</v>
      </c>
      <c r="EO243" s="226">
        <v>0</v>
      </c>
      <c r="EP243" s="226">
        <v>0</v>
      </c>
      <c r="EQ243" s="226">
        <v>0</v>
      </c>
      <c r="ER243" s="226">
        <v>0</v>
      </c>
      <c r="ES243" s="226">
        <v>0</v>
      </c>
      <c r="ET243" s="226">
        <v>0</v>
      </c>
      <c r="EU243" s="226">
        <v>0</v>
      </c>
      <c r="EV243" s="226">
        <v>0</v>
      </c>
      <c r="EW243" s="226">
        <v>0</v>
      </c>
      <c r="EX243" s="226">
        <v>0</v>
      </c>
      <c r="EY243" s="226">
        <v>0</v>
      </c>
      <c r="EZ243" s="226">
        <v>0</v>
      </c>
      <c r="FA243" s="226">
        <v>0</v>
      </c>
      <c r="FB243" s="226">
        <v>0</v>
      </c>
      <c r="FC243" s="226">
        <v>0</v>
      </c>
      <c r="FD243" s="226">
        <v>0</v>
      </c>
      <c r="FE243" s="226">
        <v>0</v>
      </c>
      <c r="FF243" s="226">
        <v>0</v>
      </c>
      <c r="FG243" s="226">
        <v>0</v>
      </c>
      <c r="FH243" s="226">
        <v>0</v>
      </c>
      <c r="FI243" s="226">
        <v>0</v>
      </c>
      <c r="FJ243" s="226">
        <v>0</v>
      </c>
      <c r="FK243" s="226">
        <v>0</v>
      </c>
      <c r="FL243" s="226">
        <v>0</v>
      </c>
      <c r="FM243" s="226">
        <v>0</v>
      </c>
      <c r="FN243" s="226">
        <v>0</v>
      </c>
      <c r="FO243" s="226">
        <v>0</v>
      </c>
      <c r="FP243" s="226">
        <v>0</v>
      </c>
      <c r="FQ243" s="226">
        <v>0</v>
      </c>
      <c r="FR243" s="226">
        <v>0</v>
      </c>
      <c r="FS243" s="226">
        <v>0</v>
      </c>
      <c r="FT243" s="226">
        <v>0</v>
      </c>
      <c r="FU243" s="226">
        <v>0</v>
      </c>
      <c r="FV243" s="226">
        <v>0</v>
      </c>
      <c r="FW243" s="226">
        <v>0</v>
      </c>
      <c r="FX243" s="226">
        <v>0</v>
      </c>
      <c r="FY243" s="226">
        <v>0</v>
      </c>
      <c r="FZ243" s="226">
        <v>0</v>
      </c>
      <c r="GA243" s="226">
        <v>0</v>
      </c>
      <c r="GB243" s="226">
        <v>0</v>
      </c>
      <c r="GC243" s="226">
        <v>0</v>
      </c>
      <c r="GD243" s="226">
        <v>0</v>
      </c>
      <c r="GE243" s="226">
        <v>0</v>
      </c>
      <c r="GF243" s="226">
        <v>0</v>
      </c>
      <c r="GG243" s="226">
        <v>0</v>
      </c>
      <c r="GH243" s="226">
        <v>0</v>
      </c>
      <c r="GI243" s="226">
        <v>0</v>
      </c>
      <c r="GJ243" s="226">
        <v>0</v>
      </c>
      <c r="GK243" s="226">
        <v>0</v>
      </c>
      <c r="GL243" s="226">
        <v>0</v>
      </c>
      <c r="GM243" s="226">
        <v>0</v>
      </c>
      <c r="GN243" s="226">
        <v>0</v>
      </c>
      <c r="GO243" s="226">
        <v>0</v>
      </c>
      <c r="GP243" s="226">
        <v>0</v>
      </c>
      <c r="GQ243" s="226">
        <v>0</v>
      </c>
      <c r="GR243" s="226">
        <v>0</v>
      </c>
      <c r="GS243" s="226">
        <v>0</v>
      </c>
      <c r="GT243" s="226">
        <v>0</v>
      </c>
      <c r="GU243" s="226">
        <v>0</v>
      </c>
      <c r="GV243" s="226">
        <v>0</v>
      </c>
      <c r="GW243" s="226">
        <v>0</v>
      </c>
      <c r="GX243" s="226">
        <v>0</v>
      </c>
      <c r="GY243" s="226">
        <v>0</v>
      </c>
      <c r="GZ243" s="226">
        <v>0</v>
      </c>
      <c r="HA243" s="226">
        <v>0</v>
      </c>
      <c r="HB243" s="226">
        <v>0</v>
      </c>
      <c r="HC243" s="226">
        <v>0</v>
      </c>
      <c r="HD243" s="226">
        <v>0</v>
      </c>
      <c r="HE243" s="226">
        <v>0</v>
      </c>
      <c r="HF243" s="226">
        <v>0</v>
      </c>
      <c r="HG243" s="226">
        <v>0</v>
      </c>
      <c r="HH243" s="226">
        <v>0</v>
      </c>
      <c r="HI243" s="226">
        <v>0</v>
      </c>
      <c r="HJ243" s="226">
        <v>0</v>
      </c>
      <c r="HK243" s="226">
        <v>0</v>
      </c>
      <c r="HL243" s="226">
        <v>0</v>
      </c>
      <c r="HM243" s="226">
        <v>0</v>
      </c>
      <c r="HN243" s="226">
        <v>0</v>
      </c>
      <c r="HO243" s="226">
        <v>0</v>
      </c>
      <c r="HP243" s="226">
        <v>0</v>
      </c>
      <c r="HQ243" s="226">
        <v>0</v>
      </c>
      <c r="HR243" s="226">
        <v>0</v>
      </c>
      <c r="HS243" s="226">
        <v>0</v>
      </c>
      <c r="HT243" s="226">
        <v>0</v>
      </c>
      <c r="HU243" s="226">
        <v>0</v>
      </c>
      <c r="HV243" s="226">
        <v>0</v>
      </c>
      <c r="HW243" s="226">
        <v>0</v>
      </c>
      <c r="HX243" s="226">
        <v>0</v>
      </c>
      <c r="HY243" s="226">
        <v>0</v>
      </c>
      <c r="HZ243" s="226">
        <v>0</v>
      </c>
      <c r="IA243" s="226">
        <v>0</v>
      </c>
      <c r="IB243" s="226">
        <v>0</v>
      </c>
      <c r="IC243" s="226">
        <v>0</v>
      </c>
      <c r="ID243" s="226">
        <v>0</v>
      </c>
      <c r="IE243" s="226">
        <v>0</v>
      </c>
      <c r="IF243" s="226">
        <v>0</v>
      </c>
      <c r="IG243" s="226">
        <v>0</v>
      </c>
      <c r="IH243" s="226">
        <v>0</v>
      </c>
      <c r="II243" s="226">
        <v>0</v>
      </c>
      <c r="IJ243" s="226">
        <v>0</v>
      </c>
      <c r="IK243" s="226">
        <v>0</v>
      </c>
      <c r="IL243" s="226">
        <v>0</v>
      </c>
      <c r="IM243" s="226">
        <v>0</v>
      </c>
      <c r="IN243" s="226">
        <v>0</v>
      </c>
      <c r="IO243" s="226">
        <v>0</v>
      </c>
      <c r="IP243" s="226">
        <v>0</v>
      </c>
      <c r="IQ243" s="226">
        <v>0</v>
      </c>
      <c r="IR243" s="226">
        <v>0</v>
      </c>
      <c r="IS243" s="226">
        <v>0</v>
      </c>
      <c r="IT243" s="226">
        <v>0</v>
      </c>
      <c r="IU243" s="226">
        <v>0</v>
      </c>
      <c r="IV243" s="226">
        <v>0</v>
      </c>
      <c r="IW243" s="226">
        <v>0</v>
      </c>
      <c r="IX243" s="226">
        <v>0</v>
      </c>
      <c r="IY243" s="226">
        <v>0</v>
      </c>
      <c r="IZ243" s="226">
        <v>0</v>
      </c>
      <c r="JA243" s="226">
        <v>0</v>
      </c>
      <c r="JB243" s="226">
        <v>0</v>
      </c>
      <c r="JC243" s="226">
        <v>0</v>
      </c>
      <c r="JD243" s="226">
        <v>0</v>
      </c>
      <c r="JE243" s="226">
        <v>0</v>
      </c>
      <c r="JF243" s="226">
        <v>0</v>
      </c>
      <c r="JG243" s="226">
        <v>0</v>
      </c>
      <c r="JH243" s="226">
        <v>0</v>
      </c>
      <c r="JI243" s="226">
        <v>0</v>
      </c>
      <c r="JJ243" s="226">
        <v>0</v>
      </c>
      <c r="JK243" s="226">
        <v>0</v>
      </c>
      <c r="JL243" s="226">
        <v>0</v>
      </c>
      <c r="JM243" s="226">
        <v>0</v>
      </c>
      <c r="JN243" s="226">
        <v>0</v>
      </c>
      <c r="JO243" s="226">
        <v>0</v>
      </c>
      <c r="JP243" s="226">
        <v>0</v>
      </c>
      <c r="JQ243" s="226">
        <v>0</v>
      </c>
      <c r="JR243" s="226">
        <v>0</v>
      </c>
      <c r="JS243" s="226">
        <v>0</v>
      </c>
      <c r="JT243" s="226">
        <v>0</v>
      </c>
      <c r="JU243" s="226">
        <v>0</v>
      </c>
      <c r="JV243" s="226">
        <v>0</v>
      </c>
      <c r="JW243" s="226">
        <v>0</v>
      </c>
      <c r="JX243" s="226">
        <v>0</v>
      </c>
      <c r="JY243" s="226">
        <v>0</v>
      </c>
      <c r="JZ243" s="226">
        <v>0</v>
      </c>
      <c r="KA243" s="226">
        <v>0</v>
      </c>
      <c r="KB243" s="226">
        <v>0</v>
      </c>
      <c r="KC243" s="226">
        <v>0</v>
      </c>
      <c r="KD243" s="226">
        <v>0</v>
      </c>
      <c r="KE243" s="226">
        <v>0</v>
      </c>
      <c r="KF243" s="226">
        <v>0</v>
      </c>
      <c r="KG243" s="226">
        <v>0</v>
      </c>
      <c r="KH243" s="226">
        <v>0</v>
      </c>
      <c r="KI243" s="226">
        <v>0</v>
      </c>
      <c r="KJ243" s="226">
        <v>0</v>
      </c>
      <c r="KK243" s="226">
        <v>0</v>
      </c>
      <c r="KL243" s="226">
        <v>0</v>
      </c>
      <c r="KM243" s="226">
        <v>0</v>
      </c>
      <c r="KN243" s="226">
        <v>0</v>
      </c>
      <c r="KO243" s="226">
        <v>0</v>
      </c>
      <c r="KP243" s="226">
        <v>0</v>
      </c>
      <c r="KQ243" s="226">
        <v>0</v>
      </c>
      <c r="KR243" s="226">
        <v>0</v>
      </c>
      <c r="KS243" s="226">
        <v>0</v>
      </c>
      <c r="KT243" s="226">
        <v>0</v>
      </c>
      <c r="KU243" s="226">
        <v>0</v>
      </c>
      <c r="KV243" s="226">
        <v>0</v>
      </c>
      <c r="KW243" s="226">
        <v>0</v>
      </c>
      <c r="KX243" s="226">
        <v>0</v>
      </c>
      <c r="KY243" s="226">
        <v>0</v>
      </c>
      <c r="KZ243" s="226">
        <v>0</v>
      </c>
      <c r="LA243" s="226">
        <v>0</v>
      </c>
      <c r="LB243" s="226">
        <v>0</v>
      </c>
      <c r="LC243" s="226">
        <v>0</v>
      </c>
      <c r="LD243" s="226">
        <v>0</v>
      </c>
      <c r="LE243" s="226">
        <v>0</v>
      </c>
      <c r="LF243" s="226">
        <v>0</v>
      </c>
      <c r="LG243" s="226">
        <v>0</v>
      </c>
      <c r="LH243" s="226">
        <v>0</v>
      </c>
      <c r="LI243" s="226">
        <v>0</v>
      </c>
      <c r="LJ243" s="226">
        <v>0</v>
      </c>
      <c r="LK243" s="226">
        <v>0</v>
      </c>
      <c r="LL243" s="226">
        <v>0</v>
      </c>
      <c r="LM243" s="226">
        <v>0</v>
      </c>
      <c r="LN243" s="226">
        <v>0</v>
      </c>
      <c r="LO243" s="226">
        <v>0</v>
      </c>
      <c r="LP243" s="226">
        <v>0</v>
      </c>
      <c r="LQ243" s="226">
        <v>0</v>
      </c>
      <c r="LR243" s="226">
        <v>0</v>
      </c>
      <c r="LS243" s="226">
        <v>0</v>
      </c>
      <c r="LT243" s="226">
        <v>0</v>
      </c>
      <c r="LU243" s="226">
        <v>0</v>
      </c>
      <c r="LV243" s="226">
        <v>0</v>
      </c>
      <c r="LW243" s="226">
        <v>0</v>
      </c>
      <c r="LX243" s="226">
        <v>0</v>
      </c>
      <c r="LY243" s="226">
        <v>0</v>
      </c>
      <c r="LZ243" s="226">
        <v>0</v>
      </c>
      <c r="MA243" s="226">
        <v>0</v>
      </c>
      <c r="MB243" s="226">
        <v>0</v>
      </c>
      <c r="MC243" s="226">
        <v>0</v>
      </c>
      <c r="MD243" s="226">
        <v>0</v>
      </c>
      <c r="ME243" s="226">
        <v>0</v>
      </c>
      <c r="MF243" s="226">
        <v>0</v>
      </c>
      <c r="MG243" s="226">
        <v>0</v>
      </c>
      <c r="MH243" s="226">
        <v>0</v>
      </c>
      <c r="MI243" s="226">
        <v>0</v>
      </c>
      <c r="MJ243" s="226">
        <v>0</v>
      </c>
      <c r="MK243" s="226">
        <v>0</v>
      </c>
      <c r="ML243" s="226">
        <v>0</v>
      </c>
      <c r="MM243" s="226">
        <v>0</v>
      </c>
      <c r="MN243" s="226">
        <v>0</v>
      </c>
      <c r="MO243" s="226">
        <v>0</v>
      </c>
      <c r="MP243" s="226">
        <v>0</v>
      </c>
      <c r="MQ243" s="226">
        <v>0</v>
      </c>
      <c r="MR243" s="226">
        <v>0</v>
      </c>
      <c r="MS243" s="226">
        <v>0</v>
      </c>
      <c r="MT243" s="226">
        <v>0</v>
      </c>
      <c r="MU243" s="226">
        <v>0</v>
      </c>
      <c r="MV243" s="226">
        <v>0</v>
      </c>
      <c r="MW243" s="226">
        <v>0</v>
      </c>
      <c r="MX243" s="226">
        <v>0</v>
      </c>
      <c r="MY243" s="226">
        <v>0</v>
      </c>
      <c r="MZ243" s="226">
        <v>0</v>
      </c>
      <c r="NA243" s="226">
        <v>0</v>
      </c>
      <c r="NB243" s="226">
        <v>0</v>
      </c>
      <c r="NC243" s="226">
        <v>0</v>
      </c>
      <c r="ND243" s="226">
        <v>0</v>
      </c>
      <c r="NE243" s="226">
        <v>0</v>
      </c>
      <c r="NF243" s="226">
        <v>0</v>
      </c>
      <c r="NG243" s="226">
        <v>0</v>
      </c>
      <c r="NH243" s="226">
        <v>0</v>
      </c>
      <c r="NI243" s="226">
        <v>0</v>
      </c>
      <c r="NJ243" s="226">
        <v>0</v>
      </c>
      <c r="NK243" s="226">
        <v>0</v>
      </c>
      <c r="NL243" s="226">
        <v>0</v>
      </c>
      <c r="NM243" s="226">
        <v>0</v>
      </c>
      <c r="NN243" s="226">
        <v>0</v>
      </c>
      <c r="NO243" s="226">
        <v>0</v>
      </c>
      <c r="NP243" s="226">
        <v>0</v>
      </c>
      <c r="NQ243" s="226">
        <v>0</v>
      </c>
      <c r="NR243" s="226">
        <v>0</v>
      </c>
      <c r="NS243" s="226">
        <v>0</v>
      </c>
      <c r="NT243" s="226">
        <v>0</v>
      </c>
      <c r="NU243" s="226">
        <v>0</v>
      </c>
      <c r="NV243" s="226">
        <v>0</v>
      </c>
      <c r="NW243" s="226">
        <v>0</v>
      </c>
      <c r="NX243" s="226">
        <v>0</v>
      </c>
      <c r="NY243" s="226">
        <v>0</v>
      </c>
      <c r="NZ243" s="226">
        <v>0</v>
      </c>
      <c r="OA243" s="226">
        <v>0</v>
      </c>
      <c r="OB243" s="226">
        <v>0</v>
      </c>
      <c r="OC243" s="226">
        <v>0</v>
      </c>
      <c r="OD243" s="226">
        <v>0</v>
      </c>
      <c r="OE243" s="226">
        <v>0</v>
      </c>
      <c r="OF243" s="226">
        <v>0</v>
      </c>
      <c r="OG243" s="226">
        <v>0</v>
      </c>
      <c r="OH243" s="226">
        <v>0</v>
      </c>
      <c r="OI243" s="226">
        <v>0</v>
      </c>
      <c r="OJ243" s="226">
        <v>0</v>
      </c>
      <c r="OK243" s="226">
        <v>0</v>
      </c>
    </row>
    <row r="244" spans="4:401" x14ac:dyDescent="0.3">
      <c r="D244" s="119"/>
      <c r="J244" s="65"/>
      <c r="K244" s="55"/>
      <c r="L244" s="66"/>
      <c r="M244" s="222" t="s">
        <v>319</v>
      </c>
      <c r="N244" s="225">
        <f>SUM(_xlfn.ANCHORARRAY(P244))</f>
        <v>-6342877.5715504177</v>
      </c>
      <c r="O244" s="223" t="s">
        <v>81</v>
      </c>
      <c r="P244" s="226" cm="1">
        <f t="array" ref="P244:OK244">_xlfn.ANCHORARRAY(P243)*E114</f>
        <v>0</v>
      </c>
      <c r="Q244" s="226">
        <v>0</v>
      </c>
      <c r="R244" s="226">
        <v>0</v>
      </c>
      <c r="S244" s="226">
        <v>0</v>
      </c>
      <c r="T244" s="226">
        <v>0</v>
      </c>
      <c r="U244" s="226">
        <v>0</v>
      </c>
      <c r="V244" s="226">
        <v>0</v>
      </c>
      <c r="W244" s="226">
        <v>0</v>
      </c>
      <c r="X244" s="226">
        <v>0</v>
      </c>
      <c r="Y244" s="226">
        <v>0</v>
      </c>
      <c r="Z244" s="226">
        <v>0</v>
      </c>
      <c r="AA244" s="226">
        <v>0</v>
      </c>
      <c r="AB244" s="226">
        <v>0</v>
      </c>
      <c r="AC244" s="226">
        <v>0</v>
      </c>
      <c r="AD244" s="226">
        <v>0</v>
      </c>
      <c r="AE244" s="226">
        <v>0</v>
      </c>
      <c r="AF244" s="226">
        <v>-101603.55404433826</v>
      </c>
      <c r="AG244" s="226">
        <v>-119907.5661669898</v>
      </c>
      <c r="AH244" s="226">
        <v>-139832.68568431595</v>
      </c>
      <c r="AI244" s="226">
        <v>-154350.19019501994</v>
      </c>
      <c r="AJ244" s="226">
        <v>-165934.64673905572</v>
      </c>
      <c r="AK244" s="226">
        <v>-153792.1532319558</v>
      </c>
      <c r="AL244" s="226">
        <v>-119124.64468699864</v>
      </c>
      <c r="AM244" s="226">
        <v>-95884.262956595325</v>
      </c>
      <c r="AN244" s="226">
        <v>-62324.677641038215</v>
      </c>
      <c r="AO244" s="226">
        <v>-44819.788214231041</v>
      </c>
      <c r="AP244" s="226">
        <v>-51318.439170553727</v>
      </c>
      <c r="AQ244" s="226">
        <v>-67667.568436508271</v>
      </c>
      <c r="AR244" s="226">
        <v>-101569.68619299015</v>
      </c>
      <c r="AS244" s="226">
        <v>-119827.64111260805</v>
      </c>
      <c r="AT244" s="226">
        <v>-139692.89960434788</v>
      </c>
      <c r="AU244" s="226">
        <v>-154144.4928186886</v>
      </c>
      <c r="AV244" s="226">
        <v>-165658.27330487332</v>
      </c>
      <c r="AW244" s="226">
        <v>-153484.82513185567</v>
      </c>
      <c r="AX244" s="226">
        <v>-118846.96498586389</v>
      </c>
      <c r="AY244" s="226">
        <v>-95628.869696518726</v>
      </c>
      <c r="AZ244" s="226">
        <v>-62137.952713023609</v>
      </c>
      <c r="BA244" s="226">
        <v>-44670.612820041781</v>
      </c>
      <c r="BB244" s="226">
        <v>-51130.584859541821</v>
      </c>
      <c r="BC244" s="226">
        <v>-67397.393840645382</v>
      </c>
      <c r="BD244" s="226">
        <v>-101164.15146559916</v>
      </c>
      <c r="BE244" s="226">
        <v>-119349.20830855099</v>
      </c>
      <c r="BF244" s="226">
        <v>-139135.15128314239</v>
      </c>
      <c r="BG244" s="226">
        <v>-153529.04398531056</v>
      </c>
      <c r="BH244" s="226">
        <v>-164996.8536901951</v>
      </c>
      <c r="BI244" s="226">
        <v>-152872.01013703295</v>
      </c>
      <c r="BJ244" s="226">
        <v>-118372.4477026736</v>
      </c>
      <c r="BK244" s="226">
        <v>-95247.054717496329</v>
      </c>
      <c r="BL244" s="226">
        <v>-61889.856074561707</v>
      </c>
      <c r="BM244" s="226">
        <v>-44492.257589545719</v>
      </c>
      <c r="BN244" s="226">
        <v>-50926.437061418692</v>
      </c>
      <c r="BO244" s="226">
        <v>-67128.297964085359</v>
      </c>
      <c r="BP244" s="226">
        <v>-100760.23590649827</v>
      </c>
      <c r="BQ244" s="226">
        <v>-118872.68573109836</v>
      </c>
      <c r="BR244" s="226">
        <v>-138579.62986960865</v>
      </c>
      <c r="BS244" s="226">
        <v>-152916.05243898559</v>
      </c>
      <c r="BT244" s="226">
        <v>-164338.0749089504</v>
      </c>
      <c r="BU244" s="226">
        <v>-152261.6419132025</v>
      </c>
      <c r="BV244" s="226">
        <v>-117899.82501268615</v>
      </c>
      <c r="BW244" s="226">
        <v>-94866.764201522281</v>
      </c>
      <c r="BX244" s="226">
        <v>-61642.750005298323</v>
      </c>
      <c r="BY244" s="226">
        <v>-44314.614473485446</v>
      </c>
      <c r="BZ244" s="226">
        <v>-50723.104359066383</v>
      </c>
      <c r="CA244" s="226">
        <v>-66860.276499852815</v>
      </c>
      <c r="CB244" s="226">
        <v>-100357.93305087507</v>
      </c>
      <c r="CC244" s="226">
        <v>-118398.06575333652</v>
      </c>
      <c r="CD244" s="226">
        <v>-138026.32647242834</v>
      </c>
      <c r="CE244" s="226">
        <v>-152305.50836856558</v>
      </c>
      <c r="CF244" s="226">
        <v>-163681.92641715007</v>
      </c>
      <c r="CG244" s="226">
        <v>-151653.71069120333</v>
      </c>
      <c r="CH244" s="226">
        <v>-117429.08935140709</v>
      </c>
      <c r="CI244" s="226">
        <v>-94487.992061911369</v>
      </c>
      <c r="CJ244" s="226">
        <v>-61396.630550212765</v>
      </c>
      <c r="CK244" s="226">
        <v>-44137.680628619622</v>
      </c>
      <c r="CL244" s="226">
        <v>-50520.583498072534</v>
      </c>
      <c r="CM244" s="226">
        <v>-66593.325158168678</v>
      </c>
      <c r="CN244" s="226">
        <v>0</v>
      </c>
      <c r="CO244" s="226">
        <v>0</v>
      </c>
      <c r="CP244" s="226">
        <v>0</v>
      </c>
      <c r="CQ244" s="226">
        <v>0</v>
      </c>
      <c r="CR244" s="226">
        <v>0</v>
      </c>
      <c r="CS244" s="226">
        <v>0</v>
      </c>
      <c r="CT244" s="226">
        <v>0</v>
      </c>
      <c r="CU244" s="226">
        <v>0</v>
      </c>
      <c r="CV244" s="226">
        <v>0</v>
      </c>
      <c r="CW244" s="226">
        <v>0</v>
      </c>
      <c r="CX244" s="226">
        <v>0</v>
      </c>
      <c r="CY244" s="226">
        <v>0</v>
      </c>
      <c r="CZ244" s="226">
        <v>0</v>
      </c>
      <c r="DA244" s="226">
        <v>0</v>
      </c>
      <c r="DB244" s="226">
        <v>0</v>
      </c>
      <c r="DC244" s="226">
        <v>0</v>
      </c>
      <c r="DD244" s="226">
        <v>0</v>
      </c>
      <c r="DE244" s="226">
        <v>0</v>
      </c>
      <c r="DF244" s="226">
        <v>0</v>
      </c>
      <c r="DG244" s="226">
        <v>0</v>
      </c>
      <c r="DH244" s="226">
        <v>0</v>
      </c>
      <c r="DI244" s="226">
        <v>0</v>
      </c>
      <c r="DJ244" s="226">
        <v>0</v>
      </c>
      <c r="DK244" s="226">
        <v>0</v>
      </c>
      <c r="DL244" s="226">
        <v>0</v>
      </c>
      <c r="DM244" s="226">
        <v>0</v>
      </c>
      <c r="DN244" s="226">
        <v>0</v>
      </c>
      <c r="DO244" s="226">
        <v>0</v>
      </c>
      <c r="DP244" s="226">
        <v>0</v>
      </c>
      <c r="DQ244" s="226">
        <v>0</v>
      </c>
      <c r="DR244" s="226">
        <v>0</v>
      </c>
      <c r="DS244" s="226">
        <v>0</v>
      </c>
      <c r="DT244" s="226">
        <v>0</v>
      </c>
      <c r="DU244" s="226">
        <v>0</v>
      </c>
      <c r="DV244" s="226">
        <v>0</v>
      </c>
      <c r="DW244" s="226">
        <v>0</v>
      </c>
      <c r="DX244" s="226">
        <v>0</v>
      </c>
      <c r="DY244" s="226">
        <v>0</v>
      </c>
      <c r="DZ244" s="226">
        <v>0</v>
      </c>
      <c r="EA244" s="226">
        <v>0</v>
      </c>
      <c r="EB244" s="226">
        <v>0</v>
      </c>
      <c r="EC244" s="226">
        <v>0</v>
      </c>
      <c r="ED244" s="226">
        <v>0</v>
      </c>
      <c r="EE244" s="226">
        <v>0</v>
      </c>
      <c r="EF244" s="226">
        <v>0</v>
      </c>
      <c r="EG244" s="226">
        <v>0</v>
      </c>
      <c r="EH244" s="226">
        <v>0</v>
      </c>
      <c r="EI244" s="226">
        <v>0</v>
      </c>
      <c r="EJ244" s="226">
        <v>0</v>
      </c>
      <c r="EK244" s="226">
        <v>0</v>
      </c>
      <c r="EL244" s="226">
        <v>0</v>
      </c>
      <c r="EM244" s="226">
        <v>0</v>
      </c>
      <c r="EN244" s="226">
        <v>0</v>
      </c>
      <c r="EO244" s="226">
        <v>0</v>
      </c>
      <c r="EP244" s="226">
        <v>0</v>
      </c>
      <c r="EQ244" s="226">
        <v>0</v>
      </c>
      <c r="ER244" s="226">
        <v>0</v>
      </c>
      <c r="ES244" s="226">
        <v>0</v>
      </c>
      <c r="ET244" s="226">
        <v>0</v>
      </c>
      <c r="EU244" s="226">
        <v>0</v>
      </c>
      <c r="EV244" s="226">
        <v>0</v>
      </c>
      <c r="EW244" s="226">
        <v>0</v>
      </c>
      <c r="EX244" s="226">
        <v>0</v>
      </c>
      <c r="EY244" s="226">
        <v>0</v>
      </c>
      <c r="EZ244" s="226">
        <v>0</v>
      </c>
      <c r="FA244" s="226">
        <v>0</v>
      </c>
      <c r="FB244" s="226">
        <v>0</v>
      </c>
      <c r="FC244" s="226">
        <v>0</v>
      </c>
      <c r="FD244" s="226">
        <v>0</v>
      </c>
      <c r="FE244" s="226">
        <v>0</v>
      </c>
      <c r="FF244" s="226">
        <v>0</v>
      </c>
      <c r="FG244" s="226">
        <v>0</v>
      </c>
      <c r="FH244" s="226">
        <v>0</v>
      </c>
      <c r="FI244" s="226">
        <v>0</v>
      </c>
      <c r="FJ244" s="226">
        <v>0</v>
      </c>
      <c r="FK244" s="226">
        <v>0</v>
      </c>
      <c r="FL244" s="226">
        <v>0</v>
      </c>
      <c r="FM244" s="226">
        <v>0</v>
      </c>
      <c r="FN244" s="226">
        <v>0</v>
      </c>
      <c r="FO244" s="226">
        <v>0</v>
      </c>
      <c r="FP244" s="226">
        <v>0</v>
      </c>
      <c r="FQ244" s="226">
        <v>0</v>
      </c>
      <c r="FR244" s="226">
        <v>0</v>
      </c>
      <c r="FS244" s="226">
        <v>0</v>
      </c>
      <c r="FT244" s="226">
        <v>0</v>
      </c>
      <c r="FU244" s="226">
        <v>0</v>
      </c>
      <c r="FV244" s="226">
        <v>0</v>
      </c>
      <c r="FW244" s="226">
        <v>0</v>
      </c>
      <c r="FX244" s="226">
        <v>0</v>
      </c>
      <c r="FY244" s="226">
        <v>0</v>
      </c>
      <c r="FZ244" s="226">
        <v>0</v>
      </c>
      <c r="GA244" s="226">
        <v>0</v>
      </c>
      <c r="GB244" s="226">
        <v>0</v>
      </c>
      <c r="GC244" s="226">
        <v>0</v>
      </c>
      <c r="GD244" s="226">
        <v>0</v>
      </c>
      <c r="GE244" s="226">
        <v>0</v>
      </c>
      <c r="GF244" s="226">
        <v>0</v>
      </c>
      <c r="GG244" s="226">
        <v>0</v>
      </c>
      <c r="GH244" s="226">
        <v>0</v>
      </c>
      <c r="GI244" s="226">
        <v>0</v>
      </c>
      <c r="GJ244" s="226">
        <v>0</v>
      </c>
      <c r="GK244" s="226">
        <v>0</v>
      </c>
      <c r="GL244" s="226">
        <v>0</v>
      </c>
      <c r="GM244" s="226">
        <v>0</v>
      </c>
      <c r="GN244" s="226">
        <v>0</v>
      </c>
      <c r="GO244" s="226">
        <v>0</v>
      </c>
      <c r="GP244" s="226">
        <v>0</v>
      </c>
      <c r="GQ244" s="226">
        <v>0</v>
      </c>
      <c r="GR244" s="226">
        <v>0</v>
      </c>
      <c r="GS244" s="226">
        <v>0</v>
      </c>
      <c r="GT244" s="226">
        <v>0</v>
      </c>
      <c r="GU244" s="226">
        <v>0</v>
      </c>
      <c r="GV244" s="226">
        <v>0</v>
      </c>
      <c r="GW244" s="226">
        <v>0</v>
      </c>
      <c r="GX244" s="226">
        <v>0</v>
      </c>
      <c r="GY244" s="226">
        <v>0</v>
      </c>
      <c r="GZ244" s="226">
        <v>0</v>
      </c>
      <c r="HA244" s="226">
        <v>0</v>
      </c>
      <c r="HB244" s="226">
        <v>0</v>
      </c>
      <c r="HC244" s="226">
        <v>0</v>
      </c>
      <c r="HD244" s="226">
        <v>0</v>
      </c>
      <c r="HE244" s="226">
        <v>0</v>
      </c>
      <c r="HF244" s="226">
        <v>0</v>
      </c>
      <c r="HG244" s="226">
        <v>0</v>
      </c>
      <c r="HH244" s="226">
        <v>0</v>
      </c>
      <c r="HI244" s="226">
        <v>0</v>
      </c>
      <c r="HJ244" s="226">
        <v>0</v>
      </c>
      <c r="HK244" s="226">
        <v>0</v>
      </c>
      <c r="HL244" s="226">
        <v>0</v>
      </c>
      <c r="HM244" s="226">
        <v>0</v>
      </c>
      <c r="HN244" s="226">
        <v>0</v>
      </c>
      <c r="HO244" s="226">
        <v>0</v>
      </c>
      <c r="HP244" s="226">
        <v>0</v>
      </c>
      <c r="HQ244" s="226">
        <v>0</v>
      </c>
      <c r="HR244" s="226">
        <v>0</v>
      </c>
      <c r="HS244" s="226">
        <v>0</v>
      </c>
      <c r="HT244" s="226">
        <v>0</v>
      </c>
      <c r="HU244" s="226">
        <v>0</v>
      </c>
      <c r="HV244" s="226">
        <v>0</v>
      </c>
      <c r="HW244" s="226">
        <v>0</v>
      </c>
      <c r="HX244" s="226">
        <v>0</v>
      </c>
      <c r="HY244" s="226">
        <v>0</v>
      </c>
      <c r="HZ244" s="226">
        <v>0</v>
      </c>
      <c r="IA244" s="226">
        <v>0</v>
      </c>
      <c r="IB244" s="226">
        <v>0</v>
      </c>
      <c r="IC244" s="226">
        <v>0</v>
      </c>
      <c r="ID244" s="226">
        <v>0</v>
      </c>
      <c r="IE244" s="226">
        <v>0</v>
      </c>
      <c r="IF244" s="226">
        <v>0</v>
      </c>
      <c r="IG244" s="226">
        <v>0</v>
      </c>
      <c r="IH244" s="226">
        <v>0</v>
      </c>
      <c r="II244" s="226">
        <v>0</v>
      </c>
      <c r="IJ244" s="226">
        <v>0</v>
      </c>
      <c r="IK244" s="226">
        <v>0</v>
      </c>
      <c r="IL244" s="226">
        <v>0</v>
      </c>
      <c r="IM244" s="226">
        <v>0</v>
      </c>
      <c r="IN244" s="226">
        <v>0</v>
      </c>
      <c r="IO244" s="226">
        <v>0</v>
      </c>
      <c r="IP244" s="226">
        <v>0</v>
      </c>
      <c r="IQ244" s="226">
        <v>0</v>
      </c>
      <c r="IR244" s="226">
        <v>0</v>
      </c>
      <c r="IS244" s="226">
        <v>0</v>
      </c>
      <c r="IT244" s="226">
        <v>0</v>
      </c>
      <c r="IU244" s="226">
        <v>0</v>
      </c>
      <c r="IV244" s="226">
        <v>0</v>
      </c>
      <c r="IW244" s="226">
        <v>0</v>
      </c>
      <c r="IX244" s="226">
        <v>0</v>
      </c>
      <c r="IY244" s="226">
        <v>0</v>
      </c>
      <c r="IZ244" s="226">
        <v>0</v>
      </c>
      <c r="JA244" s="226">
        <v>0</v>
      </c>
      <c r="JB244" s="226">
        <v>0</v>
      </c>
      <c r="JC244" s="226">
        <v>0</v>
      </c>
      <c r="JD244" s="226">
        <v>0</v>
      </c>
      <c r="JE244" s="226">
        <v>0</v>
      </c>
      <c r="JF244" s="226">
        <v>0</v>
      </c>
      <c r="JG244" s="226">
        <v>0</v>
      </c>
      <c r="JH244" s="226">
        <v>0</v>
      </c>
      <c r="JI244" s="226">
        <v>0</v>
      </c>
      <c r="JJ244" s="226">
        <v>0</v>
      </c>
      <c r="JK244" s="226">
        <v>0</v>
      </c>
      <c r="JL244" s="226">
        <v>0</v>
      </c>
      <c r="JM244" s="226">
        <v>0</v>
      </c>
      <c r="JN244" s="226">
        <v>0</v>
      </c>
      <c r="JO244" s="226">
        <v>0</v>
      </c>
      <c r="JP244" s="226">
        <v>0</v>
      </c>
      <c r="JQ244" s="226">
        <v>0</v>
      </c>
      <c r="JR244" s="226">
        <v>0</v>
      </c>
      <c r="JS244" s="226">
        <v>0</v>
      </c>
      <c r="JT244" s="226">
        <v>0</v>
      </c>
      <c r="JU244" s="226">
        <v>0</v>
      </c>
      <c r="JV244" s="226">
        <v>0</v>
      </c>
      <c r="JW244" s="226">
        <v>0</v>
      </c>
      <c r="JX244" s="226">
        <v>0</v>
      </c>
      <c r="JY244" s="226">
        <v>0</v>
      </c>
      <c r="JZ244" s="226">
        <v>0</v>
      </c>
      <c r="KA244" s="226">
        <v>0</v>
      </c>
      <c r="KB244" s="226">
        <v>0</v>
      </c>
      <c r="KC244" s="226">
        <v>0</v>
      </c>
      <c r="KD244" s="226">
        <v>0</v>
      </c>
      <c r="KE244" s="226">
        <v>0</v>
      </c>
      <c r="KF244" s="226">
        <v>0</v>
      </c>
      <c r="KG244" s="226">
        <v>0</v>
      </c>
      <c r="KH244" s="226">
        <v>0</v>
      </c>
      <c r="KI244" s="226">
        <v>0</v>
      </c>
      <c r="KJ244" s="226">
        <v>0</v>
      </c>
      <c r="KK244" s="226">
        <v>0</v>
      </c>
      <c r="KL244" s="226">
        <v>0</v>
      </c>
      <c r="KM244" s="226">
        <v>0</v>
      </c>
      <c r="KN244" s="226">
        <v>0</v>
      </c>
      <c r="KO244" s="226">
        <v>0</v>
      </c>
      <c r="KP244" s="226">
        <v>0</v>
      </c>
      <c r="KQ244" s="226">
        <v>0</v>
      </c>
      <c r="KR244" s="226">
        <v>0</v>
      </c>
      <c r="KS244" s="226">
        <v>0</v>
      </c>
      <c r="KT244" s="226">
        <v>0</v>
      </c>
      <c r="KU244" s="226">
        <v>0</v>
      </c>
      <c r="KV244" s="226">
        <v>0</v>
      </c>
      <c r="KW244" s="226">
        <v>0</v>
      </c>
      <c r="KX244" s="226">
        <v>0</v>
      </c>
      <c r="KY244" s="226">
        <v>0</v>
      </c>
      <c r="KZ244" s="226">
        <v>0</v>
      </c>
      <c r="LA244" s="226">
        <v>0</v>
      </c>
      <c r="LB244" s="226">
        <v>0</v>
      </c>
      <c r="LC244" s="226">
        <v>0</v>
      </c>
      <c r="LD244" s="226">
        <v>0</v>
      </c>
      <c r="LE244" s="226">
        <v>0</v>
      </c>
      <c r="LF244" s="226">
        <v>0</v>
      </c>
      <c r="LG244" s="226">
        <v>0</v>
      </c>
      <c r="LH244" s="226">
        <v>0</v>
      </c>
      <c r="LI244" s="226">
        <v>0</v>
      </c>
      <c r="LJ244" s="226">
        <v>0</v>
      </c>
      <c r="LK244" s="226">
        <v>0</v>
      </c>
      <c r="LL244" s="226">
        <v>0</v>
      </c>
      <c r="LM244" s="226">
        <v>0</v>
      </c>
      <c r="LN244" s="226">
        <v>0</v>
      </c>
      <c r="LO244" s="226">
        <v>0</v>
      </c>
      <c r="LP244" s="226">
        <v>0</v>
      </c>
      <c r="LQ244" s="226">
        <v>0</v>
      </c>
      <c r="LR244" s="226">
        <v>0</v>
      </c>
      <c r="LS244" s="226">
        <v>0</v>
      </c>
      <c r="LT244" s="226">
        <v>0</v>
      </c>
      <c r="LU244" s="226">
        <v>0</v>
      </c>
      <c r="LV244" s="226">
        <v>0</v>
      </c>
      <c r="LW244" s="226">
        <v>0</v>
      </c>
      <c r="LX244" s="226">
        <v>0</v>
      </c>
      <c r="LY244" s="226">
        <v>0</v>
      </c>
      <c r="LZ244" s="226">
        <v>0</v>
      </c>
      <c r="MA244" s="226">
        <v>0</v>
      </c>
      <c r="MB244" s="226">
        <v>0</v>
      </c>
      <c r="MC244" s="226">
        <v>0</v>
      </c>
      <c r="MD244" s="226">
        <v>0</v>
      </c>
      <c r="ME244" s="226">
        <v>0</v>
      </c>
      <c r="MF244" s="226">
        <v>0</v>
      </c>
      <c r="MG244" s="226">
        <v>0</v>
      </c>
      <c r="MH244" s="226">
        <v>0</v>
      </c>
      <c r="MI244" s="226">
        <v>0</v>
      </c>
      <c r="MJ244" s="226">
        <v>0</v>
      </c>
      <c r="MK244" s="226">
        <v>0</v>
      </c>
      <c r="ML244" s="226">
        <v>0</v>
      </c>
      <c r="MM244" s="226">
        <v>0</v>
      </c>
      <c r="MN244" s="226">
        <v>0</v>
      </c>
      <c r="MO244" s="226">
        <v>0</v>
      </c>
      <c r="MP244" s="226">
        <v>0</v>
      </c>
      <c r="MQ244" s="226">
        <v>0</v>
      </c>
      <c r="MR244" s="226">
        <v>0</v>
      </c>
      <c r="MS244" s="226">
        <v>0</v>
      </c>
      <c r="MT244" s="226">
        <v>0</v>
      </c>
      <c r="MU244" s="226">
        <v>0</v>
      </c>
      <c r="MV244" s="226">
        <v>0</v>
      </c>
      <c r="MW244" s="226">
        <v>0</v>
      </c>
      <c r="MX244" s="226">
        <v>0</v>
      </c>
      <c r="MY244" s="226">
        <v>0</v>
      </c>
      <c r="MZ244" s="226">
        <v>0</v>
      </c>
      <c r="NA244" s="226">
        <v>0</v>
      </c>
      <c r="NB244" s="226">
        <v>0</v>
      </c>
      <c r="NC244" s="226">
        <v>0</v>
      </c>
      <c r="ND244" s="226">
        <v>0</v>
      </c>
      <c r="NE244" s="226">
        <v>0</v>
      </c>
      <c r="NF244" s="226">
        <v>0</v>
      </c>
      <c r="NG244" s="226">
        <v>0</v>
      </c>
      <c r="NH244" s="226">
        <v>0</v>
      </c>
      <c r="NI244" s="226">
        <v>0</v>
      </c>
      <c r="NJ244" s="226">
        <v>0</v>
      </c>
      <c r="NK244" s="226">
        <v>0</v>
      </c>
      <c r="NL244" s="226">
        <v>0</v>
      </c>
      <c r="NM244" s="226">
        <v>0</v>
      </c>
      <c r="NN244" s="226">
        <v>0</v>
      </c>
      <c r="NO244" s="226">
        <v>0</v>
      </c>
      <c r="NP244" s="226">
        <v>0</v>
      </c>
      <c r="NQ244" s="226">
        <v>0</v>
      </c>
      <c r="NR244" s="226">
        <v>0</v>
      </c>
      <c r="NS244" s="226">
        <v>0</v>
      </c>
      <c r="NT244" s="226">
        <v>0</v>
      </c>
      <c r="NU244" s="226">
        <v>0</v>
      </c>
      <c r="NV244" s="226">
        <v>0</v>
      </c>
      <c r="NW244" s="226">
        <v>0</v>
      </c>
      <c r="NX244" s="226">
        <v>0</v>
      </c>
      <c r="NY244" s="226">
        <v>0</v>
      </c>
      <c r="NZ244" s="226">
        <v>0</v>
      </c>
      <c r="OA244" s="226">
        <v>0</v>
      </c>
      <c r="OB244" s="226">
        <v>0</v>
      </c>
      <c r="OC244" s="226">
        <v>0</v>
      </c>
      <c r="OD244" s="226">
        <v>0</v>
      </c>
      <c r="OE244" s="226">
        <v>0</v>
      </c>
      <c r="OF244" s="226">
        <v>0</v>
      </c>
      <c r="OG244" s="226">
        <v>0</v>
      </c>
      <c r="OH244" s="226">
        <v>0</v>
      </c>
      <c r="OI244" s="226">
        <v>0</v>
      </c>
      <c r="OJ244" s="226">
        <v>0</v>
      </c>
      <c r="OK244" s="226">
        <v>0</v>
      </c>
    </row>
    <row r="245" spans="4:401" x14ac:dyDescent="0.3">
      <c r="D245" s="119"/>
      <c r="J245" s="65"/>
      <c r="K245" s="55"/>
      <c r="L245" s="66"/>
      <c r="M245" s="220" t="s">
        <v>320</v>
      </c>
      <c r="N245" s="224">
        <f>SUM(_xlfn.ANCHORARRAY(P245))</f>
        <v>-38057265.429302521</v>
      </c>
      <c r="O245" s="221" t="s">
        <v>81</v>
      </c>
      <c r="P245" s="224" cm="1">
        <f t="array" ref="P245:OK245">_xlfn.ANCHORARRAY(P243)+_xlfn.ANCHORARRAY(P244)</f>
        <v>0</v>
      </c>
      <c r="Q245" s="227">
        <v>0</v>
      </c>
      <c r="R245" s="227">
        <v>0</v>
      </c>
      <c r="S245" s="227">
        <v>0</v>
      </c>
      <c r="T245" s="227">
        <v>0</v>
      </c>
      <c r="U245" s="227">
        <v>0</v>
      </c>
      <c r="V245" s="227">
        <v>0</v>
      </c>
      <c r="W245" s="227">
        <v>0</v>
      </c>
      <c r="X245" s="227">
        <v>0</v>
      </c>
      <c r="Y245" s="227">
        <v>0</v>
      </c>
      <c r="Z245" s="227">
        <v>0</v>
      </c>
      <c r="AA245" s="227">
        <v>0</v>
      </c>
      <c r="AB245" s="227">
        <v>0</v>
      </c>
      <c r="AC245" s="227">
        <v>0</v>
      </c>
      <c r="AD245" s="227">
        <v>0</v>
      </c>
      <c r="AE245" s="227">
        <v>0</v>
      </c>
      <c r="AF245" s="227">
        <v>-609621.32426602952</v>
      </c>
      <c r="AG245" s="227">
        <v>-719445.39700193866</v>
      </c>
      <c r="AH245" s="227">
        <v>-838996.11410589574</v>
      </c>
      <c r="AI245" s="227">
        <v>-926101.14117011963</v>
      </c>
      <c r="AJ245" s="227">
        <v>-995607.88043433428</v>
      </c>
      <c r="AK245" s="227">
        <v>-922752.91939173487</v>
      </c>
      <c r="AL245" s="227">
        <v>-714747.86812199187</v>
      </c>
      <c r="AM245" s="227">
        <v>-575305.57773957192</v>
      </c>
      <c r="AN245" s="227">
        <v>-373948.06584622926</v>
      </c>
      <c r="AO245" s="227">
        <v>-268918.72928538622</v>
      </c>
      <c r="AP245" s="227">
        <v>-307910.63502332236</v>
      </c>
      <c r="AQ245" s="227">
        <v>-406005.41061904957</v>
      </c>
      <c r="AR245" s="227">
        <v>-609418.11715794087</v>
      </c>
      <c r="AS245" s="227">
        <v>-718965.84667564824</v>
      </c>
      <c r="AT245" s="227">
        <v>-838157.3976260873</v>
      </c>
      <c r="AU245" s="227">
        <v>-924866.95691213151</v>
      </c>
      <c r="AV245" s="227">
        <v>-993949.63982923981</v>
      </c>
      <c r="AW245" s="227">
        <v>-920908.95079113403</v>
      </c>
      <c r="AX245" s="227">
        <v>-713081.78991518333</v>
      </c>
      <c r="AY245" s="227">
        <v>-573773.2181791123</v>
      </c>
      <c r="AZ245" s="227">
        <v>-372827.7162781416</v>
      </c>
      <c r="BA245" s="227">
        <v>-268023.6769202507</v>
      </c>
      <c r="BB245" s="227">
        <v>-306783.50915725093</v>
      </c>
      <c r="BC245" s="227">
        <v>-404384.36304387229</v>
      </c>
      <c r="BD245" s="227">
        <v>-606984.90879359492</v>
      </c>
      <c r="BE245" s="227">
        <v>-716095.24985130597</v>
      </c>
      <c r="BF245" s="227">
        <v>-834810.90769885434</v>
      </c>
      <c r="BG245" s="227">
        <v>-921174.26391186332</v>
      </c>
      <c r="BH245" s="227">
        <v>-989981.12214117055</v>
      </c>
      <c r="BI245" s="227">
        <v>-917232.0608221977</v>
      </c>
      <c r="BJ245" s="227">
        <v>-710234.68621604156</v>
      </c>
      <c r="BK245" s="227">
        <v>-571482.32830497797</v>
      </c>
      <c r="BL245" s="227">
        <v>-371339.13644737023</v>
      </c>
      <c r="BM245" s="227">
        <v>-266953.54553727433</v>
      </c>
      <c r="BN245" s="227">
        <v>-305558.62236851215</v>
      </c>
      <c r="BO245" s="227">
        <v>-402769.78778451215</v>
      </c>
      <c r="BP245" s="227">
        <v>-604561.41543898964</v>
      </c>
      <c r="BQ245" s="227">
        <v>-713236.1143865902</v>
      </c>
      <c r="BR245" s="227">
        <v>-831477.77921765181</v>
      </c>
      <c r="BS245" s="227">
        <v>-917496.31463391345</v>
      </c>
      <c r="BT245" s="227">
        <v>-986028.44945370231</v>
      </c>
      <c r="BU245" s="227">
        <v>-913569.85147921497</v>
      </c>
      <c r="BV245" s="227">
        <v>-707398.95007611695</v>
      </c>
      <c r="BW245" s="227">
        <v>-569200.58520913369</v>
      </c>
      <c r="BX245" s="227">
        <v>-369856.50003178988</v>
      </c>
      <c r="BY245" s="227">
        <v>-265887.68684091268</v>
      </c>
      <c r="BZ245" s="227">
        <v>-304338.62615439831</v>
      </c>
      <c r="CA245" s="227">
        <v>-401161.65899911686</v>
      </c>
      <c r="CB245" s="227">
        <v>-602147.5983052504</v>
      </c>
      <c r="CC245" s="227">
        <v>-710388.39452001906</v>
      </c>
      <c r="CD245" s="227">
        <v>-828157.9588345699</v>
      </c>
      <c r="CE245" s="227">
        <v>-913833.05021139351</v>
      </c>
      <c r="CF245" s="227">
        <v>-982091.55850290041</v>
      </c>
      <c r="CG245" s="227">
        <v>-909922.26414722006</v>
      </c>
      <c r="CH245" s="227">
        <v>-704574.53610844258</v>
      </c>
      <c r="CI245" s="227">
        <v>-566927.95237146819</v>
      </c>
      <c r="CJ245" s="227">
        <v>-368379.78330127656</v>
      </c>
      <c r="CK245" s="227">
        <v>-264826.08377171773</v>
      </c>
      <c r="CL245" s="227">
        <v>-303123.50098843517</v>
      </c>
      <c r="CM245" s="227">
        <v>-399559.95094901207</v>
      </c>
      <c r="CN245" s="227">
        <v>0</v>
      </c>
      <c r="CO245" s="227">
        <v>0</v>
      </c>
      <c r="CP245" s="227">
        <v>0</v>
      </c>
      <c r="CQ245" s="227">
        <v>0</v>
      </c>
      <c r="CR245" s="227">
        <v>0</v>
      </c>
      <c r="CS245" s="227">
        <v>0</v>
      </c>
      <c r="CT245" s="227">
        <v>0</v>
      </c>
      <c r="CU245" s="227">
        <v>0</v>
      </c>
      <c r="CV245" s="227">
        <v>0</v>
      </c>
      <c r="CW245" s="227">
        <v>0</v>
      </c>
      <c r="CX245" s="227">
        <v>0</v>
      </c>
      <c r="CY245" s="227">
        <v>0</v>
      </c>
      <c r="CZ245" s="227">
        <v>0</v>
      </c>
      <c r="DA245" s="227">
        <v>0</v>
      </c>
      <c r="DB245" s="227">
        <v>0</v>
      </c>
      <c r="DC245" s="227">
        <v>0</v>
      </c>
      <c r="DD245" s="227">
        <v>0</v>
      </c>
      <c r="DE245" s="227">
        <v>0</v>
      </c>
      <c r="DF245" s="227">
        <v>0</v>
      </c>
      <c r="DG245" s="227">
        <v>0</v>
      </c>
      <c r="DH245" s="227">
        <v>0</v>
      </c>
      <c r="DI245" s="227">
        <v>0</v>
      </c>
      <c r="DJ245" s="227">
        <v>0</v>
      </c>
      <c r="DK245" s="227">
        <v>0</v>
      </c>
      <c r="DL245" s="227">
        <v>0</v>
      </c>
      <c r="DM245" s="227">
        <v>0</v>
      </c>
      <c r="DN245" s="227">
        <v>0</v>
      </c>
      <c r="DO245" s="227">
        <v>0</v>
      </c>
      <c r="DP245" s="227">
        <v>0</v>
      </c>
      <c r="DQ245" s="227">
        <v>0</v>
      </c>
      <c r="DR245" s="227">
        <v>0</v>
      </c>
      <c r="DS245" s="227">
        <v>0</v>
      </c>
      <c r="DT245" s="227">
        <v>0</v>
      </c>
      <c r="DU245" s="227">
        <v>0</v>
      </c>
      <c r="DV245" s="227">
        <v>0</v>
      </c>
      <c r="DW245" s="227">
        <v>0</v>
      </c>
      <c r="DX245" s="227">
        <v>0</v>
      </c>
      <c r="DY245" s="227">
        <v>0</v>
      </c>
      <c r="DZ245" s="227">
        <v>0</v>
      </c>
      <c r="EA245" s="227">
        <v>0</v>
      </c>
      <c r="EB245" s="227">
        <v>0</v>
      </c>
      <c r="EC245" s="227">
        <v>0</v>
      </c>
      <c r="ED245" s="227">
        <v>0</v>
      </c>
      <c r="EE245" s="227">
        <v>0</v>
      </c>
      <c r="EF245" s="227">
        <v>0</v>
      </c>
      <c r="EG245" s="227">
        <v>0</v>
      </c>
      <c r="EH245" s="227">
        <v>0</v>
      </c>
      <c r="EI245" s="227">
        <v>0</v>
      </c>
      <c r="EJ245" s="227">
        <v>0</v>
      </c>
      <c r="EK245" s="227">
        <v>0</v>
      </c>
      <c r="EL245" s="227">
        <v>0</v>
      </c>
      <c r="EM245" s="227">
        <v>0</v>
      </c>
      <c r="EN245" s="227">
        <v>0</v>
      </c>
      <c r="EO245" s="227">
        <v>0</v>
      </c>
      <c r="EP245" s="227">
        <v>0</v>
      </c>
      <c r="EQ245" s="227">
        <v>0</v>
      </c>
      <c r="ER245" s="227">
        <v>0</v>
      </c>
      <c r="ES245" s="227">
        <v>0</v>
      </c>
      <c r="ET245" s="227">
        <v>0</v>
      </c>
      <c r="EU245" s="227">
        <v>0</v>
      </c>
      <c r="EV245" s="227">
        <v>0</v>
      </c>
      <c r="EW245" s="227">
        <v>0</v>
      </c>
      <c r="EX245" s="227">
        <v>0</v>
      </c>
      <c r="EY245" s="227">
        <v>0</v>
      </c>
      <c r="EZ245" s="227">
        <v>0</v>
      </c>
      <c r="FA245" s="227">
        <v>0</v>
      </c>
      <c r="FB245" s="227">
        <v>0</v>
      </c>
      <c r="FC245" s="227">
        <v>0</v>
      </c>
      <c r="FD245" s="227">
        <v>0</v>
      </c>
      <c r="FE245" s="227">
        <v>0</v>
      </c>
      <c r="FF245" s="227">
        <v>0</v>
      </c>
      <c r="FG245" s="227">
        <v>0</v>
      </c>
      <c r="FH245" s="227">
        <v>0</v>
      </c>
      <c r="FI245" s="227">
        <v>0</v>
      </c>
      <c r="FJ245" s="227">
        <v>0</v>
      </c>
      <c r="FK245" s="227">
        <v>0</v>
      </c>
      <c r="FL245" s="227">
        <v>0</v>
      </c>
      <c r="FM245" s="227">
        <v>0</v>
      </c>
      <c r="FN245" s="227">
        <v>0</v>
      </c>
      <c r="FO245" s="227">
        <v>0</v>
      </c>
      <c r="FP245" s="227">
        <v>0</v>
      </c>
      <c r="FQ245" s="227">
        <v>0</v>
      </c>
      <c r="FR245" s="227">
        <v>0</v>
      </c>
      <c r="FS245" s="227">
        <v>0</v>
      </c>
      <c r="FT245" s="227">
        <v>0</v>
      </c>
      <c r="FU245" s="227">
        <v>0</v>
      </c>
      <c r="FV245" s="227">
        <v>0</v>
      </c>
      <c r="FW245" s="227">
        <v>0</v>
      </c>
      <c r="FX245" s="227">
        <v>0</v>
      </c>
      <c r="FY245" s="227">
        <v>0</v>
      </c>
      <c r="FZ245" s="227">
        <v>0</v>
      </c>
      <c r="GA245" s="227">
        <v>0</v>
      </c>
      <c r="GB245" s="227">
        <v>0</v>
      </c>
      <c r="GC245" s="227">
        <v>0</v>
      </c>
      <c r="GD245" s="227">
        <v>0</v>
      </c>
      <c r="GE245" s="227">
        <v>0</v>
      </c>
      <c r="GF245" s="227">
        <v>0</v>
      </c>
      <c r="GG245" s="227">
        <v>0</v>
      </c>
      <c r="GH245" s="227">
        <v>0</v>
      </c>
      <c r="GI245" s="227">
        <v>0</v>
      </c>
      <c r="GJ245" s="227">
        <v>0</v>
      </c>
      <c r="GK245" s="227">
        <v>0</v>
      </c>
      <c r="GL245" s="227">
        <v>0</v>
      </c>
      <c r="GM245" s="227">
        <v>0</v>
      </c>
      <c r="GN245" s="227">
        <v>0</v>
      </c>
      <c r="GO245" s="227">
        <v>0</v>
      </c>
      <c r="GP245" s="227">
        <v>0</v>
      </c>
      <c r="GQ245" s="227">
        <v>0</v>
      </c>
      <c r="GR245" s="227">
        <v>0</v>
      </c>
      <c r="GS245" s="227">
        <v>0</v>
      </c>
      <c r="GT245" s="227">
        <v>0</v>
      </c>
      <c r="GU245" s="227">
        <v>0</v>
      </c>
      <c r="GV245" s="227">
        <v>0</v>
      </c>
      <c r="GW245" s="227">
        <v>0</v>
      </c>
      <c r="GX245" s="227">
        <v>0</v>
      </c>
      <c r="GY245" s="227">
        <v>0</v>
      </c>
      <c r="GZ245" s="227">
        <v>0</v>
      </c>
      <c r="HA245" s="227">
        <v>0</v>
      </c>
      <c r="HB245" s="227">
        <v>0</v>
      </c>
      <c r="HC245" s="227">
        <v>0</v>
      </c>
      <c r="HD245" s="227">
        <v>0</v>
      </c>
      <c r="HE245" s="227">
        <v>0</v>
      </c>
      <c r="HF245" s="227">
        <v>0</v>
      </c>
      <c r="HG245" s="227">
        <v>0</v>
      </c>
      <c r="HH245" s="227">
        <v>0</v>
      </c>
      <c r="HI245" s="227">
        <v>0</v>
      </c>
      <c r="HJ245" s="227">
        <v>0</v>
      </c>
      <c r="HK245" s="227">
        <v>0</v>
      </c>
      <c r="HL245" s="227">
        <v>0</v>
      </c>
      <c r="HM245" s="227">
        <v>0</v>
      </c>
      <c r="HN245" s="227">
        <v>0</v>
      </c>
      <c r="HO245" s="227">
        <v>0</v>
      </c>
      <c r="HP245" s="227">
        <v>0</v>
      </c>
      <c r="HQ245" s="227">
        <v>0</v>
      </c>
      <c r="HR245" s="227">
        <v>0</v>
      </c>
      <c r="HS245" s="227">
        <v>0</v>
      </c>
      <c r="HT245" s="227">
        <v>0</v>
      </c>
      <c r="HU245" s="227">
        <v>0</v>
      </c>
      <c r="HV245" s="227">
        <v>0</v>
      </c>
      <c r="HW245" s="227">
        <v>0</v>
      </c>
      <c r="HX245" s="227">
        <v>0</v>
      </c>
      <c r="HY245" s="227">
        <v>0</v>
      </c>
      <c r="HZ245" s="227">
        <v>0</v>
      </c>
      <c r="IA245" s="227">
        <v>0</v>
      </c>
      <c r="IB245" s="227">
        <v>0</v>
      </c>
      <c r="IC245" s="227">
        <v>0</v>
      </c>
      <c r="ID245" s="227">
        <v>0</v>
      </c>
      <c r="IE245" s="227">
        <v>0</v>
      </c>
      <c r="IF245" s="227">
        <v>0</v>
      </c>
      <c r="IG245" s="227">
        <v>0</v>
      </c>
      <c r="IH245" s="227">
        <v>0</v>
      </c>
      <c r="II245" s="227">
        <v>0</v>
      </c>
      <c r="IJ245" s="227">
        <v>0</v>
      </c>
      <c r="IK245" s="227">
        <v>0</v>
      </c>
      <c r="IL245" s="227">
        <v>0</v>
      </c>
      <c r="IM245" s="227">
        <v>0</v>
      </c>
      <c r="IN245" s="227">
        <v>0</v>
      </c>
      <c r="IO245" s="227">
        <v>0</v>
      </c>
      <c r="IP245" s="227">
        <v>0</v>
      </c>
      <c r="IQ245" s="227">
        <v>0</v>
      </c>
      <c r="IR245" s="227">
        <v>0</v>
      </c>
      <c r="IS245" s="227">
        <v>0</v>
      </c>
      <c r="IT245" s="227">
        <v>0</v>
      </c>
      <c r="IU245" s="227">
        <v>0</v>
      </c>
      <c r="IV245" s="227">
        <v>0</v>
      </c>
      <c r="IW245" s="227">
        <v>0</v>
      </c>
      <c r="IX245" s="227">
        <v>0</v>
      </c>
      <c r="IY245" s="227">
        <v>0</v>
      </c>
      <c r="IZ245" s="227">
        <v>0</v>
      </c>
      <c r="JA245" s="227">
        <v>0</v>
      </c>
      <c r="JB245" s="227">
        <v>0</v>
      </c>
      <c r="JC245" s="227">
        <v>0</v>
      </c>
      <c r="JD245" s="227">
        <v>0</v>
      </c>
      <c r="JE245" s="227">
        <v>0</v>
      </c>
      <c r="JF245" s="227">
        <v>0</v>
      </c>
      <c r="JG245" s="227">
        <v>0</v>
      </c>
      <c r="JH245" s="227">
        <v>0</v>
      </c>
      <c r="JI245" s="227">
        <v>0</v>
      </c>
      <c r="JJ245" s="227">
        <v>0</v>
      </c>
      <c r="JK245" s="227">
        <v>0</v>
      </c>
      <c r="JL245" s="227">
        <v>0</v>
      </c>
      <c r="JM245" s="227">
        <v>0</v>
      </c>
      <c r="JN245" s="227">
        <v>0</v>
      </c>
      <c r="JO245" s="227">
        <v>0</v>
      </c>
      <c r="JP245" s="227">
        <v>0</v>
      </c>
      <c r="JQ245" s="227">
        <v>0</v>
      </c>
      <c r="JR245" s="227">
        <v>0</v>
      </c>
      <c r="JS245" s="227">
        <v>0</v>
      </c>
      <c r="JT245" s="227">
        <v>0</v>
      </c>
      <c r="JU245" s="227">
        <v>0</v>
      </c>
      <c r="JV245" s="227">
        <v>0</v>
      </c>
      <c r="JW245" s="227">
        <v>0</v>
      </c>
      <c r="JX245" s="227">
        <v>0</v>
      </c>
      <c r="JY245" s="227">
        <v>0</v>
      </c>
      <c r="JZ245" s="227">
        <v>0</v>
      </c>
      <c r="KA245" s="227">
        <v>0</v>
      </c>
      <c r="KB245" s="227">
        <v>0</v>
      </c>
      <c r="KC245" s="227">
        <v>0</v>
      </c>
      <c r="KD245" s="227">
        <v>0</v>
      </c>
      <c r="KE245" s="227">
        <v>0</v>
      </c>
      <c r="KF245" s="227">
        <v>0</v>
      </c>
      <c r="KG245" s="227">
        <v>0</v>
      </c>
      <c r="KH245" s="227">
        <v>0</v>
      </c>
      <c r="KI245" s="227">
        <v>0</v>
      </c>
      <c r="KJ245" s="227">
        <v>0</v>
      </c>
      <c r="KK245" s="227">
        <v>0</v>
      </c>
      <c r="KL245" s="227">
        <v>0</v>
      </c>
      <c r="KM245" s="227">
        <v>0</v>
      </c>
      <c r="KN245" s="227">
        <v>0</v>
      </c>
      <c r="KO245" s="227">
        <v>0</v>
      </c>
      <c r="KP245" s="227">
        <v>0</v>
      </c>
      <c r="KQ245" s="227">
        <v>0</v>
      </c>
      <c r="KR245" s="227">
        <v>0</v>
      </c>
      <c r="KS245" s="227">
        <v>0</v>
      </c>
      <c r="KT245" s="227">
        <v>0</v>
      </c>
      <c r="KU245" s="227">
        <v>0</v>
      </c>
      <c r="KV245" s="227">
        <v>0</v>
      </c>
      <c r="KW245" s="227">
        <v>0</v>
      </c>
      <c r="KX245" s="227">
        <v>0</v>
      </c>
      <c r="KY245" s="227">
        <v>0</v>
      </c>
      <c r="KZ245" s="227">
        <v>0</v>
      </c>
      <c r="LA245" s="227">
        <v>0</v>
      </c>
      <c r="LB245" s="227">
        <v>0</v>
      </c>
      <c r="LC245" s="227">
        <v>0</v>
      </c>
      <c r="LD245" s="227">
        <v>0</v>
      </c>
      <c r="LE245" s="227">
        <v>0</v>
      </c>
      <c r="LF245" s="227">
        <v>0</v>
      </c>
      <c r="LG245" s="227">
        <v>0</v>
      </c>
      <c r="LH245" s="227">
        <v>0</v>
      </c>
      <c r="LI245" s="227">
        <v>0</v>
      </c>
      <c r="LJ245" s="227">
        <v>0</v>
      </c>
      <c r="LK245" s="227">
        <v>0</v>
      </c>
      <c r="LL245" s="227">
        <v>0</v>
      </c>
      <c r="LM245" s="227">
        <v>0</v>
      </c>
      <c r="LN245" s="227">
        <v>0</v>
      </c>
      <c r="LO245" s="227">
        <v>0</v>
      </c>
      <c r="LP245" s="227">
        <v>0</v>
      </c>
      <c r="LQ245" s="227">
        <v>0</v>
      </c>
      <c r="LR245" s="227">
        <v>0</v>
      </c>
      <c r="LS245" s="227">
        <v>0</v>
      </c>
      <c r="LT245" s="227">
        <v>0</v>
      </c>
      <c r="LU245" s="227">
        <v>0</v>
      </c>
      <c r="LV245" s="227">
        <v>0</v>
      </c>
      <c r="LW245" s="227">
        <v>0</v>
      </c>
      <c r="LX245" s="227">
        <v>0</v>
      </c>
      <c r="LY245" s="227">
        <v>0</v>
      </c>
      <c r="LZ245" s="227">
        <v>0</v>
      </c>
      <c r="MA245" s="227">
        <v>0</v>
      </c>
      <c r="MB245" s="227">
        <v>0</v>
      </c>
      <c r="MC245" s="227">
        <v>0</v>
      </c>
      <c r="MD245" s="227">
        <v>0</v>
      </c>
      <c r="ME245" s="227">
        <v>0</v>
      </c>
      <c r="MF245" s="227">
        <v>0</v>
      </c>
      <c r="MG245" s="227">
        <v>0</v>
      </c>
      <c r="MH245" s="227">
        <v>0</v>
      </c>
      <c r="MI245" s="227">
        <v>0</v>
      </c>
      <c r="MJ245" s="227">
        <v>0</v>
      </c>
      <c r="MK245" s="227">
        <v>0</v>
      </c>
      <c r="ML245" s="227">
        <v>0</v>
      </c>
      <c r="MM245" s="227">
        <v>0</v>
      </c>
      <c r="MN245" s="227">
        <v>0</v>
      </c>
      <c r="MO245" s="227">
        <v>0</v>
      </c>
      <c r="MP245" s="227">
        <v>0</v>
      </c>
      <c r="MQ245" s="227">
        <v>0</v>
      </c>
      <c r="MR245" s="227">
        <v>0</v>
      </c>
      <c r="MS245" s="227">
        <v>0</v>
      </c>
      <c r="MT245" s="227">
        <v>0</v>
      </c>
      <c r="MU245" s="227">
        <v>0</v>
      </c>
      <c r="MV245" s="227">
        <v>0</v>
      </c>
      <c r="MW245" s="227">
        <v>0</v>
      </c>
      <c r="MX245" s="227">
        <v>0</v>
      </c>
      <c r="MY245" s="227">
        <v>0</v>
      </c>
      <c r="MZ245" s="227">
        <v>0</v>
      </c>
      <c r="NA245" s="227">
        <v>0</v>
      </c>
      <c r="NB245" s="227">
        <v>0</v>
      </c>
      <c r="NC245" s="227">
        <v>0</v>
      </c>
      <c r="ND245" s="227">
        <v>0</v>
      </c>
      <c r="NE245" s="227">
        <v>0</v>
      </c>
      <c r="NF245" s="227">
        <v>0</v>
      </c>
      <c r="NG245" s="227">
        <v>0</v>
      </c>
      <c r="NH245" s="227">
        <v>0</v>
      </c>
      <c r="NI245" s="227">
        <v>0</v>
      </c>
      <c r="NJ245" s="227">
        <v>0</v>
      </c>
      <c r="NK245" s="227">
        <v>0</v>
      </c>
      <c r="NL245" s="227">
        <v>0</v>
      </c>
      <c r="NM245" s="227">
        <v>0</v>
      </c>
      <c r="NN245" s="227">
        <v>0</v>
      </c>
      <c r="NO245" s="227">
        <v>0</v>
      </c>
      <c r="NP245" s="227">
        <v>0</v>
      </c>
      <c r="NQ245" s="227">
        <v>0</v>
      </c>
      <c r="NR245" s="227">
        <v>0</v>
      </c>
      <c r="NS245" s="227">
        <v>0</v>
      </c>
      <c r="NT245" s="227">
        <v>0</v>
      </c>
      <c r="NU245" s="227">
        <v>0</v>
      </c>
      <c r="NV245" s="227">
        <v>0</v>
      </c>
      <c r="NW245" s="227">
        <v>0</v>
      </c>
      <c r="NX245" s="227">
        <v>0</v>
      </c>
      <c r="NY245" s="227">
        <v>0</v>
      </c>
      <c r="NZ245" s="227">
        <v>0</v>
      </c>
      <c r="OA245" s="227">
        <v>0</v>
      </c>
      <c r="OB245" s="227">
        <v>0</v>
      </c>
      <c r="OC245" s="227">
        <v>0</v>
      </c>
      <c r="OD245" s="227">
        <v>0</v>
      </c>
      <c r="OE245" s="227">
        <v>0</v>
      </c>
      <c r="OF245" s="227">
        <v>0</v>
      </c>
      <c r="OG245" s="227">
        <v>0</v>
      </c>
      <c r="OH245" s="227">
        <v>0</v>
      </c>
      <c r="OI245" s="227">
        <v>0</v>
      </c>
      <c r="OJ245" s="227">
        <v>0</v>
      </c>
      <c r="OK245" s="227">
        <v>0</v>
      </c>
    </row>
    <row r="246" spans="4:401" x14ac:dyDescent="0.3">
      <c r="D246" s="119"/>
      <c r="J246" s="65"/>
      <c r="K246" s="55"/>
      <c r="L246" s="66"/>
      <c r="M246" s="164" t="s">
        <v>255</v>
      </c>
      <c r="N246" s="164"/>
      <c r="O246" s="214"/>
      <c r="P246" s="165"/>
    </row>
    <row r="247" spans="4:401" x14ac:dyDescent="0.3">
      <c r="D247" s="119"/>
      <c r="J247" s="65"/>
      <c r="K247" s="55"/>
      <c r="L247" s="66"/>
      <c r="M247" s="82" t="s">
        <v>256</v>
      </c>
      <c r="N247" s="82"/>
      <c r="O247" s="81"/>
      <c r="P247" s="82"/>
    </row>
    <row r="248" spans="4:401" x14ac:dyDescent="0.3">
      <c r="D248" s="119"/>
      <c r="J248" s="65"/>
      <c r="K248" s="55"/>
      <c r="L248" s="66"/>
      <c r="M248" s="191" t="s">
        <v>173</v>
      </c>
      <c r="N248" s="162"/>
      <c r="O248" s="163"/>
      <c r="P248" s="162"/>
    </row>
    <row r="249" spans="4:401" x14ac:dyDescent="0.3">
      <c r="D249" s="119"/>
      <c r="J249" s="65"/>
      <c r="K249" s="55"/>
      <c r="L249" s="189"/>
      <c r="M249" s="195"/>
      <c r="N249" s="189"/>
      <c r="O249" s="189"/>
      <c r="P249" s="189"/>
    </row>
    <row r="250" spans="4:401" x14ac:dyDescent="0.3">
      <c r="D250" s="119"/>
      <c r="J250" s="65"/>
      <c r="K250" s="55"/>
      <c r="L250" s="189"/>
      <c r="M250" s="196"/>
      <c r="N250" s="189"/>
      <c r="O250" s="189"/>
      <c r="P250" s="189"/>
    </row>
    <row r="251" spans="4:401" x14ac:dyDescent="0.3">
      <c r="D251" s="119"/>
      <c r="J251" s="65"/>
      <c r="K251" s="55"/>
      <c r="L251" s="66"/>
      <c r="M251" s="190" t="s">
        <v>260</v>
      </c>
      <c r="N251" s="160"/>
      <c r="O251" s="161"/>
      <c r="P251" s="160"/>
    </row>
    <row r="252" spans="4:401" x14ac:dyDescent="0.3">
      <c r="D252" s="119"/>
      <c r="J252" s="65"/>
      <c r="K252" s="55"/>
      <c r="L252" s="66"/>
      <c r="M252" t="s">
        <v>266</v>
      </c>
      <c r="N252" t="s">
        <v>305</v>
      </c>
      <c r="O252" s="7" t="s">
        <v>81</v>
      </c>
    </row>
    <row r="253" spans="4:401" x14ac:dyDescent="0.3">
      <c r="D253" s="119"/>
      <c r="J253" s="65"/>
      <c r="K253" s="55"/>
      <c r="L253" s="66"/>
      <c r="M253" s="166" t="s">
        <v>235</v>
      </c>
      <c r="N253" t="s">
        <v>305</v>
      </c>
      <c r="O253" s="7" t="s">
        <v>31</v>
      </c>
    </row>
    <row r="254" spans="4:401" x14ac:dyDescent="0.3">
      <c r="D254" s="119"/>
      <c r="J254" s="65"/>
      <c r="K254" s="55"/>
      <c r="L254" s="66"/>
      <c r="M254" t="s">
        <v>267</v>
      </c>
      <c r="N254" t="s">
        <v>305</v>
      </c>
      <c r="O254" s="7" t="s">
        <v>81</v>
      </c>
    </row>
    <row r="255" spans="4:401" x14ac:dyDescent="0.3">
      <c r="D255" s="119"/>
      <c r="J255" s="65"/>
      <c r="K255" s="55"/>
      <c r="L255" s="66"/>
      <c r="M255" t="s">
        <v>261</v>
      </c>
      <c r="N255" t="s">
        <v>305</v>
      </c>
      <c r="O255" s="7" t="s">
        <v>31</v>
      </c>
    </row>
    <row r="256" spans="4:401" x14ac:dyDescent="0.3">
      <c r="D256" s="119"/>
      <c r="J256" s="65"/>
      <c r="K256" s="55"/>
      <c r="L256" s="66"/>
      <c r="M256" t="s">
        <v>262</v>
      </c>
      <c r="N256" t="s">
        <v>305</v>
      </c>
      <c r="O256" s="7" t="s">
        <v>306</v>
      </c>
    </row>
    <row r="257" spans="4:16" x14ac:dyDescent="0.3">
      <c r="D257" s="119"/>
      <c r="J257" s="65"/>
      <c r="K257" s="55"/>
      <c r="L257" s="66"/>
      <c r="M257" t="s">
        <v>263</v>
      </c>
      <c r="N257" t="s">
        <v>305</v>
      </c>
      <c r="O257" s="7" t="s">
        <v>306</v>
      </c>
    </row>
    <row r="258" spans="4:16" x14ac:dyDescent="0.3">
      <c r="D258" s="119"/>
      <c r="J258" s="65"/>
      <c r="K258" s="55"/>
      <c r="L258" s="66"/>
      <c r="M258" t="s">
        <v>265</v>
      </c>
      <c r="N258" t="s">
        <v>305</v>
      </c>
      <c r="O258" s="7" t="s">
        <v>306</v>
      </c>
    </row>
    <row r="259" spans="4:16" x14ac:dyDescent="0.3">
      <c r="D259" s="119"/>
      <c r="J259" s="65"/>
      <c r="K259" s="55"/>
      <c r="L259" s="66"/>
      <c r="M259" s="75" t="s">
        <v>264</v>
      </c>
      <c r="N259" s="5" t="s">
        <v>305</v>
      </c>
      <c r="O259" s="28" t="s">
        <v>306</v>
      </c>
      <c r="P259" s="5"/>
    </row>
    <row r="260" spans="4:16" x14ac:dyDescent="0.3">
      <c r="D260" s="119"/>
      <c r="J260" s="65"/>
      <c r="K260" s="55"/>
      <c r="L260" s="55"/>
      <c r="M260" s="55"/>
      <c r="N260" s="55"/>
      <c r="O260" s="55"/>
      <c r="P260" s="55"/>
    </row>
    <row r="261" spans="4:16" ht="14.4" thickBot="1" x14ac:dyDescent="0.35">
      <c r="D261" s="119"/>
      <c r="J261" s="143"/>
      <c r="K261" s="142"/>
      <c r="L261" s="141" t="s">
        <v>288</v>
      </c>
      <c r="M261" s="142"/>
      <c r="N261" s="142"/>
      <c r="O261" s="142"/>
      <c r="P261" s="142"/>
    </row>
    <row r="262" spans="4:16" x14ac:dyDescent="0.3">
      <c r="D262" s="119"/>
    </row>
    <row r="263" spans="4:16" x14ac:dyDescent="0.3">
      <c r="D263" s="119"/>
    </row>
    <row r="264" spans="4:16" x14ac:dyDescent="0.3">
      <c r="D264" s="119"/>
    </row>
    <row r="265" spans="4:16" x14ac:dyDescent="0.3">
      <c r="D265" s="119"/>
    </row>
    <row r="266" spans="4:16" x14ac:dyDescent="0.3">
      <c r="D266" s="119"/>
    </row>
    <row r="267" spans="4:16" x14ac:dyDescent="0.3">
      <c r="D267" s="119"/>
    </row>
    <row r="268" spans="4:16" x14ac:dyDescent="0.3">
      <c r="D268" s="119"/>
    </row>
    <row r="269" spans="4:16" x14ac:dyDescent="0.3">
      <c r="D269" s="119"/>
    </row>
    <row r="270" spans="4:16" ht="13.8" customHeight="1" x14ac:dyDescent="0.3">
      <c r="J270" s="65"/>
      <c r="K270" s="55"/>
      <c r="L270" s="66"/>
    </row>
    <row r="271" spans="4:16" ht="13.8" customHeight="1" x14ac:dyDescent="0.3">
      <c r="J271" s="65"/>
      <c r="K271" s="55"/>
      <c r="L271" s="66"/>
    </row>
    <row r="272" spans="4:16" ht="13.8" customHeight="1" x14ac:dyDescent="0.3">
      <c r="J272" s="65"/>
      <c r="K272" s="55"/>
      <c r="L272" s="66"/>
    </row>
    <row r="273" spans="10:12" ht="13.8" customHeight="1" x14ac:dyDescent="0.3">
      <c r="J273" s="65"/>
      <c r="K273" s="55"/>
      <c r="L273" s="66"/>
    </row>
    <row r="274" spans="10:12" ht="13.8" customHeight="1" x14ac:dyDescent="0.3">
      <c r="J274" s="65"/>
      <c r="K274" s="55"/>
      <c r="L274" s="66"/>
    </row>
    <row r="275" spans="10:12" ht="13.8" customHeight="1" x14ac:dyDescent="0.3">
      <c r="J275" s="65"/>
      <c r="K275" s="55"/>
      <c r="L275" s="66"/>
    </row>
    <row r="276" spans="10:12" ht="13.8" customHeight="1" x14ac:dyDescent="0.3">
      <c r="J276" s="65"/>
      <c r="K276" s="55"/>
      <c r="L276" s="66"/>
    </row>
    <row r="277" spans="10:12" ht="13.8" customHeight="1" x14ac:dyDescent="0.3">
      <c r="J277" s="65"/>
      <c r="K277" s="55"/>
      <c r="L277" s="66"/>
    </row>
    <row r="278" spans="10:12" ht="13.8" customHeight="1" x14ac:dyDescent="0.3">
      <c r="J278" s="65"/>
      <c r="K278" s="55"/>
      <c r="L278" s="66"/>
    </row>
    <row r="279" spans="10:12" ht="13.8" customHeight="1" x14ac:dyDescent="0.3">
      <c r="J279" s="65"/>
      <c r="K279" s="55"/>
      <c r="L279" s="66"/>
    </row>
    <row r="280" spans="10:12" ht="13.8" customHeight="1" x14ac:dyDescent="0.3">
      <c r="J280" s="65"/>
      <c r="K280" s="55"/>
      <c r="L280" s="66"/>
    </row>
    <row r="281" spans="10:12" ht="13.8" customHeight="1" x14ac:dyDescent="0.3">
      <c r="J281" s="65"/>
      <c r="K281" s="55"/>
      <c r="L281" s="66"/>
    </row>
    <row r="282" spans="10:12" ht="13.8" customHeight="1" x14ac:dyDescent="0.3">
      <c r="J282" s="65"/>
      <c r="K282" s="55"/>
      <c r="L282" s="66"/>
    </row>
    <row r="283" spans="10:12" ht="13.8" customHeight="1" x14ac:dyDescent="0.3">
      <c r="J283" s="65"/>
      <c r="K283" s="55"/>
      <c r="L283" s="66"/>
    </row>
    <row r="284" spans="10:12" ht="13.8" customHeight="1" x14ac:dyDescent="0.3">
      <c r="J284" s="65"/>
      <c r="K284" s="55"/>
      <c r="L284" s="66"/>
    </row>
    <row r="285" spans="10:12" ht="13.8" customHeight="1" x14ac:dyDescent="0.3">
      <c r="J285" s="65"/>
      <c r="K285" s="55"/>
      <c r="L285" s="66"/>
    </row>
    <row r="286" spans="10:12" ht="13.8" customHeight="1" x14ac:dyDescent="0.3">
      <c r="J286" s="65"/>
      <c r="K286" s="55"/>
      <c r="L286" s="66"/>
    </row>
    <row r="287" spans="10:12" ht="13.8" customHeight="1" x14ac:dyDescent="0.3">
      <c r="J287" s="65"/>
      <c r="K287" s="55"/>
      <c r="L287" s="66"/>
    </row>
    <row r="288" spans="10:12" ht="13.8" customHeight="1" x14ac:dyDescent="0.3">
      <c r="J288" s="65"/>
      <c r="K288" s="55"/>
      <c r="L288" s="66"/>
    </row>
    <row r="289" spans="10:12" ht="13.8" customHeight="1" x14ac:dyDescent="0.3">
      <c r="J289" s="65"/>
      <c r="K289" s="55"/>
      <c r="L289" s="66"/>
    </row>
    <row r="290" spans="10:12" ht="13.8" customHeight="1" x14ac:dyDescent="0.3">
      <c r="J290" s="65"/>
      <c r="K290" s="55"/>
      <c r="L290" s="66"/>
    </row>
    <row r="291" spans="10:12" ht="13.8" customHeight="1" x14ac:dyDescent="0.3">
      <c r="J291" s="65"/>
      <c r="K291" s="55"/>
      <c r="L291" s="66"/>
    </row>
    <row r="292" spans="10:12" ht="13.8" customHeight="1" x14ac:dyDescent="0.3">
      <c r="J292" s="65"/>
      <c r="K292" s="55"/>
      <c r="L292" s="66"/>
    </row>
    <row r="293" spans="10:12" ht="13.8" customHeight="1" x14ac:dyDescent="0.3">
      <c r="J293" s="65"/>
      <c r="K293" s="55"/>
      <c r="L293" s="66"/>
    </row>
    <row r="294" spans="10:12" ht="13.8" customHeight="1" x14ac:dyDescent="0.3">
      <c r="J294" s="65"/>
      <c r="K294" s="55"/>
      <c r="L294" s="66"/>
    </row>
    <row r="295" spans="10:12" ht="13.8" customHeight="1" x14ac:dyDescent="0.3">
      <c r="J295" s="65"/>
      <c r="K295" s="55"/>
      <c r="L295" s="66"/>
    </row>
    <row r="296" spans="10:12" ht="13.8" customHeight="1" x14ac:dyDescent="0.3">
      <c r="J296" s="65"/>
      <c r="K296" s="55"/>
      <c r="L296" s="66"/>
    </row>
    <row r="297" spans="10:12" ht="13.8" customHeight="1" x14ac:dyDescent="0.3">
      <c r="J297" s="65"/>
      <c r="K297" s="55"/>
      <c r="L297" s="66"/>
    </row>
    <row r="298" spans="10:12" ht="13.8" customHeight="1" x14ac:dyDescent="0.3">
      <c r="J298" s="65"/>
      <c r="K298" s="55"/>
      <c r="L298" s="66"/>
    </row>
    <row r="299" spans="10:12" ht="13.8" customHeight="1" x14ac:dyDescent="0.3">
      <c r="J299" s="65"/>
      <c r="K299" s="55"/>
      <c r="L299" s="66"/>
    </row>
    <row r="300" spans="10:12" ht="13.8" customHeight="1" x14ac:dyDescent="0.3">
      <c r="J300" s="65"/>
      <c r="K300" s="55"/>
      <c r="L300" s="66"/>
    </row>
    <row r="301" spans="10:12" ht="13.8" customHeight="1" x14ac:dyDescent="0.3">
      <c r="J301" s="65"/>
      <c r="K301" s="55"/>
      <c r="L301" s="66"/>
    </row>
    <row r="302" spans="10:12" ht="13.8" customHeight="1" x14ac:dyDescent="0.3">
      <c r="J302" s="65"/>
      <c r="K302" s="55"/>
      <c r="L302" s="66"/>
    </row>
    <row r="303" spans="10:12" ht="13.8" customHeight="1" x14ac:dyDescent="0.3">
      <c r="J303" s="65"/>
      <c r="K303" s="55"/>
      <c r="L303" s="66"/>
    </row>
    <row r="304" spans="10:12" ht="13.8" customHeight="1" x14ac:dyDescent="0.3">
      <c r="J304" s="65"/>
      <c r="K304" s="55"/>
      <c r="L304" s="66"/>
    </row>
    <row r="305" spans="10:12" ht="13.8" customHeight="1" x14ac:dyDescent="0.3">
      <c r="J305" s="65"/>
      <c r="K305" s="55"/>
      <c r="L305" s="66"/>
    </row>
    <row r="306" spans="10:12" ht="13.8" customHeight="1" x14ac:dyDescent="0.3">
      <c r="J306" s="65"/>
      <c r="K306" s="55"/>
      <c r="L306" s="66"/>
    </row>
    <row r="307" spans="10:12" ht="13.8" customHeight="1" x14ac:dyDescent="0.3">
      <c r="J307" s="65"/>
      <c r="K307" s="55"/>
      <c r="L307" s="66"/>
    </row>
    <row r="308" spans="10:12" ht="13.8" customHeight="1" x14ac:dyDescent="0.3">
      <c r="J308" s="65"/>
      <c r="K308" s="55"/>
      <c r="L308" s="66"/>
    </row>
    <row r="309" spans="10:12" ht="13.8" customHeight="1" x14ac:dyDescent="0.3">
      <c r="J309" s="65"/>
      <c r="K309" s="55"/>
      <c r="L309" s="66"/>
    </row>
    <row r="310" spans="10:12" ht="13.8" customHeight="1" x14ac:dyDescent="0.3">
      <c r="J310" s="65"/>
      <c r="K310" s="55"/>
      <c r="L310" s="66"/>
    </row>
    <row r="311" spans="10:12" ht="13.8" customHeight="1" x14ac:dyDescent="0.3">
      <c r="J311" s="65"/>
      <c r="K311" s="55"/>
      <c r="L311" s="66"/>
    </row>
    <row r="312" spans="10:12" ht="13.8" customHeight="1" x14ac:dyDescent="0.3">
      <c r="J312" s="65"/>
      <c r="K312" s="55"/>
      <c r="L312" s="66"/>
    </row>
    <row r="313" spans="10:12" ht="13.8" customHeight="1" x14ac:dyDescent="0.3">
      <c r="J313" s="65"/>
      <c r="K313" s="55"/>
      <c r="L313" s="66"/>
    </row>
    <row r="314" spans="10:12" ht="13.8" customHeight="1" x14ac:dyDescent="0.3">
      <c r="J314" s="65"/>
      <c r="K314" s="55"/>
      <c r="L314" s="66"/>
    </row>
    <row r="315" spans="10:12" ht="13.8" customHeight="1" x14ac:dyDescent="0.3">
      <c r="J315" s="65"/>
      <c r="K315" s="55"/>
      <c r="L315" s="66"/>
    </row>
    <row r="316" spans="10:12" ht="13.8" customHeight="1" x14ac:dyDescent="0.3">
      <c r="J316" s="65"/>
      <c r="K316" s="55"/>
      <c r="L316" s="66"/>
    </row>
    <row r="317" spans="10:12" ht="13.8" customHeight="1" x14ac:dyDescent="0.3">
      <c r="J317" s="65"/>
      <c r="K317" s="55"/>
      <c r="L317" s="66"/>
    </row>
    <row r="318" spans="10:12" ht="13.8" customHeight="1" x14ac:dyDescent="0.3">
      <c r="J318" s="65"/>
      <c r="K318" s="55"/>
      <c r="L318" s="66"/>
    </row>
    <row r="319" spans="10:12" ht="13.8" customHeight="1" x14ac:dyDescent="0.3">
      <c r="J319" s="65"/>
      <c r="K319" s="55"/>
      <c r="L319" s="66"/>
    </row>
    <row r="320" spans="10:12" ht="13.8" customHeight="1" x14ac:dyDescent="0.3">
      <c r="J320" s="65"/>
      <c r="K320" s="55"/>
      <c r="L320" s="66"/>
    </row>
    <row r="321" spans="10:12" ht="13.8" customHeight="1" x14ac:dyDescent="0.3">
      <c r="J321" s="65"/>
      <c r="K321" s="55"/>
      <c r="L321" s="66"/>
    </row>
    <row r="322" spans="10:12" ht="13.8" customHeight="1" x14ac:dyDescent="0.3">
      <c r="J322" s="65"/>
      <c r="K322" s="55"/>
      <c r="L322" s="66"/>
    </row>
    <row r="323" spans="10:12" ht="13.8" customHeight="1" x14ac:dyDescent="0.3">
      <c r="J323" s="65"/>
      <c r="K323" s="55"/>
      <c r="L323" s="66"/>
    </row>
    <row r="324" spans="10:12" ht="13.8" customHeight="1" x14ac:dyDescent="0.3">
      <c r="J324" s="65"/>
      <c r="K324" s="55"/>
      <c r="L324" s="66"/>
    </row>
    <row r="325" spans="10:12" ht="13.8" customHeight="1" x14ac:dyDescent="0.3">
      <c r="J325" s="65"/>
      <c r="K325" s="55"/>
      <c r="L325" s="66"/>
    </row>
    <row r="326" spans="10:12" ht="13.8" customHeight="1" x14ac:dyDescent="0.3">
      <c r="J326" s="65"/>
      <c r="K326" s="55"/>
      <c r="L326" s="66"/>
    </row>
    <row r="327" spans="10:12" ht="13.8" customHeight="1" x14ac:dyDescent="0.3">
      <c r="J327" s="65"/>
      <c r="K327" s="55"/>
      <c r="L327" s="66"/>
    </row>
    <row r="328" spans="10:12" ht="13.8" customHeight="1" x14ac:dyDescent="0.3">
      <c r="J328" s="65"/>
      <c r="K328" s="55"/>
      <c r="L328" s="66"/>
    </row>
    <row r="329" spans="10:12" ht="13.8" customHeight="1" x14ac:dyDescent="0.3">
      <c r="J329" s="65"/>
      <c r="K329" s="55"/>
      <c r="L329" s="66"/>
    </row>
    <row r="330" spans="10:12" ht="13.8" customHeight="1" x14ac:dyDescent="0.3">
      <c r="J330" s="65"/>
      <c r="K330" s="55"/>
      <c r="L330" s="66"/>
    </row>
    <row r="331" spans="10:12" ht="13.8" customHeight="1" x14ac:dyDescent="0.3">
      <c r="J331" s="65"/>
      <c r="K331" s="55"/>
      <c r="L331" s="66"/>
    </row>
    <row r="332" spans="10:12" ht="13.8" customHeight="1" x14ac:dyDescent="0.3">
      <c r="J332" s="65"/>
      <c r="K332" s="55"/>
      <c r="L332" s="66"/>
    </row>
    <row r="333" spans="10:12" ht="13.8" customHeight="1" x14ac:dyDescent="0.3">
      <c r="J333" s="65"/>
      <c r="K333" s="55"/>
      <c r="L333" s="66"/>
    </row>
    <row r="334" spans="10:12" ht="13.8" customHeight="1" x14ac:dyDescent="0.3">
      <c r="J334" s="65"/>
      <c r="K334" s="55"/>
      <c r="L334" s="66"/>
    </row>
    <row r="335" spans="10:12" ht="13.8" customHeight="1" x14ac:dyDescent="0.3">
      <c r="J335" s="65"/>
      <c r="K335" s="55"/>
      <c r="L335" s="66"/>
    </row>
    <row r="336" spans="10:12" ht="13.8" customHeight="1" x14ac:dyDescent="0.3">
      <c r="J336" s="65"/>
      <c r="K336" s="55"/>
      <c r="L336" s="66"/>
    </row>
    <row r="337" spans="10:12" ht="13.8" customHeight="1" x14ac:dyDescent="0.3">
      <c r="J337" s="65"/>
      <c r="K337" s="55"/>
      <c r="L337" s="66"/>
    </row>
    <row r="338" spans="10:12" ht="13.8" customHeight="1" x14ac:dyDescent="0.3">
      <c r="J338" s="65"/>
      <c r="K338" s="55"/>
      <c r="L338" s="66"/>
    </row>
    <row r="339" spans="10:12" ht="13.8" customHeight="1" x14ac:dyDescent="0.3">
      <c r="J339" s="65"/>
      <c r="K339" s="55"/>
      <c r="L339" s="66"/>
    </row>
    <row r="340" spans="10:12" ht="13.8" customHeight="1" x14ac:dyDescent="0.3">
      <c r="J340" s="65"/>
      <c r="K340" s="55"/>
      <c r="L340" s="66"/>
    </row>
    <row r="341" spans="10:12" ht="13.8" customHeight="1" x14ac:dyDescent="0.3">
      <c r="J341" s="65"/>
      <c r="K341" s="55"/>
      <c r="L341" s="66"/>
    </row>
    <row r="342" spans="10:12" ht="13.8" customHeight="1" x14ac:dyDescent="0.3">
      <c r="J342" s="65"/>
      <c r="K342" s="55"/>
      <c r="L342" s="66"/>
    </row>
    <row r="343" spans="10:12" ht="13.8" customHeight="1" x14ac:dyDescent="0.3">
      <c r="J343" s="65"/>
      <c r="K343" s="55"/>
      <c r="L343" s="66"/>
    </row>
    <row r="344" spans="10:12" ht="13.8" customHeight="1" x14ac:dyDescent="0.3">
      <c r="J344" s="65"/>
      <c r="K344" s="55"/>
      <c r="L344" s="66"/>
    </row>
    <row r="345" spans="10:12" ht="13.8" customHeight="1" x14ac:dyDescent="0.3">
      <c r="J345" s="65"/>
      <c r="K345" s="55"/>
      <c r="L345" s="66"/>
    </row>
    <row r="346" spans="10:12" ht="13.8" customHeight="1" x14ac:dyDescent="0.3">
      <c r="J346" s="65"/>
      <c r="K346" s="55"/>
      <c r="L346" s="66"/>
    </row>
    <row r="347" spans="10:12" ht="13.8" customHeight="1" x14ac:dyDescent="0.3">
      <c r="J347" s="65"/>
      <c r="K347" s="55"/>
      <c r="L347" s="66"/>
    </row>
    <row r="348" spans="10:12" ht="13.8" customHeight="1" x14ac:dyDescent="0.3">
      <c r="J348" s="65"/>
      <c r="K348" s="55"/>
      <c r="L348" s="66"/>
    </row>
    <row r="349" spans="10:12" ht="13.8" customHeight="1" x14ac:dyDescent="0.3">
      <c r="J349" s="65"/>
      <c r="K349" s="55"/>
      <c r="L349" s="66"/>
    </row>
    <row r="350" spans="10:12" ht="13.8" customHeight="1" x14ac:dyDescent="0.3">
      <c r="J350" s="65"/>
      <c r="K350" s="55"/>
      <c r="L350" s="66"/>
    </row>
    <row r="351" spans="10:12" ht="13.8" customHeight="1" x14ac:dyDescent="0.3">
      <c r="J351" s="65"/>
      <c r="K351" s="55"/>
      <c r="L351" s="66"/>
    </row>
    <row r="352" spans="10:12" ht="13.8" customHeight="1" x14ac:dyDescent="0.3">
      <c r="J352" s="65"/>
      <c r="K352" s="55"/>
      <c r="L352" s="66"/>
    </row>
    <row r="353" spans="10:12" ht="13.8" customHeight="1" x14ac:dyDescent="0.3">
      <c r="J353" s="65"/>
      <c r="K353" s="55"/>
      <c r="L353" s="66"/>
    </row>
    <row r="354" spans="10:12" ht="13.8" customHeight="1" x14ac:dyDescent="0.3">
      <c r="J354" s="65"/>
      <c r="K354" s="55"/>
      <c r="L354" s="66"/>
    </row>
    <row r="355" spans="10:12" ht="13.8" customHeight="1" x14ac:dyDescent="0.3">
      <c r="J355" s="65"/>
      <c r="K355" s="55"/>
      <c r="L355" s="66"/>
    </row>
    <row r="356" spans="10:12" ht="13.8" customHeight="1" x14ac:dyDescent="0.3">
      <c r="J356" s="65"/>
      <c r="K356" s="55"/>
      <c r="L356" s="66"/>
    </row>
  </sheetData>
  <mergeCells count="1">
    <mergeCell ref="A8:D8"/>
  </mergeCells>
  <conditionalFormatting sqref="P13:OD13">
    <cfRule type="cellIs" dxfId="14" priority="15" operator="equal">
      <formula>" "</formula>
    </cfRule>
  </conditionalFormatting>
  <conditionalFormatting sqref="P12:OD12">
    <cfRule type="cellIs" dxfId="13" priority="14" operator="equal">
      <formula>" "</formula>
    </cfRule>
  </conditionalFormatting>
  <conditionalFormatting sqref="P14:OD14">
    <cfRule type="cellIs" dxfId="12" priority="13" operator="equal">
      <formula>" "</formula>
    </cfRule>
  </conditionalFormatting>
  <conditionalFormatting sqref="P15:OD15">
    <cfRule type="cellIs" dxfId="11" priority="12" operator="equal">
      <formula>" "</formula>
    </cfRule>
  </conditionalFormatting>
  <conditionalFormatting sqref="P16:OD16">
    <cfRule type="cellIs" dxfId="10" priority="11" operator="equal">
      <formula>" "</formula>
    </cfRule>
  </conditionalFormatting>
  <conditionalFormatting sqref="P17:OD17">
    <cfRule type="cellIs" dxfId="9" priority="10" operator="equal">
      <formula>" "</formula>
    </cfRule>
  </conditionalFormatting>
  <conditionalFormatting sqref="P18:OD18">
    <cfRule type="cellIs" dxfId="8" priority="9" operator="equal">
      <formula>" "</formula>
    </cfRule>
  </conditionalFormatting>
  <conditionalFormatting sqref="P19:OD19">
    <cfRule type="cellIs" dxfId="7" priority="8" operator="equal">
      <formula>" "</formula>
    </cfRule>
  </conditionalFormatting>
  <conditionalFormatting sqref="P20:OD20">
    <cfRule type="cellIs" dxfId="6" priority="7" operator="equal">
      <formula>" "</formula>
    </cfRule>
  </conditionalFormatting>
  <conditionalFormatting sqref="P21:OD21">
    <cfRule type="cellIs" dxfId="5" priority="6" operator="equal">
      <formula>" "</formula>
    </cfRule>
  </conditionalFormatting>
  <conditionalFormatting sqref="P22:OD22">
    <cfRule type="cellIs" dxfId="4" priority="5" operator="equal">
      <formula>" "</formula>
    </cfRule>
  </conditionalFormatting>
  <conditionalFormatting sqref="P23:OD23">
    <cfRule type="cellIs" dxfId="3" priority="4" operator="equal">
      <formula>" "</formula>
    </cfRule>
  </conditionalFormatting>
  <conditionalFormatting sqref="P24:OD24">
    <cfRule type="cellIs" dxfId="2" priority="3" operator="equal">
      <formula>" "</formula>
    </cfRule>
  </conditionalFormatting>
  <conditionalFormatting sqref="P25:OD25">
    <cfRule type="cellIs" dxfId="1" priority="2" operator="equal">
      <formula>" "</formula>
    </cfRule>
  </conditionalFormatting>
  <conditionalFormatting sqref="P26:OD26">
    <cfRule type="cellIs" dxfId="0" priority="1" operator="equal">
      <formula>" "</formula>
    </cfRule>
  </conditionalFormatting>
  <dataValidations disablePrompts="1" count="1">
    <dataValidation type="list" allowBlank="1" showInputMessage="1" showErrorMessage="1" sqref="E3:F3" xr:uid="{3EEC2524-2CB7-491A-AFE2-C7B5EC15DA4A}">
      <formula1>$H$2:$J$2</formula1>
    </dataValidation>
  </dataValidations>
  <hyperlinks>
    <hyperlink ref="F7" r:id="rId1" display="Sayı" xr:uid="{5CCB6E02-A7A5-49D5-B37C-F3541505D9E7}"/>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InsertScenarioColumn" altText="Add New Scenario Column">
                <anchor moveWithCells="1" sizeWithCells="1">
                  <from>
                    <xdr:col>9</xdr:col>
                    <xdr:colOff>15240</xdr:colOff>
                    <xdr:row>7</xdr:row>
                    <xdr:rowOff>7620</xdr:rowOff>
                  </from>
                  <to>
                    <xdr:col>9</xdr:col>
                    <xdr:colOff>167640</xdr:colOff>
                    <xdr:row>7</xdr:row>
                    <xdr:rowOff>167640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40C812-778A-4999-AEC6-3EEA42C496AB}">
  <sheetPr codeName="Sayfa1"/>
  <dimension ref="A1"/>
  <sheetViews>
    <sheetView workbookViewId="0"/>
  </sheetViews>
  <sheetFormatPr defaultRowHeight="13.8" x14ac:dyDescent="0.3"/>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968691-7668-4431-A86E-A8D7498DD145}">
  <sheetPr codeName="Sayfa2"/>
  <dimension ref="A1:T82"/>
  <sheetViews>
    <sheetView topLeftCell="A23" workbookViewId="0">
      <selection activeCell="H28" sqref="H28"/>
    </sheetView>
  </sheetViews>
  <sheetFormatPr defaultRowHeight="13.8" x14ac:dyDescent="0.3"/>
  <cols>
    <col min="1" max="2" width="20.77734375" customWidth="1"/>
    <col min="4" max="20" width="12.33203125" customWidth="1"/>
  </cols>
  <sheetData>
    <row r="1" spans="1:20" ht="27.6" x14ac:dyDescent="0.3">
      <c r="A1" s="248" t="s">
        <v>401</v>
      </c>
      <c r="B1" s="248" t="s">
        <v>402</v>
      </c>
    </row>
    <row r="2" spans="1:20" x14ac:dyDescent="0.3">
      <c r="A2" s="249" t="s">
        <v>403</v>
      </c>
      <c r="B2" s="250">
        <v>1</v>
      </c>
      <c r="D2" s="234" t="s">
        <v>390</v>
      </c>
      <c r="E2" s="327" t="s">
        <v>48</v>
      </c>
      <c r="F2" s="328"/>
      <c r="G2" s="329"/>
      <c r="H2" s="327" t="s">
        <v>391</v>
      </c>
      <c r="I2" s="328"/>
      <c r="J2" s="329"/>
      <c r="K2" s="235"/>
      <c r="L2" s="234" t="s">
        <v>390</v>
      </c>
      <c r="M2" s="330" t="s">
        <v>48</v>
      </c>
      <c r="N2" s="331"/>
      <c r="O2" s="331"/>
      <c r="P2" s="332"/>
      <c r="Q2" s="330" t="s">
        <v>391</v>
      </c>
      <c r="R2" s="331"/>
      <c r="S2" s="331"/>
      <c r="T2" s="332"/>
    </row>
    <row r="3" spans="1:20" x14ac:dyDescent="0.3">
      <c r="A3" s="249" t="s">
        <v>404</v>
      </c>
      <c r="B3" s="250">
        <v>1</v>
      </c>
      <c r="D3" s="236"/>
      <c r="E3" s="333" t="s">
        <v>392</v>
      </c>
      <c r="F3" s="334"/>
      <c r="G3" s="237" t="s">
        <v>393</v>
      </c>
      <c r="H3" s="333" t="s">
        <v>392</v>
      </c>
      <c r="I3" s="334"/>
      <c r="J3" s="237" t="s">
        <v>393</v>
      </c>
      <c r="L3" s="236"/>
      <c r="M3" s="333" t="s">
        <v>394</v>
      </c>
      <c r="N3" s="334"/>
      <c r="O3" s="333" t="s">
        <v>395</v>
      </c>
      <c r="P3" s="334"/>
      <c r="Q3" s="333" t="s">
        <v>394</v>
      </c>
      <c r="R3" s="334"/>
      <c r="S3" s="333" t="s">
        <v>395</v>
      </c>
      <c r="T3" s="334"/>
    </row>
    <row r="4" spans="1:20" x14ac:dyDescent="0.3">
      <c r="A4" s="249" t="s">
        <v>405</v>
      </c>
      <c r="B4" s="250">
        <v>1</v>
      </c>
      <c r="D4" s="238"/>
      <c r="E4" s="239" t="s">
        <v>396</v>
      </c>
      <c r="F4" s="240" t="s">
        <v>397</v>
      </c>
      <c r="G4" s="241" t="s">
        <v>397</v>
      </c>
      <c r="H4" s="239" t="s">
        <v>396</v>
      </c>
      <c r="I4" s="240" t="s">
        <v>397</v>
      </c>
      <c r="J4" s="241" t="s">
        <v>397</v>
      </c>
      <c r="L4" s="238"/>
      <c r="M4" s="239" t="s">
        <v>398</v>
      </c>
      <c r="N4" s="242" t="s">
        <v>399</v>
      </c>
      <c r="O4" s="239" t="s">
        <v>398</v>
      </c>
      <c r="P4" s="242" t="s">
        <v>399</v>
      </c>
      <c r="Q4" s="239" t="s">
        <v>398</v>
      </c>
      <c r="R4" s="242" t="s">
        <v>399</v>
      </c>
      <c r="S4" s="239" t="s">
        <v>398</v>
      </c>
      <c r="T4" s="242" t="s">
        <v>399</v>
      </c>
    </row>
    <row r="5" spans="1:20" x14ac:dyDescent="0.3">
      <c r="A5" s="249" t="s">
        <v>406</v>
      </c>
      <c r="B5" s="250">
        <v>1</v>
      </c>
      <c r="D5" s="243">
        <v>1</v>
      </c>
      <c r="E5" s="244">
        <v>100485.59</v>
      </c>
      <c r="F5">
        <v>82.9</v>
      </c>
      <c r="G5" s="245">
        <v>45.38</v>
      </c>
      <c r="H5" s="244">
        <v>234754.76</v>
      </c>
      <c r="I5">
        <v>64.89</v>
      </c>
      <c r="J5" s="245">
        <v>33.93</v>
      </c>
      <c r="L5" s="243">
        <v>1</v>
      </c>
      <c r="M5" s="244">
        <f t="shared" ref="M5:M19" si="0">F5*50%+G5</f>
        <v>86.830000000000013</v>
      </c>
      <c r="N5" s="7">
        <f t="shared" ref="N5:N19" si="1">F5+G5</f>
        <v>128.28</v>
      </c>
      <c r="O5" s="244">
        <f t="shared" ref="O5:O19" si="2">E5*50%</f>
        <v>50242.794999999998</v>
      </c>
      <c r="P5" s="7">
        <f t="shared" ref="P5:P19" si="3">E5</f>
        <v>100485.59</v>
      </c>
      <c r="Q5" s="244">
        <f>I5*50%+J5</f>
        <v>66.375</v>
      </c>
      <c r="R5" s="7">
        <f>I5+J5</f>
        <v>98.82</v>
      </c>
      <c r="S5" s="244">
        <f>H5*50%</f>
        <v>117377.38</v>
      </c>
      <c r="T5" s="7">
        <f>H5</f>
        <v>234754.76</v>
      </c>
    </row>
    <row r="6" spans="1:20" x14ac:dyDescent="0.3">
      <c r="A6" s="249" t="s">
        <v>407</v>
      </c>
      <c r="B6" s="250">
        <v>2</v>
      </c>
      <c r="D6" s="243">
        <v>2</v>
      </c>
      <c r="E6" s="244">
        <v>126142.79</v>
      </c>
      <c r="F6">
        <v>82.9</v>
      </c>
      <c r="G6" s="245">
        <v>45.38</v>
      </c>
      <c r="H6" s="244">
        <v>201884.56</v>
      </c>
      <c r="I6">
        <v>64.89</v>
      </c>
      <c r="J6" s="245">
        <v>33.93</v>
      </c>
      <c r="L6" s="243">
        <v>2</v>
      </c>
      <c r="M6" s="244">
        <f t="shared" si="0"/>
        <v>86.830000000000013</v>
      </c>
      <c r="N6" s="7">
        <f t="shared" si="1"/>
        <v>128.28</v>
      </c>
      <c r="O6" s="244">
        <f t="shared" si="2"/>
        <v>63071.394999999997</v>
      </c>
      <c r="P6" s="7">
        <f t="shared" si="3"/>
        <v>126142.79</v>
      </c>
      <c r="Q6" s="244">
        <f t="shared" ref="Q6:Q19" si="4">I6*50%+J6</f>
        <v>66.375</v>
      </c>
      <c r="R6" s="7">
        <f t="shared" ref="R6:R19" si="5">I6+J6</f>
        <v>98.82</v>
      </c>
      <c r="S6" s="244">
        <f t="shared" ref="S6:S19" si="6">H6*50%</f>
        <v>100942.28</v>
      </c>
      <c r="T6" s="7">
        <f t="shared" ref="T6:T19" si="7">H6</f>
        <v>201884.56</v>
      </c>
    </row>
    <row r="7" spans="1:20" x14ac:dyDescent="0.3">
      <c r="A7" s="249" t="s">
        <v>408</v>
      </c>
      <c r="B7" s="250">
        <v>2</v>
      </c>
      <c r="D7" s="243">
        <v>3</v>
      </c>
      <c r="E7" s="244">
        <v>117971.68</v>
      </c>
      <c r="F7">
        <v>82.9</v>
      </c>
      <c r="G7" s="245">
        <v>45.38</v>
      </c>
      <c r="H7" s="244">
        <v>215561.12</v>
      </c>
      <c r="I7">
        <v>64.89</v>
      </c>
      <c r="J7" s="245">
        <v>33.93</v>
      </c>
      <c r="L7" s="243">
        <v>3</v>
      </c>
      <c r="M7" s="244">
        <f t="shared" si="0"/>
        <v>86.830000000000013</v>
      </c>
      <c r="N7" s="7">
        <f t="shared" si="1"/>
        <v>128.28</v>
      </c>
      <c r="O7" s="244">
        <f t="shared" si="2"/>
        <v>58985.84</v>
      </c>
      <c r="P7" s="7">
        <f t="shared" si="3"/>
        <v>117971.68</v>
      </c>
      <c r="Q7" s="244">
        <f t="shared" si="4"/>
        <v>66.375</v>
      </c>
      <c r="R7" s="7">
        <f t="shared" si="5"/>
        <v>98.82</v>
      </c>
      <c r="S7" s="244">
        <f t="shared" si="6"/>
        <v>107780.56</v>
      </c>
      <c r="T7" s="7">
        <f t="shared" si="7"/>
        <v>215561.12</v>
      </c>
    </row>
    <row r="8" spans="1:20" x14ac:dyDescent="0.3">
      <c r="A8" s="249" t="s">
        <v>409</v>
      </c>
      <c r="B8" s="250">
        <v>2</v>
      </c>
      <c r="D8" s="243">
        <v>4</v>
      </c>
      <c r="E8" s="244">
        <v>122443.3</v>
      </c>
      <c r="F8">
        <v>82.9</v>
      </c>
      <c r="G8" s="245">
        <v>45.38</v>
      </c>
      <c r="H8" s="244">
        <v>207019.82</v>
      </c>
      <c r="I8">
        <v>64.89</v>
      </c>
      <c r="J8" s="245">
        <v>33.93</v>
      </c>
      <c r="L8" s="243">
        <v>4</v>
      </c>
      <c r="M8" s="244">
        <f t="shared" si="0"/>
        <v>86.830000000000013</v>
      </c>
      <c r="N8" s="7">
        <f t="shared" si="1"/>
        <v>128.28</v>
      </c>
      <c r="O8" s="244">
        <f t="shared" si="2"/>
        <v>61221.65</v>
      </c>
      <c r="P8" s="7">
        <f t="shared" si="3"/>
        <v>122443.3</v>
      </c>
      <c r="Q8" s="244">
        <f t="shared" si="4"/>
        <v>66.375</v>
      </c>
      <c r="R8" s="7">
        <f t="shared" si="5"/>
        <v>98.82</v>
      </c>
      <c r="S8" s="244">
        <f t="shared" si="6"/>
        <v>103509.91</v>
      </c>
      <c r="T8" s="7">
        <f t="shared" si="7"/>
        <v>207019.82</v>
      </c>
    </row>
    <row r="9" spans="1:20" x14ac:dyDescent="0.3">
      <c r="A9" s="249" t="s">
        <v>410</v>
      </c>
      <c r="B9" s="250">
        <v>2</v>
      </c>
      <c r="D9" s="243">
        <v>5</v>
      </c>
      <c r="E9" s="244">
        <v>130361.57</v>
      </c>
      <c r="F9">
        <v>82.9</v>
      </c>
      <c r="G9" s="245">
        <v>45.38</v>
      </c>
      <c r="H9" s="244">
        <v>198528.65</v>
      </c>
      <c r="I9">
        <v>64.89</v>
      </c>
      <c r="J9" s="245">
        <v>33.93</v>
      </c>
      <c r="L9" s="243">
        <v>5</v>
      </c>
      <c r="M9" s="244">
        <f t="shared" si="0"/>
        <v>86.830000000000013</v>
      </c>
      <c r="N9" s="7">
        <f t="shared" si="1"/>
        <v>128.28</v>
      </c>
      <c r="O9" s="244">
        <f t="shared" si="2"/>
        <v>65180.785000000003</v>
      </c>
      <c r="P9" s="7">
        <f t="shared" si="3"/>
        <v>130361.57</v>
      </c>
      <c r="Q9" s="244">
        <f t="shared" si="4"/>
        <v>66.375</v>
      </c>
      <c r="R9" s="7">
        <f t="shared" si="5"/>
        <v>98.82</v>
      </c>
      <c r="S9" s="244">
        <f t="shared" si="6"/>
        <v>99264.324999999997</v>
      </c>
      <c r="T9" s="7">
        <f t="shared" si="7"/>
        <v>198528.65</v>
      </c>
    </row>
    <row r="10" spans="1:20" x14ac:dyDescent="0.3">
      <c r="A10" s="249" t="s">
        <v>411</v>
      </c>
      <c r="B10" s="250">
        <v>3</v>
      </c>
      <c r="D10" s="243">
        <v>6</v>
      </c>
      <c r="E10" s="244">
        <v>130937.15</v>
      </c>
      <c r="F10">
        <v>82.9</v>
      </c>
      <c r="G10" s="245">
        <v>45.38</v>
      </c>
      <c r="H10" s="244">
        <v>209481.44</v>
      </c>
      <c r="I10">
        <v>64.89</v>
      </c>
      <c r="J10" s="245">
        <v>33.93</v>
      </c>
      <c r="L10" s="243">
        <v>6</v>
      </c>
      <c r="M10" s="244">
        <f t="shared" si="0"/>
        <v>86.830000000000013</v>
      </c>
      <c r="N10" s="7">
        <f t="shared" si="1"/>
        <v>128.28</v>
      </c>
      <c r="O10" s="244">
        <f t="shared" si="2"/>
        <v>65468.574999999997</v>
      </c>
      <c r="P10" s="7">
        <f t="shared" si="3"/>
        <v>130937.15</v>
      </c>
      <c r="Q10" s="244">
        <f t="shared" si="4"/>
        <v>66.375</v>
      </c>
      <c r="R10" s="7">
        <f t="shared" si="5"/>
        <v>98.82</v>
      </c>
      <c r="S10" s="244">
        <f t="shared" si="6"/>
        <v>104740.72</v>
      </c>
      <c r="T10" s="7">
        <f t="shared" si="7"/>
        <v>209481.44</v>
      </c>
    </row>
    <row r="11" spans="1:20" x14ac:dyDescent="0.3">
      <c r="A11" s="249" t="s">
        <v>412</v>
      </c>
      <c r="B11" s="250">
        <v>3</v>
      </c>
      <c r="D11" s="243">
        <v>7</v>
      </c>
      <c r="E11" s="244">
        <v>147346.12</v>
      </c>
      <c r="F11">
        <v>82.9</v>
      </c>
      <c r="G11" s="245">
        <v>45.38</v>
      </c>
      <c r="H11" s="244">
        <v>182931.47</v>
      </c>
      <c r="I11">
        <v>64.89</v>
      </c>
      <c r="J11" s="245">
        <v>33.93</v>
      </c>
      <c r="L11" s="243">
        <v>7</v>
      </c>
      <c r="M11" s="244">
        <f t="shared" si="0"/>
        <v>86.830000000000013</v>
      </c>
      <c r="N11" s="7">
        <f t="shared" si="1"/>
        <v>128.28</v>
      </c>
      <c r="O11" s="244">
        <f t="shared" si="2"/>
        <v>73673.06</v>
      </c>
      <c r="P11" s="7">
        <f t="shared" si="3"/>
        <v>147346.12</v>
      </c>
      <c r="Q11" s="244">
        <f t="shared" si="4"/>
        <v>66.375</v>
      </c>
      <c r="R11" s="7">
        <f t="shared" si="5"/>
        <v>98.82</v>
      </c>
      <c r="S11" s="244">
        <f t="shared" si="6"/>
        <v>91465.735000000001</v>
      </c>
      <c r="T11" s="7">
        <f t="shared" si="7"/>
        <v>182931.47</v>
      </c>
    </row>
    <row r="12" spans="1:20" x14ac:dyDescent="0.3">
      <c r="A12" s="249" t="s">
        <v>413</v>
      </c>
      <c r="B12" s="250">
        <v>3</v>
      </c>
      <c r="D12" s="243">
        <v>8</v>
      </c>
      <c r="E12" s="244">
        <v>147764.06</v>
      </c>
      <c r="F12">
        <v>82.9</v>
      </c>
      <c r="G12" s="245">
        <v>45.38</v>
      </c>
      <c r="H12" s="244">
        <v>190577.33</v>
      </c>
      <c r="I12">
        <v>64.89</v>
      </c>
      <c r="J12" s="245">
        <v>33.93</v>
      </c>
      <c r="L12" s="243">
        <v>8</v>
      </c>
      <c r="M12" s="244">
        <f t="shared" si="0"/>
        <v>86.830000000000013</v>
      </c>
      <c r="N12" s="7">
        <f t="shared" si="1"/>
        <v>128.28</v>
      </c>
      <c r="O12" s="244">
        <f t="shared" si="2"/>
        <v>73882.03</v>
      </c>
      <c r="P12" s="7">
        <f t="shared" si="3"/>
        <v>147764.06</v>
      </c>
      <c r="Q12" s="244">
        <f t="shared" si="4"/>
        <v>66.375</v>
      </c>
      <c r="R12" s="7">
        <f t="shared" si="5"/>
        <v>98.82</v>
      </c>
      <c r="S12" s="244">
        <f t="shared" si="6"/>
        <v>95288.664999999994</v>
      </c>
      <c r="T12" s="7">
        <f t="shared" si="7"/>
        <v>190577.33</v>
      </c>
    </row>
    <row r="13" spans="1:20" x14ac:dyDescent="0.3">
      <c r="A13" s="249" t="s">
        <v>414</v>
      </c>
      <c r="B13" s="250">
        <v>3</v>
      </c>
      <c r="D13" s="243">
        <v>9</v>
      </c>
      <c r="E13" s="244">
        <v>153221.53</v>
      </c>
      <c r="F13">
        <v>82.9</v>
      </c>
      <c r="G13" s="245">
        <v>45.38</v>
      </c>
      <c r="H13" s="244">
        <v>185691.17</v>
      </c>
      <c r="I13">
        <v>64.89</v>
      </c>
      <c r="J13" s="245">
        <v>33.93</v>
      </c>
      <c r="L13" s="243">
        <v>9</v>
      </c>
      <c r="M13" s="244">
        <f t="shared" si="0"/>
        <v>86.830000000000013</v>
      </c>
      <c r="N13" s="7">
        <f t="shared" si="1"/>
        <v>128.28</v>
      </c>
      <c r="O13" s="244">
        <f t="shared" si="2"/>
        <v>76610.764999999999</v>
      </c>
      <c r="P13" s="7">
        <f t="shared" si="3"/>
        <v>153221.53</v>
      </c>
      <c r="Q13" s="244">
        <f t="shared" si="4"/>
        <v>66.375</v>
      </c>
      <c r="R13" s="7">
        <f t="shared" si="5"/>
        <v>98.82</v>
      </c>
      <c r="S13" s="244">
        <f t="shared" si="6"/>
        <v>92845.585000000006</v>
      </c>
      <c r="T13" s="7">
        <f t="shared" si="7"/>
        <v>185691.17</v>
      </c>
    </row>
    <row r="14" spans="1:20" x14ac:dyDescent="0.3">
      <c r="A14" s="249" t="s">
        <v>415</v>
      </c>
      <c r="B14" s="250">
        <v>3</v>
      </c>
      <c r="D14" s="243">
        <v>10</v>
      </c>
      <c r="E14" s="244">
        <v>195066.74</v>
      </c>
      <c r="F14">
        <v>82.9</v>
      </c>
      <c r="G14" s="245">
        <v>45.38</v>
      </c>
      <c r="H14" s="244">
        <v>153416.73000000001</v>
      </c>
      <c r="I14">
        <v>64.89</v>
      </c>
      <c r="J14" s="245">
        <v>33.93</v>
      </c>
      <c r="L14" s="243">
        <v>10</v>
      </c>
      <c r="M14" s="244">
        <f t="shared" si="0"/>
        <v>86.830000000000013</v>
      </c>
      <c r="N14" s="7">
        <f t="shared" si="1"/>
        <v>128.28</v>
      </c>
      <c r="O14" s="244">
        <f t="shared" si="2"/>
        <v>97533.37</v>
      </c>
      <c r="P14" s="7">
        <f t="shared" si="3"/>
        <v>195066.74</v>
      </c>
      <c r="Q14" s="244">
        <f t="shared" si="4"/>
        <v>66.375</v>
      </c>
      <c r="R14" s="7">
        <f t="shared" si="5"/>
        <v>98.82</v>
      </c>
      <c r="S14" s="244">
        <f t="shared" si="6"/>
        <v>76708.365000000005</v>
      </c>
      <c r="T14" s="7">
        <f t="shared" si="7"/>
        <v>153416.73000000001</v>
      </c>
    </row>
    <row r="15" spans="1:20" x14ac:dyDescent="0.3">
      <c r="A15" s="249" t="s">
        <v>416</v>
      </c>
      <c r="B15" s="250">
        <v>3</v>
      </c>
      <c r="D15" s="243">
        <v>11</v>
      </c>
      <c r="E15" s="244">
        <v>199458.41</v>
      </c>
      <c r="F15">
        <v>82.9</v>
      </c>
      <c r="G15" s="245">
        <v>45.38</v>
      </c>
      <c r="H15" s="244">
        <v>158802.84</v>
      </c>
      <c r="I15">
        <v>64.89</v>
      </c>
      <c r="J15" s="245">
        <v>33.93</v>
      </c>
      <c r="L15" s="243">
        <v>11</v>
      </c>
      <c r="M15" s="244">
        <f t="shared" si="0"/>
        <v>86.830000000000013</v>
      </c>
      <c r="N15" s="7">
        <f t="shared" si="1"/>
        <v>128.28</v>
      </c>
      <c r="O15" s="244">
        <f t="shared" si="2"/>
        <v>99729.205000000002</v>
      </c>
      <c r="P15" s="7">
        <f t="shared" si="3"/>
        <v>199458.41</v>
      </c>
      <c r="Q15" s="244">
        <f t="shared" si="4"/>
        <v>66.375</v>
      </c>
      <c r="R15" s="7">
        <f t="shared" si="5"/>
        <v>98.82</v>
      </c>
      <c r="S15" s="244">
        <f t="shared" si="6"/>
        <v>79401.42</v>
      </c>
      <c r="T15" s="7">
        <f t="shared" si="7"/>
        <v>158802.84</v>
      </c>
    </row>
    <row r="16" spans="1:20" x14ac:dyDescent="0.3">
      <c r="A16" s="249" t="s">
        <v>417</v>
      </c>
      <c r="B16" s="250">
        <v>3</v>
      </c>
      <c r="D16" s="243">
        <v>12</v>
      </c>
      <c r="E16" s="244">
        <v>196472.65</v>
      </c>
      <c r="F16">
        <v>82.9</v>
      </c>
      <c r="G16" s="245">
        <v>45.38</v>
      </c>
      <c r="H16" s="244">
        <v>155091.07999999999</v>
      </c>
      <c r="I16">
        <v>64.89</v>
      </c>
      <c r="J16" s="245">
        <v>33.93</v>
      </c>
      <c r="L16" s="243">
        <v>12</v>
      </c>
      <c r="M16" s="244">
        <f t="shared" si="0"/>
        <v>86.830000000000013</v>
      </c>
      <c r="N16" s="7">
        <f t="shared" si="1"/>
        <v>128.28</v>
      </c>
      <c r="O16" s="244">
        <f t="shared" si="2"/>
        <v>98236.324999999997</v>
      </c>
      <c r="P16" s="7">
        <f t="shared" si="3"/>
        <v>196472.65</v>
      </c>
      <c r="Q16" s="244">
        <f t="shared" si="4"/>
        <v>66.375</v>
      </c>
      <c r="R16" s="7">
        <f t="shared" si="5"/>
        <v>98.82</v>
      </c>
      <c r="S16" s="244">
        <f t="shared" si="6"/>
        <v>77545.539999999994</v>
      </c>
      <c r="T16" s="7">
        <f t="shared" si="7"/>
        <v>155091.07999999999</v>
      </c>
    </row>
    <row r="17" spans="1:20" x14ac:dyDescent="0.3">
      <c r="A17" s="249" t="s">
        <v>418</v>
      </c>
      <c r="B17" s="250">
        <v>4</v>
      </c>
      <c r="D17" s="243">
        <v>13</v>
      </c>
      <c r="E17" s="244">
        <v>191683.21</v>
      </c>
      <c r="F17">
        <v>82.9</v>
      </c>
      <c r="G17" s="245">
        <v>45.38</v>
      </c>
      <c r="H17" s="244">
        <v>166845.65</v>
      </c>
      <c r="I17">
        <v>64.89</v>
      </c>
      <c r="J17" s="245">
        <v>33.93</v>
      </c>
      <c r="L17" s="243">
        <v>13</v>
      </c>
      <c r="M17" s="244">
        <f t="shared" si="0"/>
        <v>86.830000000000013</v>
      </c>
      <c r="N17" s="7">
        <f t="shared" si="1"/>
        <v>128.28</v>
      </c>
      <c r="O17" s="244">
        <f t="shared" si="2"/>
        <v>95841.604999999996</v>
      </c>
      <c r="P17" s="7">
        <f t="shared" si="3"/>
        <v>191683.21</v>
      </c>
      <c r="Q17" s="244">
        <f t="shared" si="4"/>
        <v>66.375</v>
      </c>
      <c r="R17" s="7">
        <f t="shared" si="5"/>
        <v>98.82</v>
      </c>
      <c r="S17" s="244">
        <f t="shared" si="6"/>
        <v>83422.824999999997</v>
      </c>
      <c r="T17" s="7">
        <f t="shared" si="7"/>
        <v>166845.65</v>
      </c>
    </row>
    <row r="18" spans="1:20" x14ac:dyDescent="0.3">
      <c r="A18" s="249" t="s">
        <v>419</v>
      </c>
      <c r="B18" s="250">
        <v>4</v>
      </c>
      <c r="D18" s="243">
        <v>14</v>
      </c>
      <c r="E18" s="244">
        <v>210873.44</v>
      </c>
      <c r="F18">
        <v>82.9</v>
      </c>
      <c r="G18" s="245">
        <v>45.38</v>
      </c>
      <c r="H18" s="244">
        <v>141791.60999999999</v>
      </c>
      <c r="I18">
        <v>64.89</v>
      </c>
      <c r="J18" s="245">
        <v>33.93</v>
      </c>
      <c r="L18" s="243">
        <v>14</v>
      </c>
      <c r="M18" s="244">
        <f t="shared" si="0"/>
        <v>86.830000000000013</v>
      </c>
      <c r="N18" s="7">
        <f t="shared" si="1"/>
        <v>128.28</v>
      </c>
      <c r="O18" s="244">
        <f t="shared" si="2"/>
        <v>105436.72</v>
      </c>
      <c r="P18" s="7">
        <f t="shared" si="3"/>
        <v>210873.44</v>
      </c>
      <c r="Q18" s="244">
        <f t="shared" si="4"/>
        <v>66.375</v>
      </c>
      <c r="R18" s="7">
        <f t="shared" si="5"/>
        <v>98.82</v>
      </c>
      <c r="S18" s="244">
        <f t="shared" si="6"/>
        <v>70895.804999999993</v>
      </c>
      <c r="T18" s="7">
        <f t="shared" si="7"/>
        <v>141791.60999999999</v>
      </c>
    </row>
    <row r="19" spans="1:20" x14ac:dyDescent="0.3">
      <c r="A19" s="249" t="s">
        <v>420</v>
      </c>
      <c r="B19" s="250">
        <v>4</v>
      </c>
      <c r="D19" s="246">
        <v>15</v>
      </c>
      <c r="E19" s="188">
        <v>221310.82</v>
      </c>
      <c r="F19" s="5">
        <v>82.9</v>
      </c>
      <c r="G19" s="238">
        <v>45.38</v>
      </c>
      <c r="H19" s="188">
        <v>137317.71</v>
      </c>
      <c r="I19" s="5">
        <v>64.89</v>
      </c>
      <c r="J19" s="238">
        <v>33.93</v>
      </c>
      <c r="L19" s="246">
        <v>15</v>
      </c>
      <c r="M19" s="188">
        <f t="shared" si="0"/>
        <v>86.830000000000013</v>
      </c>
      <c r="N19" s="28">
        <f t="shared" si="1"/>
        <v>128.28</v>
      </c>
      <c r="O19" s="188">
        <f t="shared" si="2"/>
        <v>110655.41</v>
      </c>
      <c r="P19" s="28">
        <f t="shared" si="3"/>
        <v>221310.82</v>
      </c>
      <c r="Q19" s="188">
        <f t="shared" si="4"/>
        <v>66.375</v>
      </c>
      <c r="R19" s="28">
        <f t="shared" si="5"/>
        <v>98.82</v>
      </c>
      <c r="S19" s="188">
        <f t="shared" si="6"/>
        <v>68658.854999999996</v>
      </c>
      <c r="T19" s="28">
        <f t="shared" si="7"/>
        <v>137317.71</v>
      </c>
    </row>
    <row r="20" spans="1:20" x14ac:dyDescent="0.3">
      <c r="A20" s="249" t="s">
        <v>421</v>
      </c>
      <c r="B20" s="250">
        <v>4</v>
      </c>
    </row>
    <row r="21" spans="1:20" x14ac:dyDescent="0.3">
      <c r="A21" s="249" t="s">
        <v>422</v>
      </c>
      <c r="B21" s="250">
        <v>5</v>
      </c>
      <c r="D21" s="247" t="s">
        <v>400</v>
      </c>
    </row>
    <row r="22" spans="1:20" x14ac:dyDescent="0.3">
      <c r="A22" s="249" t="s">
        <v>423</v>
      </c>
      <c r="B22" s="250">
        <v>5</v>
      </c>
    </row>
    <row r="23" spans="1:20" x14ac:dyDescent="0.3">
      <c r="A23" s="249" t="s">
        <v>424</v>
      </c>
      <c r="B23" s="250">
        <v>5</v>
      </c>
    </row>
    <row r="24" spans="1:20" x14ac:dyDescent="0.3">
      <c r="A24" s="249" t="s">
        <v>425</v>
      </c>
      <c r="B24" s="250">
        <v>5</v>
      </c>
    </row>
    <row r="25" spans="1:20" x14ac:dyDescent="0.3">
      <c r="A25" s="249" t="s">
        <v>426</v>
      </c>
      <c r="B25" s="250">
        <v>5</v>
      </c>
    </row>
    <row r="26" spans="1:20" x14ac:dyDescent="0.3">
      <c r="A26" s="249" t="s">
        <v>427</v>
      </c>
      <c r="B26" s="250">
        <v>5</v>
      </c>
    </row>
    <row r="27" spans="1:20" x14ac:dyDescent="0.3">
      <c r="A27" s="249" t="s">
        <v>428</v>
      </c>
      <c r="B27" s="250">
        <v>6</v>
      </c>
    </row>
    <row r="28" spans="1:20" x14ac:dyDescent="0.3">
      <c r="A28" s="249" t="s">
        <v>429</v>
      </c>
      <c r="B28" s="250">
        <v>7</v>
      </c>
    </row>
    <row r="29" spans="1:20" x14ac:dyDescent="0.3">
      <c r="A29" s="249" t="s">
        <v>430</v>
      </c>
      <c r="B29" s="250">
        <v>7</v>
      </c>
    </row>
    <row r="30" spans="1:20" x14ac:dyDescent="0.3">
      <c r="A30" s="249" t="s">
        <v>431</v>
      </c>
      <c r="B30" s="250">
        <v>7</v>
      </c>
    </row>
    <row r="31" spans="1:20" x14ac:dyDescent="0.3">
      <c r="A31" s="249" t="s">
        <v>432</v>
      </c>
      <c r="B31" s="250">
        <v>7</v>
      </c>
    </row>
    <row r="32" spans="1:20" x14ac:dyDescent="0.3">
      <c r="A32" s="249" t="s">
        <v>433</v>
      </c>
      <c r="B32" s="250">
        <v>7</v>
      </c>
    </row>
    <row r="33" spans="1:2" x14ac:dyDescent="0.3">
      <c r="A33" s="249" t="s">
        <v>434</v>
      </c>
      <c r="B33" s="250">
        <v>7</v>
      </c>
    </row>
    <row r="34" spans="1:2" x14ac:dyDescent="0.3">
      <c r="A34" s="249" t="s">
        <v>435</v>
      </c>
      <c r="B34" s="250">
        <v>7</v>
      </c>
    </row>
    <row r="35" spans="1:2" x14ac:dyDescent="0.3">
      <c r="A35" s="249" t="s">
        <v>436</v>
      </c>
      <c r="B35" s="250">
        <v>7</v>
      </c>
    </row>
    <row r="36" spans="1:2" x14ac:dyDescent="0.3">
      <c r="A36" s="249" t="s">
        <v>437</v>
      </c>
      <c r="B36" s="250">
        <v>7</v>
      </c>
    </row>
    <row r="37" spans="1:2" x14ac:dyDescent="0.3">
      <c r="A37" s="249" t="s">
        <v>438</v>
      </c>
      <c r="B37" s="250">
        <v>7</v>
      </c>
    </row>
    <row r="38" spans="1:2" x14ac:dyDescent="0.3">
      <c r="A38" s="249" t="s">
        <v>439</v>
      </c>
      <c r="B38" s="250">
        <v>7</v>
      </c>
    </row>
    <row r="39" spans="1:2" x14ac:dyDescent="0.3">
      <c r="A39" s="249" t="s">
        <v>440</v>
      </c>
      <c r="B39" s="250">
        <v>7</v>
      </c>
    </row>
    <row r="40" spans="1:2" x14ac:dyDescent="0.3">
      <c r="A40" s="249" t="s">
        <v>441</v>
      </c>
      <c r="B40" s="250">
        <v>8</v>
      </c>
    </row>
    <row r="41" spans="1:2" x14ac:dyDescent="0.3">
      <c r="A41" s="249" t="s">
        <v>442</v>
      </c>
      <c r="B41" s="250">
        <v>8</v>
      </c>
    </row>
    <row r="42" spans="1:2" x14ac:dyDescent="0.3">
      <c r="A42" s="249" t="s">
        <v>443</v>
      </c>
      <c r="B42" s="250">
        <v>9</v>
      </c>
    </row>
    <row r="43" spans="1:2" x14ac:dyDescent="0.3">
      <c r="A43" s="249" t="s">
        <v>444</v>
      </c>
      <c r="B43" s="250">
        <v>9</v>
      </c>
    </row>
    <row r="44" spans="1:2" x14ac:dyDescent="0.3">
      <c r="A44" s="249" t="s">
        <v>445</v>
      </c>
      <c r="B44" s="250">
        <v>9</v>
      </c>
    </row>
    <row r="45" spans="1:2" x14ac:dyDescent="0.3">
      <c r="A45" s="249" t="s">
        <v>446</v>
      </c>
      <c r="B45" s="250">
        <v>9</v>
      </c>
    </row>
    <row r="46" spans="1:2" x14ac:dyDescent="0.3">
      <c r="A46" s="249" t="s">
        <v>447</v>
      </c>
      <c r="B46" s="250">
        <v>10</v>
      </c>
    </row>
    <row r="47" spans="1:2" x14ac:dyDescent="0.3">
      <c r="A47" s="249" t="s">
        <v>448</v>
      </c>
      <c r="B47" s="250">
        <v>10</v>
      </c>
    </row>
    <row r="48" spans="1:2" x14ac:dyDescent="0.3">
      <c r="A48" s="249" t="s">
        <v>449</v>
      </c>
      <c r="B48" s="250">
        <v>10</v>
      </c>
    </row>
    <row r="49" spans="1:2" x14ac:dyDescent="0.3">
      <c r="A49" s="249" t="s">
        <v>450</v>
      </c>
      <c r="B49" s="250">
        <v>10</v>
      </c>
    </row>
    <row r="50" spans="1:2" x14ac:dyDescent="0.3">
      <c r="A50" s="249" t="s">
        <v>451</v>
      </c>
      <c r="B50" s="250">
        <v>10</v>
      </c>
    </row>
    <row r="51" spans="1:2" x14ac:dyDescent="0.3">
      <c r="A51" s="249" t="s">
        <v>452</v>
      </c>
      <c r="B51" s="250">
        <v>11</v>
      </c>
    </row>
    <row r="52" spans="1:2" x14ac:dyDescent="0.3">
      <c r="A52" s="249" t="s">
        <v>453</v>
      </c>
      <c r="B52" s="250">
        <v>11</v>
      </c>
    </row>
    <row r="53" spans="1:2" x14ac:dyDescent="0.3">
      <c r="A53" s="249" t="s">
        <v>454</v>
      </c>
      <c r="B53" s="250">
        <v>11</v>
      </c>
    </row>
    <row r="54" spans="1:2" x14ac:dyDescent="0.3">
      <c r="A54" s="249" t="s">
        <v>455</v>
      </c>
      <c r="B54" s="250">
        <v>11</v>
      </c>
    </row>
    <row r="55" spans="1:2" x14ac:dyDescent="0.3">
      <c r="A55" s="249" t="s">
        <v>456</v>
      </c>
      <c r="B55" s="250">
        <v>11</v>
      </c>
    </row>
    <row r="56" spans="1:2" x14ac:dyDescent="0.3">
      <c r="A56" s="249" t="s">
        <v>457</v>
      </c>
      <c r="B56" s="250">
        <v>11</v>
      </c>
    </row>
    <row r="57" spans="1:2" x14ac:dyDescent="0.3">
      <c r="A57" s="249" t="s">
        <v>458</v>
      </c>
      <c r="B57" s="250">
        <v>11</v>
      </c>
    </row>
    <row r="58" spans="1:2" x14ac:dyDescent="0.3">
      <c r="A58" s="249" t="s">
        <v>459</v>
      </c>
      <c r="B58" s="250">
        <v>11</v>
      </c>
    </row>
    <row r="59" spans="1:2" x14ac:dyDescent="0.3">
      <c r="A59" s="249" t="s">
        <v>460</v>
      </c>
      <c r="B59" s="250">
        <v>11</v>
      </c>
    </row>
    <row r="60" spans="1:2" x14ac:dyDescent="0.3">
      <c r="A60" s="249" t="s">
        <v>461</v>
      </c>
      <c r="B60" s="250">
        <v>11</v>
      </c>
    </row>
    <row r="61" spans="1:2" x14ac:dyDescent="0.3">
      <c r="A61" s="249" t="s">
        <v>462</v>
      </c>
      <c r="B61" s="250">
        <v>11</v>
      </c>
    </row>
    <row r="62" spans="1:2" x14ac:dyDescent="0.3">
      <c r="A62" s="249" t="s">
        <v>463</v>
      </c>
      <c r="B62" s="250">
        <v>11</v>
      </c>
    </row>
    <row r="63" spans="1:2" x14ac:dyDescent="0.3">
      <c r="A63" s="249" t="s">
        <v>464</v>
      </c>
      <c r="B63" s="250">
        <v>11</v>
      </c>
    </row>
    <row r="64" spans="1:2" x14ac:dyDescent="0.3">
      <c r="A64" s="249" t="s">
        <v>465</v>
      </c>
      <c r="B64" s="250">
        <v>11</v>
      </c>
    </row>
    <row r="65" spans="1:2" x14ac:dyDescent="0.3">
      <c r="A65" s="249" t="s">
        <v>466</v>
      </c>
      <c r="B65" s="250">
        <v>11</v>
      </c>
    </row>
    <row r="66" spans="1:2" x14ac:dyDescent="0.3">
      <c r="A66" s="249" t="s">
        <v>467</v>
      </c>
      <c r="B66" s="250">
        <v>11</v>
      </c>
    </row>
    <row r="67" spans="1:2" x14ac:dyDescent="0.3">
      <c r="A67" s="249" t="s">
        <v>468</v>
      </c>
      <c r="B67" s="250">
        <v>12</v>
      </c>
    </row>
    <row r="68" spans="1:2" x14ac:dyDescent="0.3">
      <c r="A68" s="249" t="s">
        <v>469</v>
      </c>
      <c r="B68" s="250">
        <v>12</v>
      </c>
    </row>
    <row r="69" spans="1:2" x14ac:dyDescent="0.3">
      <c r="A69" s="249" t="s">
        <v>470</v>
      </c>
      <c r="B69" s="250">
        <v>12</v>
      </c>
    </row>
    <row r="70" spans="1:2" x14ac:dyDescent="0.3">
      <c r="A70" s="249" t="s">
        <v>471</v>
      </c>
      <c r="B70" s="250">
        <v>12</v>
      </c>
    </row>
    <row r="71" spans="1:2" x14ac:dyDescent="0.3">
      <c r="A71" s="249" t="s">
        <v>472</v>
      </c>
      <c r="B71" s="250">
        <v>13</v>
      </c>
    </row>
    <row r="72" spans="1:2" x14ac:dyDescent="0.3">
      <c r="A72" s="249" t="s">
        <v>473</v>
      </c>
      <c r="B72" s="250">
        <v>13</v>
      </c>
    </row>
    <row r="73" spans="1:2" x14ac:dyDescent="0.3">
      <c r="A73" s="249" t="s">
        <v>474</v>
      </c>
      <c r="B73" s="250">
        <v>13</v>
      </c>
    </row>
    <row r="74" spans="1:2" x14ac:dyDescent="0.3">
      <c r="A74" s="249" t="s">
        <v>475</v>
      </c>
      <c r="B74" s="250">
        <v>14</v>
      </c>
    </row>
    <row r="75" spans="1:2" x14ac:dyDescent="0.3">
      <c r="A75" s="249" t="s">
        <v>476</v>
      </c>
      <c r="B75" s="250">
        <v>14</v>
      </c>
    </row>
    <row r="76" spans="1:2" x14ac:dyDescent="0.3">
      <c r="A76" s="249" t="s">
        <v>477</v>
      </c>
      <c r="B76" s="250">
        <v>14</v>
      </c>
    </row>
    <row r="77" spans="1:2" x14ac:dyDescent="0.3">
      <c r="A77" s="249" t="s">
        <v>478</v>
      </c>
      <c r="B77" s="250">
        <v>14</v>
      </c>
    </row>
    <row r="78" spans="1:2" x14ac:dyDescent="0.3">
      <c r="A78" s="249" t="s">
        <v>479</v>
      </c>
      <c r="B78" s="250">
        <v>14</v>
      </c>
    </row>
    <row r="79" spans="1:2" x14ac:dyDescent="0.3">
      <c r="A79" s="249" t="s">
        <v>480</v>
      </c>
      <c r="B79" s="250">
        <v>15</v>
      </c>
    </row>
    <row r="80" spans="1:2" x14ac:dyDescent="0.3">
      <c r="A80" s="249" t="s">
        <v>481</v>
      </c>
      <c r="B80" s="250">
        <v>15</v>
      </c>
    </row>
    <row r="81" spans="1:2" x14ac:dyDescent="0.3">
      <c r="A81" s="249" t="s">
        <v>482</v>
      </c>
      <c r="B81" s="250">
        <v>15</v>
      </c>
    </row>
    <row r="82" spans="1:2" x14ac:dyDescent="0.3">
      <c r="A82" s="249" t="s">
        <v>483</v>
      </c>
      <c r="B82" s="250">
        <v>15</v>
      </c>
    </row>
  </sheetData>
  <mergeCells count="10">
    <mergeCell ref="E2:G2"/>
    <mergeCell ref="H2:J2"/>
    <mergeCell ref="M2:P2"/>
    <mergeCell ref="Q2:T2"/>
    <mergeCell ref="E3:F3"/>
    <mergeCell ref="H3:I3"/>
    <mergeCell ref="M3:N3"/>
    <mergeCell ref="O3:P3"/>
    <mergeCell ref="Q3:R3"/>
    <mergeCell ref="S3:T3"/>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B279FF-6936-457B-A562-842E00902EEB}">
  <sheetPr codeName="Sayfa9"/>
  <dimension ref="A1:J300"/>
  <sheetViews>
    <sheetView topLeftCell="A25" workbookViewId="0">
      <selection activeCell="I16" sqref="I16"/>
    </sheetView>
  </sheetViews>
  <sheetFormatPr defaultColWidth="9.33203125" defaultRowHeight="13.8" customHeight="1" x14ac:dyDescent="0.3"/>
  <cols>
    <col min="1" max="1" width="12.5546875" customWidth="1"/>
    <col min="2" max="2" width="8.88671875" customWidth="1"/>
    <col min="3" max="4" width="7.6640625" customWidth="1"/>
    <col min="5" max="8" width="8.88671875" customWidth="1"/>
    <col min="9" max="10" width="10.109375" customWidth="1"/>
  </cols>
  <sheetData>
    <row r="1" spans="1:10" x14ac:dyDescent="0.3">
      <c r="A1" s="335" t="s">
        <v>83</v>
      </c>
      <c r="B1" s="336"/>
      <c r="C1" s="336"/>
      <c r="D1" s="336"/>
      <c r="E1" s="336"/>
      <c r="F1" s="336"/>
      <c r="G1" s="336"/>
      <c r="H1" s="336"/>
      <c r="I1" s="336"/>
      <c r="J1" s="337"/>
    </row>
    <row r="2" spans="1:10" x14ac:dyDescent="0.3">
      <c r="A2" s="338" t="s">
        <v>84</v>
      </c>
      <c r="B2" s="338" t="s">
        <v>85</v>
      </c>
      <c r="C2" s="31" t="s">
        <v>86</v>
      </c>
      <c r="D2" s="31" t="s">
        <v>87</v>
      </c>
      <c r="E2" s="31" t="s">
        <v>86</v>
      </c>
      <c r="F2" s="31" t="s">
        <v>87</v>
      </c>
      <c r="G2" s="31" t="s">
        <v>86</v>
      </c>
      <c r="H2" s="31" t="s">
        <v>87</v>
      </c>
      <c r="I2" s="31" t="s">
        <v>86</v>
      </c>
      <c r="J2" s="31" t="s">
        <v>87</v>
      </c>
    </row>
    <row r="3" spans="1:10" x14ac:dyDescent="0.3">
      <c r="A3" s="339"/>
      <c r="B3" s="339"/>
      <c r="C3" s="37" t="s">
        <v>88</v>
      </c>
      <c r="D3" s="37" t="s">
        <v>88</v>
      </c>
      <c r="E3" s="37" t="s">
        <v>89</v>
      </c>
      <c r="F3" s="37" t="s">
        <v>89</v>
      </c>
      <c r="G3" s="37" t="s">
        <v>90</v>
      </c>
      <c r="H3" s="37" t="s">
        <v>90</v>
      </c>
      <c r="I3" s="37" t="s">
        <v>91</v>
      </c>
      <c r="J3" s="37" t="s">
        <v>91</v>
      </c>
    </row>
    <row r="4" spans="1:10" x14ac:dyDescent="0.3">
      <c r="A4" s="37" t="s">
        <v>92</v>
      </c>
      <c r="B4" s="37" t="s">
        <v>93</v>
      </c>
      <c r="C4" s="37" t="s">
        <v>94</v>
      </c>
      <c r="D4" s="37" t="s">
        <v>94</v>
      </c>
      <c r="E4" s="37" t="s">
        <v>95</v>
      </c>
      <c r="F4" s="37" t="s">
        <v>95</v>
      </c>
      <c r="G4" s="37" t="s">
        <v>96</v>
      </c>
      <c r="H4" s="37" t="s">
        <v>96</v>
      </c>
      <c r="I4" s="37" t="s">
        <v>96</v>
      </c>
      <c r="J4" s="37" t="s">
        <v>96</v>
      </c>
    </row>
    <row r="5" spans="1:10" x14ac:dyDescent="0.3">
      <c r="A5" s="31">
        <v>80</v>
      </c>
      <c r="B5" s="31">
        <v>0.47414000000000001</v>
      </c>
      <c r="C5" s="31">
        <v>971.77</v>
      </c>
      <c r="D5" s="31">
        <v>0.29366999999999999</v>
      </c>
      <c r="E5" s="31">
        <v>335.01</v>
      </c>
      <c r="F5" s="31">
        <v>2643</v>
      </c>
      <c r="G5" s="31">
        <v>1.0755999999999999</v>
      </c>
      <c r="H5" s="31">
        <v>7.6111000000000004</v>
      </c>
      <c r="I5" s="31">
        <v>4.1969000000000003</v>
      </c>
      <c r="J5" s="31">
        <v>2.012</v>
      </c>
    </row>
    <row r="6" spans="1:10" x14ac:dyDescent="0.3">
      <c r="A6" s="31">
        <v>81</v>
      </c>
      <c r="B6" s="31">
        <v>0.49367</v>
      </c>
      <c r="C6" s="31">
        <v>971.14</v>
      </c>
      <c r="D6" s="31">
        <v>0.30497999999999997</v>
      </c>
      <c r="E6" s="31">
        <v>339.21</v>
      </c>
      <c r="F6" s="31">
        <v>2644.7</v>
      </c>
      <c r="G6" s="31">
        <v>1.0873999999999999</v>
      </c>
      <c r="H6" s="31">
        <v>7.5972999999999997</v>
      </c>
      <c r="I6" s="31">
        <v>4.1976000000000004</v>
      </c>
      <c r="J6" s="31">
        <v>2.0148000000000001</v>
      </c>
    </row>
    <row r="7" spans="1:10" x14ac:dyDescent="0.3">
      <c r="A7" s="31">
        <v>82</v>
      </c>
      <c r="B7" s="31">
        <v>0.51387000000000005</v>
      </c>
      <c r="C7" s="31">
        <v>970.51</v>
      </c>
      <c r="D7" s="31">
        <v>0.31664999999999999</v>
      </c>
      <c r="E7" s="31">
        <v>343.41</v>
      </c>
      <c r="F7" s="31">
        <v>2646.4</v>
      </c>
      <c r="G7" s="31">
        <v>1.0992999999999999</v>
      </c>
      <c r="H7" s="31">
        <v>7.5837000000000003</v>
      </c>
      <c r="I7" s="31">
        <v>4.1984000000000004</v>
      </c>
      <c r="J7" s="31">
        <v>2.0177</v>
      </c>
    </row>
    <row r="8" spans="1:10" x14ac:dyDescent="0.3">
      <c r="A8" s="31">
        <v>83</v>
      </c>
      <c r="B8" s="31">
        <v>0.53476000000000001</v>
      </c>
      <c r="C8" s="31">
        <v>969.88</v>
      </c>
      <c r="D8" s="31">
        <v>0.32868000000000003</v>
      </c>
      <c r="E8" s="31">
        <v>347.61</v>
      </c>
      <c r="F8" s="31">
        <v>2648</v>
      </c>
      <c r="G8" s="31">
        <v>1.1111</v>
      </c>
      <c r="H8" s="31">
        <v>7.5701999999999998</v>
      </c>
      <c r="I8" s="31">
        <v>4.1992000000000003</v>
      </c>
      <c r="J8" s="31">
        <v>2.0207000000000002</v>
      </c>
    </row>
    <row r="9" spans="1:10" x14ac:dyDescent="0.3">
      <c r="A9" s="31">
        <v>84</v>
      </c>
      <c r="B9" s="31">
        <v>0.55635000000000001</v>
      </c>
      <c r="C9" s="31">
        <v>969.24</v>
      </c>
      <c r="D9" s="31">
        <v>0.34109</v>
      </c>
      <c r="E9" s="31">
        <v>351.81</v>
      </c>
      <c r="F9" s="31">
        <v>2649.7</v>
      </c>
      <c r="G9" s="31">
        <v>1.1229</v>
      </c>
      <c r="H9" s="31">
        <v>7.5567000000000002</v>
      </c>
      <c r="I9" s="31">
        <v>4.2</v>
      </c>
      <c r="J9" s="31">
        <v>2.0236999999999998</v>
      </c>
    </row>
    <row r="10" spans="1:10" x14ac:dyDescent="0.3">
      <c r="A10" s="31">
        <v>85</v>
      </c>
      <c r="B10" s="31">
        <v>0.57867000000000002</v>
      </c>
      <c r="C10" s="31">
        <v>968.59</v>
      </c>
      <c r="D10" s="31">
        <v>0.35387999999999997</v>
      </c>
      <c r="E10" s="31">
        <v>356.01</v>
      </c>
      <c r="F10" s="31">
        <v>2651.3</v>
      </c>
      <c r="G10" s="31">
        <v>1.1346000000000001</v>
      </c>
      <c r="H10" s="31">
        <v>7.5434000000000001</v>
      </c>
      <c r="I10" s="31">
        <v>4.2008000000000001</v>
      </c>
      <c r="J10" s="31">
        <v>2.0266999999999999</v>
      </c>
    </row>
    <row r="11" spans="1:10" x14ac:dyDescent="0.3">
      <c r="A11" s="31">
        <v>86</v>
      </c>
      <c r="B11" s="31">
        <v>0.60172999999999999</v>
      </c>
      <c r="C11" s="31">
        <v>967.94</v>
      </c>
      <c r="D11" s="31">
        <v>0.36706</v>
      </c>
      <c r="E11" s="31">
        <v>360.22</v>
      </c>
      <c r="F11" s="31">
        <v>2653</v>
      </c>
      <c r="G11" s="31">
        <v>1.1463000000000001</v>
      </c>
      <c r="H11" s="31">
        <v>7.5301999999999998</v>
      </c>
      <c r="I11" s="31">
        <v>4.2016999999999998</v>
      </c>
      <c r="J11" s="31">
        <v>2.0299</v>
      </c>
    </row>
    <row r="12" spans="1:10" x14ac:dyDescent="0.3">
      <c r="A12" s="31">
        <v>87</v>
      </c>
      <c r="B12" s="31">
        <v>0.62556</v>
      </c>
      <c r="C12" s="31">
        <v>967.29</v>
      </c>
      <c r="D12" s="31">
        <v>0.38063999999999998</v>
      </c>
      <c r="E12" s="31">
        <v>364.42</v>
      </c>
      <c r="F12" s="31">
        <v>2654.6</v>
      </c>
      <c r="G12" s="31">
        <v>1.1579999999999999</v>
      </c>
      <c r="H12" s="31">
        <v>7.5170000000000003</v>
      </c>
      <c r="I12" s="31">
        <v>4.2026000000000003</v>
      </c>
      <c r="J12" s="31">
        <v>2.0329999999999999</v>
      </c>
    </row>
    <row r="13" spans="1:10" x14ac:dyDescent="0.3">
      <c r="A13" s="31">
        <v>88</v>
      </c>
      <c r="B13" s="31">
        <v>0.65017000000000003</v>
      </c>
      <c r="C13" s="31">
        <v>966.63</v>
      </c>
      <c r="D13" s="31">
        <v>0.39463999999999999</v>
      </c>
      <c r="E13" s="31">
        <v>368.63</v>
      </c>
      <c r="F13" s="31">
        <v>2656.3</v>
      </c>
      <c r="G13" s="31">
        <v>1.1696</v>
      </c>
      <c r="H13" s="31">
        <v>7.5039999999999996</v>
      </c>
      <c r="I13" s="31">
        <v>4.2034000000000002</v>
      </c>
      <c r="J13" s="31">
        <v>2.0363000000000002</v>
      </c>
    </row>
    <row r="14" spans="1:10" x14ac:dyDescent="0.3">
      <c r="A14" s="31">
        <v>89</v>
      </c>
      <c r="B14" s="31">
        <v>0.67557999999999996</v>
      </c>
      <c r="C14" s="31">
        <v>965.96</v>
      </c>
      <c r="D14" s="31">
        <v>0.40905000000000002</v>
      </c>
      <c r="E14" s="31">
        <v>372.83</v>
      </c>
      <c r="F14" s="31">
        <v>2657.9</v>
      </c>
      <c r="G14" s="31">
        <v>1.1813</v>
      </c>
      <c r="H14" s="31">
        <v>7.4909999999999997</v>
      </c>
      <c r="I14" s="31">
        <v>4.2042999999999999</v>
      </c>
      <c r="J14" s="31">
        <v>2.0396000000000001</v>
      </c>
    </row>
    <row r="15" spans="1:10" x14ac:dyDescent="0.3">
      <c r="A15" s="31">
        <v>90</v>
      </c>
      <c r="B15" s="31">
        <v>0.70182</v>
      </c>
      <c r="C15" s="31">
        <v>965.3</v>
      </c>
      <c r="D15" s="31">
        <v>0.4239</v>
      </c>
      <c r="E15" s="31">
        <v>377.04</v>
      </c>
      <c r="F15" s="31">
        <v>2659.5</v>
      </c>
      <c r="G15" s="31">
        <v>1.1929000000000001</v>
      </c>
      <c r="H15" s="31">
        <v>7.4781000000000004</v>
      </c>
      <c r="I15" s="31">
        <v>4.2053000000000003</v>
      </c>
      <c r="J15" s="31">
        <v>2.0428999999999999</v>
      </c>
    </row>
    <row r="16" spans="1:10" x14ac:dyDescent="0.3">
      <c r="A16" s="31">
        <v>91</v>
      </c>
      <c r="B16" s="31">
        <v>0.72889999999999999</v>
      </c>
      <c r="C16" s="31">
        <v>964.62</v>
      </c>
      <c r="D16" s="31">
        <v>0.43918000000000001</v>
      </c>
      <c r="E16" s="31">
        <v>381.25</v>
      </c>
      <c r="F16" s="31">
        <v>2661.2</v>
      </c>
      <c r="G16" s="31">
        <v>1.2043999999999999</v>
      </c>
      <c r="H16" s="31">
        <v>7.4653</v>
      </c>
      <c r="I16" s="31">
        <v>4.2061999999999999</v>
      </c>
      <c r="J16" s="31">
        <v>2.0463</v>
      </c>
    </row>
    <row r="17" spans="1:10" x14ac:dyDescent="0.3">
      <c r="A17" s="31">
        <v>92</v>
      </c>
      <c r="B17" s="31">
        <v>0.75683999999999996</v>
      </c>
      <c r="C17" s="31">
        <v>963.94</v>
      </c>
      <c r="D17" s="31">
        <v>0.45490999999999998</v>
      </c>
      <c r="E17" s="31">
        <v>385.46</v>
      </c>
      <c r="F17" s="31">
        <v>2662.8</v>
      </c>
      <c r="G17" s="31">
        <v>1.216</v>
      </c>
      <c r="H17" s="31">
        <v>7.4526000000000003</v>
      </c>
      <c r="I17" s="31">
        <v>4.2072000000000003</v>
      </c>
      <c r="J17" s="31">
        <v>2.0497999999999998</v>
      </c>
    </row>
    <row r="18" spans="1:10" x14ac:dyDescent="0.3">
      <c r="A18" s="31">
        <v>93</v>
      </c>
      <c r="B18" s="31">
        <v>0.78568000000000005</v>
      </c>
      <c r="C18" s="31">
        <v>963.26</v>
      </c>
      <c r="D18" s="31">
        <v>0.47110999999999997</v>
      </c>
      <c r="E18" s="31">
        <v>389.67</v>
      </c>
      <c r="F18" s="31">
        <v>2664.4</v>
      </c>
      <c r="G18" s="31">
        <v>1.2275</v>
      </c>
      <c r="H18" s="31">
        <v>7.44</v>
      </c>
      <c r="I18" s="31">
        <v>4.2081999999999997</v>
      </c>
      <c r="J18" s="31">
        <v>2.0533999999999999</v>
      </c>
    </row>
    <row r="19" spans="1:10" x14ac:dyDescent="0.3">
      <c r="A19" s="31">
        <v>94</v>
      </c>
      <c r="B19" s="31">
        <v>0.81540999999999997</v>
      </c>
      <c r="C19" s="31">
        <v>962.57</v>
      </c>
      <c r="D19" s="31">
        <v>0.48776999999999998</v>
      </c>
      <c r="E19" s="31">
        <v>393.88</v>
      </c>
      <c r="F19" s="31">
        <v>2666</v>
      </c>
      <c r="G19" s="31">
        <v>1.2388999999999999</v>
      </c>
      <c r="H19" s="31">
        <v>7.4275000000000002</v>
      </c>
      <c r="I19" s="31">
        <v>4.2092000000000001</v>
      </c>
      <c r="J19" s="31">
        <v>2.0569999999999999</v>
      </c>
    </row>
    <row r="20" spans="1:10" x14ac:dyDescent="0.3">
      <c r="A20" s="31">
        <v>95</v>
      </c>
      <c r="B20" s="31">
        <v>0.84608000000000005</v>
      </c>
      <c r="C20" s="31">
        <v>961.88</v>
      </c>
      <c r="D20" s="31">
        <v>0.50490999999999997</v>
      </c>
      <c r="E20" s="31">
        <v>398.09</v>
      </c>
      <c r="F20" s="31">
        <v>2667.6</v>
      </c>
      <c r="G20" s="31">
        <v>1.2504</v>
      </c>
      <c r="H20" s="31">
        <v>7.4150999999999998</v>
      </c>
      <c r="I20" s="31">
        <v>4.2102000000000004</v>
      </c>
      <c r="J20" s="31">
        <v>2.0607000000000002</v>
      </c>
    </row>
    <row r="21" spans="1:10" x14ac:dyDescent="0.3">
      <c r="A21" s="31">
        <v>96</v>
      </c>
      <c r="B21" s="31">
        <v>0.87770999999999999</v>
      </c>
      <c r="C21" s="31">
        <v>961.18</v>
      </c>
      <c r="D21" s="31">
        <v>0.52254</v>
      </c>
      <c r="E21" s="31">
        <v>402.3</v>
      </c>
      <c r="F21" s="31">
        <v>2669.2</v>
      </c>
      <c r="G21" s="31">
        <v>1.2618</v>
      </c>
      <c r="H21" s="31">
        <v>7.4027000000000003</v>
      </c>
      <c r="I21" s="31">
        <v>4.2112999999999996</v>
      </c>
      <c r="J21" s="31">
        <v>2.0644</v>
      </c>
    </row>
    <row r="22" spans="1:10" x14ac:dyDescent="0.3">
      <c r="A22" s="31">
        <v>97</v>
      </c>
      <c r="B22" s="31">
        <v>0.9103</v>
      </c>
      <c r="C22" s="31">
        <v>960.48</v>
      </c>
      <c r="D22" s="31">
        <v>0.54066999999999998</v>
      </c>
      <c r="E22" s="31">
        <v>406.52</v>
      </c>
      <c r="F22" s="31">
        <v>2670.8</v>
      </c>
      <c r="G22" s="31">
        <v>1.2732000000000001</v>
      </c>
      <c r="H22" s="31">
        <v>7.3903999999999996</v>
      </c>
      <c r="I22" s="31">
        <v>4.2122999999999999</v>
      </c>
      <c r="J22" s="31">
        <v>2.0682</v>
      </c>
    </row>
    <row r="23" spans="1:10" x14ac:dyDescent="0.3">
      <c r="A23" s="31">
        <v>98</v>
      </c>
      <c r="B23" s="31">
        <v>0.94389999999999996</v>
      </c>
      <c r="C23" s="31">
        <v>959.78</v>
      </c>
      <c r="D23" s="31">
        <v>0.55930999999999997</v>
      </c>
      <c r="E23" s="31">
        <v>410.73</v>
      </c>
      <c r="F23" s="31">
        <v>2672.4</v>
      </c>
      <c r="G23" s="31">
        <v>1.2846</v>
      </c>
      <c r="H23" s="31">
        <v>7.3783000000000003</v>
      </c>
      <c r="I23" s="31">
        <v>4.2134</v>
      </c>
      <c r="J23" s="31">
        <v>2.0720999999999998</v>
      </c>
    </row>
    <row r="24" spans="1:10" x14ac:dyDescent="0.3">
      <c r="A24" s="31">
        <v>99</v>
      </c>
      <c r="B24" s="31">
        <v>0.97851999999999995</v>
      </c>
      <c r="C24" s="31">
        <v>959.06</v>
      </c>
      <c r="D24" s="31">
        <v>0.57847000000000004</v>
      </c>
      <c r="E24" s="31">
        <v>414.95</v>
      </c>
      <c r="F24" s="31">
        <v>2674</v>
      </c>
      <c r="G24" s="31">
        <v>1.2959000000000001</v>
      </c>
      <c r="H24" s="31">
        <v>7.3661000000000003</v>
      </c>
      <c r="I24" s="31">
        <v>4.2145000000000001</v>
      </c>
      <c r="J24" s="31">
        <v>2.0760000000000001</v>
      </c>
    </row>
    <row r="25" spans="1:10" x14ac:dyDescent="0.3">
      <c r="A25" s="31">
        <v>100</v>
      </c>
      <c r="B25" s="31">
        <v>1.0142</v>
      </c>
      <c r="C25" s="31">
        <v>958.35</v>
      </c>
      <c r="D25" s="31">
        <v>0.59816999999999998</v>
      </c>
      <c r="E25" s="31">
        <v>419.17</v>
      </c>
      <c r="F25" s="31">
        <v>2675.6</v>
      </c>
      <c r="G25" s="31">
        <v>1.3071999999999999</v>
      </c>
      <c r="H25" s="31">
        <v>7.3540999999999999</v>
      </c>
      <c r="I25" s="31">
        <v>4.2157</v>
      </c>
      <c r="J25" s="31">
        <v>2.08</v>
      </c>
    </row>
    <row r="26" spans="1:10" x14ac:dyDescent="0.3">
      <c r="A26" s="31">
        <v>101</v>
      </c>
      <c r="B26" s="31">
        <v>1.0508999999999999</v>
      </c>
      <c r="C26" s="31">
        <v>957.63</v>
      </c>
      <c r="D26" s="31">
        <v>0.61841000000000002</v>
      </c>
      <c r="E26" s="31">
        <v>423.39</v>
      </c>
      <c r="F26" s="31">
        <v>2677.1</v>
      </c>
      <c r="G26" s="31">
        <v>1.3185</v>
      </c>
      <c r="H26" s="31">
        <v>7.3422000000000001</v>
      </c>
      <c r="I26" s="31">
        <v>4.2168000000000001</v>
      </c>
      <c r="J26" s="31">
        <v>2.0840999999999998</v>
      </c>
    </row>
    <row r="27" spans="1:10" x14ac:dyDescent="0.3">
      <c r="A27" s="31">
        <v>102</v>
      </c>
      <c r="B27" s="31">
        <v>1.0887</v>
      </c>
      <c r="C27" s="31">
        <v>956.9</v>
      </c>
      <c r="D27" s="31">
        <v>0.63919999999999999</v>
      </c>
      <c r="E27" s="31">
        <v>427.61</v>
      </c>
      <c r="F27" s="31">
        <v>2678.7</v>
      </c>
      <c r="G27" s="31">
        <v>1.3297000000000001</v>
      </c>
      <c r="H27" s="31">
        <v>7.3303000000000003</v>
      </c>
      <c r="I27" s="31">
        <v>4.218</v>
      </c>
      <c r="J27" s="31">
        <v>2.0882999999999998</v>
      </c>
    </row>
    <row r="28" spans="1:10" x14ac:dyDescent="0.3">
      <c r="A28" s="31">
        <v>103</v>
      </c>
      <c r="B28" s="31">
        <v>1.1276999999999999</v>
      </c>
      <c r="C28" s="31">
        <v>956.18</v>
      </c>
      <c r="D28" s="31">
        <v>0.66056000000000004</v>
      </c>
      <c r="E28" s="31">
        <v>431.83</v>
      </c>
      <c r="F28" s="31">
        <v>2680.3</v>
      </c>
      <c r="G28" s="31">
        <v>1.341</v>
      </c>
      <c r="H28" s="31">
        <v>7.3185000000000002</v>
      </c>
      <c r="I28" s="31">
        <v>4.2191999999999998</v>
      </c>
      <c r="J28" s="31">
        <v>2.0924999999999998</v>
      </c>
    </row>
    <row r="29" spans="1:10" x14ac:dyDescent="0.3">
      <c r="A29" s="31">
        <v>104</v>
      </c>
      <c r="B29" s="31">
        <v>1.1677999999999999</v>
      </c>
      <c r="C29" s="31">
        <v>955.44</v>
      </c>
      <c r="D29" s="31">
        <v>0.6825</v>
      </c>
      <c r="E29" s="31">
        <v>436.05</v>
      </c>
      <c r="F29" s="31">
        <v>2681.8</v>
      </c>
      <c r="G29" s="31">
        <v>1.3522000000000001</v>
      </c>
      <c r="H29" s="31">
        <v>7.3068</v>
      </c>
      <c r="I29" s="31">
        <v>4.2203999999999997</v>
      </c>
      <c r="J29" s="31">
        <v>2.0968</v>
      </c>
    </row>
    <row r="30" spans="1:10" x14ac:dyDescent="0.3">
      <c r="A30" s="31">
        <v>105</v>
      </c>
      <c r="B30" s="31">
        <v>1.2090000000000001</v>
      </c>
      <c r="C30" s="31">
        <v>954.7</v>
      </c>
      <c r="D30" s="31">
        <v>0.70503000000000005</v>
      </c>
      <c r="E30" s="31">
        <v>440.27</v>
      </c>
      <c r="F30" s="31">
        <v>2683.4</v>
      </c>
      <c r="G30" s="31">
        <v>1.3633</v>
      </c>
      <c r="H30" s="31">
        <v>7.2952000000000004</v>
      </c>
      <c r="I30" s="31">
        <v>4.2217000000000002</v>
      </c>
      <c r="J30" s="31">
        <v>2.1012</v>
      </c>
    </row>
    <row r="31" spans="1:10" x14ac:dyDescent="0.3">
      <c r="A31" s="31">
        <v>106</v>
      </c>
      <c r="B31" s="31">
        <v>1.2515000000000001</v>
      </c>
      <c r="C31" s="31">
        <v>953.96</v>
      </c>
      <c r="D31" s="31">
        <v>0.72816000000000003</v>
      </c>
      <c r="E31" s="31">
        <v>444.5</v>
      </c>
      <c r="F31" s="31">
        <v>2684.9</v>
      </c>
      <c r="G31" s="31">
        <v>1.3745000000000001</v>
      </c>
      <c r="H31" s="31">
        <v>7.2835999999999999</v>
      </c>
      <c r="I31" s="31">
        <v>4.2229999999999999</v>
      </c>
      <c r="J31" s="31">
        <v>2.1057000000000001</v>
      </c>
    </row>
    <row r="32" spans="1:10" x14ac:dyDescent="0.3">
      <c r="A32" s="31">
        <v>107</v>
      </c>
      <c r="B32" s="31">
        <v>1.2951999999999999</v>
      </c>
      <c r="C32" s="31">
        <v>953.22</v>
      </c>
      <c r="D32" s="31">
        <v>0.75190000000000001</v>
      </c>
      <c r="E32" s="31">
        <v>448.73</v>
      </c>
      <c r="F32" s="31">
        <v>2686.5</v>
      </c>
      <c r="G32" s="31">
        <v>1.3855999999999999</v>
      </c>
      <c r="H32" s="31">
        <v>7.2721</v>
      </c>
      <c r="I32" s="31">
        <v>4.2243000000000004</v>
      </c>
      <c r="J32" s="31">
        <v>2.1101999999999999</v>
      </c>
    </row>
    <row r="33" spans="1:10" x14ac:dyDescent="0.3">
      <c r="A33" s="31">
        <v>108</v>
      </c>
      <c r="B33" s="31">
        <v>1.3401000000000001</v>
      </c>
      <c r="C33" s="31">
        <v>952.46</v>
      </c>
      <c r="D33" s="31">
        <v>0.77627000000000002</v>
      </c>
      <c r="E33" s="31">
        <v>452.95</v>
      </c>
      <c r="F33" s="31">
        <v>2688</v>
      </c>
      <c r="G33" s="31">
        <v>1.3967000000000001</v>
      </c>
      <c r="H33" s="31">
        <v>7.2606999999999999</v>
      </c>
      <c r="I33" s="31">
        <v>4.2256</v>
      </c>
      <c r="J33" s="31">
        <v>2.1149</v>
      </c>
    </row>
    <row r="34" spans="1:10" x14ac:dyDescent="0.3">
      <c r="A34" s="31">
        <v>109</v>
      </c>
      <c r="B34" s="31">
        <v>1.3863000000000001</v>
      </c>
      <c r="C34" s="31">
        <v>951.71</v>
      </c>
      <c r="D34" s="31">
        <v>0.80127000000000004</v>
      </c>
      <c r="E34" s="31">
        <v>457.18</v>
      </c>
      <c r="F34" s="31">
        <v>2689.5</v>
      </c>
      <c r="G34" s="31">
        <v>1.4077999999999999</v>
      </c>
      <c r="H34" s="31">
        <v>7.2492999999999999</v>
      </c>
      <c r="I34" s="31">
        <v>4.2270000000000003</v>
      </c>
      <c r="J34" s="31">
        <v>2.1196000000000002</v>
      </c>
    </row>
    <row r="35" spans="1:10" x14ac:dyDescent="0.3">
      <c r="A35" s="31">
        <v>110</v>
      </c>
      <c r="B35" s="31">
        <v>1.4338</v>
      </c>
      <c r="C35" s="31">
        <v>950.95</v>
      </c>
      <c r="D35" s="31">
        <v>0.82693000000000005</v>
      </c>
      <c r="E35" s="31">
        <v>461.42</v>
      </c>
      <c r="F35" s="31">
        <v>2691.1</v>
      </c>
      <c r="G35" s="31">
        <v>1.4188000000000001</v>
      </c>
      <c r="H35" s="31">
        <v>7.2381000000000002</v>
      </c>
      <c r="I35" s="31">
        <v>4.2282999999999999</v>
      </c>
      <c r="J35" s="31">
        <v>2.1244000000000001</v>
      </c>
    </row>
    <row r="36" spans="1:10" x14ac:dyDescent="0.3">
      <c r="A36" s="31">
        <v>111</v>
      </c>
      <c r="B36" s="31">
        <v>1.4825999999999999</v>
      </c>
      <c r="C36" s="31">
        <v>950.18</v>
      </c>
      <c r="D36" s="31">
        <v>0.85324999999999995</v>
      </c>
      <c r="E36" s="31">
        <v>465.65</v>
      </c>
      <c r="F36" s="31">
        <v>2692.6</v>
      </c>
      <c r="G36" s="31">
        <v>1.4298</v>
      </c>
      <c r="H36" s="31">
        <v>7.2268999999999997</v>
      </c>
      <c r="I36" s="31">
        <v>4.2297000000000002</v>
      </c>
      <c r="J36" s="31">
        <v>2.1292</v>
      </c>
    </row>
    <row r="37" spans="1:10" x14ac:dyDescent="0.3">
      <c r="A37" s="31">
        <v>112</v>
      </c>
      <c r="B37" s="31">
        <v>1.5327999999999999</v>
      </c>
      <c r="C37" s="31">
        <v>949.41</v>
      </c>
      <c r="D37" s="31">
        <v>0.88024000000000002</v>
      </c>
      <c r="E37" s="31">
        <v>469.88</v>
      </c>
      <c r="F37" s="31">
        <v>2694.1</v>
      </c>
      <c r="G37" s="31">
        <v>1.4408000000000001</v>
      </c>
      <c r="H37" s="31">
        <v>7.2157</v>
      </c>
      <c r="I37" s="31">
        <v>4.2312000000000003</v>
      </c>
      <c r="J37" s="31">
        <v>2.1341999999999999</v>
      </c>
    </row>
    <row r="38" spans="1:10" x14ac:dyDescent="0.3">
      <c r="A38" s="31">
        <v>113</v>
      </c>
      <c r="B38" s="31">
        <v>1.5844</v>
      </c>
      <c r="C38" s="31">
        <v>948.64</v>
      </c>
      <c r="D38" s="31">
        <v>0.90791999999999995</v>
      </c>
      <c r="E38" s="31">
        <v>474.12</v>
      </c>
      <c r="F38" s="31">
        <v>2695.6</v>
      </c>
      <c r="G38" s="31">
        <v>1.4518</v>
      </c>
      <c r="H38" s="31">
        <v>7.2046999999999999</v>
      </c>
      <c r="I38" s="31">
        <v>4.2325999999999997</v>
      </c>
      <c r="J38" s="31">
        <v>2.1392000000000002</v>
      </c>
    </row>
    <row r="39" spans="1:10" x14ac:dyDescent="0.3">
      <c r="A39" s="31">
        <v>114</v>
      </c>
      <c r="B39" s="31">
        <v>1.6374</v>
      </c>
      <c r="C39" s="31">
        <v>947.86</v>
      </c>
      <c r="D39" s="31">
        <v>0.93630000000000002</v>
      </c>
      <c r="E39" s="31">
        <v>478.35</v>
      </c>
      <c r="F39" s="31">
        <v>2697.1</v>
      </c>
      <c r="G39" s="31">
        <v>1.4628000000000001</v>
      </c>
      <c r="H39" s="31">
        <v>7.1936999999999998</v>
      </c>
      <c r="I39" s="31">
        <v>4.2340999999999998</v>
      </c>
      <c r="J39" s="31">
        <v>2.1442999999999999</v>
      </c>
    </row>
    <row r="40" spans="1:10" x14ac:dyDescent="0.3">
      <c r="A40" s="31">
        <v>115</v>
      </c>
      <c r="B40" s="31">
        <v>1.6918</v>
      </c>
      <c r="C40" s="31">
        <v>947.08</v>
      </c>
      <c r="D40" s="31">
        <v>0.96540000000000004</v>
      </c>
      <c r="E40" s="31">
        <v>482.59</v>
      </c>
      <c r="F40" s="31">
        <v>2698.6</v>
      </c>
      <c r="G40" s="31">
        <v>1.4737</v>
      </c>
      <c r="H40" s="31">
        <v>7.1828000000000003</v>
      </c>
      <c r="I40" s="31">
        <v>4.2355999999999998</v>
      </c>
      <c r="J40" s="31">
        <v>2.1496</v>
      </c>
    </row>
    <row r="41" spans="1:10" x14ac:dyDescent="0.3">
      <c r="A41" s="31">
        <v>116</v>
      </c>
      <c r="B41" s="31">
        <v>1.7477</v>
      </c>
      <c r="C41" s="31">
        <v>946.3</v>
      </c>
      <c r="D41" s="31">
        <v>0.99521999999999999</v>
      </c>
      <c r="E41" s="31">
        <v>486.83</v>
      </c>
      <c r="F41" s="31">
        <v>2700.1</v>
      </c>
      <c r="G41" s="31">
        <v>1.4845999999999999</v>
      </c>
      <c r="H41" s="31">
        <v>7.1718999999999999</v>
      </c>
      <c r="I41" s="31">
        <v>4.2370999999999999</v>
      </c>
      <c r="J41" s="31">
        <v>2.1549</v>
      </c>
    </row>
    <row r="42" spans="1:10" x14ac:dyDescent="0.3">
      <c r="A42" s="31">
        <v>117</v>
      </c>
      <c r="B42" s="31">
        <v>1.8051999999999999</v>
      </c>
      <c r="C42" s="31">
        <v>945.5</v>
      </c>
      <c r="D42" s="31">
        <v>1.0258</v>
      </c>
      <c r="E42" s="31">
        <v>491.08</v>
      </c>
      <c r="F42" s="31">
        <v>2701.5</v>
      </c>
      <c r="G42" s="31">
        <v>1.4954000000000001</v>
      </c>
      <c r="H42" s="31">
        <v>7.1611000000000002</v>
      </c>
      <c r="I42" s="31">
        <v>4.2386999999999997</v>
      </c>
      <c r="J42" s="31">
        <v>2.1602000000000001</v>
      </c>
    </row>
    <row r="43" spans="1:10" x14ac:dyDescent="0.3">
      <c r="A43" s="31">
        <v>118</v>
      </c>
      <c r="B43" s="31">
        <v>1.8641000000000001</v>
      </c>
      <c r="C43" s="31">
        <v>944.71</v>
      </c>
      <c r="D43" s="31">
        <v>1.0570999999999999</v>
      </c>
      <c r="E43" s="31">
        <v>495.32</v>
      </c>
      <c r="F43" s="31">
        <v>2703</v>
      </c>
      <c r="G43" s="31">
        <v>1.5063</v>
      </c>
      <c r="H43" s="31">
        <v>7.1504000000000003</v>
      </c>
      <c r="I43" s="31">
        <v>4.2403000000000004</v>
      </c>
      <c r="J43" s="31">
        <v>2.1657000000000002</v>
      </c>
    </row>
    <row r="44" spans="1:10" x14ac:dyDescent="0.3">
      <c r="A44" s="31">
        <v>119</v>
      </c>
      <c r="B44" s="31">
        <v>1.9246000000000001</v>
      </c>
      <c r="C44" s="31">
        <v>943.91</v>
      </c>
      <c r="D44" s="31">
        <v>1.0891999999999999</v>
      </c>
      <c r="E44" s="31">
        <v>499.56</v>
      </c>
      <c r="F44" s="31">
        <v>2704.5</v>
      </c>
      <c r="G44" s="31">
        <v>1.5170999999999999</v>
      </c>
      <c r="H44" s="31">
        <v>7.1397000000000004</v>
      </c>
      <c r="I44" s="31">
        <v>4.2419000000000002</v>
      </c>
      <c r="J44" s="31">
        <v>2.1713</v>
      </c>
    </row>
    <row r="45" spans="1:10" x14ac:dyDescent="0.3">
      <c r="A45" s="31">
        <v>120</v>
      </c>
      <c r="B45" s="31">
        <v>1.9866999999999999</v>
      </c>
      <c r="C45" s="31">
        <v>943.11</v>
      </c>
      <c r="D45" s="31">
        <v>1.1221000000000001</v>
      </c>
      <c r="E45" s="31">
        <v>503.81</v>
      </c>
      <c r="F45" s="31">
        <v>2705.9</v>
      </c>
      <c r="G45" s="31">
        <v>1.5279</v>
      </c>
      <c r="H45" s="31">
        <v>7.1291000000000002</v>
      </c>
      <c r="I45" s="31">
        <v>4.2435</v>
      </c>
      <c r="J45" s="31">
        <v>2.177</v>
      </c>
    </row>
    <row r="46" spans="1:10" x14ac:dyDescent="0.3">
      <c r="A46" s="31">
        <v>121</v>
      </c>
      <c r="B46" s="31">
        <v>2.0505</v>
      </c>
      <c r="C46" s="31">
        <v>942.3</v>
      </c>
      <c r="D46" s="31">
        <v>1.1556999999999999</v>
      </c>
      <c r="E46" s="31">
        <v>508.06</v>
      </c>
      <c r="F46" s="31">
        <v>2707.4</v>
      </c>
      <c r="G46" s="31">
        <v>1.5387</v>
      </c>
      <c r="H46" s="31">
        <v>7.1185999999999998</v>
      </c>
      <c r="I46" s="31">
        <v>4.2451999999999996</v>
      </c>
      <c r="J46" s="31">
        <v>2.1827000000000001</v>
      </c>
    </row>
    <row r="47" spans="1:10" x14ac:dyDescent="0.3">
      <c r="A47" s="31">
        <v>122</v>
      </c>
      <c r="B47" s="31">
        <v>2.1158999999999999</v>
      </c>
      <c r="C47" s="31">
        <v>941.49</v>
      </c>
      <c r="D47" s="31">
        <v>1.1901999999999999</v>
      </c>
      <c r="E47" s="31">
        <v>512.30999999999995</v>
      </c>
      <c r="F47" s="31">
        <v>2708.8</v>
      </c>
      <c r="G47" s="31">
        <v>1.5494000000000001</v>
      </c>
      <c r="H47" s="31">
        <v>7.1081000000000003</v>
      </c>
      <c r="I47" s="31">
        <v>4.2469000000000001</v>
      </c>
      <c r="J47" s="31">
        <v>2.1886000000000001</v>
      </c>
    </row>
    <row r="48" spans="1:10" x14ac:dyDescent="0.3">
      <c r="A48" s="31">
        <v>123</v>
      </c>
      <c r="B48" s="31">
        <v>2.1829999999999998</v>
      </c>
      <c r="C48" s="31">
        <v>940.67</v>
      </c>
      <c r="D48" s="31">
        <v>1.2255</v>
      </c>
      <c r="E48" s="31">
        <v>516.55999999999995</v>
      </c>
      <c r="F48" s="31">
        <v>2710.3</v>
      </c>
      <c r="G48" s="31">
        <v>1.5602</v>
      </c>
      <c r="H48" s="31">
        <v>7.0976999999999997</v>
      </c>
      <c r="I48" s="31">
        <v>4.2485999999999997</v>
      </c>
      <c r="J48" s="31">
        <v>2.1945000000000001</v>
      </c>
    </row>
    <row r="49" spans="1:10" x14ac:dyDescent="0.3">
      <c r="A49" s="31">
        <v>124</v>
      </c>
      <c r="B49" s="31">
        <v>2.2517999999999998</v>
      </c>
      <c r="C49" s="31">
        <v>939.85</v>
      </c>
      <c r="D49" s="31">
        <v>1.2617</v>
      </c>
      <c r="E49" s="31">
        <v>520.82000000000005</v>
      </c>
      <c r="F49" s="31">
        <v>2711.7</v>
      </c>
      <c r="G49" s="31">
        <v>1.5709</v>
      </c>
      <c r="H49" s="31">
        <v>7.0872999999999999</v>
      </c>
      <c r="I49" s="31">
        <v>4.2504</v>
      </c>
      <c r="J49" s="31">
        <v>2.2006000000000001</v>
      </c>
    </row>
    <row r="50" spans="1:10" x14ac:dyDescent="0.3">
      <c r="A50" s="31">
        <v>125</v>
      </c>
      <c r="B50" s="31">
        <v>2.3224</v>
      </c>
      <c r="C50" s="31">
        <v>939.02</v>
      </c>
      <c r="D50" s="31">
        <v>1.2987</v>
      </c>
      <c r="E50" s="31">
        <v>525.07000000000005</v>
      </c>
      <c r="F50" s="31">
        <v>2713.1</v>
      </c>
      <c r="G50" s="31">
        <v>1.5815999999999999</v>
      </c>
      <c r="H50" s="31">
        <v>7.077</v>
      </c>
      <c r="I50" s="31">
        <v>4.2521000000000004</v>
      </c>
      <c r="J50" s="31">
        <v>2.2067000000000001</v>
      </c>
    </row>
    <row r="51" spans="1:10" x14ac:dyDescent="0.3">
      <c r="A51" s="31">
        <v>126</v>
      </c>
      <c r="B51" s="31">
        <v>2.3946999999999998</v>
      </c>
      <c r="C51" s="31">
        <v>938.19</v>
      </c>
      <c r="D51" s="31">
        <v>1.3365</v>
      </c>
      <c r="E51" s="31">
        <v>529.33000000000004</v>
      </c>
      <c r="F51" s="31">
        <v>2714.5</v>
      </c>
      <c r="G51" s="31">
        <v>1.5922000000000001</v>
      </c>
      <c r="H51" s="31">
        <v>7.0667999999999997</v>
      </c>
      <c r="I51" s="31">
        <v>4.2538999999999998</v>
      </c>
      <c r="J51" s="31">
        <v>2.2128999999999999</v>
      </c>
    </row>
    <row r="52" spans="1:10" x14ac:dyDescent="0.3">
      <c r="A52" s="31">
        <v>127</v>
      </c>
      <c r="B52" s="31">
        <v>2.4689000000000001</v>
      </c>
      <c r="C52" s="31">
        <v>937.36</v>
      </c>
      <c r="D52" s="31">
        <v>1.3753</v>
      </c>
      <c r="E52" s="31">
        <v>533.59</v>
      </c>
      <c r="F52" s="31">
        <v>2715.9</v>
      </c>
      <c r="G52" s="31">
        <v>1.6029</v>
      </c>
      <c r="H52" s="31">
        <v>7.0566000000000004</v>
      </c>
      <c r="I52" s="31">
        <v>4.2557999999999998</v>
      </c>
      <c r="J52" s="31">
        <v>2.2193000000000001</v>
      </c>
    </row>
    <row r="53" spans="1:10" x14ac:dyDescent="0.3">
      <c r="A53" s="31">
        <v>128</v>
      </c>
      <c r="B53" s="31">
        <v>2.5449999999999999</v>
      </c>
      <c r="C53" s="31">
        <v>936.52</v>
      </c>
      <c r="D53" s="31">
        <v>1.4149</v>
      </c>
      <c r="E53" s="31">
        <v>537.85</v>
      </c>
      <c r="F53" s="31">
        <v>2717.3</v>
      </c>
      <c r="G53" s="31">
        <v>1.6134999999999999</v>
      </c>
      <c r="H53" s="31">
        <v>7.0465</v>
      </c>
      <c r="I53" s="31">
        <v>4.2576999999999998</v>
      </c>
      <c r="J53" s="31">
        <v>2.2256999999999998</v>
      </c>
    </row>
    <row r="54" spans="1:10" x14ac:dyDescent="0.3">
      <c r="A54" s="31">
        <v>129</v>
      </c>
      <c r="B54" s="31">
        <v>2.6229</v>
      </c>
      <c r="C54" s="31">
        <v>935.68</v>
      </c>
      <c r="D54" s="31">
        <v>1.4555</v>
      </c>
      <c r="E54" s="31">
        <v>542.12</v>
      </c>
      <c r="F54" s="31">
        <v>2718.7</v>
      </c>
      <c r="G54" s="31">
        <v>1.6241000000000001</v>
      </c>
      <c r="H54" s="31">
        <v>7.0364000000000004</v>
      </c>
      <c r="I54" s="31">
        <v>4.2595999999999998</v>
      </c>
      <c r="J54" s="31">
        <v>2.2322000000000002</v>
      </c>
    </row>
    <row r="55" spans="1:10" x14ac:dyDescent="0.3">
      <c r="A55" s="31">
        <v>130</v>
      </c>
      <c r="B55" s="31">
        <v>2.7027999999999999</v>
      </c>
      <c r="C55" s="31">
        <v>934.83</v>
      </c>
      <c r="D55" s="31">
        <v>1.4970000000000001</v>
      </c>
      <c r="E55" s="31">
        <v>546.38</v>
      </c>
      <c r="F55" s="31">
        <v>2720.1</v>
      </c>
      <c r="G55" s="31">
        <v>1.6346000000000001</v>
      </c>
      <c r="H55" s="31">
        <v>7.0263999999999998</v>
      </c>
      <c r="I55" s="31">
        <v>4.2614999999999998</v>
      </c>
      <c r="J55" s="31">
        <v>2.2389000000000001</v>
      </c>
    </row>
    <row r="56" spans="1:10" x14ac:dyDescent="0.3">
      <c r="A56" s="31">
        <v>131</v>
      </c>
      <c r="B56" s="31">
        <v>2.7846000000000002</v>
      </c>
      <c r="C56" s="31">
        <v>933.98</v>
      </c>
      <c r="D56" s="31">
        <v>1.5394000000000001</v>
      </c>
      <c r="E56" s="31">
        <v>550.65</v>
      </c>
      <c r="F56" s="31">
        <v>2721.5</v>
      </c>
      <c r="G56" s="31">
        <v>1.6452</v>
      </c>
      <c r="H56" s="31">
        <v>7.0164999999999997</v>
      </c>
      <c r="I56" s="31">
        <v>4.2634999999999996</v>
      </c>
      <c r="J56" s="31">
        <v>2.2456</v>
      </c>
    </row>
    <row r="57" spans="1:10" x14ac:dyDescent="0.3">
      <c r="A57" s="31">
        <v>132</v>
      </c>
      <c r="B57" s="31">
        <v>2.8685</v>
      </c>
      <c r="C57" s="31">
        <v>933.13</v>
      </c>
      <c r="D57" s="31">
        <v>1.5828</v>
      </c>
      <c r="E57" s="31">
        <v>554.91999999999996</v>
      </c>
      <c r="F57" s="31">
        <v>2722.8</v>
      </c>
      <c r="G57" s="31">
        <v>1.6556999999999999</v>
      </c>
      <c r="H57" s="31">
        <v>7.0065999999999997</v>
      </c>
      <c r="I57" s="31">
        <v>4.2655000000000003</v>
      </c>
      <c r="J57" s="31">
        <v>2.2524000000000002</v>
      </c>
    </row>
    <row r="58" spans="1:10" x14ac:dyDescent="0.3">
      <c r="A58" s="31">
        <v>133</v>
      </c>
      <c r="B58" s="31">
        <v>2.9542999999999999</v>
      </c>
      <c r="C58" s="31">
        <v>932.27</v>
      </c>
      <c r="D58" s="31">
        <v>1.6272</v>
      </c>
      <c r="E58" s="31">
        <v>559.19000000000005</v>
      </c>
      <c r="F58" s="31">
        <v>2724.2</v>
      </c>
      <c r="G58" s="31">
        <v>1.6661999999999999</v>
      </c>
      <c r="H58" s="31">
        <v>6.9966999999999997</v>
      </c>
      <c r="I58" s="31">
        <v>4.2675000000000001</v>
      </c>
      <c r="J58" s="31">
        <v>2.2593999999999999</v>
      </c>
    </row>
    <row r="59" spans="1:10" x14ac:dyDescent="0.3">
      <c r="A59" s="31">
        <v>134</v>
      </c>
      <c r="B59" s="31">
        <v>3.0423</v>
      </c>
      <c r="C59" s="31">
        <v>931.41</v>
      </c>
      <c r="D59" s="31">
        <v>1.6726000000000001</v>
      </c>
      <c r="E59" s="31">
        <v>563.47</v>
      </c>
      <c r="F59" s="31">
        <v>2725.5</v>
      </c>
      <c r="G59" s="31">
        <v>1.6767000000000001</v>
      </c>
      <c r="H59" s="31">
        <v>6.9869000000000003</v>
      </c>
      <c r="I59" s="31">
        <v>4.2694999999999999</v>
      </c>
      <c r="J59" s="31">
        <v>2.2664</v>
      </c>
    </row>
    <row r="60" spans="1:10" x14ac:dyDescent="0.3">
      <c r="A60" s="31">
        <v>135</v>
      </c>
      <c r="B60" s="31">
        <v>3.1322999999999999</v>
      </c>
      <c r="C60" s="31">
        <v>930.54</v>
      </c>
      <c r="D60" s="31">
        <v>1.7190000000000001</v>
      </c>
      <c r="E60" s="31">
        <v>567.74</v>
      </c>
      <c r="F60" s="31">
        <v>2726.9</v>
      </c>
      <c r="G60" s="31">
        <v>1.6872</v>
      </c>
      <c r="H60" s="31">
        <v>6.9771999999999998</v>
      </c>
      <c r="I60" s="31">
        <v>4.2716000000000003</v>
      </c>
      <c r="J60" s="31">
        <v>2.2736000000000001</v>
      </c>
    </row>
    <row r="61" spans="1:10" x14ac:dyDescent="0.3">
      <c r="A61" s="31">
        <v>136</v>
      </c>
      <c r="B61" s="31">
        <v>3.2244999999999999</v>
      </c>
      <c r="C61" s="31">
        <v>929.67</v>
      </c>
      <c r="D61" s="31">
        <v>1.7664</v>
      </c>
      <c r="E61" s="31">
        <v>572.02</v>
      </c>
      <c r="F61" s="31">
        <v>2728.2</v>
      </c>
      <c r="G61" s="31">
        <v>1.6976</v>
      </c>
      <c r="H61" s="31">
        <v>6.9675000000000002</v>
      </c>
      <c r="I61" s="31">
        <v>4.2737999999999996</v>
      </c>
      <c r="J61" s="31">
        <v>2.2808000000000002</v>
      </c>
    </row>
    <row r="62" spans="1:10" x14ac:dyDescent="0.3">
      <c r="A62" s="31">
        <v>137</v>
      </c>
      <c r="B62" s="31">
        <v>3.3188</v>
      </c>
      <c r="C62" s="31">
        <v>928.79</v>
      </c>
      <c r="D62" s="31">
        <v>1.8149</v>
      </c>
      <c r="E62" s="31">
        <v>576.29999999999995</v>
      </c>
      <c r="F62" s="31">
        <v>2729.5</v>
      </c>
      <c r="G62" s="31">
        <v>1.7081</v>
      </c>
      <c r="H62" s="31">
        <v>6.9579000000000004</v>
      </c>
      <c r="I62" s="31">
        <v>4.2759</v>
      </c>
      <c r="J62" s="31">
        <v>2.2881999999999998</v>
      </c>
    </row>
    <row r="63" spans="1:10" x14ac:dyDescent="0.3">
      <c r="A63" s="31">
        <v>138</v>
      </c>
      <c r="B63" s="31">
        <v>3.4154</v>
      </c>
      <c r="C63" s="31">
        <v>927.91</v>
      </c>
      <c r="D63" s="31">
        <v>1.8644000000000001</v>
      </c>
      <c r="E63" s="31">
        <v>580.59</v>
      </c>
      <c r="F63" s="31">
        <v>2730.8</v>
      </c>
      <c r="G63" s="31">
        <v>1.7184999999999999</v>
      </c>
      <c r="H63" s="31">
        <v>6.9482999999999997</v>
      </c>
      <c r="I63" s="31">
        <v>4.2781000000000002</v>
      </c>
      <c r="J63" s="31">
        <v>2.2957000000000001</v>
      </c>
    </row>
    <row r="64" spans="1:10" x14ac:dyDescent="0.3">
      <c r="A64" s="31">
        <v>139</v>
      </c>
      <c r="B64" s="31">
        <v>3.5143</v>
      </c>
      <c r="C64" s="31">
        <v>927.02</v>
      </c>
      <c r="D64" s="31">
        <v>1.915</v>
      </c>
      <c r="E64" s="31">
        <v>584.87</v>
      </c>
      <c r="F64" s="31">
        <v>2732.1</v>
      </c>
      <c r="G64" s="31">
        <v>1.7289000000000001</v>
      </c>
      <c r="H64" s="31">
        <v>6.9387999999999996</v>
      </c>
      <c r="I64" s="31">
        <v>4.2803000000000004</v>
      </c>
      <c r="J64" s="31">
        <v>2.3033000000000001</v>
      </c>
    </row>
    <row r="65" spans="1:10" x14ac:dyDescent="0.3">
      <c r="A65" s="31">
        <v>140</v>
      </c>
      <c r="B65" s="31">
        <v>3.6154000000000002</v>
      </c>
      <c r="C65" s="31">
        <v>926.13</v>
      </c>
      <c r="D65" s="31">
        <v>1.9666999999999999</v>
      </c>
      <c r="E65" s="31">
        <v>589.16</v>
      </c>
      <c r="F65" s="31">
        <v>2733.4</v>
      </c>
      <c r="G65" s="31">
        <v>1.7392000000000001</v>
      </c>
      <c r="H65" s="31">
        <v>6.9292999999999996</v>
      </c>
      <c r="I65" s="31">
        <v>4.2826000000000004</v>
      </c>
      <c r="J65" s="31">
        <v>2.3109000000000002</v>
      </c>
    </row>
    <row r="66" spans="1:10" x14ac:dyDescent="0.3">
      <c r="A66" s="31">
        <v>141</v>
      </c>
      <c r="B66" s="31">
        <v>3.7189000000000001</v>
      </c>
      <c r="C66" s="31">
        <v>925.24</v>
      </c>
      <c r="D66" s="31">
        <v>2.0196000000000001</v>
      </c>
      <c r="E66" s="31">
        <v>593.45000000000005</v>
      </c>
      <c r="F66" s="31">
        <v>2734.7</v>
      </c>
      <c r="G66" s="31">
        <v>1.7496</v>
      </c>
      <c r="H66" s="31">
        <v>6.9199000000000002</v>
      </c>
      <c r="I66" s="31">
        <v>4.2849000000000004</v>
      </c>
      <c r="J66" s="31">
        <v>2.3187000000000002</v>
      </c>
    </row>
    <row r="67" spans="1:10" x14ac:dyDescent="0.3">
      <c r="A67" s="31">
        <v>142</v>
      </c>
      <c r="B67" s="31">
        <v>3.8247</v>
      </c>
      <c r="C67" s="31">
        <v>924.34</v>
      </c>
      <c r="D67" s="31">
        <v>2.0735000000000001</v>
      </c>
      <c r="E67" s="31">
        <v>597.74</v>
      </c>
      <c r="F67" s="31">
        <v>2736</v>
      </c>
      <c r="G67" s="31">
        <v>1.7599</v>
      </c>
      <c r="H67" s="31">
        <v>6.9104999999999999</v>
      </c>
      <c r="I67" s="31">
        <v>4.2872000000000003</v>
      </c>
      <c r="J67" s="31">
        <v>2.3266</v>
      </c>
    </row>
    <row r="68" spans="1:10" x14ac:dyDescent="0.3">
      <c r="A68" s="31">
        <v>143</v>
      </c>
      <c r="B68" s="31">
        <v>3.9329000000000001</v>
      </c>
      <c r="C68" s="31">
        <v>923.44</v>
      </c>
      <c r="D68" s="31">
        <v>2.1286</v>
      </c>
      <c r="E68" s="31">
        <v>602.04</v>
      </c>
      <c r="F68" s="31">
        <v>2737.3</v>
      </c>
      <c r="G68" s="31">
        <v>1.7702</v>
      </c>
      <c r="H68" s="31">
        <v>6.9010999999999996</v>
      </c>
      <c r="I68" s="31">
        <v>4.2896000000000001</v>
      </c>
      <c r="J68" s="31">
        <v>2.3347000000000002</v>
      </c>
    </row>
    <row r="69" spans="1:10" x14ac:dyDescent="0.3">
      <c r="A69" s="31">
        <v>144</v>
      </c>
      <c r="B69" s="31">
        <v>4.0437000000000003</v>
      </c>
      <c r="C69" s="31">
        <v>922.54</v>
      </c>
      <c r="D69" s="31">
        <v>2.1848999999999998</v>
      </c>
      <c r="E69" s="31">
        <v>606.34</v>
      </c>
      <c r="F69" s="31">
        <v>2738.5</v>
      </c>
      <c r="G69" s="31">
        <v>1.7805</v>
      </c>
      <c r="H69" s="31">
        <v>6.8918999999999997</v>
      </c>
      <c r="I69" s="31">
        <v>4.2919999999999998</v>
      </c>
      <c r="J69" s="31">
        <v>2.3428</v>
      </c>
    </row>
    <row r="70" spans="1:10" x14ac:dyDescent="0.3">
      <c r="A70" s="31">
        <v>145</v>
      </c>
      <c r="B70" s="31">
        <v>4.1567999999999996</v>
      </c>
      <c r="C70" s="31">
        <v>921.62</v>
      </c>
      <c r="D70" s="31">
        <v>2.2423000000000002</v>
      </c>
      <c r="E70" s="31">
        <v>610.64</v>
      </c>
      <c r="F70" s="31">
        <v>2739.8</v>
      </c>
      <c r="G70" s="31">
        <v>1.7907</v>
      </c>
      <c r="H70" s="31">
        <v>6.8826000000000001</v>
      </c>
      <c r="I70" s="31">
        <v>4.2944000000000004</v>
      </c>
      <c r="J70" s="31">
        <v>2.351</v>
      </c>
    </row>
    <row r="71" spans="1:10" x14ac:dyDescent="0.3">
      <c r="A71" s="31">
        <v>146</v>
      </c>
      <c r="B71" s="31">
        <v>4.2725999999999997</v>
      </c>
      <c r="C71" s="31">
        <v>920.71</v>
      </c>
      <c r="D71" s="31">
        <v>2.3010000000000002</v>
      </c>
      <c r="E71" s="31">
        <v>614.94000000000005</v>
      </c>
      <c r="F71" s="31">
        <v>2741</v>
      </c>
      <c r="G71" s="31">
        <v>1.8009999999999999</v>
      </c>
      <c r="H71" s="31">
        <v>6.8734000000000002</v>
      </c>
      <c r="I71" s="31">
        <v>4.2968000000000002</v>
      </c>
      <c r="J71" s="31">
        <v>2.3593999999999999</v>
      </c>
    </row>
    <row r="72" spans="1:10" x14ac:dyDescent="0.3">
      <c r="A72" s="31">
        <v>147</v>
      </c>
      <c r="B72" s="31">
        <v>4.3909000000000002</v>
      </c>
      <c r="C72" s="31">
        <v>919.79</v>
      </c>
      <c r="D72" s="31">
        <v>2.3609</v>
      </c>
      <c r="E72" s="31">
        <v>619.25</v>
      </c>
      <c r="F72" s="31">
        <v>2742.3</v>
      </c>
      <c r="G72" s="31">
        <v>1.8111999999999999</v>
      </c>
      <c r="H72" s="31">
        <v>6.8643000000000001</v>
      </c>
      <c r="I72" s="31">
        <v>4.2994000000000003</v>
      </c>
      <c r="J72" s="31">
        <v>2.3677999999999999</v>
      </c>
    </row>
    <row r="73" spans="1:10" x14ac:dyDescent="0.3">
      <c r="A73" s="31">
        <v>148</v>
      </c>
      <c r="B73" s="31">
        <v>4.5118</v>
      </c>
      <c r="C73" s="31">
        <v>918.87</v>
      </c>
      <c r="D73" s="31">
        <v>2.4220000000000002</v>
      </c>
      <c r="E73" s="31">
        <v>623.55999999999995</v>
      </c>
      <c r="F73" s="31">
        <v>2743.5</v>
      </c>
      <c r="G73" s="31">
        <v>1.8213999999999999</v>
      </c>
      <c r="H73" s="31">
        <v>6.8552</v>
      </c>
      <c r="I73" s="31">
        <v>4.3018999999999998</v>
      </c>
      <c r="J73" s="31">
        <v>2.3763999999999998</v>
      </c>
    </row>
    <row r="74" spans="1:10" x14ac:dyDescent="0.3">
      <c r="A74" s="31">
        <v>149</v>
      </c>
      <c r="B74" s="31">
        <v>4.6353999999999997</v>
      </c>
      <c r="C74" s="31">
        <v>917.94</v>
      </c>
      <c r="D74" s="31">
        <v>2.4843999999999999</v>
      </c>
      <c r="E74" s="31">
        <v>627.87</v>
      </c>
      <c r="F74" s="31">
        <v>2744.7</v>
      </c>
      <c r="G74" s="31">
        <v>1.8315999999999999</v>
      </c>
      <c r="H74" s="31">
        <v>6.8460999999999999</v>
      </c>
      <c r="I74" s="31">
        <v>4.3045</v>
      </c>
      <c r="J74" s="31">
        <v>2.3851</v>
      </c>
    </row>
    <row r="75" spans="1:10" x14ac:dyDescent="0.3">
      <c r="A75" s="31">
        <v>150</v>
      </c>
      <c r="B75" s="31">
        <v>4.7615999999999996</v>
      </c>
      <c r="C75" s="31">
        <v>917.01</v>
      </c>
      <c r="D75" s="31">
        <v>2.5480999999999998</v>
      </c>
      <c r="E75" s="31">
        <v>632.17999999999995</v>
      </c>
      <c r="F75" s="31">
        <v>2745.9</v>
      </c>
      <c r="G75" s="31">
        <v>1.8418000000000001</v>
      </c>
      <c r="H75" s="31">
        <v>6.8371000000000004</v>
      </c>
      <c r="I75" s="31">
        <v>4.3071000000000002</v>
      </c>
      <c r="J75" s="31">
        <v>2.3938999999999999</v>
      </c>
    </row>
    <row r="76" spans="1:10" x14ac:dyDescent="0.3">
      <c r="A76" s="31">
        <v>151</v>
      </c>
      <c r="B76" s="31">
        <v>4.8906999999999998</v>
      </c>
      <c r="C76" s="31">
        <v>916.07</v>
      </c>
      <c r="D76" s="31">
        <v>2.613</v>
      </c>
      <c r="E76" s="31">
        <v>636.5</v>
      </c>
      <c r="F76" s="31">
        <v>2747.1</v>
      </c>
      <c r="G76" s="31">
        <v>1.8520000000000001</v>
      </c>
      <c r="H76" s="31">
        <v>6.8281000000000001</v>
      </c>
      <c r="I76" s="31">
        <v>4.3097000000000003</v>
      </c>
      <c r="J76" s="31">
        <v>2.4028</v>
      </c>
    </row>
    <row r="77" spans="1:10" x14ac:dyDescent="0.3">
      <c r="A77" s="31">
        <v>152</v>
      </c>
      <c r="B77" s="31">
        <v>5.0225</v>
      </c>
      <c r="C77" s="31">
        <v>915.13</v>
      </c>
      <c r="D77" s="31">
        <v>2.6793</v>
      </c>
      <c r="E77" s="31">
        <v>640.80999999999995</v>
      </c>
      <c r="F77" s="31">
        <v>2748.3</v>
      </c>
      <c r="G77" s="31">
        <v>1.8621000000000001</v>
      </c>
      <c r="H77" s="31">
        <v>6.8192000000000004</v>
      </c>
      <c r="I77" s="31">
        <v>4.3124000000000002</v>
      </c>
      <c r="J77" s="31">
        <v>2.4117999999999999</v>
      </c>
    </row>
    <row r="78" spans="1:10" x14ac:dyDescent="0.3">
      <c r="A78" s="31">
        <v>153</v>
      </c>
      <c r="B78" s="31">
        <v>5.1570999999999998</v>
      </c>
      <c r="C78" s="31">
        <v>914.19</v>
      </c>
      <c r="D78" s="31">
        <v>2.7469999999999999</v>
      </c>
      <c r="E78" s="31">
        <v>645.14</v>
      </c>
      <c r="F78" s="31">
        <v>2749.5</v>
      </c>
      <c r="G78" s="31">
        <v>1.8722000000000001</v>
      </c>
      <c r="H78" s="31">
        <v>6.8102999999999998</v>
      </c>
      <c r="I78" s="31">
        <v>4.3151000000000002</v>
      </c>
      <c r="J78" s="31">
        <v>2.4209999999999998</v>
      </c>
    </row>
    <row r="79" spans="1:10" x14ac:dyDescent="0.3">
      <c r="A79" s="31">
        <v>154</v>
      </c>
      <c r="B79" s="31">
        <v>5.2946</v>
      </c>
      <c r="C79" s="31">
        <v>913.24</v>
      </c>
      <c r="D79" s="31">
        <v>2.8159999999999998</v>
      </c>
      <c r="E79" s="31">
        <v>649.46</v>
      </c>
      <c r="F79" s="31">
        <v>2750.7</v>
      </c>
      <c r="G79" s="31">
        <v>1.8823000000000001</v>
      </c>
      <c r="H79" s="31">
        <v>6.8014000000000001</v>
      </c>
      <c r="I79" s="31">
        <v>4.3178999999999998</v>
      </c>
      <c r="J79" s="31">
        <v>2.4302000000000001</v>
      </c>
    </row>
    <row r="80" spans="1:10" x14ac:dyDescent="0.3">
      <c r="A80" s="31">
        <v>155</v>
      </c>
      <c r="B80" s="31">
        <v>5.4349999999999996</v>
      </c>
      <c r="C80" s="31">
        <v>912.28</v>
      </c>
      <c r="D80" s="31">
        <v>2.8862999999999999</v>
      </c>
      <c r="E80" s="31">
        <v>653.79</v>
      </c>
      <c r="F80" s="31">
        <v>2751.8</v>
      </c>
      <c r="G80" s="31">
        <v>1.8924000000000001</v>
      </c>
      <c r="H80" s="31">
        <v>6.7926000000000002</v>
      </c>
      <c r="I80" s="31">
        <v>4.3207000000000004</v>
      </c>
      <c r="J80" s="31">
        <v>2.4396</v>
      </c>
    </row>
    <row r="81" spans="1:10" x14ac:dyDescent="0.3">
      <c r="A81" s="31">
        <v>156</v>
      </c>
      <c r="B81" s="31">
        <v>5.5784000000000002</v>
      </c>
      <c r="C81" s="31">
        <v>911.33</v>
      </c>
      <c r="D81" s="31">
        <v>2.9581</v>
      </c>
      <c r="E81" s="31">
        <v>658.12</v>
      </c>
      <c r="F81" s="31">
        <v>2753</v>
      </c>
      <c r="G81" s="31">
        <v>1.9025000000000001</v>
      </c>
      <c r="H81" s="31">
        <v>6.7838000000000003</v>
      </c>
      <c r="I81" s="31">
        <v>4.3235999999999999</v>
      </c>
      <c r="J81" s="31">
        <v>2.4491000000000001</v>
      </c>
    </row>
    <row r="82" spans="1:10" x14ac:dyDescent="0.3">
      <c r="A82" s="31">
        <v>157</v>
      </c>
      <c r="B82" s="31">
        <v>5.7247000000000003</v>
      </c>
      <c r="C82" s="31">
        <v>910.36</v>
      </c>
      <c r="D82" s="31">
        <v>3.0312999999999999</v>
      </c>
      <c r="E82" s="31">
        <v>662.45</v>
      </c>
      <c r="F82" s="31">
        <v>2754.1</v>
      </c>
      <c r="G82" s="31">
        <v>1.9125000000000001</v>
      </c>
      <c r="H82" s="31">
        <v>6.7751000000000001</v>
      </c>
      <c r="I82" s="31">
        <v>4.3265000000000002</v>
      </c>
      <c r="J82" s="31">
        <v>2.4586999999999999</v>
      </c>
    </row>
    <row r="83" spans="1:10" x14ac:dyDescent="0.3">
      <c r="A83" s="31">
        <v>158</v>
      </c>
      <c r="B83" s="31">
        <v>5.8742000000000001</v>
      </c>
      <c r="C83" s="31">
        <v>909.4</v>
      </c>
      <c r="D83" s="31">
        <v>3.1059000000000001</v>
      </c>
      <c r="E83" s="31">
        <v>666.79</v>
      </c>
      <c r="F83" s="31">
        <v>2755.2</v>
      </c>
      <c r="G83" s="31">
        <v>1.9225000000000001</v>
      </c>
      <c r="H83" s="31">
        <v>6.7664</v>
      </c>
      <c r="I83" s="31">
        <v>4.3293999999999997</v>
      </c>
      <c r="J83" s="31">
        <v>2.4685000000000001</v>
      </c>
    </row>
    <row r="84" spans="1:10" x14ac:dyDescent="0.3">
      <c r="A84" s="31">
        <v>159</v>
      </c>
      <c r="B84" s="31">
        <v>6.0266999999999999</v>
      </c>
      <c r="C84" s="31">
        <v>908.42</v>
      </c>
      <c r="D84" s="31">
        <v>3.1821000000000002</v>
      </c>
      <c r="E84" s="31">
        <v>671.13</v>
      </c>
      <c r="F84" s="31">
        <v>2756.3</v>
      </c>
      <c r="G84" s="31">
        <v>1.9326000000000001</v>
      </c>
      <c r="H84" s="31">
        <v>6.7577999999999996</v>
      </c>
      <c r="I84" s="31">
        <v>4.3323</v>
      </c>
      <c r="J84" s="31">
        <v>2.4782999999999999</v>
      </c>
    </row>
    <row r="85" spans="1:10" x14ac:dyDescent="0.3">
      <c r="A85" s="31">
        <v>160</v>
      </c>
      <c r="B85" s="31">
        <v>6.1822999999999997</v>
      </c>
      <c r="C85" s="31">
        <v>907.45</v>
      </c>
      <c r="D85" s="31">
        <v>3.2595999999999998</v>
      </c>
      <c r="E85" s="31">
        <v>675.47</v>
      </c>
      <c r="F85" s="31">
        <v>2757.4</v>
      </c>
      <c r="G85" s="31">
        <v>1.9426000000000001</v>
      </c>
      <c r="H85" s="31">
        <v>6.7491000000000003</v>
      </c>
      <c r="I85" s="31">
        <v>4.3353999999999999</v>
      </c>
      <c r="J85" s="31">
        <v>2.4883000000000002</v>
      </c>
    </row>
    <row r="86" spans="1:10" x14ac:dyDescent="0.3">
      <c r="A86" s="31">
        <v>161</v>
      </c>
      <c r="B86" s="31">
        <v>6.3411999999999997</v>
      </c>
      <c r="C86" s="31">
        <v>906.47</v>
      </c>
      <c r="D86" s="31">
        <v>3.3386999999999998</v>
      </c>
      <c r="E86" s="31">
        <v>679.82</v>
      </c>
      <c r="F86" s="31">
        <v>2758.5</v>
      </c>
      <c r="G86" s="31">
        <v>1.9524999999999999</v>
      </c>
      <c r="H86" s="31">
        <v>6.7405999999999997</v>
      </c>
      <c r="I86" s="31">
        <v>4.3384</v>
      </c>
      <c r="J86" s="31">
        <v>2.4983</v>
      </c>
    </row>
    <row r="87" spans="1:10" x14ac:dyDescent="0.3">
      <c r="A87" s="31">
        <v>162</v>
      </c>
      <c r="B87" s="31">
        <v>6.5033000000000003</v>
      </c>
      <c r="C87" s="31">
        <v>905.49</v>
      </c>
      <c r="D87" s="31">
        <v>3.4194</v>
      </c>
      <c r="E87" s="31">
        <v>684.17</v>
      </c>
      <c r="F87" s="31">
        <v>2759.6</v>
      </c>
      <c r="G87" s="31">
        <v>1.9624999999999999</v>
      </c>
      <c r="H87" s="31">
        <v>6.7320000000000002</v>
      </c>
      <c r="I87" s="31">
        <v>4.3414999999999999</v>
      </c>
      <c r="J87" s="31">
        <v>2.5085000000000002</v>
      </c>
    </row>
    <row r="88" spans="1:10" x14ac:dyDescent="0.3">
      <c r="A88" s="31">
        <v>163</v>
      </c>
      <c r="B88" s="31">
        <v>6.6685999999999996</v>
      </c>
      <c r="C88" s="31">
        <v>904.5</v>
      </c>
      <c r="D88" s="31">
        <v>3.5015999999999998</v>
      </c>
      <c r="E88" s="31">
        <v>688.52</v>
      </c>
      <c r="F88" s="31">
        <v>2760.7</v>
      </c>
      <c r="G88" s="31">
        <v>1.9724999999999999</v>
      </c>
      <c r="H88" s="31">
        <v>6.7234999999999996</v>
      </c>
      <c r="I88" s="31">
        <v>4.3445999999999998</v>
      </c>
      <c r="J88" s="31">
        <v>2.5188999999999999</v>
      </c>
    </row>
    <row r="89" spans="1:10" x14ac:dyDescent="0.3">
      <c r="A89" s="31">
        <v>164</v>
      </c>
      <c r="B89" s="31">
        <v>6.8372999999999999</v>
      </c>
      <c r="C89" s="31">
        <v>903.5</v>
      </c>
      <c r="D89" s="31">
        <v>3.5853000000000002</v>
      </c>
      <c r="E89" s="31">
        <v>692.88</v>
      </c>
      <c r="F89" s="31">
        <v>2761.8</v>
      </c>
      <c r="G89" s="31">
        <v>1.9823999999999999</v>
      </c>
      <c r="H89" s="31">
        <v>6.7149999999999999</v>
      </c>
      <c r="I89" s="31">
        <v>4.3478000000000003</v>
      </c>
      <c r="J89" s="31">
        <v>2.5293000000000001</v>
      </c>
    </row>
    <row r="90" spans="1:10" x14ac:dyDescent="0.3">
      <c r="A90" s="31">
        <v>165</v>
      </c>
      <c r="B90" s="31">
        <v>7.0092999999999996</v>
      </c>
      <c r="C90" s="31">
        <v>902.51</v>
      </c>
      <c r="D90" s="31">
        <v>3.6707000000000001</v>
      </c>
      <c r="E90" s="31">
        <v>697.24</v>
      </c>
      <c r="F90" s="31">
        <v>2762.8</v>
      </c>
      <c r="G90" s="31">
        <v>1.9923</v>
      </c>
      <c r="H90" s="31">
        <v>6.7065999999999999</v>
      </c>
      <c r="I90" s="31">
        <v>4.351</v>
      </c>
      <c r="J90" s="31">
        <v>2.5398000000000001</v>
      </c>
    </row>
    <row r="91" spans="1:10" x14ac:dyDescent="0.3">
      <c r="A91" s="31">
        <v>166</v>
      </c>
      <c r="B91" s="31">
        <v>7.1848000000000001</v>
      </c>
      <c r="C91" s="31">
        <v>901.5</v>
      </c>
      <c r="D91" s="31">
        <v>3.7576000000000001</v>
      </c>
      <c r="E91" s="31">
        <v>701.6</v>
      </c>
      <c r="F91" s="31">
        <v>2763.9</v>
      </c>
      <c r="G91" s="31">
        <v>2.0022000000000002</v>
      </c>
      <c r="H91" s="31">
        <v>6.6981999999999999</v>
      </c>
      <c r="I91" s="31">
        <v>4.3543000000000003</v>
      </c>
      <c r="J91" s="31">
        <v>2.5505</v>
      </c>
    </row>
    <row r="92" spans="1:10" x14ac:dyDescent="0.3">
      <c r="A92" s="31">
        <v>167</v>
      </c>
      <c r="B92" s="31">
        <v>7.3638000000000003</v>
      </c>
      <c r="C92" s="31">
        <v>900.5</v>
      </c>
      <c r="D92" s="31">
        <v>3.8462000000000001</v>
      </c>
      <c r="E92" s="31">
        <v>705.96</v>
      </c>
      <c r="F92" s="31">
        <v>2764.9</v>
      </c>
      <c r="G92" s="31">
        <v>2.0121000000000002</v>
      </c>
      <c r="H92" s="31">
        <v>6.6898</v>
      </c>
      <c r="I92" s="31">
        <v>4.3575999999999997</v>
      </c>
      <c r="J92" s="31">
        <v>2.5613000000000001</v>
      </c>
    </row>
    <row r="93" spans="1:10" x14ac:dyDescent="0.3">
      <c r="A93" s="31">
        <v>168</v>
      </c>
      <c r="B93" s="31">
        <v>7.5461999999999998</v>
      </c>
      <c r="C93" s="31">
        <v>899.49</v>
      </c>
      <c r="D93" s="31">
        <v>3.9365000000000001</v>
      </c>
      <c r="E93" s="31">
        <v>710.33</v>
      </c>
      <c r="F93" s="31">
        <v>2765.9</v>
      </c>
      <c r="G93" s="31">
        <v>2.0219999999999998</v>
      </c>
      <c r="H93" s="31">
        <v>6.6814999999999998</v>
      </c>
      <c r="I93" s="31">
        <v>4.3609999999999998</v>
      </c>
      <c r="J93" s="31">
        <v>2.5722</v>
      </c>
    </row>
    <row r="94" spans="1:10" x14ac:dyDescent="0.3">
      <c r="A94" s="31">
        <v>169</v>
      </c>
      <c r="B94" s="31">
        <v>7.7321999999999997</v>
      </c>
      <c r="C94" s="31">
        <v>898.47</v>
      </c>
      <c r="D94" s="31">
        <v>4.0285000000000002</v>
      </c>
      <c r="E94" s="31">
        <v>714.71</v>
      </c>
      <c r="F94" s="31">
        <v>2766.9</v>
      </c>
      <c r="G94" s="31">
        <v>2.0318000000000001</v>
      </c>
      <c r="H94" s="31">
        <v>6.6731999999999996</v>
      </c>
      <c r="I94" s="31">
        <v>4.3643999999999998</v>
      </c>
      <c r="J94" s="31">
        <v>2.5832999999999999</v>
      </c>
    </row>
    <row r="95" spans="1:10" x14ac:dyDescent="0.3">
      <c r="A95" s="31">
        <v>170</v>
      </c>
      <c r="B95" s="31">
        <v>7.9218999999999999</v>
      </c>
      <c r="C95" s="31">
        <v>897.45</v>
      </c>
      <c r="D95" s="31">
        <v>4.1222000000000003</v>
      </c>
      <c r="E95" s="31">
        <v>719.08</v>
      </c>
      <c r="F95" s="31">
        <v>2767.9</v>
      </c>
      <c r="G95" s="31">
        <v>2.0417000000000001</v>
      </c>
      <c r="H95" s="31">
        <v>6.665</v>
      </c>
      <c r="I95" s="31">
        <v>4.3677999999999999</v>
      </c>
      <c r="J95" s="31">
        <v>2.5943999999999998</v>
      </c>
    </row>
    <row r="96" spans="1:10" x14ac:dyDescent="0.3">
      <c r="A96" s="31">
        <v>171</v>
      </c>
      <c r="B96" s="31">
        <v>8.1151999999999997</v>
      </c>
      <c r="C96" s="31">
        <v>896.43</v>
      </c>
      <c r="D96" s="31">
        <v>4.2176</v>
      </c>
      <c r="E96" s="31">
        <v>723.46</v>
      </c>
      <c r="F96" s="31">
        <v>2768.9</v>
      </c>
      <c r="G96" s="31">
        <v>2.0514999999999999</v>
      </c>
      <c r="H96" s="31">
        <v>6.6566999999999998</v>
      </c>
      <c r="I96" s="31">
        <v>4.3712999999999997</v>
      </c>
      <c r="J96" s="31">
        <v>2.6057000000000001</v>
      </c>
    </row>
    <row r="97" spans="1:10" x14ac:dyDescent="0.3">
      <c r="A97" s="31">
        <v>172</v>
      </c>
      <c r="B97" s="31">
        <v>8.3122000000000007</v>
      </c>
      <c r="C97" s="31">
        <v>895.4</v>
      </c>
      <c r="D97" s="31">
        <v>4.3148</v>
      </c>
      <c r="E97" s="31">
        <v>727.85</v>
      </c>
      <c r="F97" s="31">
        <v>2769.9</v>
      </c>
      <c r="G97" s="31">
        <v>2.0613000000000001</v>
      </c>
      <c r="H97" s="31">
        <v>6.6485000000000003</v>
      </c>
      <c r="I97" s="31">
        <v>4.3749000000000002</v>
      </c>
      <c r="J97" s="31">
        <v>2.6171000000000002</v>
      </c>
    </row>
    <row r="98" spans="1:10" x14ac:dyDescent="0.3">
      <c r="A98" s="31">
        <v>173</v>
      </c>
      <c r="B98" s="31">
        <v>8.5129999999999999</v>
      </c>
      <c r="C98" s="31">
        <v>894.36</v>
      </c>
      <c r="D98" s="31">
        <v>4.4138000000000002</v>
      </c>
      <c r="E98" s="31">
        <v>732.23</v>
      </c>
      <c r="F98" s="31">
        <v>2770.8</v>
      </c>
      <c r="G98" s="31">
        <v>2.0710999999999999</v>
      </c>
      <c r="H98" s="31">
        <v>6.6403999999999996</v>
      </c>
      <c r="I98" s="31">
        <v>4.3784000000000001</v>
      </c>
      <c r="J98" s="31">
        <v>2.6286999999999998</v>
      </c>
    </row>
    <row r="99" spans="1:10" x14ac:dyDescent="0.3">
      <c r="A99" s="31">
        <v>174</v>
      </c>
      <c r="B99" s="31">
        <v>8.7175999999999991</v>
      </c>
      <c r="C99" s="31">
        <v>893.33</v>
      </c>
      <c r="D99" s="31">
        <v>4.5145999999999997</v>
      </c>
      <c r="E99" s="31">
        <v>736.63</v>
      </c>
      <c r="F99" s="31">
        <v>2771.8</v>
      </c>
      <c r="G99" s="31">
        <v>2.0809000000000002</v>
      </c>
      <c r="H99" s="31">
        <v>6.6322000000000001</v>
      </c>
      <c r="I99" s="31">
        <v>4.3821000000000003</v>
      </c>
      <c r="J99" s="31">
        <v>2.6402999999999999</v>
      </c>
    </row>
    <row r="100" spans="1:10" x14ac:dyDescent="0.3">
      <c r="A100" s="31">
        <v>175</v>
      </c>
      <c r="B100" s="31">
        <v>8.9260000000000002</v>
      </c>
      <c r="C100" s="31">
        <v>892.28</v>
      </c>
      <c r="D100" s="31">
        <v>4.6172000000000004</v>
      </c>
      <c r="E100" s="31">
        <v>741.02</v>
      </c>
      <c r="F100" s="31">
        <v>2772.7</v>
      </c>
      <c r="G100" s="31">
        <v>2.0905999999999998</v>
      </c>
      <c r="H100" s="31">
        <v>6.6241000000000003</v>
      </c>
      <c r="I100" s="31">
        <v>4.3857999999999997</v>
      </c>
      <c r="J100" s="31">
        <v>2.6520999999999999</v>
      </c>
    </row>
    <row r="101" spans="1:10" x14ac:dyDescent="0.3">
      <c r="A101" s="31">
        <v>176</v>
      </c>
      <c r="B101" s="31">
        <v>9.1384000000000007</v>
      </c>
      <c r="C101" s="31">
        <v>891.24</v>
      </c>
      <c r="D101" s="31">
        <v>4.7217000000000002</v>
      </c>
      <c r="E101" s="31">
        <v>745.42</v>
      </c>
      <c r="F101" s="31">
        <v>2773.6</v>
      </c>
      <c r="G101" s="31">
        <v>2.1004</v>
      </c>
      <c r="H101" s="31">
        <v>6.6161000000000003</v>
      </c>
      <c r="I101" s="31">
        <v>4.3895</v>
      </c>
      <c r="J101" s="31">
        <v>2.6640000000000001</v>
      </c>
    </row>
    <row r="102" spans="1:10" x14ac:dyDescent="0.3">
      <c r="A102" s="31">
        <v>177</v>
      </c>
      <c r="B102" s="31">
        <v>9.3546999999999993</v>
      </c>
      <c r="C102" s="31">
        <v>890.18</v>
      </c>
      <c r="D102" s="31">
        <v>4.8281000000000001</v>
      </c>
      <c r="E102" s="31">
        <v>749.82</v>
      </c>
      <c r="F102" s="31">
        <v>2774.5</v>
      </c>
      <c r="G102" s="31">
        <v>2.1101000000000001</v>
      </c>
      <c r="H102" s="31">
        <v>6.6079999999999997</v>
      </c>
      <c r="I102" s="31">
        <v>4.3933</v>
      </c>
      <c r="J102" s="31">
        <v>2.6760000000000002</v>
      </c>
    </row>
    <row r="103" spans="1:10" x14ac:dyDescent="0.3">
      <c r="A103" s="31">
        <v>178</v>
      </c>
      <c r="B103" s="31">
        <v>9.5751000000000008</v>
      </c>
      <c r="C103" s="31">
        <v>889.13</v>
      </c>
      <c r="D103" s="31">
        <v>4.9363999999999999</v>
      </c>
      <c r="E103" s="31">
        <v>754.23</v>
      </c>
      <c r="F103" s="31">
        <v>2775.4</v>
      </c>
      <c r="G103" s="31">
        <v>2.1198000000000001</v>
      </c>
      <c r="H103" s="31">
        <v>6.6</v>
      </c>
      <c r="I103" s="31">
        <v>4.3971</v>
      </c>
      <c r="J103" s="31">
        <v>2.6882000000000001</v>
      </c>
    </row>
    <row r="104" spans="1:10" x14ac:dyDescent="0.3">
      <c r="A104" s="31">
        <v>179</v>
      </c>
      <c r="B104" s="31">
        <v>9.7995000000000001</v>
      </c>
      <c r="C104" s="31">
        <v>888.07</v>
      </c>
      <c r="D104" s="31">
        <v>5.0465999999999998</v>
      </c>
      <c r="E104" s="31">
        <v>758.64</v>
      </c>
      <c r="F104" s="31">
        <v>2776.3</v>
      </c>
      <c r="G104" s="31">
        <v>2.1295999999999999</v>
      </c>
      <c r="H104" s="31">
        <v>6.5919999999999996</v>
      </c>
      <c r="I104" s="31">
        <v>4.4009999999999998</v>
      </c>
      <c r="J104" s="31">
        <v>2.7004999999999999</v>
      </c>
    </row>
    <row r="105" spans="1:10" x14ac:dyDescent="0.3">
      <c r="A105" s="31">
        <v>180</v>
      </c>
      <c r="B105" s="31">
        <v>10.028</v>
      </c>
      <c r="C105" s="31">
        <v>887</v>
      </c>
      <c r="D105" s="31">
        <v>5.1588000000000003</v>
      </c>
      <c r="E105" s="31">
        <v>763.05</v>
      </c>
      <c r="F105" s="31">
        <v>2777.2</v>
      </c>
      <c r="G105" s="31">
        <v>2.1392000000000002</v>
      </c>
      <c r="H105" s="31">
        <v>6.5839999999999996</v>
      </c>
      <c r="I105" s="31">
        <v>4.4050000000000002</v>
      </c>
      <c r="J105" s="31">
        <v>2.7128999999999999</v>
      </c>
    </row>
    <row r="106" spans="1:10" x14ac:dyDescent="0.3">
      <c r="A106" s="31">
        <v>181</v>
      </c>
      <c r="B106" s="31">
        <v>10.260999999999999</v>
      </c>
      <c r="C106" s="31">
        <v>885.93</v>
      </c>
      <c r="D106" s="31">
        <v>5.2729999999999997</v>
      </c>
      <c r="E106" s="31">
        <v>767.47</v>
      </c>
      <c r="F106" s="31">
        <v>2778.1</v>
      </c>
      <c r="G106" s="31">
        <v>2.1488999999999998</v>
      </c>
      <c r="H106" s="31">
        <v>6.5761000000000003</v>
      </c>
      <c r="I106" s="31">
        <v>4.4089999999999998</v>
      </c>
      <c r="J106" s="31">
        <v>2.7254</v>
      </c>
    </row>
    <row r="107" spans="1:10" x14ac:dyDescent="0.3">
      <c r="A107" s="31">
        <v>182</v>
      </c>
      <c r="B107" s="31">
        <v>10.497999999999999</v>
      </c>
      <c r="C107" s="31">
        <v>884.85</v>
      </c>
      <c r="D107" s="31">
        <v>5.3893000000000004</v>
      </c>
      <c r="E107" s="31">
        <v>771.9</v>
      </c>
      <c r="F107" s="31">
        <v>2778.9</v>
      </c>
      <c r="G107" s="31">
        <v>2.1585999999999999</v>
      </c>
      <c r="H107" s="31">
        <v>6.5682</v>
      </c>
      <c r="I107" s="31">
        <v>4.4130000000000003</v>
      </c>
      <c r="J107" s="31">
        <v>2.7381000000000002</v>
      </c>
    </row>
    <row r="108" spans="1:10" x14ac:dyDescent="0.3">
      <c r="A108" s="31">
        <v>183</v>
      </c>
      <c r="B108" s="31">
        <v>10.739000000000001</v>
      </c>
      <c r="C108" s="31">
        <v>883.77</v>
      </c>
      <c r="D108" s="31">
        <v>5.5076000000000001</v>
      </c>
      <c r="E108" s="31">
        <v>776.32</v>
      </c>
      <c r="F108" s="31">
        <v>2779.8</v>
      </c>
      <c r="G108" s="31">
        <v>2.1682999999999999</v>
      </c>
      <c r="H108" s="31">
        <v>6.5602999999999998</v>
      </c>
      <c r="I108" s="31">
        <v>4.4170999999999996</v>
      </c>
      <c r="J108" s="31">
        <v>2.7509000000000001</v>
      </c>
    </row>
    <row r="109" spans="1:10" x14ac:dyDescent="0.3">
      <c r="A109" s="31">
        <v>184</v>
      </c>
      <c r="B109" s="31">
        <v>10.984999999999999</v>
      </c>
      <c r="C109" s="31">
        <v>882.69</v>
      </c>
      <c r="D109" s="31">
        <v>5.6279000000000003</v>
      </c>
      <c r="E109" s="31">
        <v>780.75</v>
      </c>
      <c r="F109" s="31">
        <v>2780.6</v>
      </c>
      <c r="G109" s="31">
        <v>2.1779000000000002</v>
      </c>
      <c r="H109" s="31">
        <v>6.5525000000000002</v>
      </c>
      <c r="I109" s="31">
        <v>4.4212999999999996</v>
      </c>
      <c r="J109" s="31">
        <v>2.7637999999999998</v>
      </c>
    </row>
    <row r="110" spans="1:10" x14ac:dyDescent="0.3">
      <c r="A110" s="31">
        <v>185</v>
      </c>
      <c r="B110" s="31">
        <v>11.234999999999999</v>
      </c>
      <c r="C110" s="31">
        <v>881.6</v>
      </c>
      <c r="D110" s="31">
        <v>5.7504</v>
      </c>
      <c r="E110" s="31">
        <v>785.19</v>
      </c>
      <c r="F110" s="31">
        <v>2781.4</v>
      </c>
      <c r="G110" s="31">
        <v>2.1875</v>
      </c>
      <c r="H110" s="31">
        <v>6.5446999999999997</v>
      </c>
      <c r="I110" s="31">
        <v>4.4255000000000004</v>
      </c>
      <c r="J110" s="31">
        <v>2.7768999999999999</v>
      </c>
    </row>
    <row r="111" spans="1:10" x14ac:dyDescent="0.3">
      <c r="A111" s="31">
        <v>186</v>
      </c>
      <c r="B111" s="31">
        <v>11.489000000000001</v>
      </c>
      <c r="C111" s="31">
        <v>880.5</v>
      </c>
      <c r="D111" s="31">
        <v>5.875</v>
      </c>
      <c r="E111" s="31">
        <v>789.63</v>
      </c>
      <c r="F111" s="31">
        <v>2782.2</v>
      </c>
      <c r="G111" s="31">
        <v>2.1970999999999998</v>
      </c>
      <c r="H111" s="31">
        <v>6.5369000000000002</v>
      </c>
      <c r="I111" s="31">
        <v>4.4297000000000004</v>
      </c>
      <c r="J111" s="31">
        <v>2.7900999999999998</v>
      </c>
    </row>
    <row r="112" spans="1:10" x14ac:dyDescent="0.3">
      <c r="A112" s="31">
        <v>187</v>
      </c>
      <c r="B112" s="31">
        <v>11.747999999999999</v>
      </c>
      <c r="C112" s="31">
        <v>879.4</v>
      </c>
      <c r="D112" s="31">
        <v>6.0018000000000002</v>
      </c>
      <c r="E112" s="31">
        <v>794.07</v>
      </c>
      <c r="F112" s="31">
        <v>2783</v>
      </c>
      <c r="G112" s="31">
        <v>2.2067000000000001</v>
      </c>
      <c r="H112" s="31">
        <v>6.5290999999999997</v>
      </c>
      <c r="I112" s="31">
        <v>4.4340999999999999</v>
      </c>
      <c r="J112" s="31">
        <v>2.8033999999999999</v>
      </c>
    </row>
    <row r="113" spans="1:10" x14ac:dyDescent="0.3">
      <c r="A113" s="31">
        <v>188</v>
      </c>
      <c r="B113" s="31">
        <v>12.010999999999999</v>
      </c>
      <c r="C113" s="31">
        <v>878.3</v>
      </c>
      <c r="D113" s="31">
        <v>6.1307999999999998</v>
      </c>
      <c r="E113" s="31">
        <v>798.52</v>
      </c>
      <c r="F113" s="31">
        <v>2783.8</v>
      </c>
      <c r="G113" s="31">
        <v>2.2162999999999999</v>
      </c>
      <c r="H113" s="31">
        <v>6.5213000000000001</v>
      </c>
      <c r="I113" s="31">
        <v>4.4385000000000003</v>
      </c>
      <c r="J113" s="31">
        <v>2.8169</v>
      </c>
    </row>
    <row r="114" spans="1:10" x14ac:dyDescent="0.3">
      <c r="A114" s="31">
        <v>189</v>
      </c>
      <c r="B114" s="31">
        <v>12.28</v>
      </c>
      <c r="C114" s="31">
        <v>877.19</v>
      </c>
      <c r="D114" s="31">
        <v>6.2619999999999996</v>
      </c>
      <c r="E114" s="31">
        <v>802.97</v>
      </c>
      <c r="F114" s="31">
        <v>2784.5</v>
      </c>
      <c r="G114" s="31">
        <v>2.2259000000000002</v>
      </c>
      <c r="H114" s="31">
        <v>6.5136000000000003</v>
      </c>
      <c r="I114" s="31">
        <v>4.4428999999999998</v>
      </c>
      <c r="J114" s="31">
        <v>2.8304999999999998</v>
      </c>
    </row>
    <row r="115" spans="1:10" x14ac:dyDescent="0.3">
      <c r="A115" s="31">
        <v>190</v>
      </c>
      <c r="B115" s="31">
        <v>12.552</v>
      </c>
      <c r="C115" s="31">
        <v>876.08</v>
      </c>
      <c r="D115" s="31">
        <v>6.3954000000000004</v>
      </c>
      <c r="E115" s="31">
        <v>807.43</v>
      </c>
      <c r="F115" s="31">
        <v>2785.3</v>
      </c>
      <c r="G115" s="31">
        <v>2.2355</v>
      </c>
      <c r="H115" s="31">
        <v>6.5058999999999996</v>
      </c>
      <c r="I115" s="31">
        <v>4.4474</v>
      </c>
      <c r="J115" s="31">
        <v>2.8443000000000001</v>
      </c>
    </row>
    <row r="116" spans="1:10" x14ac:dyDescent="0.3">
      <c r="A116" s="31">
        <v>191</v>
      </c>
      <c r="B116" s="31">
        <v>12.83</v>
      </c>
      <c r="C116" s="31">
        <v>874.96</v>
      </c>
      <c r="D116" s="31">
        <v>6.5312000000000001</v>
      </c>
      <c r="E116" s="31">
        <v>811.89</v>
      </c>
      <c r="F116" s="31">
        <v>2786</v>
      </c>
      <c r="G116" s="31">
        <v>2.2450000000000001</v>
      </c>
      <c r="H116" s="31">
        <v>6.4981999999999998</v>
      </c>
      <c r="I116" s="31">
        <v>4.452</v>
      </c>
      <c r="J116" s="31">
        <v>2.8580999999999999</v>
      </c>
    </row>
    <row r="117" spans="1:10" x14ac:dyDescent="0.3">
      <c r="A117" s="31">
        <v>192</v>
      </c>
      <c r="B117" s="31">
        <v>13.112</v>
      </c>
      <c r="C117" s="31">
        <v>873.83</v>
      </c>
      <c r="D117" s="31">
        <v>6.6692</v>
      </c>
      <c r="E117" s="31">
        <v>816.36</v>
      </c>
      <c r="F117" s="31">
        <v>2786.7</v>
      </c>
      <c r="G117" s="31">
        <v>2.2545999999999999</v>
      </c>
      <c r="H117" s="31">
        <v>6.4905999999999997</v>
      </c>
      <c r="I117" s="31">
        <v>4.4565999999999999</v>
      </c>
      <c r="J117" s="31">
        <v>2.8721999999999999</v>
      </c>
    </row>
    <row r="118" spans="1:10" x14ac:dyDescent="0.3">
      <c r="A118" s="31">
        <v>193</v>
      </c>
      <c r="B118" s="31">
        <v>13.398999999999999</v>
      </c>
      <c r="C118" s="31">
        <v>872.7</v>
      </c>
      <c r="D118" s="31">
        <v>6.8095999999999997</v>
      </c>
      <c r="E118" s="31">
        <v>820.83</v>
      </c>
      <c r="F118" s="31">
        <v>2787.4</v>
      </c>
      <c r="G118" s="31">
        <v>2.2641</v>
      </c>
      <c r="H118" s="31">
        <v>6.4829999999999997</v>
      </c>
      <c r="I118" s="31">
        <v>4.4612999999999996</v>
      </c>
      <c r="J118" s="31">
        <v>2.8862999999999999</v>
      </c>
    </row>
    <row r="119" spans="1:10" x14ac:dyDescent="0.3">
      <c r="A119" s="31">
        <v>194</v>
      </c>
      <c r="B119" s="31">
        <v>13.691000000000001</v>
      </c>
      <c r="C119" s="31">
        <v>871.57</v>
      </c>
      <c r="D119" s="31">
        <v>6.9523999999999999</v>
      </c>
      <c r="E119" s="31">
        <v>825.31</v>
      </c>
      <c r="F119" s="31">
        <v>2788.1</v>
      </c>
      <c r="G119" s="31">
        <v>2.2736000000000001</v>
      </c>
      <c r="H119" s="31">
        <v>6.4753999999999996</v>
      </c>
      <c r="I119" s="31">
        <v>4.4660000000000002</v>
      </c>
      <c r="J119" s="31">
        <v>2.9005999999999998</v>
      </c>
    </row>
    <row r="120" spans="1:10" x14ac:dyDescent="0.3">
      <c r="A120" s="31">
        <v>195</v>
      </c>
      <c r="B120" s="31">
        <v>13.988</v>
      </c>
      <c r="C120" s="31">
        <v>870.43</v>
      </c>
      <c r="D120" s="31">
        <v>7.0975999999999999</v>
      </c>
      <c r="E120" s="31">
        <v>829.79</v>
      </c>
      <c r="F120" s="31">
        <v>2788.8</v>
      </c>
      <c r="G120" s="31">
        <v>2.2831999999999999</v>
      </c>
      <c r="H120" s="31">
        <v>6.4678000000000004</v>
      </c>
      <c r="I120" s="31">
        <v>4.4707999999999997</v>
      </c>
      <c r="J120" s="31">
        <v>2.9150999999999998</v>
      </c>
    </row>
    <row r="121" spans="1:10" x14ac:dyDescent="0.3">
      <c r="A121" s="31">
        <v>196</v>
      </c>
      <c r="B121" s="31">
        <v>14.29</v>
      </c>
      <c r="C121" s="31">
        <v>869.29</v>
      </c>
      <c r="D121" s="31">
        <v>7.2453000000000003</v>
      </c>
      <c r="E121" s="31">
        <v>834.28</v>
      </c>
      <c r="F121" s="31">
        <v>2789.5</v>
      </c>
      <c r="G121" s="31">
        <v>2.2926000000000002</v>
      </c>
      <c r="H121" s="31">
        <v>6.4602000000000004</v>
      </c>
      <c r="I121" s="31">
        <v>4.4756999999999998</v>
      </c>
      <c r="J121" s="31">
        <v>2.9297</v>
      </c>
    </row>
    <row r="122" spans="1:10" x14ac:dyDescent="0.3">
      <c r="A122" s="31">
        <v>197</v>
      </c>
      <c r="B122" s="31">
        <v>14.597</v>
      </c>
      <c r="C122" s="31">
        <v>868.14</v>
      </c>
      <c r="D122" s="31">
        <v>7.3954000000000004</v>
      </c>
      <c r="E122" s="31">
        <v>838.77</v>
      </c>
      <c r="F122" s="31">
        <v>2790.1</v>
      </c>
      <c r="G122" s="31">
        <v>2.3020999999999998</v>
      </c>
      <c r="H122" s="31">
        <v>6.4527000000000001</v>
      </c>
      <c r="I122" s="31">
        <v>4.4805999999999999</v>
      </c>
      <c r="J122" s="31">
        <v>2.9443999999999999</v>
      </c>
    </row>
    <row r="123" spans="1:10" x14ac:dyDescent="0.3">
      <c r="A123" s="31">
        <v>198</v>
      </c>
      <c r="B123" s="31">
        <v>14.909000000000001</v>
      </c>
      <c r="C123" s="31">
        <v>866.98</v>
      </c>
      <c r="D123" s="31">
        <v>7.548</v>
      </c>
      <c r="E123" s="31">
        <v>843.26</v>
      </c>
      <c r="F123" s="31">
        <v>2790.8</v>
      </c>
      <c r="G123" s="31">
        <v>2.3115999999999999</v>
      </c>
      <c r="H123" s="31">
        <v>6.4451000000000001</v>
      </c>
      <c r="I123" s="31">
        <v>4.4855999999999998</v>
      </c>
      <c r="J123" s="31">
        <v>2.9592999999999998</v>
      </c>
    </row>
    <row r="124" spans="1:10" x14ac:dyDescent="0.3">
      <c r="A124" s="31">
        <v>199</v>
      </c>
      <c r="B124" s="31">
        <v>15.227</v>
      </c>
      <c r="C124" s="31">
        <v>865.82</v>
      </c>
      <c r="D124" s="31">
        <v>7.7031999999999998</v>
      </c>
      <c r="E124" s="31">
        <v>847.76</v>
      </c>
      <c r="F124" s="31">
        <v>2791.4</v>
      </c>
      <c r="G124" s="31">
        <v>2.3210999999999999</v>
      </c>
      <c r="H124" s="31">
        <v>6.4375999999999998</v>
      </c>
      <c r="I124" s="31">
        <v>4.4907000000000004</v>
      </c>
      <c r="J124" s="31">
        <v>2.9744000000000002</v>
      </c>
    </row>
    <row r="125" spans="1:10" x14ac:dyDescent="0.3">
      <c r="A125" s="31">
        <v>200</v>
      </c>
      <c r="B125" s="31">
        <v>15.548999999999999</v>
      </c>
      <c r="C125" s="31">
        <v>864.66</v>
      </c>
      <c r="D125" s="31">
        <v>7.8609999999999998</v>
      </c>
      <c r="E125" s="31">
        <v>852.27</v>
      </c>
      <c r="F125" s="31">
        <v>2792</v>
      </c>
      <c r="G125" s="31">
        <v>2.3304999999999998</v>
      </c>
      <c r="H125" s="31">
        <v>6.4302000000000001</v>
      </c>
      <c r="I125" s="31">
        <v>4.4958</v>
      </c>
      <c r="J125" s="31">
        <v>2.9895</v>
      </c>
    </row>
    <row r="126" spans="1:10" x14ac:dyDescent="0.3">
      <c r="A126" s="32">
        <v>201</v>
      </c>
      <c r="B126" s="34">
        <v>15.877000000000001</v>
      </c>
      <c r="C126" s="31">
        <v>863.48329159830757</v>
      </c>
      <c r="D126" s="31">
        <v>8.0256821829855536</v>
      </c>
      <c r="E126" s="33">
        <v>856.88</v>
      </c>
      <c r="F126" s="35">
        <v>2791.5</v>
      </c>
      <c r="G126" s="36">
        <v>2.3405</v>
      </c>
      <c r="H126" s="36">
        <v>6.4203000000000001</v>
      </c>
      <c r="I126" s="36">
        <v>4.4991005312327461</v>
      </c>
      <c r="J126" s="36">
        <v>3.0052247769680132</v>
      </c>
    </row>
    <row r="127" spans="1:10" x14ac:dyDescent="0.3">
      <c r="A127" s="32">
        <v>202</v>
      </c>
      <c r="B127" s="34">
        <v>16.21</v>
      </c>
      <c r="C127" s="31">
        <v>862.8127696289904</v>
      </c>
      <c r="D127" s="31">
        <v>8.1900081900081894</v>
      </c>
      <c r="E127" s="33">
        <v>861.4</v>
      </c>
      <c r="F127" s="35">
        <v>2792.1</v>
      </c>
      <c r="G127" s="36">
        <v>2.3496000000000001</v>
      </c>
      <c r="H127" s="36">
        <v>6.4127999999999998</v>
      </c>
      <c r="I127" s="36">
        <v>4.5042614700315067</v>
      </c>
      <c r="J127" s="36">
        <v>3.0205889926515574</v>
      </c>
    </row>
    <row r="128" spans="1:10" x14ac:dyDescent="0.3">
      <c r="A128" s="32">
        <v>203</v>
      </c>
      <c r="B128" s="34">
        <v>16.548999999999999</v>
      </c>
      <c r="C128" s="31">
        <v>861.17809162934896</v>
      </c>
      <c r="D128" s="31">
        <v>8.3542188805346704</v>
      </c>
      <c r="E128" s="33">
        <v>865.92</v>
      </c>
      <c r="F128" s="35">
        <v>2792.7</v>
      </c>
      <c r="G128" s="36">
        <v>2.3599000000000001</v>
      </c>
      <c r="H128" s="36">
        <v>6.4054000000000002</v>
      </c>
      <c r="I128" s="36">
        <v>4.5094945058100491</v>
      </c>
      <c r="J128" s="36">
        <v>3.0361175742700097</v>
      </c>
    </row>
    <row r="129" spans="1:10" x14ac:dyDescent="0.3">
      <c r="A129" s="32">
        <v>204</v>
      </c>
      <c r="B129" s="34">
        <v>16.893000000000001</v>
      </c>
      <c r="C129" s="31">
        <v>859.99312005503953</v>
      </c>
      <c r="D129" s="31">
        <v>8.5251491901108274</v>
      </c>
      <c r="E129" s="33">
        <v>870.45</v>
      </c>
      <c r="F129" s="35">
        <v>2793.2</v>
      </c>
      <c r="G129" s="36">
        <v>2.3683999999999998</v>
      </c>
      <c r="H129" s="36">
        <v>6.3979999999999997</v>
      </c>
      <c r="I129" s="36">
        <v>4.5148007942095019</v>
      </c>
      <c r="J129" s="36">
        <v>3.0518131734858049</v>
      </c>
    </row>
    <row r="130" spans="1:10" x14ac:dyDescent="0.3">
      <c r="A130" s="32">
        <v>205</v>
      </c>
      <c r="B130" s="34">
        <v>17.242999999999999</v>
      </c>
      <c r="C130" s="31">
        <v>858.81140501545872</v>
      </c>
      <c r="D130" s="31">
        <v>8.695652173913043</v>
      </c>
      <c r="E130" s="33">
        <v>874.9</v>
      </c>
      <c r="F130" s="35">
        <v>2793.8</v>
      </c>
      <c r="G130" s="36">
        <v>2.3778000000000001</v>
      </c>
      <c r="H130" s="36">
        <v>6.3906000000000001</v>
      </c>
      <c r="I130" s="36">
        <v>4.5201815148269757</v>
      </c>
      <c r="J130" s="36">
        <v>3.0676784880756185</v>
      </c>
    </row>
    <row r="131" spans="1:10" x14ac:dyDescent="0.3">
      <c r="A131" s="32">
        <v>206</v>
      </c>
      <c r="B131" s="34">
        <v>17.597999999999999</v>
      </c>
      <c r="C131" s="31">
        <v>857.63293310463132</v>
      </c>
      <c r="D131" s="31">
        <v>8.8652482269503547</v>
      </c>
      <c r="E131" s="33">
        <v>879.53</v>
      </c>
      <c r="F131" s="35">
        <v>2794.3</v>
      </c>
      <c r="G131" s="36">
        <v>2.3872</v>
      </c>
      <c r="H131" s="36">
        <v>6.3832000000000004</v>
      </c>
      <c r="I131" s="36">
        <v>4.5256378718993497</v>
      </c>
      <c r="J131" s="36">
        <v>3.0837162612257778</v>
      </c>
    </row>
    <row r="132" spans="1:10" x14ac:dyDescent="0.3">
      <c r="A132" s="32">
        <v>207</v>
      </c>
      <c r="B132" s="34">
        <v>17.959</v>
      </c>
      <c r="C132" s="31">
        <v>856.45769099006509</v>
      </c>
      <c r="D132" s="31">
        <v>9.0415913200723317</v>
      </c>
      <c r="E132" s="33">
        <v>884.07</v>
      </c>
      <c r="F132" s="35">
        <v>2794.8</v>
      </c>
      <c r="G132" s="36">
        <v>2.3965999999999998</v>
      </c>
      <c r="H132" s="36">
        <v>6.3758999999999997</v>
      </c>
      <c r="I132" s="36">
        <v>4.5311710950146606</v>
      </c>
      <c r="J132" s="36">
        <v>3.0999292809759358</v>
      </c>
    </row>
    <row r="133" spans="1:10" x14ac:dyDescent="0.3">
      <c r="A133" s="32">
        <v>208</v>
      </c>
      <c r="B133" s="34">
        <v>18.326000000000001</v>
      </c>
      <c r="C133" s="31">
        <v>855.21252031129734</v>
      </c>
      <c r="D133" s="31">
        <v>9.2250922509225095</v>
      </c>
      <c r="E133" s="33">
        <v>888.62</v>
      </c>
      <c r="F133" s="35">
        <v>2795.3</v>
      </c>
      <c r="G133" s="36">
        <v>2.4060000000000001</v>
      </c>
      <c r="H133" s="36">
        <v>6.3685999999999998</v>
      </c>
      <c r="I133" s="36">
        <v>4.5367824398524625</v>
      </c>
      <c r="J133" s="36">
        <v>3.1163203798233647</v>
      </c>
    </row>
    <row r="134" spans="1:10" x14ac:dyDescent="0.3">
      <c r="A134" s="32">
        <v>209</v>
      </c>
      <c r="B134" s="34">
        <v>18.699000000000002</v>
      </c>
      <c r="C134" s="31">
        <v>854.04389785634987</v>
      </c>
      <c r="D134" s="31">
        <v>9.4073377234242699</v>
      </c>
      <c r="E134" s="33">
        <v>893.17</v>
      </c>
      <c r="F134" s="35">
        <v>2795.7</v>
      </c>
      <c r="G134" s="36">
        <v>2.4152999999999998</v>
      </c>
      <c r="H134" s="36">
        <v>6.3612000000000002</v>
      </c>
      <c r="I134" s="36">
        <v>4.5424731889543972</v>
      </c>
      <c r="J134" s="36">
        <v>3.1328924345006763</v>
      </c>
    </row>
    <row r="135" spans="1:10" x14ac:dyDescent="0.3">
      <c r="A135" s="32">
        <v>210</v>
      </c>
      <c r="B135" s="34">
        <v>19.977</v>
      </c>
      <c r="C135" s="31">
        <v>852.80573085451135</v>
      </c>
      <c r="D135" s="31">
        <v>9.5969289827255277</v>
      </c>
      <c r="E135" s="33">
        <v>897.74</v>
      </c>
      <c r="F135" s="35">
        <v>2796.2</v>
      </c>
      <c r="G135" s="36">
        <v>2.4217</v>
      </c>
      <c r="H135" s="36">
        <v>6.3539000000000003</v>
      </c>
      <c r="I135" s="36">
        <v>4.5482446525264626</v>
      </c>
      <c r="J135" s="36">
        <v>3.1496483659393237</v>
      </c>
    </row>
    <row r="136" spans="1:10" x14ac:dyDescent="0.3">
      <c r="A136" s="32">
        <v>211</v>
      </c>
      <c r="B136" s="34">
        <v>19.462</v>
      </c>
      <c r="C136" s="31">
        <v>851.57114876947958</v>
      </c>
      <c r="D136" s="31">
        <v>9.7847358121330732</v>
      </c>
      <c r="E136" s="33">
        <v>902.3</v>
      </c>
      <c r="F136" s="35">
        <v>2796.6</v>
      </c>
      <c r="G136" s="36">
        <v>2.4319000000000002</v>
      </c>
      <c r="H136" s="36">
        <v>6.3464999999999998</v>
      </c>
      <c r="I136" s="36">
        <v>4.5540981692744413</v>
      </c>
      <c r="J136" s="36">
        <v>3.1665911394315418</v>
      </c>
    </row>
    <row r="137" spans="1:10" x14ac:dyDescent="0.3">
      <c r="A137" s="32">
        <v>212</v>
      </c>
      <c r="B137" s="34">
        <v>19.852</v>
      </c>
      <c r="C137" s="31">
        <v>850.34013605442181</v>
      </c>
      <c r="D137" s="31">
        <v>9.9700897308075778</v>
      </c>
      <c r="E137" s="33">
        <v>906.87</v>
      </c>
      <c r="F137" s="35">
        <v>2797.1</v>
      </c>
      <c r="G137" s="36">
        <v>2.4434</v>
      </c>
      <c r="H137" s="36">
        <v>6.3391000000000002</v>
      </c>
      <c r="I137" s="36">
        <v>4.5600351072740182</v>
      </c>
      <c r="J137" s="36">
        <v>3.1837237650037493</v>
      </c>
    </row>
    <row r="138" spans="1:10" x14ac:dyDescent="0.3">
      <c r="A138" s="32">
        <v>213</v>
      </c>
      <c r="B138" s="34">
        <v>20.248999999999999</v>
      </c>
      <c r="C138" s="31">
        <v>849.11267725227128</v>
      </c>
      <c r="D138" s="31">
        <v>10.168802115110839</v>
      </c>
      <c r="E138" s="33">
        <v>911.45</v>
      </c>
      <c r="F138" s="35">
        <v>2797.5</v>
      </c>
      <c r="G138" s="36">
        <v>2.4527000000000001</v>
      </c>
      <c r="H138" s="36">
        <v>6.3320999999999996</v>
      </c>
      <c r="I138" s="36">
        <v>4.5660568648773188</v>
      </c>
      <c r="J138" s="36">
        <v>3.2010492980141936</v>
      </c>
    </row>
    <row r="139" spans="1:10" x14ac:dyDescent="0.3">
      <c r="A139" s="32">
        <v>214</v>
      </c>
      <c r="B139" s="34">
        <v>20.651</v>
      </c>
      <c r="C139" s="31">
        <v>847.8887569950823</v>
      </c>
      <c r="D139" s="31">
        <v>10.36699149906697</v>
      </c>
      <c r="E139" s="33">
        <v>916.03</v>
      </c>
      <c r="F139" s="35">
        <v>2797.9</v>
      </c>
      <c r="G139" s="36">
        <v>2.4620000000000002</v>
      </c>
      <c r="H139" s="36">
        <v>6.3249000000000004</v>
      </c>
      <c r="I139" s="36">
        <v>4.5721648716574537</v>
      </c>
      <c r="J139" s="36">
        <v>3.2185708399883102</v>
      </c>
    </row>
    <row r="140" spans="1:10" x14ac:dyDescent="0.3">
      <c r="A140" s="32">
        <v>215</v>
      </c>
      <c r="B140" s="34">
        <v>21.06</v>
      </c>
      <c r="C140" s="31">
        <v>846.66836000338662</v>
      </c>
      <c r="D140" s="31">
        <v>10.567473317129874</v>
      </c>
      <c r="E140" s="33">
        <v>920.63</v>
      </c>
      <c r="F140" s="35">
        <v>2798.3</v>
      </c>
      <c r="G140" s="36">
        <v>2.4712999999999998</v>
      </c>
      <c r="H140" s="36">
        <v>6.3175999999999997</v>
      </c>
      <c r="I140" s="36">
        <v>4.5783605893929975</v>
      </c>
      <c r="J140" s="36">
        <v>3.2362915397053862</v>
      </c>
    </row>
    <row r="141" spans="1:10" x14ac:dyDescent="0.3">
      <c r="A141" s="32">
        <v>216</v>
      </c>
      <c r="B141" s="34">
        <v>21.175000000000001</v>
      </c>
      <c r="C141" s="31">
        <v>845.37999830924002</v>
      </c>
      <c r="D141" s="31">
        <v>10.766580534022394</v>
      </c>
      <c r="E141" s="33">
        <v>925.23</v>
      </c>
      <c r="F141" s="35">
        <v>2798.6</v>
      </c>
      <c r="G141" s="36">
        <v>2.4805999999999999</v>
      </c>
      <c r="H141" s="36">
        <v>6.3103999999999996</v>
      </c>
      <c r="I141" s="36">
        <v>4.5846455130942285</v>
      </c>
      <c r="J141" s="36">
        <v>3.2542145945503029</v>
      </c>
    </row>
    <row r="142" spans="1:10" x14ac:dyDescent="0.3">
      <c r="A142" s="32">
        <v>217</v>
      </c>
      <c r="B142" s="34">
        <v>21.896000000000001</v>
      </c>
      <c r="C142" s="31">
        <v>844.16680736113449</v>
      </c>
      <c r="D142" s="31">
        <v>10.980564401010213</v>
      </c>
      <c r="E142" s="33">
        <v>929.83</v>
      </c>
      <c r="F142" s="35">
        <v>2799</v>
      </c>
      <c r="G142" s="36">
        <v>2.4900000000000002</v>
      </c>
      <c r="H142" s="36">
        <v>6.3032000000000004</v>
      </c>
      <c r="I142" s="36">
        <v>4.5910211720731482</v>
      </c>
      <c r="J142" s="36">
        <v>3.2723432521451019</v>
      </c>
    </row>
    <row r="143" spans="1:10" x14ac:dyDescent="0.3">
      <c r="A143" s="32">
        <v>218</v>
      </c>
      <c r="B143" s="34">
        <v>22.324000000000002</v>
      </c>
      <c r="C143" s="31">
        <v>842.88604180714765</v>
      </c>
      <c r="D143" s="31">
        <v>11.190689346463742</v>
      </c>
      <c r="E143" s="33">
        <v>934.44</v>
      </c>
      <c r="F143" s="35">
        <v>2799.3</v>
      </c>
      <c r="G143" s="36">
        <v>2.4992000000000001</v>
      </c>
      <c r="H143" s="36">
        <v>6.2961</v>
      </c>
      <c r="I143" s="36">
        <v>4.5974891310593833</v>
      </c>
      <c r="J143" s="36">
        <v>3.2906808122747688</v>
      </c>
    </row>
    <row r="144" spans="1:10" x14ac:dyDescent="0.3">
      <c r="A144" s="32">
        <v>219</v>
      </c>
      <c r="B144" s="34">
        <v>22.757999999999999</v>
      </c>
      <c r="C144" s="31">
        <v>841.60915670762506</v>
      </c>
      <c r="D144" s="31">
        <v>11.405109489051096</v>
      </c>
      <c r="E144" s="33">
        <v>939</v>
      </c>
      <c r="F144" s="35">
        <v>2799.6</v>
      </c>
      <c r="G144" s="36">
        <v>2.5085000000000002</v>
      </c>
      <c r="H144" s="36">
        <v>6.2888999999999999</v>
      </c>
      <c r="I144" s="36">
        <v>4.6040509913641152</v>
      </c>
      <c r="J144" s="36">
        <v>3.3092306291229114</v>
      </c>
    </row>
    <row r="145" spans="1:10" x14ac:dyDescent="0.3">
      <c r="A145" s="32">
        <v>220</v>
      </c>
      <c r="B145" s="34">
        <v>23.498000000000001</v>
      </c>
      <c r="C145" s="31">
        <v>840.33613445378148</v>
      </c>
      <c r="D145" s="31">
        <v>11.622501162250115</v>
      </c>
      <c r="E145" s="33">
        <v>943.67</v>
      </c>
      <c r="F145" s="35">
        <v>2799.9</v>
      </c>
      <c r="G145" s="36">
        <v>2.5177999999999998</v>
      </c>
      <c r="H145" s="36">
        <v>6.2816999999999998</v>
      </c>
      <c r="I145" s="36">
        <v>4.6107083920944358</v>
      </c>
      <c r="J145" s="36">
        <v>3.3279961138328056</v>
      </c>
    </row>
    <row r="146" spans="1:10" x14ac:dyDescent="0.3">
      <c r="A146" s="32">
        <v>221</v>
      </c>
      <c r="B146" s="34">
        <v>23.614999999999998</v>
      </c>
      <c r="C146" s="31">
        <v>839.06695754321197</v>
      </c>
      <c r="D146" s="31">
        <v>11.837121212121213</v>
      </c>
      <c r="E146" s="33">
        <v>948.3</v>
      </c>
      <c r="F146" s="35">
        <v>2800.2</v>
      </c>
      <c r="G146" s="36">
        <v>2.5270999999999999</v>
      </c>
      <c r="H146" s="36">
        <v>6.2746000000000004</v>
      </c>
      <c r="I146" s="36">
        <v>4.6174630114204369</v>
      </c>
      <c r="J146" s="36">
        <v>3.3469807374103779</v>
      </c>
    </row>
    <row r="147" spans="1:10" x14ac:dyDescent="0.3">
      <c r="A147" s="32">
        <v>222</v>
      </c>
      <c r="B147" s="34">
        <v>24.099</v>
      </c>
      <c r="C147" s="31">
        <v>837.80160857908845</v>
      </c>
      <c r="D147" s="31">
        <v>12.068549360366884</v>
      </c>
      <c r="E147" s="33">
        <v>952.93</v>
      </c>
      <c r="F147" s="35">
        <v>2800.5</v>
      </c>
      <c r="G147" s="36">
        <v>2.5363000000000002</v>
      </c>
      <c r="H147" s="36">
        <v>6.2674000000000003</v>
      </c>
      <c r="I147" s="36">
        <v>4.6243165678977007</v>
      </c>
      <c r="J147" s="36">
        <v>3.3661880339856958</v>
      </c>
    </row>
    <row r="148" spans="1:10" x14ac:dyDescent="0.3">
      <c r="A148" s="32">
        <v>223</v>
      </c>
      <c r="B148" s="34">
        <v>24.56</v>
      </c>
      <c r="C148" s="31">
        <v>836.54007026936586</v>
      </c>
      <c r="D148" s="31">
        <v>12.297097884899163</v>
      </c>
      <c r="E148" s="33">
        <v>957.58</v>
      </c>
      <c r="F148" s="35">
        <v>2800.7</v>
      </c>
      <c r="G148" s="36">
        <v>2.5455999999999999</v>
      </c>
      <c r="H148" s="36">
        <v>6.2603</v>
      </c>
      <c r="I148" s="36">
        <v>4.631270821847763</v>
      </c>
      <c r="J148" s="36">
        <v>3.3856216044504071</v>
      </c>
    </row>
    <row r="149" spans="1:10" x14ac:dyDescent="0.3">
      <c r="A149" s="32">
        <v>224</v>
      </c>
      <c r="B149" s="34">
        <v>25.027000000000001</v>
      </c>
      <c r="C149" s="31">
        <v>835.21256159692632</v>
      </c>
      <c r="D149" s="31">
        <v>12.528188423953896</v>
      </c>
      <c r="E149" s="33">
        <v>962.22</v>
      </c>
      <c r="F149" s="35">
        <v>2800.9</v>
      </c>
      <c r="G149" s="36">
        <v>2.5548000000000002</v>
      </c>
      <c r="H149" s="36">
        <v>6.2531999999999996</v>
      </c>
      <c r="I149" s="36">
        <v>4.6383275767994236</v>
      </c>
      <c r="J149" s="36">
        <v>3.4052851204888892</v>
      </c>
    </row>
    <row r="150" spans="1:10" x14ac:dyDescent="0.3">
      <c r="A150" s="32">
        <v>225</v>
      </c>
      <c r="B150" s="34">
        <v>25.501000000000001</v>
      </c>
      <c r="C150" s="31">
        <v>833.88925950633745</v>
      </c>
      <c r="D150" s="31">
        <v>12.763241863433311</v>
      </c>
      <c r="E150" s="33">
        <v>966.89</v>
      </c>
      <c r="F150" s="35">
        <v>2801.2</v>
      </c>
      <c r="G150" s="36">
        <v>2.5640999999999998</v>
      </c>
      <c r="H150" s="36">
        <v>6.2461000000000002</v>
      </c>
      <c r="I150" s="36">
        <v>4.6454886809938172</v>
      </c>
      <c r="J150" s="36">
        <v>3.4251823290210992</v>
      </c>
    </row>
    <row r="151" spans="1:10" x14ac:dyDescent="0.3">
      <c r="A151" s="32">
        <v>226</v>
      </c>
      <c r="B151" s="34">
        <v>25.981999999999999</v>
      </c>
      <c r="C151" s="31">
        <v>832.63946711074107</v>
      </c>
      <c r="D151" s="31">
        <v>13.002210375763879</v>
      </c>
      <c r="E151" s="33">
        <v>971.55</v>
      </c>
      <c r="F151" s="35">
        <v>2801.4</v>
      </c>
      <c r="G151" s="36">
        <v>2.5733000000000001</v>
      </c>
      <c r="H151" s="36">
        <v>6.2389999999999999</v>
      </c>
      <c r="I151" s="36">
        <v>4.6527560289563814</v>
      </c>
      <c r="J151" s="36">
        <v>3.4453170570760143</v>
      </c>
    </row>
    <row r="152" spans="1:10" x14ac:dyDescent="0.3">
      <c r="A152" s="32">
        <v>227</v>
      </c>
      <c r="B152" s="34">
        <v>26.47</v>
      </c>
      <c r="C152" s="31">
        <v>831.32429960927755</v>
      </c>
      <c r="D152" s="31">
        <v>13.245033112582782</v>
      </c>
      <c r="E152" s="33">
        <v>976.21</v>
      </c>
      <c r="F152" s="35">
        <v>2801.5</v>
      </c>
      <c r="G152" s="36">
        <v>2.5825</v>
      </c>
      <c r="H152" s="36">
        <v>6.2319000000000004</v>
      </c>
      <c r="I152" s="36">
        <v>4.6601315631389486</v>
      </c>
      <c r="J152" s="36">
        <v>3.4656932171142287</v>
      </c>
    </row>
    <row r="153" spans="1:10" x14ac:dyDescent="0.3">
      <c r="A153" s="32">
        <v>228</v>
      </c>
      <c r="B153" s="34">
        <v>26.965</v>
      </c>
      <c r="C153" s="31">
        <v>830.01328021248344</v>
      </c>
      <c r="D153" s="31">
        <v>13.491635186184565</v>
      </c>
      <c r="E153" s="33">
        <v>980.88</v>
      </c>
      <c r="F153" s="35">
        <v>2801.7</v>
      </c>
      <c r="G153" s="36">
        <v>2.5918000000000001</v>
      </c>
      <c r="H153" s="36">
        <v>6.2248999999999999</v>
      </c>
      <c r="I153" s="36">
        <v>4.6676172756354006</v>
      </c>
      <c r="J153" s="36">
        <v>3.4863148128188097</v>
      </c>
    </row>
    <row r="154" spans="1:10" x14ac:dyDescent="0.3">
      <c r="A154" s="32">
        <v>229</v>
      </c>
      <c r="B154" s="34">
        <v>27.466999999999999</v>
      </c>
      <c r="C154" s="31">
        <v>828.63771958899565</v>
      </c>
      <c r="D154" s="31">
        <v>13.74192661811186</v>
      </c>
      <c r="E154" s="33">
        <v>985.57</v>
      </c>
      <c r="F154" s="35">
        <v>2801.8</v>
      </c>
      <c r="G154" s="36">
        <v>2.601</v>
      </c>
      <c r="H154" s="36">
        <v>6.2178000000000004</v>
      </c>
      <c r="I154" s="36">
        <v>4.675215209974521</v>
      </c>
      <c r="J154" s="36">
        <v>3.5071859453738203</v>
      </c>
    </row>
    <row r="155" spans="1:10" x14ac:dyDescent="0.3">
      <c r="A155" s="32">
        <v>230</v>
      </c>
      <c r="B155" s="34">
        <v>27.975999999999999</v>
      </c>
      <c r="C155" s="31">
        <v>827.33515347067089</v>
      </c>
      <c r="D155" s="31">
        <v>13.995801259622114</v>
      </c>
      <c r="E155" s="33">
        <v>990.26</v>
      </c>
      <c r="F155" s="35">
        <v>2802</v>
      </c>
      <c r="G155" s="36">
        <v>2.6101999999999999</v>
      </c>
      <c r="H155" s="36">
        <v>6.2107000000000001</v>
      </c>
      <c r="I155" s="36">
        <v>4.6829274629937858</v>
      </c>
      <c r="J155" s="36">
        <v>3.5283108202492302</v>
      </c>
    </row>
    <row r="156" spans="1:10" x14ac:dyDescent="0.3">
      <c r="A156" s="32">
        <v>231</v>
      </c>
      <c r="B156" s="34">
        <v>28.492999999999999</v>
      </c>
      <c r="C156" s="31">
        <v>825.96844800528618</v>
      </c>
      <c r="D156" s="31">
        <v>14.253135689851767</v>
      </c>
      <c r="E156" s="33">
        <v>994.96</v>
      </c>
      <c r="F156" s="35">
        <v>2802.1</v>
      </c>
      <c r="G156" s="36">
        <v>2.6194000000000002</v>
      </c>
      <c r="H156" s="36">
        <v>6.2037000000000004</v>
      </c>
      <c r="I156" s="36">
        <v>4.6907561867981142</v>
      </c>
      <c r="J156" s="36">
        <v>3.5496937545116474</v>
      </c>
    </row>
    <row r="157" spans="1:10" x14ac:dyDescent="0.3">
      <c r="A157" s="32">
        <v>232</v>
      </c>
      <c r="B157" s="34">
        <v>29.015999999999998</v>
      </c>
      <c r="C157" s="31">
        <v>824.60625051537897</v>
      </c>
      <c r="D157" s="31">
        <v>14.515894904920886</v>
      </c>
      <c r="E157" s="33">
        <v>999.68</v>
      </c>
      <c r="F157" s="35">
        <v>2802.2</v>
      </c>
      <c r="G157" s="36">
        <v>2.6286</v>
      </c>
      <c r="H157" s="36">
        <v>6.1966999999999999</v>
      </c>
      <c r="I157" s="36">
        <v>4.6987035908077788</v>
      </c>
      <c r="J157" s="36">
        <v>3.571339184679124</v>
      </c>
    </row>
    <row r="158" spans="1:10" x14ac:dyDescent="0.3">
      <c r="A158" s="32">
        <v>233</v>
      </c>
      <c r="B158" s="34">
        <v>29.547000000000001</v>
      </c>
      <c r="C158" s="31">
        <v>823.24853873384382</v>
      </c>
      <c r="D158" s="31">
        <v>14.781966001478196</v>
      </c>
      <c r="E158" s="33">
        <v>1004.4</v>
      </c>
      <c r="F158" s="35">
        <v>2802.2</v>
      </c>
      <c r="G158" s="36">
        <v>2.6377999999999999</v>
      </c>
      <c r="H158" s="36">
        <v>6.1896000000000004</v>
      </c>
      <c r="I158" s="36">
        <v>4.706771943899879</v>
      </c>
      <c r="J158" s="36">
        <v>3.5932516751386738</v>
      </c>
    </row>
    <row r="159" spans="1:10" x14ac:dyDescent="0.3">
      <c r="A159" s="32">
        <v>234</v>
      </c>
      <c r="B159" s="34">
        <v>30.085999999999999</v>
      </c>
      <c r="C159" s="31">
        <v>821.89529053998524</v>
      </c>
      <c r="D159" s="31">
        <v>15.053439710973956</v>
      </c>
      <c r="E159" s="33">
        <v>1009.1</v>
      </c>
      <c r="F159" s="35">
        <v>2802.3</v>
      </c>
      <c r="G159" s="36">
        <v>2.6469</v>
      </c>
      <c r="H159" s="36">
        <v>6.1825999999999999</v>
      </c>
      <c r="I159" s="36">
        <v>4.7149635766480378</v>
      </c>
      <c r="J159" s="36">
        <v>3.6154359271435226</v>
      </c>
    </row>
    <row r="160" spans="1:10" x14ac:dyDescent="0.3">
      <c r="A160" s="32">
        <v>235</v>
      </c>
      <c r="B160" s="34">
        <v>30.632000000000001</v>
      </c>
      <c r="C160" s="31">
        <v>820.54648395831623</v>
      </c>
      <c r="D160" s="31">
        <v>15.325670498084291</v>
      </c>
      <c r="E160" s="33">
        <v>1013.8</v>
      </c>
      <c r="F160" s="35">
        <v>2802.3</v>
      </c>
      <c r="G160" s="36">
        <v>2.6562000000000001</v>
      </c>
      <c r="H160" s="36">
        <v>6.1756000000000002</v>
      </c>
      <c r="I160" s="36">
        <v>4.723280883665228</v>
      </c>
      <c r="J160" s="36">
        <v>3.6378967884073226</v>
      </c>
    </row>
    <row r="161" spans="1:10" x14ac:dyDescent="0.3">
      <c r="A161" s="32">
        <v>236</v>
      </c>
      <c r="B161" s="34">
        <v>31.186</v>
      </c>
      <c r="C161" s="31">
        <v>819.20209715736883</v>
      </c>
      <c r="D161" s="31">
        <v>15.605493133583021</v>
      </c>
      <c r="E161" s="33">
        <v>1018.6</v>
      </c>
      <c r="F161" s="35">
        <v>2802.3</v>
      </c>
      <c r="G161" s="36">
        <v>2.6652999999999998</v>
      </c>
      <c r="H161" s="36">
        <v>6.1685999999999996</v>
      </c>
      <c r="I161" s="36">
        <v>4.731726326054881</v>
      </c>
      <c r="J161" s="36">
        <v>3.6606392633102338</v>
      </c>
    </row>
    <row r="162" spans="1:10" x14ac:dyDescent="0.3">
      <c r="A162" s="32">
        <v>237</v>
      </c>
      <c r="B162" s="34">
        <v>31.747</v>
      </c>
      <c r="C162" s="31">
        <v>817.79522407589138</v>
      </c>
      <c r="D162" s="31">
        <v>15.888147442008263</v>
      </c>
      <c r="E162" s="33">
        <v>1023.3</v>
      </c>
      <c r="F162" s="35">
        <v>2802.3</v>
      </c>
      <c r="G162" s="36">
        <v>2.6745000000000001</v>
      </c>
      <c r="H162" s="36">
        <v>6.1616</v>
      </c>
      <c r="I162" s="36">
        <v>4.7403024339757227</v>
      </c>
      <c r="J162" s="36">
        <v>3.6836685237319484</v>
      </c>
    </row>
    <row r="163" spans="1:10" x14ac:dyDescent="0.3">
      <c r="A163" s="32">
        <v>238</v>
      </c>
      <c r="B163" s="34">
        <v>32.317</v>
      </c>
      <c r="C163" s="31">
        <v>816.3931749530575</v>
      </c>
      <c r="D163" s="31">
        <v>16.175994823681656</v>
      </c>
      <c r="E163" s="33">
        <v>1028.0999999999999</v>
      </c>
      <c r="F163" s="35">
        <v>2802.3</v>
      </c>
      <c r="G163" s="36">
        <v>2.6837</v>
      </c>
      <c r="H163" s="36">
        <v>6.1546000000000003</v>
      </c>
      <c r="I163" s="36">
        <v>4.7490118093260616</v>
      </c>
      <c r="J163" s="36">
        <v>3.7069899205236445</v>
      </c>
    </row>
    <row r="164" spans="1:10" x14ac:dyDescent="0.3">
      <c r="A164" s="32">
        <v>239</v>
      </c>
      <c r="B164" s="34">
        <v>32.893000000000001</v>
      </c>
      <c r="C164" s="31">
        <v>814.9959250203749</v>
      </c>
      <c r="D164" s="31">
        <v>16.466326362588507</v>
      </c>
      <c r="E164" s="33">
        <v>1032.8</v>
      </c>
      <c r="F164" s="35">
        <v>2802.3</v>
      </c>
      <c r="G164" s="36">
        <v>2.6928000000000001</v>
      </c>
      <c r="H164" s="36">
        <v>6.1475999999999997</v>
      </c>
      <c r="I164" s="36">
        <v>4.7578571285535833</v>
      </c>
      <c r="J164" s="36">
        <v>3.7306089956303294</v>
      </c>
    </row>
    <row r="165" spans="1:10" x14ac:dyDescent="0.3">
      <c r="A165" s="32">
        <v>240</v>
      </c>
      <c r="B165" s="34">
        <v>33.478000000000002</v>
      </c>
      <c r="C165" s="31">
        <v>813.6034496786267</v>
      </c>
      <c r="D165" s="31">
        <v>16.764459346186086</v>
      </c>
      <c r="E165" s="33">
        <v>1037.5999999999999</v>
      </c>
      <c r="F165" s="35">
        <v>2802.2</v>
      </c>
      <c r="G165" s="36">
        <v>2.702</v>
      </c>
      <c r="H165" s="36">
        <v>6.1406000000000001</v>
      </c>
      <c r="I165" s="36">
        <v>4.7668411455970281</v>
      </c>
      <c r="J165" s="36">
        <v>3.7545314948723139</v>
      </c>
    </row>
    <row r="166" spans="1:10" x14ac:dyDescent="0.3">
      <c r="A166" s="32">
        <v>241</v>
      </c>
      <c r="B166" s="34">
        <v>34.070999999999998</v>
      </c>
      <c r="C166" s="31">
        <v>812.21572449642622</v>
      </c>
      <c r="D166" s="31">
        <v>17.064846416382252</v>
      </c>
      <c r="E166" s="33">
        <v>1042.4000000000001</v>
      </c>
      <c r="F166" s="35">
        <v>2802.1</v>
      </c>
      <c r="G166" s="36">
        <v>2.7111999999999998</v>
      </c>
      <c r="H166" s="36">
        <v>6.1336000000000004</v>
      </c>
      <c r="I166" s="36">
        <v>4.7759666949664199</v>
      </c>
      <c r="J166" s="36">
        <v>3.7787633813926877</v>
      </c>
    </row>
    <row r="167" spans="1:10" x14ac:dyDescent="0.3">
      <c r="A167" s="32">
        <v>242</v>
      </c>
      <c r="B167" s="34">
        <v>34.671999999999997</v>
      </c>
      <c r="C167" s="31">
        <v>810.76698556834765</v>
      </c>
      <c r="D167" s="31">
        <v>17.370158068438421</v>
      </c>
      <c r="E167" s="33">
        <v>1047.2</v>
      </c>
      <c r="F167" s="35">
        <v>2802</v>
      </c>
      <c r="G167" s="36">
        <v>2.7202999999999999</v>
      </c>
      <c r="H167" s="36">
        <v>6.1265999999999998</v>
      </c>
      <c r="I167" s="36">
        <v>4.785236694968992</v>
      </c>
      <c r="J167" s="36">
        <v>3.8033108497745132</v>
      </c>
    </row>
    <row r="168" spans="1:10" x14ac:dyDescent="0.3">
      <c r="A168" s="32">
        <v>243</v>
      </c>
      <c r="B168" s="34">
        <v>35.280999999999999</v>
      </c>
      <c r="C168" s="31">
        <v>809.38891137191422</v>
      </c>
      <c r="D168" s="31">
        <v>17.680339462517679</v>
      </c>
      <c r="E168" s="33">
        <v>1052</v>
      </c>
      <c r="F168" s="35">
        <v>2801.9</v>
      </c>
      <c r="G168" s="36">
        <v>2.7294999999999998</v>
      </c>
      <c r="H168" s="36">
        <v>6.1196000000000002</v>
      </c>
      <c r="I168" s="36">
        <v>4.7946541510882499</v>
      </c>
      <c r="J168" s="36">
        <v>3.8281803408296318</v>
      </c>
    </row>
    <row r="169" spans="1:10" x14ac:dyDescent="0.3">
      <c r="A169" s="32">
        <v>244</v>
      </c>
      <c r="B169" s="34">
        <v>35.898000000000003</v>
      </c>
      <c r="C169" s="31">
        <v>807.95023026581566</v>
      </c>
      <c r="D169" s="31">
        <v>17.992083483267365</v>
      </c>
      <c r="E169" s="33">
        <v>1056.8</v>
      </c>
      <c r="F169" s="35">
        <v>2801.8</v>
      </c>
      <c r="G169" s="36">
        <v>2.7385999999999999</v>
      </c>
      <c r="H169" s="36">
        <v>6.1127000000000002</v>
      </c>
      <c r="I169" s="36">
        <v>4.8042221595240457</v>
      </c>
      <c r="J169" s="36">
        <v>3.8533785570570918</v>
      </c>
    </row>
    <row r="170" spans="1:10" x14ac:dyDescent="0.3">
      <c r="A170" s="32">
        <v>245</v>
      </c>
      <c r="B170" s="34">
        <v>36.523000000000003</v>
      </c>
      <c r="C170" s="31">
        <v>806.51665456891692</v>
      </c>
      <c r="D170" s="31">
        <v>18.311664530305805</v>
      </c>
      <c r="E170" s="33">
        <v>1061.5999999999999</v>
      </c>
      <c r="F170" s="35">
        <v>2801.6</v>
      </c>
      <c r="G170" s="36">
        <v>2.7477999999999998</v>
      </c>
      <c r="H170" s="36">
        <v>6.1056999999999997</v>
      </c>
      <c r="I170" s="36">
        <v>4.8139439109019415</v>
      </c>
      <c r="J170" s="36">
        <v>3.8789124787661247</v>
      </c>
    </row>
    <row r="171" spans="1:10" x14ac:dyDescent="0.3">
      <c r="A171" s="32">
        <v>246</v>
      </c>
      <c r="B171" s="34">
        <v>37.156999999999996</v>
      </c>
      <c r="C171" s="31">
        <v>805.02334567702462</v>
      </c>
      <c r="D171" s="31">
        <v>18.635855385762206</v>
      </c>
      <c r="E171" s="33">
        <v>1066.4000000000001</v>
      </c>
      <c r="F171" s="35">
        <v>2801.4</v>
      </c>
      <c r="G171" s="36">
        <v>2.7568999999999999</v>
      </c>
      <c r="H171" s="36">
        <v>6.0987</v>
      </c>
      <c r="I171" s="36">
        <v>4.8238226941606781</v>
      </c>
      <c r="J171" s="36">
        <v>3.9047893808556711</v>
      </c>
    </row>
    <row r="172" spans="1:10" x14ac:dyDescent="0.3">
      <c r="A172" s="32">
        <v>247</v>
      </c>
      <c r="B172" s="34">
        <v>37.798999999999999</v>
      </c>
      <c r="C172" s="31">
        <v>803.60012857602055</v>
      </c>
      <c r="D172" s="31">
        <v>18.96813353566009</v>
      </c>
      <c r="E172" s="33">
        <v>1071.2</v>
      </c>
      <c r="F172" s="35">
        <v>2801.2</v>
      </c>
      <c r="G172" s="36">
        <v>2.7660999999999998</v>
      </c>
      <c r="H172" s="36">
        <v>6.0917000000000003</v>
      </c>
      <c r="I172" s="36">
        <v>4.8338619006269177</v>
      </c>
      <c r="J172" s="36">
        <v>3.9310168502378255</v>
      </c>
    </row>
    <row r="173" spans="1:10" x14ac:dyDescent="0.3">
      <c r="A173" s="32">
        <v>248</v>
      </c>
      <c r="B173" s="34">
        <v>38.448999999999998</v>
      </c>
      <c r="C173" s="31">
        <v>802.11759043875838</v>
      </c>
      <c r="D173" s="31">
        <v>19.301293186643505</v>
      </c>
      <c r="E173" s="33">
        <v>1076.0999999999999</v>
      </c>
      <c r="F173" s="35">
        <v>2801</v>
      </c>
      <c r="G173" s="36">
        <v>2.7751999999999999</v>
      </c>
      <c r="H173" s="36">
        <v>6.0848000000000004</v>
      </c>
      <c r="I173" s="36">
        <v>4.8440650282870115</v>
      </c>
      <c r="J173" s="36">
        <v>3.9576028038892774</v>
      </c>
    </row>
    <row r="174" spans="1:10" x14ac:dyDescent="0.3">
      <c r="A174" s="32">
        <v>249</v>
      </c>
      <c r="B174" s="34">
        <v>39.107999999999997</v>
      </c>
      <c r="C174" s="31">
        <v>800.64051240992796</v>
      </c>
      <c r="D174" s="31">
        <v>19.638648860958366</v>
      </c>
      <c r="E174" s="33">
        <v>1080.9000000000001</v>
      </c>
      <c r="F174" s="35">
        <v>2800.7</v>
      </c>
      <c r="G174" s="36">
        <v>2.7843</v>
      </c>
      <c r="H174" s="36">
        <v>6.0777999999999999</v>
      </c>
      <c r="I174" s="36">
        <v>4.854435686266017</v>
      </c>
      <c r="J174" s="36">
        <v>3.9845555075104793</v>
      </c>
    </row>
    <row r="175" spans="1:10" x14ac:dyDescent="0.3">
      <c r="A175" s="32">
        <v>250</v>
      </c>
      <c r="B175" s="34">
        <v>39.776000000000003</v>
      </c>
      <c r="C175" s="31">
        <v>799.16886438104382</v>
      </c>
      <c r="D175" s="31">
        <v>19.984012789768187</v>
      </c>
      <c r="E175" s="33">
        <v>1085.8</v>
      </c>
      <c r="F175" s="35">
        <v>2800.4</v>
      </c>
      <c r="G175" s="36">
        <v>2.7934999999999999</v>
      </c>
      <c r="H175" s="36">
        <v>6.0708000000000002</v>
      </c>
      <c r="I175" s="36">
        <v>4.8649775995247939</v>
      </c>
      <c r="J175" s="36">
        <v>4.0118835947680758</v>
      </c>
    </row>
    <row r="176" spans="1:10" x14ac:dyDescent="0.3">
      <c r="A176" s="32">
        <v>251</v>
      </c>
      <c r="B176" s="34">
        <v>40.451999999999998</v>
      </c>
      <c r="C176" s="31">
        <v>797.70261646458209</v>
      </c>
      <c r="D176" s="31">
        <v>20.333468889792599</v>
      </c>
      <c r="E176" s="33">
        <v>1090.7</v>
      </c>
      <c r="F176" s="35">
        <v>2800.1</v>
      </c>
      <c r="G176" s="36">
        <v>2.8026</v>
      </c>
      <c r="H176" s="36">
        <v>6.0639000000000003</v>
      </c>
      <c r="I176" s="36">
        <v>4.8756946137864405</v>
      </c>
      <c r="J176" s="36">
        <v>4.0395960870916152</v>
      </c>
    </row>
    <row r="177" spans="1:10" x14ac:dyDescent="0.3">
      <c r="A177" s="32">
        <v>252</v>
      </c>
      <c r="B177" s="34">
        <v>41.137</v>
      </c>
      <c r="C177" s="31">
        <v>796.17834394904457</v>
      </c>
      <c r="D177" s="31">
        <v>20.691082143596113</v>
      </c>
      <c r="E177" s="33">
        <v>1095.5</v>
      </c>
      <c r="F177" s="35">
        <v>2799.8</v>
      </c>
      <c r="G177" s="36">
        <v>2.8117999999999999</v>
      </c>
      <c r="H177" s="36">
        <v>6.0568999999999997</v>
      </c>
      <c r="I177" s="36">
        <v>4.8865907007041276</v>
      </c>
      <c r="J177" s="36">
        <v>4.0677024139911762</v>
      </c>
    </row>
    <row r="178" spans="1:10" x14ac:dyDescent="0.3">
      <c r="A178" s="32">
        <v>253</v>
      </c>
      <c r="B178" s="34">
        <v>41.831000000000003</v>
      </c>
      <c r="C178" s="31">
        <v>794.65988556897651</v>
      </c>
      <c r="D178" s="31">
        <v>21.05263157894737</v>
      </c>
      <c r="E178" s="33">
        <v>1100.4000000000001</v>
      </c>
      <c r="F178" s="35">
        <v>2799.5</v>
      </c>
      <c r="G178" s="36">
        <v>2.8209</v>
      </c>
      <c r="H178" s="36">
        <v>6.0499000000000001</v>
      </c>
      <c r="I178" s="36">
        <v>4.8976699632827829</v>
      </c>
      <c r="J178" s="36">
        <v>4.0962124338581187</v>
      </c>
    </row>
    <row r="179" spans="1:10" x14ac:dyDescent="0.3">
      <c r="A179" s="32">
        <v>254</v>
      </c>
      <c r="B179" s="34">
        <v>42.533999999999999</v>
      </c>
      <c r="C179" s="31">
        <v>793.14720812182736</v>
      </c>
      <c r="D179" s="31">
        <v>21.417862497322766</v>
      </c>
      <c r="E179" s="33">
        <v>1105.3</v>
      </c>
      <c r="F179" s="35">
        <v>2799.1</v>
      </c>
      <c r="G179" s="36">
        <v>2.83</v>
      </c>
      <c r="H179" s="36">
        <v>6.0429000000000004</v>
      </c>
      <c r="I179" s="36">
        <v>4.9089366415678715</v>
      </c>
      <c r="J179" s="36">
        <v>4.125136455206035</v>
      </c>
    </row>
    <row r="180" spans="1:10" x14ac:dyDescent="0.3">
      <c r="A180" s="32">
        <v>255</v>
      </c>
      <c r="B180" s="34">
        <v>43.246000000000002</v>
      </c>
      <c r="C180" s="31">
        <v>791.64027865737819</v>
      </c>
      <c r="D180" s="31">
        <v>21.786492374727668</v>
      </c>
      <c r="E180" s="33">
        <v>1110.2</v>
      </c>
      <c r="F180" s="35">
        <v>2798.7</v>
      </c>
      <c r="G180" s="36">
        <v>2.8391999999999999</v>
      </c>
      <c r="H180" s="36">
        <v>6.0358999999999998</v>
      </c>
      <c r="I180" s="36">
        <v>4.9203951186151142</v>
      </c>
      <c r="J180" s="36">
        <v>4.1544852583056704</v>
      </c>
    </row>
    <row r="181" spans="1:10" x14ac:dyDescent="0.3">
      <c r="A181" s="32">
        <v>256</v>
      </c>
      <c r="B181" s="34">
        <v>43.966999999999999</v>
      </c>
      <c r="C181" s="31">
        <v>790.13906447534771</v>
      </c>
      <c r="D181" s="31">
        <v>22.168033695411218</v>
      </c>
      <c r="E181" s="33">
        <v>1115.0999999999999</v>
      </c>
      <c r="F181" s="35">
        <v>2798.3</v>
      </c>
      <c r="G181" s="36">
        <v>2.8492999999999999</v>
      </c>
      <c r="H181" s="36">
        <v>6.0289999999999999</v>
      </c>
      <c r="I181" s="36">
        <v>4.9320499267556226</v>
      </c>
      <c r="J181" s="36">
        <v>4.184270117161943</v>
      </c>
    </row>
    <row r="182" spans="1:10" x14ac:dyDescent="0.3">
      <c r="A182" s="32">
        <v>257</v>
      </c>
      <c r="B182" s="34">
        <v>44.697000000000003</v>
      </c>
      <c r="C182" s="31">
        <v>788.58134216544431</v>
      </c>
      <c r="D182" s="31">
        <v>22.547914317925592</v>
      </c>
      <c r="E182" s="33">
        <v>1120.0999999999999</v>
      </c>
      <c r="F182" s="35">
        <v>2797.9</v>
      </c>
      <c r="G182" s="36">
        <v>2.8574000000000002</v>
      </c>
      <c r="H182" s="36">
        <v>6.0220000000000002</v>
      </c>
      <c r="I182" s="36">
        <v>4.9439057541717704</v>
      </c>
      <c r="J182" s="36">
        <v>4.2145028217776286</v>
      </c>
    </row>
    <row r="183" spans="1:10" x14ac:dyDescent="0.3">
      <c r="A183" s="32">
        <v>258</v>
      </c>
      <c r="B183" s="34">
        <v>45.436999999999998</v>
      </c>
      <c r="C183" s="31">
        <v>787.02974972453956</v>
      </c>
      <c r="D183" s="31">
        <v>22.935779816513762</v>
      </c>
      <c r="E183" s="33">
        <v>1125</v>
      </c>
      <c r="F183" s="35">
        <v>2797.4</v>
      </c>
      <c r="G183" s="36">
        <v>2.8666</v>
      </c>
      <c r="H183" s="36">
        <v>6.0149999999999997</v>
      </c>
      <c r="I183" s="36">
        <v>4.9559674517996184</v>
      </c>
      <c r="J183" s="36">
        <v>4.2451957006447714</v>
      </c>
    </row>
    <row r="184" spans="1:10" x14ac:dyDescent="0.3">
      <c r="A184" s="32">
        <v>259</v>
      </c>
      <c r="B184" s="34">
        <v>46.185000000000002</v>
      </c>
      <c r="C184" s="31">
        <v>785.48425104076659</v>
      </c>
      <c r="D184" s="31">
        <v>23.331777881474569</v>
      </c>
      <c r="E184" s="33">
        <v>1130</v>
      </c>
      <c r="F184" s="35">
        <v>2796.9</v>
      </c>
      <c r="G184" s="36">
        <v>2.8757000000000001</v>
      </c>
      <c r="H184" s="36">
        <v>6.008</v>
      </c>
      <c r="I184" s="36">
        <v>4.9682400405747122</v>
      </c>
      <c r="J184" s="36">
        <v>4.2763616434004712</v>
      </c>
    </row>
    <row r="185" spans="1:10" x14ac:dyDescent="0.3">
      <c r="A185" s="32">
        <v>260</v>
      </c>
      <c r="B185" s="34">
        <v>46.942999999999998</v>
      </c>
      <c r="C185" s="31">
        <v>783.94481028535586</v>
      </c>
      <c r="D185" s="31">
        <v>23.736055067647758</v>
      </c>
      <c r="E185" s="33">
        <v>1134.9000000000001</v>
      </c>
      <c r="F185" s="35">
        <v>2796.4</v>
      </c>
      <c r="G185" s="36">
        <v>2.8847999999999998</v>
      </c>
      <c r="H185" s="36">
        <v>6.0010000000000003</v>
      </c>
      <c r="I185" s="36">
        <v>4.9807287190385852</v>
      </c>
      <c r="J185" s="36">
        <v>4.3080141235813194</v>
      </c>
    </row>
    <row r="186" spans="1:10" x14ac:dyDescent="0.3">
      <c r="A186" s="32">
        <v>261</v>
      </c>
      <c r="B186" s="34">
        <v>47.710999999999999</v>
      </c>
      <c r="C186" s="31">
        <v>782.35017994054147</v>
      </c>
      <c r="D186" s="31">
        <v>24.142926122646067</v>
      </c>
      <c r="E186" s="33">
        <v>1139.9000000000001</v>
      </c>
      <c r="F186" s="35">
        <v>2795.9</v>
      </c>
      <c r="G186" s="36">
        <v>2.8940000000000001</v>
      </c>
      <c r="H186" s="36">
        <v>5.9939999999999998</v>
      </c>
      <c r="I186" s="36">
        <v>4.9934388713242273</v>
      </c>
      <c r="J186" s="36">
        <v>4.3401672214082305</v>
      </c>
    </row>
    <row r="187" spans="1:10" x14ac:dyDescent="0.3">
      <c r="A187" s="32">
        <v>262</v>
      </c>
      <c r="B187" s="34">
        <v>48.488</v>
      </c>
      <c r="C187" s="31">
        <v>780.7620237351656</v>
      </c>
      <c r="D187" s="31">
        <v>24.551927326295115</v>
      </c>
      <c r="E187" s="33">
        <v>1144.9000000000001</v>
      </c>
      <c r="F187" s="35">
        <v>2795.3</v>
      </c>
      <c r="G187" s="36">
        <v>2.9030999999999998</v>
      </c>
      <c r="H187" s="36">
        <v>5.9869000000000003</v>
      </c>
      <c r="I187" s="36">
        <v>5.0063760755395901</v>
      </c>
      <c r="J187" s="36">
        <v>4.3728356465314873</v>
      </c>
    </row>
    <row r="188" spans="1:10" x14ac:dyDescent="0.3">
      <c r="A188" s="32">
        <v>263</v>
      </c>
      <c r="B188" s="34">
        <v>49.274999999999999</v>
      </c>
      <c r="C188" s="31">
        <v>779.18030232195724</v>
      </c>
      <c r="D188" s="31">
        <v>24.975024975024976</v>
      </c>
      <c r="E188" s="33">
        <v>1149.9000000000001</v>
      </c>
      <c r="F188" s="35">
        <v>2794.7</v>
      </c>
      <c r="G188" s="36">
        <v>2.9123000000000001</v>
      </c>
      <c r="H188" s="36">
        <v>5.9798999999999998</v>
      </c>
      <c r="I188" s="36">
        <v>5.0195461125688468</v>
      </c>
      <c r="J188" s="36">
        <v>4.4060347606648307</v>
      </c>
    </row>
    <row r="189" spans="1:10" x14ac:dyDescent="0.3">
      <c r="A189" s="32">
        <v>264</v>
      </c>
      <c r="B189" s="34">
        <v>50.070999999999998</v>
      </c>
      <c r="C189" s="31">
        <v>777.54451442345066</v>
      </c>
      <c r="D189" s="31">
        <v>25.400050800101599</v>
      </c>
      <c r="E189" s="33">
        <v>1154.9000000000001</v>
      </c>
      <c r="F189" s="35">
        <v>2794.1</v>
      </c>
      <c r="G189" s="36">
        <v>2.9214000000000002</v>
      </c>
      <c r="H189" s="36">
        <v>5.9729000000000001</v>
      </c>
      <c r="I189" s="36">
        <v>5.0329549753121734</v>
      </c>
      <c r="J189" s="36">
        <v>4.4397806000382474</v>
      </c>
    </row>
    <row r="190" spans="1:10" x14ac:dyDescent="0.3">
      <c r="A190" s="32">
        <v>265</v>
      </c>
      <c r="B190" s="34">
        <v>50.877000000000002</v>
      </c>
      <c r="C190" s="31">
        <v>775.97578955536585</v>
      </c>
      <c r="D190" s="31">
        <v>25.83311805734952</v>
      </c>
      <c r="E190" s="33">
        <v>1159.9000000000001</v>
      </c>
      <c r="F190" s="35">
        <v>2793.5</v>
      </c>
      <c r="G190" s="36">
        <v>2.9306000000000001</v>
      </c>
      <c r="H190" s="36">
        <v>5.9657999999999998</v>
      </c>
      <c r="I190" s="36">
        <v>5.0466088783855563</v>
      </c>
      <c r="J190" s="36">
        <v>4.4740898976001375</v>
      </c>
    </row>
    <row r="191" spans="1:10" x14ac:dyDescent="0.3">
      <c r="A191" s="32">
        <v>266</v>
      </c>
      <c r="B191" s="34">
        <v>51.692999999999998</v>
      </c>
      <c r="C191" s="31">
        <v>774.35341489855966</v>
      </c>
      <c r="D191" s="31">
        <v>26.274303730951132</v>
      </c>
      <c r="E191" s="33">
        <v>1165</v>
      </c>
      <c r="F191" s="35">
        <v>2792.8</v>
      </c>
      <c r="G191" s="36">
        <v>2.9397000000000002</v>
      </c>
      <c r="H191" s="36">
        <v>5.9588000000000001</v>
      </c>
      <c r="I191" s="36">
        <v>5.0605142683030673</v>
      </c>
      <c r="J191" s="36">
        <v>4.5089801049018803</v>
      </c>
    </row>
    <row r="192" spans="1:10" x14ac:dyDescent="0.3">
      <c r="A192" s="32">
        <v>267</v>
      </c>
      <c r="B192" s="34">
        <v>52.518999999999998</v>
      </c>
      <c r="C192" s="31">
        <v>772.67810230258078</v>
      </c>
      <c r="D192" s="31">
        <v>26.716537536735242</v>
      </c>
      <c r="E192" s="33">
        <v>1170</v>
      </c>
      <c r="F192" s="35">
        <v>2792.1</v>
      </c>
      <c r="G192" s="36">
        <v>2.9489000000000001</v>
      </c>
      <c r="H192" s="36">
        <v>5.9516999999999998</v>
      </c>
      <c r="I192" s="36">
        <v>5.074677834164949</v>
      </c>
      <c r="J192" s="36">
        <v>4.5444694136029105</v>
      </c>
    </row>
    <row r="193" spans="1:10" x14ac:dyDescent="0.3">
      <c r="A193" s="32">
        <v>268</v>
      </c>
      <c r="B193" s="34">
        <v>53.354999999999997</v>
      </c>
      <c r="C193" s="31">
        <v>771.06947335954976</v>
      </c>
      <c r="D193" s="31">
        <v>27.716186252771617</v>
      </c>
      <c r="E193" s="33">
        <v>1175.0999999999999</v>
      </c>
      <c r="F193" s="35">
        <v>2791.4</v>
      </c>
      <c r="G193" s="36">
        <v>2.9580000000000002</v>
      </c>
      <c r="H193" s="36">
        <v>5.9446000000000003</v>
      </c>
      <c r="I193" s="36">
        <v>5.0891065188759086</v>
      </c>
      <c r="J193" s="36">
        <v>4.5805767765415366</v>
      </c>
    </row>
    <row r="194" spans="1:10" x14ac:dyDescent="0.3">
      <c r="A194" s="32">
        <v>269</v>
      </c>
      <c r="B194" s="34">
        <v>54.201999999999998</v>
      </c>
      <c r="C194" s="31">
        <v>769.40832499807652</v>
      </c>
      <c r="D194" s="31">
        <v>27.631942525559548</v>
      </c>
      <c r="E194" s="33">
        <v>1180.0999999999999</v>
      </c>
      <c r="F194" s="35">
        <v>2790.6</v>
      </c>
      <c r="G194" s="36">
        <v>2.9672000000000001</v>
      </c>
      <c r="H194" s="36">
        <v>5.9375</v>
      </c>
      <c r="I194" s="36">
        <v>5.103807530919001</v>
      </c>
      <c r="J194" s="36">
        <v>4.6173219283222311</v>
      </c>
    </row>
    <row r="195" spans="1:10" x14ac:dyDescent="0.3">
      <c r="A195" s="32">
        <v>270</v>
      </c>
      <c r="B195" s="34">
        <v>55.058</v>
      </c>
      <c r="C195" s="31">
        <v>767.75431861804225</v>
      </c>
      <c r="D195" s="31">
        <v>28.09778027535825</v>
      </c>
      <c r="E195" s="32">
        <v>1185.2</v>
      </c>
      <c r="F195" s="35">
        <v>2789.9</v>
      </c>
      <c r="G195" s="36">
        <v>2.9763000000000002</v>
      </c>
      <c r="H195" s="36">
        <v>5.9303999999999997</v>
      </c>
      <c r="I195" s="36">
        <v>5.1187883567115708</v>
      </c>
      <c r="J195" s="36">
        <v>4.6547254053854825</v>
      </c>
    </row>
    <row r="196" spans="1:10" x14ac:dyDescent="0.3">
      <c r="A196" s="32">
        <v>271</v>
      </c>
      <c r="B196" s="34">
        <v>55.924999999999997</v>
      </c>
      <c r="C196" s="31">
        <v>766.10740825863786</v>
      </c>
      <c r="D196" s="31">
        <v>28.571428571428569</v>
      </c>
      <c r="E196" s="32">
        <v>1190.3</v>
      </c>
      <c r="F196" s="35">
        <v>2789.1</v>
      </c>
      <c r="G196" s="36">
        <v>2.9855</v>
      </c>
      <c r="H196" s="36">
        <v>5.9233000000000002</v>
      </c>
      <c r="I196" s="36">
        <v>5.1340567735711096</v>
      </c>
      <c r="J196" s="36">
        <v>4.6928085655350307</v>
      </c>
    </row>
    <row r="197" spans="1:10" x14ac:dyDescent="0.3">
      <c r="A197" s="32">
        <v>272</v>
      </c>
      <c r="B197" s="34">
        <v>56.802</v>
      </c>
      <c r="C197" s="31">
        <v>764.40911175661211</v>
      </c>
      <c r="D197" s="31">
        <v>29.052876234747242</v>
      </c>
      <c r="E197" s="32">
        <v>1195.4000000000001</v>
      </c>
      <c r="F197" s="35">
        <v>2788.2</v>
      </c>
      <c r="G197" s="36">
        <v>2.9946999999999999</v>
      </c>
      <c r="H197" s="36">
        <v>5.9161999999999999</v>
      </c>
      <c r="I197" s="36">
        <v>5.1496208633200196</v>
      </c>
      <c r="J197" s="36">
        <v>4.731593606918028</v>
      </c>
    </row>
    <row r="198" spans="1:10" x14ac:dyDescent="0.3">
      <c r="A198" s="32">
        <v>273</v>
      </c>
      <c r="B198" s="34">
        <v>57.689</v>
      </c>
      <c r="C198" s="31">
        <v>762.71832812142475</v>
      </c>
      <c r="D198" s="31">
        <v>29.542097488921716</v>
      </c>
      <c r="E198" s="32">
        <v>1200.5999999999999</v>
      </c>
      <c r="F198" s="35">
        <v>2787.4</v>
      </c>
      <c r="G198" s="36">
        <v>3.0038999999999998</v>
      </c>
      <c r="H198" s="36">
        <v>5.9090999999999996</v>
      </c>
      <c r="I198" s="36">
        <v>5.1654890265599658</v>
      </c>
      <c r="J198" s="36">
        <v>4.7711035864708995</v>
      </c>
    </row>
    <row r="199" spans="1:10" x14ac:dyDescent="0.3">
      <c r="A199" s="32">
        <v>274</v>
      </c>
      <c r="B199" s="34">
        <v>58.587000000000003</v>
      </c>
      <c r="C199" s="31">
        <v>760.97709458945292</v>
      </c>
      <c r="D199" s="31">
        <v>30.039050765995796</v>
      </c>
      <c r="E199" s="32">
        <v>1205.7</v>
      </c>
      <c r="F199" s="35">
        <v>2780.5</v>
      </c>
      <c r="G199" s="36">
        <v>3.0131000000000001</v>
      </c>
      <c r="H199" s="36">
        <v>5.9019000000000004</v>
      </c>
      <c r="I199" s="36">
        <v>5.1816699976481564</v>
      </c>
      <c r="J199" s="36">
        <v>4.8113624378681967</v>
      </c>
    </row>
    <row r="200" spans="1:10" x14ac:dyDescent="0.3">
      <c r="A200" s="32">
        <v>275</v>
      </c>
      <c r="B200" s="34">
        <v>59.496000000000002</v>
      </c>
      <c r="C200" s="31">
        <v>759.30144267274102</v>
      </c>
      <c r="D200" s="31">
        <v>30.543677458766037</v>
      </c>
      <c r="E200" s="32">
        <v>1210.9000000000001</v>
      </c>
      <c r="F200" s="35">
        <v>2785.5</v>
      </c>
      <c r="G200" s="36">
        <v>3.0223</v>
      </c>
      <c r="H200" s="36">
        <v>5.8947000000000003</v>
      </c>
      <c r="I200" s="36">
        <v>5.1981728604098913</v>
      </c>
      <c r="J200" s="36">
        <v>4.8523949890401141</v>
      </c>
    </row>
    <row r="201" spans="1:10" x14ac:dyDescent="0.3">
      <c r="A201" s="32">
        <v>276</v>
      </c>
      <c r="B201" s="34">
        <v>60.414999999999999</v>
      </c>
      <c r="C201" s="31">
        <v>757.57575757575762</v>
      </c>
      <c r="D201" s="31">
        <v>31.055900621118013</v>
      </c>
      <c r="E201" s="32">
        <v>1216</v>
      </c>
      <c r="F201" s="35">
        <v>2784.6</v>
      </c>
      <c r="G201" s="36">
        <v>3.0314999999999999</v>
      </c>
      <c r="H201" s="36">
        <v>5.8875999999999999</v>
      </c>
      <c r="I201" s="36">
        <v>5.2150070646240447</v>
      </c>
      <c r="J201" s="36">
        <v>4.8942269793550048</v>
      </c>
    </row>
    <row r="202" spans="1:10" x14ac:dyDescent="0.3">
      <c r="A202" s="32">
        <v>277</v>
      </c>
      <c r="B202" s="34">
        <v>61.345999999999997</v>
      </c>
      <c r="C202" s="31">
        <v>755.80077091678629</v>
      </c>
      <c r="D202" s="31">
        <v>31.585596967782692</v>
      </c>
      <c r="E202" s="32">
        <v>1221.2</v>
      </c>
      <c r="F202" s="35">
        <v>2783.6</v>
      </c>
      <c r="G202" s="36">
        <v>3.0406</v>
      </c>
      <c r="H202" s="36">
        <v>5.8803999999999998</v>
      </c>
      <c r="I202" s="36">
        <v>5.2321824433209025</v>
      </c>
      <c r="J202" s="36">
        <v>4.9368850766021808</v>
      </c>
    </row>
    <row r="203" spans="1:10" x14ac:dyDescent="0.3">
      <c r="A203" s="32">
        <v>278</v>
      </c>
      <c r="B203" s="34">
        <v>62.286999999999999</v>
      </c>
      <c r="C203" s="31">
        <v>754.09094336777014</v>
      </c>
      <c r="D203" s="31">
        <v>32.113037893384714</v>
      </c>
      <c r="E203" s="32">
        <v>1226.4000000000001</v>
      </c>
      <c r="F203" s="35">
        <v>2782.6</v>
      </c>
      <c r="G203" s="36">
        <v>3.0499000000000001</v>
      </c>
      <c r="H203" s="36">
        <v>5.8731</v>
      </c>
      <c r="I203" s="36">
        <v>5.2497092309349291</v>
      </c>
      <c r="J203" s="36">
        <v>4.9803968939500942</v>
      </c>
    </row>
    <row r="204" spans="1:10" x14ac:dyDescent="0.3">
      <c r="A204" s="32">
        <v>279</v>
      </c>
      <c r="B204" s="34">
        <v>63.238999999999997</v>
      </c>
      <c r="C204" s="31">
        <v>752.33222991272942</v>
      </c>
      <c r="D204" s="31">
        <v>32.6477309826967</v>
      </c>
      <c r="E204" s="32">
        <v>1231.5999999999999</v>
      </c>
      <c r="F204" s="35">
        <v>2781.5</v>
      </c>
      <c r="G204" s="36">
        <v>3.0590999999999999</v>
      </c>
      <c r="H204" s="36">
        <v>5.8658999999999999</v>
      </c>
      <c r="I204" s="36">
        <v>5.2675980823590347</v>
      </c>
      <c r="J204" s="36">
        <v>5.0247910071056712</v>
      </c>
    </row>
    <row r="205" spans="1:10" x14ac:dyDescent="0.3">
      <c r="A205" s="32">
        <v>280</v>
      </c>
      <c r="B205" s="34">
        <v>64.201999999999998</v>
      </c>
      <c r="C205" s="31">
        <v>750.5253677574301</v>
      </c>
      <c r="D205" s="31">
        <v>33.189512114171919</v>
      </c>
      <c r="E205" s="32">
        <v>1236.8</v>
      </c>
      <c r="F205" s="35">
        <v>2780.4</v>
      </c>
      <c r="G205" s="36">
        <v>3.0682999999999998</v>
      </c>
      <c r="H205" s="36">
        <v>5.8586</v>
      </c>
      <c r="I205" s="36">
        <v>5.2858600929513733</v>
      </c>
      <c r="J205" s="36">
        <v>5.0700969719522639</v>
      </c>
    </row>
    <row r="206" spans="1:10" x14ac:dyDescent="0.3">
      <c r="A206" s="32">
        <v>281</v>
      </c>
      <c r="B206" s="34">
        <v>65.176000000000002</v>
      </c>
      <c r="C206" s="31">
        <v>748.7271638215035</v>
      </c>
      <c r="D206" s="31">
        <v>33.74957813027337</v>
      </c>
      <c r="E206" s="32">
        <v>1242.0999999999999</v>
      </c>
      <c r="F206" s="35">
        <v>2779.3</v>
      </c>
      <c r="G206" s="36">
        <v>3.0775000000000001</v>
      </c>
      <c r="H206" s="36">
        <v>5.8513000000000002</v>
      </c>
      <c r="I206" s="36">
        <v>5.3045068195513174</v>
      </c>
      <c r="J206" s="36">
        <v>5.1163453430051504</v>
      </c>
    </row>
    <row r="207" spans="1:10" x14ac:dyDescent="0.3">
      <c r="A207" s="32">
        <v>282</v>
      </c>
      <c r="B207" s="34">
        <v>66.162000000000006</v>
      </c>
      <c r="C207" s="31">
        <v>746.93755602031672</v>
      </c>
      <c r="D207" s="31">
        <v>34.317089910775564</v>
      </c>
      <c r="E207" s="32">
        <v>1247.3</v>
      </c>
      <c r="F207" s="35">
        <v>2778.1</v>
      </c>
      <c r="G207" s="36">
        <v>3.0868000000000002</v>
      </c>
      <c r="H207" s="36">
        <v>5.8440000000000003</v>
      </c>
      <c r="I207" s="36">
        <v>5.3235503025677646</v>
      </c>
      <c r="J207" s="36">
        <v>5.1635676930907399</v>
      </c>
    </row>
    <row r="208" spans="1:10" x14ac:dyDescent="0.3">
      <c r="A208" s="32">
        <v>283</v>
      </c>
      <c r="B208" s="34">
        <v>67.158000000000001</v>
      </c>
      <c r="C208" s="31">
        <v>745.15648286140083</v>
      </c>
      <c r="D208" s="31">
        <v>34.879665155214511</v>
      </c>
      <c r="E208" s="32">
        <v>1252.5999999999999</v>
      </c>
      <c r="F208" s="35">
        <v>2777</v>
      </c>
      <c r="G208" s="36">
        <v>3.0960000000000001</v>
      </c>
      <c r="H208" s="36">
        <v>5.8367000000000004</v>
      </c>
      <c r="I208" s="36">
        <v>5.3430030892109768</v>
      </c>
      <c r="J208" s="36">
        <v>5.2117966347294891</v>
      </c>
    </row>
    <row r="209" spans="1:10" x14ac:dyDescent="0.3">
      <c r="A209" s="32">
        <v>284</v>
      </c>
      <c r="B209" s="34">
        <v>68.167000000000002</v>
      </c>
      <c r="C209" s="31">
        <v>743.32862558537124</v>
      </c>
      <c r="D209" s="31">
        <v>35.460992907801419</v>
      </c>
      <c r="E209" s="32">
        <v>1257.9000000000001</v>
      </c>
      <c r="F209" s="35">
        <v>2775.7</v>
      </c>
      <c r="G209" s="36">
        <v>3.1053000000000002</v>
      </c>
      <c r="H209" s="36">
        <v>5.8293999999999997</v>
      </c>
      <c r="I209" s="36">
        <v>5.3628782579485241</v>
      </c>
      <c r="J209" s="36">
        <v>5.26106584378525</v>
      </c>
    </row>
    <row r="210" spans="1:10" x14ac:dyDescent="0.3">
      <c r="A210" s="32">
        <v>285</v>
      </c>
      <c r="B210" s="34">
        <v>69.186000000000007</v>
      </c>
      <c r="C210" s="31">
        <v>741.4547341884778</v>
      </c>
      <c r="D210" s="31">
        <v>36.062026685899745</v>
      </c>
      <c r="E210" s="32">
        <v>1263.2</v>
      </c>
      <c r="F210" s="35">
        <v>2774.5</v>
      </c>
      <c r="G210" s="36">
        <v>3.1145999999999998</v>
      </c>
      <c r="H210" s="36">
        <v>5.8220000000000001</v>
      </c>
      <c r="I210" s="36">
        <v>5.3831894442772628</v>
      </c>
      <c r="J210" s="36">
        <v>5.3114100860326179</v>
      </c>
    </row>
    <row r="211" spans="1:10" x14ac:dyDescent="0.3">
      <c r="A211" s="32">
        <v>286</v>
      </c>
      <c r="B211" s="34">
        <v>70.218000000000004</v>
      </c>
      <c r="C211" s="31">
        <v>739.64497041420123</v>
      </c>
      <c r="D211" s="31">
        <v>36.656891495601172</v>
      </c>
      <c r="E211" s="32">
        <v>1268.5</v>
      </c>
      <c r="F211" s="35">
        <v>2773.2</v>
      </c>
      <c r="G211" s="36">
        <v>3.1238999999999999</v>
      </c>
      <c r="H211" s="36">
        <v>5.8146000000000004</v>
      </c>
      <c r="I211" s="36">
        <v>5.4039508679166737</v>
      </c>
      <c r="J211" s="36">
        <v>5.3628652473922367</v>
      </c>
    </row>
    <row r="212" spans="1:10" x14ac:dyDescent="0.3">
      <c r="A212" s="32">
        <v>287</v>
      </c>
      <c r="B212" s="34">
        <v>71.260999999999996</v>
      </c>
      <c r="C212" s="31">
        <v>737.78958241109626</v>
      </c>
      <c r="D212" s="31">
        <v>37.271710771524411</v>
      </c>
      <c r="E212" s="32">
        <v>1273.9000000000001</v>
      </c>
      <c r="F212" s="35">
        <v>2771.8</v>
      </c>
      <c r="G212" s="36">
        <v>3.1331000000000002</v>
      </c>
      <c r="H212" s="36">
        <v>5.8071999999999999</v>
      </c>
      <c r="I212" s="36">
        <v>5.4251773615451802</v>
      </c>
      <c r="J212" s="36">
        <v>5.4154683686896892</v>
      </c>
    </row>
    <row r="213" spans="1:10" x14ac:dyDescent="0.3">
      <c r="A213" s="32">
        <v>288</v>
      </c>
      <c r="B213" s="34">
        <v>72.314999999999998</v>
      </c>
      <c r="C213" s="31">
        <v>735.8893222459343</v>
      </c>
      <c r="D213" s="31">
        <v>37.893141341417206</v>
      </c>
      <c r="E213" s="32">
        <v>1279.2</v>
      </c>
      <c r="F213" s="35">
        <v>2770.5</v>
      </c>
      <c r="G213" s="36">
        <v>3.1423999999999999</v>
      </c>
      <c r="H213" s="36">
        <v>5.7996999999999996</v>
      </c>
      <c r="I213" s="36">
        <v>5.4468844012196556</v>
      </c>
      <c r="J213" s="36">
        <v>5.4692576859088309</v>
      </c>
    </row>
    <row r="214" spans="1:10" x14ac:dyDescent="0.3">
      <c r="A214" s="32">
        <v>289</v>
      </c>
      <c r="B214" s="34">
        <v>73.382000000000005</v>
      </c>
      <c r="C214" s="31">
        <v>733.99882560187905</v>
      </c>
      <c r="D214" s="31">
        <v>38.52080123266564</v>
      </c>
      <c r="E214" s="32">
        <v>1284.5999999999999</v>
      </c>
      <c r="F214" s="35">
        <v>2769.1</v>
      </c>
      <c r="G214" s="36">
        <v>3.1518000000000002</v>
      </c>
      <c r="H214" s="36">
        <v>5.7923</v>
      </c>
      <c r="I214" s="36">
        <v>5.469088138641216</v>
      </c>
      <c r="J214" s="36">
        <v>5.5242726770314903</v>
      </c>
    </row>
    <row r="215" spans="1:10" x14ac:dyDescent="0.3">
      <c r="A215" s="32">
        <v>290</v>
      </c>
      <c r="B215" s="34">
        <v>74.460999999999999</v>
      </c>
      <c r="C215" s="31">
        <v>732.11801742440878</v>
      </c>
      <c r="D215" s="31">
        <v>39.200313602508821</v>
      </c>
      <c r="E215" s="32">
        <v>1290</v>
      </c>
      <c r="F215" s="35">
        <v>2767.6</v>
      </c>
      <c r="G215" s="36">
        <v>3.1610999999999998</v>
      </c>
      <c r="H215" s="36">
        <v>5.7847999999999997</v>
      </c>
      <c r="I215" s="36">
        <v>5.4918054354564108</v>
      </c>
      <c r="J215" s="36">
        <v>5.5805541166888561</v>
      </c>
    </row>
    <row r="216" spans="1:10" x14ac:dyDescent="0.3">
      <c r="A216" s="32">
        <v>291</v>
      </c>
      <c r="B216" s="34">
        <v>75.551000000000002</v>
      </c>
      <c r="C216" s="31">
        <v>730.19350127783855</v>
      </c>
      <c r="D216" s="31">
        <v>39.808917197452232</v>
      </c>
      <c r="E216" s="32">
        <v>1295.4000000000001</v>
      </c>
      <c r="F216" s="35">
        <v>2766.2</v>
      </c>
      <c r="G216" s="36">
        <v>3.1703999999999999</v>
      </c>
      <c r="H216" s="36">
        <v>5.7773000000000003</v>
      </c>
      <c r="I216" s="36">
        <v>5.5150538998143848</v>
      </c>
      <c r="J216" s="36">
        <v>5.6381441399885146</v>
      </c>
    </row>
    <row r="217" spans="1:10" x14ac:dyDescent="0.3">
      <c r="A217" s="32">
        <v>292</v>
      </c>
      <c r="B217" s="34">
        <v>76.653999999999996</v>
      </c>
      <c r="C217" s="31">
        <v>728.22604136323912</v>
      </c>
      <c r="D217" s="31">
        <v>40.46944556859571</v>
      </c>
      <c r="E217" s="32">
        <v>1300.9000000000001</v>
      </c>
      <c r="F217" s="35">
        <v>2764.6</v>
      </c>
      <c r="G217" s="36">
        <v>3.1798000000000002</v>
      </c>
      <c r="H217" s="36">
        <v>5.7697000000000003</v>
      </c>
      <c r="I217" s="36">
        <v>5.5388519254363624</v>
      </c>
      <c r="J217" s="36">
        <v>5.6970863170286439</v>
      </c>
    </row>
    <row r="218" spans="1:10" x14ac:dyDescent="0.3">
      <c r="A218" s="32">
        <v>293</v>
      </c>
      <c r="B218" s="34">
        <v>77.769000000000005</v>
      </c>
      <c r="C218" s="31">
        <v>726.26915534897239</v>
      </c>
      <c r="D218" s="31">
        <v>41.000410004100047</v>
      </c>
      <c r="E218" s="32">
        <v>1306.3</v>
      </c>
      <c r="F218" s="35">
        <v>2763.1</v>
      </c>
      <c r="G218" s="36">
        <v>3.1890999999999998</v>
      </c>
      <c r="H218" s="36">
        <v>5.7621000000000002</v>
      </c>
      <c r="I218" s="36">
        <v>5.5632187334967034</v>
      </c>
      <c r="J218" s="36">
        <v>5.7574257397663695</v>
      </c>
    </row>
    <row r="219" spans="1:10" x14ac:dyDescent="0.3">
      <c r="A219" s="32">
        <v>294</v>
      </c>
      <c r="B219" s="34">
        <v>78.897000000000006</v>
      </c>
      <c r="C219" s="31">
        <v>724.32275822106328</v>
      </c>
      <c r="D219" s="31">
        <v>41.841004184100413</v>
      </c>
      <c r="E219" s="32">
        <v>1311.8</v>
      </c>
      <c r="F219" s="35">
        <v>2761.5</v>
      </c>
      <c r="G219" s="36">
        <v>3.1985000000000001</v>
      </c>
      <c r="H219" s="36">
        <v>5.7545000000000002</v>
      </c>
      <c r="I219" s="36">
        <v>5.5881744176631232</v>
      </c>
      <c r="J219" s="36">
        <v>5.8192091230716887</v>
      </c>
    </row>
    <row r="220" spans="1:10" x14ac:dyDescent="0.3">
      <c r="A220" s="32">
        <v>295</v>
      </c>
      <c r="B220" s="34">
        <v>80.037000000000006</v>
      </c>
      <c r="C220" s="31">
        <v>722.33458537994795</v>
      </c>
      <c r="D220" s="31">
        <v>42.535091450446622</v>
      </c>
      <c r="E220" s="32">
        <v>1317.3</v>
      </c>
      <c r="F220" s="35">
        <v>2759.8</v>
      </c>
      <c r="G220" s="36">
        <v>3.2079</v>
      </c>
      <c r="H220" s="36">
        <v>5.7469000000000001</v>
      </c>
      <c r="I220" s="36">
        <v>5.6137399927016309</v>
      </c>
      <c r="J220" s="36">
        <v>5.8824849219657338</v>
      </c>
    </row>
    <row r="221" spans="1:10" x14ac:dyDescent="0.3">
      <c r="A221" s="32">
        <v>296</v>
      </c>
      <c r="B221" s="34">
        <v>81.188999999999993</v>
      </c>
      <c r="C221" s="31">
        <v>720.35729721942084</v>
      </c>
      <c r="D221" s="31">
        <v>43.233895373973191</v>
      </c>
      <c r="E221" s="32">
        <v>1322.8</v>
      </c>
      <c r="F221" s="35">
        <v>2758.2</v>
      </c>
      <c r="G221" s="36">
        <v>3.2172999999999998</v>
      </c>
      <c r="H221" s="36">
        <v>5.7392000000000003</v>
      </c>
      <c r="I221" s="36">
        <v>5.6399374471158286</v>
      </c>
      <c r="J221" s="36">
        <v>5.9473034672191787</v>
      </c>
    </row>
    <row r="222" spans="1:10" x14ac:dyDescent="0.3">
      <c r="A222" s="32">
        <v>297</v>
      </c>
      <c r="B222" s="34">
        <v>82.355000000000004</v>
      </c>
      <c r="C222" s="31">
        <v>718.33919977013147</v>
      </c>
      <c r="D222" s="31">
        <v>43.956043956043956</v>
      </c>
      <c r="E222" s="32">
        <v>1328.3</v>
      </c>
      <c r="F222" s="35">
        <v>2756.4</v>
      </c>
      <c r="G222" s="36">
        <v>3.2267999999999999</v>
      </c>
      <c r="H222" s="36">
        <v>5.7314999999999996</v>
      </c>
      <c r="I222" s="36">
        <v>5.6667898003669706</v>
      </c>
      <c r="J222" s="36">
        <v>6.0137171216690231</v>
      </c>
    </row>
    <row r="223" spans="1:10" x14ac:dyDescent="0.3">
      <c r="A223" s="32">
        <v>298</v>
      </c>
      <c r="B223" s="34">
        <v>83.531999999999996</v>
      </c>
      <c r="C223" s="31">
        <v>716.33237822349565</v>
      </c>
      <c r="D223" s="31">
        <v>44.682752457551381</v>
      </c>
      <c r="E223" s="32">
        <v>1333.9</v>
      </c>
      <c r="F223" s="35">
        <v>2754.7</v>
      </c>
      <c r="G223" s="36">
        <v>3.2362000000000002</v>
      </c>
      <c r="H223" s="36">
        <v>5.7237</v>
      </c>
      <c r="I223" s="36">
        <v>5.6943211653064649</v>
      </c>
      <c r="J223" s="36">
        <v>6.0817804597941683</v>
      </c>
    </row>
    <row r="224" spans="1:10" x14ac:dyDescent="0.3">
      <c r="A224" s="32">
        <v>299</v>
      </c>
      <c r="B224" s="34">
        <v>84.722999999999999</v>
      </c>
      <c r="C224" s="31">
        <v>714.28571428571433</v>
      </c>
      <c r="D224" s="31">
        <v>45.433893684688783</v>
      </c>
      <c r="E224" s="32">
        <v>1339.4</v>
      </c>
      <c r="F224" s="35">
        <v>2752.9</v>
      </c>
      <c r="G224" s="36">
        <v>3.2456999999999998</v>
      </c>
      <c r="H224" s="36">
        <v>5.7159000000000004</v>
      </c>
      <c r="I224" s="36">
        <v>5.7225568165513554</v>
      </c>
      <c r="J224" s="36">
        <v>6.1515504732812198</v>
      </c>
    </row>
    <row r="225" spans="1:10" x14ac:dyDescent="0.3">
      <c r="A225" s="32">
        <v>300</v>
      </c>
      <c r="B225" s="34">
        <v>85.927000000000007</v>
      </c>
      <c r="C225" s="31">
        <v>712.19998575600027</v>
      </c>
      <c r="D225" s="31">
        <v>46.189376443418013</v>
      </c>
      <c r="E225" s="32">
        <v>1345</v>
      </c>
      <c r="F225" s="35">
        <v>2751</v>
      </c>
      <c r="G225" s="36">
        <v>3.2551999999999999</v>
      </c>
      <c r="H225" s="36">
        <v>5.7081</v>
      </c>
      <c r="I225" s="36">
        <v>5.7515232656451269</v>
      </c>
      <c r="J225" s="36">
        <v>6.2230868055026756</v>
      </c>
    </row>
    <row r="226" spans="1:10" x14ac:dyDescent="0.3">
      <c r="A226" s="32">
        <v>301</v>
      </c>
      <c r="B226" s="34">
        <v>87.144000000000005</v>
      </c>
      <c r="C226" s="31">
        <v>710.12640249964488</v>
      </c>
      <c r="D226" s="31">
        <v>46.970408642555192</v>
      </c>
      <c r="E226" s="32">
        <v>1350.7</v>
      </c>
      <c r="F226" s="35">
        <v>2749.1</v>
      </c>
      <c r="G226" s="36">
        <v>3.2646999999999999</v>
      </c>
      <c r="H226" s="36">
        <v>5.7003000000000004</v>
      </c>
      <c r="I226" s="36">
        <v>5.7812483439722104</v>
      </c>
      <c r="J226" s="36">
        <v>6.2964520180188588</v>
      </c>
    </row>
    <row r="227" spans="1:10" x14ac:dyDescent="0.3">
      <c r="A227" s="32">
        <v>302</v>
      </c>
      <c r="B227" s="34">
        <v>88.373999999999995</v>
      </c>
      <c r="C227" s="31">
        <v>708.06485874106068</v>
      </c>
      <c r="D227" s="31">
        <v>47.755491881566378</v>
      </c>
      <c r="E227" s="32">
        <v>1356.3</v>
      </c>
      <c r="F227" s="35">
        <v>2747.2</v>
      </c>
      <c r="G227" s="36">
        <v>3.2742</v>
      </c>
      <c r="H227" s="36">
        <v>5.6924000000000001</v>
      </c>
      <c r="I227" s="36">
        <v>5.8117612945392416</v>
      </c>
      <c r="J227" s="36">
        <v>6.3717118924071148</v>
      </c>
    </row>
    <row r="228" spans="1:10" x14ac:dyDescent="0.3">
      <c r="A228" s="32">
        <v>303</v>
      </c>
      <c r="B228" s="34">
        <v>89.617000000000004</v>
      </c>
      <c r="C228" s="31">
        <v>705.9155724975293</v>
      </c>
      <c r="D228" s="31">
        <v>48.543689320388346</v>
      </c>
      <c r="E228" s="32">
        <v>1362</v>
      </c>
      <c r="F228" s="35">
        <v>2745.2</v>
      </c>
      <c r="G228" s="36">
        <v>3.2837000000000001</v>
      </c>
      <c r="H228" s="36">
        <v>5.6844000000000001</v>
      </c>
      <c r="I228" s="36">
        <v>5.843092873893962</v>
      </c>
      <c r="J228" s="36">
        <v>6.4489357709073154</v>
      </c>
    </row>
    <row r="229" spans="1:10" x14ac:dyDescent="0.3">
      <c r="A229" s="32">
        <v>304</v>
      </c>
      <c r="B229" s="34">
        <v>90.873000000000005</v>
      </c>
      <c r="C229" s="31">
        <v>703.82882882882882</v>
      </c>
      <c r="D229" s="31">
        <v>49.358341559723591</v>
      </c>
      <c r="E229" s="32">
        <v>1367.7</v>
      </c>
      <c r="F229" s="35">
        <v>2743.2</v>
      </c>
      <c r="G229" s="36">
        <v>3.2932999999999999</v>
      </c>
      <c r="H229" s="36">
        <v>5.6764999999999999</v>
      </c>
      <c r="I229" s="36">
        <v>5.8752754656360615</v>
      </c>
      <c r="J229" s="36">
        <v>6.5281969395592849</v>
      </c>
    </row>
    <row r="230" spans="1:10" x14ac:dyDescent="0.3">
      <c r="A230" s="32">
        <v>305</v>
      </c>
      <c r="B230" s="34">
        <v>92.144000000000005</v>
      </c>
      <c r="C230" s="31">
        <v>701.65590794274488</v>
      </c>
      <c r="D230" s="31">
        <v>50.175614651279481</v>
      </c>
      <c r="E230" s="32">
        <v>1373.4</v>
      </c>
      <c r="F230" s="35">
        <v>2741.1</v>
      </c>
      <c r="G230" s="36">
        <v>3.3029000000000002</v>
      </c>
      <c r="H230" s="36">
        <v>5.6684999999999999</v>
      </c>
      <c r="I230" s="36">
        <v>5.9083432071713622</v>
      </c>
      <c r="J230" s="36">
        <v>6.6095730576802234</v>
      </c>
    </row>
    <row r="231" spans="1:10" x14ac:dyDescent="0.3">
      <c r="A231" s="32">
        <v>306</v>
      </c>
      <c r="B231" s="34">
        <v>93.427000000000007</v>
      </c>
      <c r="C231" s="31">
        <v>699.4963626189143</v>
      </c>
      <c r="D231" s="31">
        <v>51.020408163265309</v>
      </c>
      <c r="E231" s="32">
        <v>1379.1</v>
      </c>
      <c r="F231" s="35">
        <v>2739</v>
      </c>
      <c r="G231" s="36">
        <v>3.3125</v>
      </c>
      <c r="H231" s="36">
        <v>5.6604000000000001</v>
      </c>
      <c r="I231" s="36">
        <v>5.9423321315878415</v>
      </c>
      <c r="J231" s="36">
        <v>6.6931466377044337</v>
      </c>
    </row>
    <row r="232" spans="1:10" x14ac:dyDescent="0.3">
      <c r="A232" s="32">
        <v>307</v>
      </c>
      <c r="B232" s="34">
        <v>94.724999999999994</v>
      </c>
      <c r="C232" s="31">
        <v>697.30144341398784</v>
      </c>
      <c r="D232" s="31">
        <v>51.867219917012449</v>
      </c>
      <c r="E232" s="32">
        <v>1384.9</v>
      </c>
      <c r="F232" s="35">
        <v>2736.8</v>
      </c>
      <c r="G232" s="36">
        <v>3.3220999999999998</v>
      </c>
      <c r="H232" s="36">
        <v>5.6523000000000003</v>
      </c>
      <c r="I232" s="36">
        <v>5.9772803267740375</v>
      </c>
      <c r="J232" s="36">
        <v>6.7790055795631368</v>
      </c>
    </row>
    <row r="233" spans="1:10" x14ac:dyDescent="0.3">
      <c r="A233" s="32">
        <v>308</v>
      </c>
      <c r="B233" s="34">
        <v>96.036000000000001</v>
      </c>
      <c r="C233" s="31">
        <v>695.07193994578438</v>
      </c>
      <c r="D233" s="31">
        <v>52.742616033755269</v>
      </c>
      <c r="E233" s="32">
        <v>1390.7</v>
      </c>
      <c r="F233" s="35">
        <v>2734.6</v>
      </c>
      <c r="G233" s="36">
        <v>3.3317999999999999</v>
      </c>
      <c r="H233" s="36">
        <v>5.6441999999999997</v>
      </c>
      <c r="I233" s="36">
        <v>6.0132281141770685</v>
      </c>
      <c r="J233" s="36">
        <v>6.8672437639301238</v>
      </c>
    </row>
    <row r="234" spans="1:10" x14ac:dyDescent="0.3">
      <c r="A234" s="32">
        <v>309</v>
      </c>
      <c r="B234" s="34">
        <v>97.361000000000004</v>
      </c>
      <c r="C234" s="31">
        <v>692.85664795953721</v>
      </c>
      <c r="D234" s="31">
        <v>53.648068669527895</v>
      </c>
      <c r="E234" s="32">
        <v>1396.5</v>
      </c>
      <c r="F234" s="35">
        <v>2732.3</v>
      </c>
      <c r="G234" s="36">
        <v>3.3414999999999999</v>
      </c>
      <c r="H234" s="36">
        <v>5.6360000000000001</v>
      </c>
      <c r="I234" s="36">
        <v>6.0502182498925405</v>
      </c>
      <c r="J234" s="36">
        <v>6.9579617087932899</v>
      </c>
    </row>
    <row r="235" spans="1:10" x14ac:dyDescent="0.3">
      <c r="A235" s="32">
        <v>310</v>
      </c>
      <c r="B235" s="34">
        <v>98.7</v>
      </c>
      <c r="C235" s="31">
        <v>690.60773480662976</v>
      </c>
      <c r="D235" s="31">
        <v>54.555373704309879</v>
      </c>
      <c r="E235" s="32">
        <v>1402.4</v>
      </c>
      <c r="F235" s="35">
        <v>2730</v>
      </c>
      <c r="G235" s="36">
        <v>3.3512</v>
      </c>
      <c r="H235" s="36">
        <v>5.6277999999999997</v>
      </c>
      <c r="I235" s="36">
        <v>6.0882961511063813</v>
      </c>
      <c r="J235" s="36">
        <v>7.0512672939289187</v>
      </c>
    </row>
    <row r="236" spans="1:10" x14ac:dyDescent="0.3">
      <c r="A236" s="32">
        <v>311</v>
      </c>
      <c r="B236" s="34">
        <v>100.05</v>
      </c>
      <c r="C236" s="31">
        <v>688.37337371790466</v>
      </c>
      <c r="D236" s="31">
        <v>55.463117027176928</v>
      </c>
      <c r="E236" s="32">
        <v>1408.3</v>
      </c>
      <c r="F236" s="35">
        <v>2727.6</v>
      </c>
      <c r="G236" s="36">
        <v>3.3609</v>
      </c>
      <c r="H236" s="36">
        <v>5.6195000000000004</v>
      </c>
      <c r="I236" s="36">
        <v>6.1275101512615082</v>
      </c>
      <c r="J236" s="36">
        <v>7.1472765579528863</v>
      </c>
    </row>
    <row r="237" spans="1:10" x14ac:dyDescent="0.3">
      <c r="A237" s="32">
        <v>312</v>
      </c>
      <c r="B237" s="34">
        <v>101.42</v>
      </c>
      <c r="C237" s="31">
        <v>686.05927552140497</v>
      </c>
      <c r="D237" s="31">
        <v>56.401579244218837</v>
      </c>
      <c r="E237" s="32">
        <v>1414.2</v>
      </c>
      <c r="F237" s="35">
        <v>2725.2</v>
      </c>
      <c r="G237" s="36">
        <v>3.3706999999999998</v>
      </c>
      <c r="H237" s="36">
        <v>5.6111000000000004</v>
      </c>
      <c r="I237" s="36">
        <v>6.1679117877048695</v>
      </c>
      <c r="J237" s="36">
        <v>7.2461145727086214</v>
      </c>
    </row>
    <row r="238" spans="1:10" x14ac:dyDescent="0.3">
      <c r="A238" s="32">
        <v>313</v>
      </c>
      <c r="B238" s="34">
        <v>102.8</v>
      </c>
      <c r="C238" s="31">
        <v>683.76068376068372</v>
      </c>
      <c r="D238" s="31">
        <v>57.372346528973033</v>
      </c>
      <c r="E238" s="32">
        <v>1420.1</v>
      </c>
      <c r="F238" s="35">
        <v>2722.7</v>
      </c>
      <c r="G238" s="36">
        <v>3.3803000000000001</v>
      </c>
      <c r="H238" s="36">
        <v>5.6028000000000002</v>
      </c>
      <c r="I238" s="36">
        <v>6.2095561259840197</v>
      </c>
      <c r="J238" s="36">
        <v>7.3479163998034727</v>
      </c>
    </row>
    <row r="239" spans="1:10" x14ac:dyDescent="0.3">
      <c r="A239" s="32">
        <v>314</v>
      </c>
      <c r="B239" s="34">
        <v>104.2</v>
      </c>
      <c r="C239" s="31">
        <v>681.43100511073249</v>
      </c>
      <c r="D239" s="31">
        <v>58.343057176196034</v>
      </c>
      <c r="E239" s="32">
        <v>1426.1</v>
      </c>
      <c r="F239" s="35">
        <v>2720.2</v>
      </c>
      <c r="G239" s="36">
        <v>3.3902999999999999</v>
      </c>
      <c r="H239" s="36">
        <v>5.5942999999999996</v>
      </c>
      <c r="I239" s="36">
        <v>6.2525021254010049</v>
      </c>
      <c r="J239" s="36">
        <v>7.4528281341484535</v>
      </c>
    </row>
    <row r="240" spans="1:10" x14ac:dyDescent="0.3">
      <c r="A240" s="32">
        <v>315</v>
      </c>
      <c r="B240" s="34">
        <v>105.61</v>
      </c>
      <c r="C240" s="31">
        <v>679.07103082982485</v>
      </c>
      <c r="D240" s="31">
        <v>59.311981020166073</v>
      </c>
      <c r="E240" s="32">
        <v>1432.1</v>
      </c>
      <c r="F240" s="35">
        <v>2717.6</v>
      </c>
      <c r="G240" s="36">
        <v>3.4001999999999999</v>
      </c>
      <c r="H240" s="36">
        <v>5.5857999999999999</v>
      </c>
      <c r="I240" s="36">
        <v>6.296813050896481</v>
      </c>
      <c r="J240" s="36">
        <v>7.5610080393663148</v>
      </c>
    </row>
    <row r="241" spans="1:10" x14ac:dyDescent="0.3">
      <c r="A241" s="32">
        <v>316</v>
      </c>
      <c r="B241" s="34">
        <v>107.04</v>
      </c>
      <c r="C241" s="31">
        <v>676.68155366084716</v>
      </c>
      <c r="D241" s="31">
        <v>60.350030175015085</v>
      </c>
      <c r="E241" s="32">
        <v>1438.1</v>
      </c>
      <c r="F241" s="35">
        <v>2714.9</v>
      </c>
      <c r="G241" s="36">
        <v>3.4100999999999999</v>
      </c>
      <c r="H241" s="36">
        <v>5.5772000000000004</v>
      </c>
      <c r="I241" s="36">
        <v>6.3425569368371244</v>
      </c>
      <c r="J241" s="36">
        <v>7.6726277799233626</v>
      </c>
    </row>
    <row r="242" spans="1:10" x14ac:dyDescent="0.3">
      <c r="A242" s="32">
        <v>317</v>
      </c>
      <c r="B242" s="34">
        <v>108.48</v>
      </c>
      <c r="C242" s="31">
        <v>674.26336727125613</v>
      </c>
      <c r="D242" s="31">
        <v>61.728395061728399</v>
      </c>
      <c r="E242" s="32">
        <v>1444.2</v>
      </c>
      <c r="F242" s="35">
        <v>2712.2</v>
      </c>
      <c r="G242" s="36">
        <v>3.42</v>
      </c>
      <c r="H242" s="36">
        <v>5.5686</v>
      </c>
      <c r="I242" s="36">
        <v>6.3898071087842023</v>
      </c>
      <c r="J242" s="36">
        <v>7.7878737548042398</v>
      </c>
    </row>
    <row r="243" spans="1:10" x14ac:dyDescent="0.3">
      <c r="A243" s="32">
        <v>318</v>
      </c>
      <c r="B243" s="34">
        <v>109.93</v>
      </c>
      <c r="C243" s="31">
        <v>671.81726570372859</v>
      </c>
      <c r="D243" s="31">
        <v>62.421972534332085</v>
      </c>
      <c r="E243" s="32">
        <v>1450.3</v>
      </c>
      <c r="F243" s="35">
        <v>2709.4</v>
      </c>
      <c r="G243" s="36">
        <v>3.43</v>
      </c>
      <c r="H243" s="36">
        <v>5.5598999999999998</v>
      </c>
      <c r="I243" s="36">
        <v>6.4386427698690349</v>
      </c>
      <c r="J243" s="36">
        <v>7.9069485374935464</v>
      </c>
    </row>
    <row r="244" spans="1:10" x14ac:dyDescent="0.3">
      <c r="A244" s="32">
        <v>319</v>
      </c>
      <c r="B244" s="34">
        <v>111.4</v>
      </c>
      <c r="C244" s="31">
        <v>669.38884798179265</v>
      </c>
      <c r="D244" s="31">
        <v>63.492063492063494</v>
      </c>
      <c r="E244" s="32">
        <v>1450.4</v>
      </c>
      <c r="F244" s="35">
        <v>2706.6</v>
      </c>
      <c r="G244" s="36">
        <v>3.44</v>
      </c>
      <c r="H244" s="36">
        <v>5.5511999999999997</v>
      </c>
      <c r="I244" s="36">
        <v>6.489149658940879</v>
      </c>
      <c r="J244" s="36">
        <v>8.0300724269414285</v>
      </c>
    </row>
    <row r="245" spans="1:10" x14ac:dyDescent="0.3">
      <c r="A245" s="32">
        <v>320</v>
      </c>
      <c r="B245" s="34">
        <v>112.89</v>
      </c>
      <c r="C245" s="31">
        <v>666.88896298766258</v>
      </c>
      <c r="D245" s="31">
        <v>64.599483204134359</v>
      </c>
      <c r="E245" s="32">
        <v>1462.6</v>
      </c>
      <c r="F245" s="35">
        <v>2703.7</v>
      </c>
      <c r="G245" s="36">
        <v>3.45</v>
      </c>
      <c r="H245" s="36">
        <v>5.5423</v>
      </c>
      <c r="I245" s="36">
        <v>6.5414207882139994</v>
      </c>
      <c r="J245" s="36">
        <v>8.1574851140863682</v>
      </c>
    </row>
    <row r="246" spans="1:10" x14ac:dyDescent="0.3">
      <c r="A246" s="32">
        <v>321</v>
      </c>
      <c r="B246" s="34">
        <v>114.39</v>
      </c>
      <c r="C246" s="31">
        <v>664.36353972893971</v>
      </c>
      <c r="D246" s="31">
        <v>65.703022339027598</v>
      </c>
      <c r="E246" s="32">
        <v>1468.8</v>
      </c>
      <c r="F246" s="35">
        <v>2700.7</v>
      </c>
      <c r="G246" s="36">
        <v>3.4601000000000002</v>
      </c>
      <c r="H246" s="36">
        <v>5.5334000000000003</v>
      </c>
      <c r="I246" s="36">
        <v>6.5955572687038355</v>
      </c>
      <c r="J246" s="36">
        <v>8.2894474683896604</v>
      </c>
    </row>
    <row r="247" spans="1:10" x14ac:dyDescent="0.3">
      <c r="A247" s="32">
        <v>322</v>
      </c>
      <c r="B247" s="34">
        <v>115.91</v>
      </c>
      <c r="C247" s="31">
        <v>661.85717122245023</v>
      </c>
      <c r="D247" s="31">
        <v>66.844919786096256</v>
      </c>
      <c r="E247" s="32">
        <v>1475.4</v>
      </c>
      <c r="F247" s="35">
        <v>2697.6</v>
      </c>
      <c r="G247" s="36">
        <v>3.4702000000000002</v>
      </c>
      <c r="H247" s="36">
        <v>5.5244</v>
      </c>
      <c r="I247" s="36">
        <v>6.6516692322860802</v>
      </c>
      <c r="J247" s="36">
        <v>8.4262434486845557</v>
      </c>
    </row>
    <row r="248" spans="1:10" x14ac:dyDescent="0.3">
      <c r="A248" s="32">
        <v>323</v>
      </c>
      <c r="B248" s="34">
        <v>117.44</v>
      </c>
      <c r="C248" s="31">
        <v>659.28270042194094</v>
      </c>
      <c r="D248" s="31">
        <v>68.02721088435375</v>
      </c>
      <c r="E248" s="32">
        <v>1481.3</v>
      </c>
      <c r="F248" s="35">
        <v>2694.5</v>
      </c>
      <c r="G248" s="36">
        <v>3.4803999999999999</v>
      </c>
      <c r="H248" s="36">
        <v>5.5153999999999996</v>
      </c>
      <c r="I248" s="36">
        <v>6.7098768597408407</v>
      </c>
      <c r="J248" s="36">
        <v>8.5681821424979354</v>
      </c>
    </row>
    <row r="249" spans="1:10" x14ac:dyDescent="0.3">
      <c r="A249" s="32">
        <v>324</v>
      </c>
      <c r="B249" s="34">
        <v>118.99</v>
      </c>
      <c r="C249" s="31">
        <v>656.68505384817445</v>
      </c>
      <c r="D249" s="31">
        <v>69.20415224913495</v>
      </c>
      <c r="E249" s="32">
        <v>1487.7</v>
      </c>
      <c r="F249" s="35">
        <v>2691.3</v>
      </c>
      <c r="G249" s="36">
        <v>3.49</v>
      </c>
      <c r="H249" s="36">
        <v>5.5061999999999998</v>
      </c>
      <c r="I249" s="36">
        <v>6.7703115246521595</v>
      </c>
      <c r="J249" s="36">
        <v>8.7155999378322413</v>
      </c>
    </row>
    <row r="250" spans="1:10" x14ac:dyDescent="0.3">
      <c r="A250" s="32">
        <v>325</v>
      </c>
      <c r="B250" s="34">
        <v>120.56</v>
      </c>
      <c r="C250" s="31">
        <v>654.06501406239784</v>
      </c>
      <c r="D250" s="31">
        <v>70.472163495419309</v>
      </c>
      <c r="E250" s="32">
        <v>1494</v>
      </c>
      <c r="F250" s="35">
        <v>2688</v>
      </c>
      <c r="G250" s="36">
        <v>3.5007999999999999</v>
      </c>
      <c r="H250" s="36">
        <v>5.4969000000000001</v>
      </c>
      <c r="I250" s="36">
        <v>6.8331170634665321</v>
      </c>
      <c r="J250" s="36">
        <v>8.8688628312320876</v>
      </c>
    </row>
    <row r="251" spans="1:10" x14ac:dyDescent="0.3">
      <c r="A251" s="32">
        <v>326</v>
      </c>
      <c r="B251" s="34">
        <v>122.14</v>
      </c>
      <c r="C251" s="31">
        <v>651.38092756644085</v>
      </c>
      <c r="D251" s="31">
        <v>71.68458781362007</v>
      </c>
      <c r="E251" s="32">
        <v>1500.4</v>
      </c>
      <c r="F251" s="35">
        <v>2684.6</v>
      </c>
      <c r="G251" s="36">
        <v>3.5110999999999999</v>
      </c>
      <c r="H251" s="36">
        <v>5.4875999999999996</v>
      </c>
      <c r="I251" s="36">
        <v>6.8984511823918098</v>
      </c>
      <c r="J251" s="36">
        <v>9.028368875796664</v>
      </c>
    </row>
    <row r="252" spans="1:10" x14ac:dyDescent="0.3">
      <c r="A252" s="32">
        <v>327</v>
      </c>
      <c r="B252" s="34">
        <v>123.73</v>
      </c>
      <c r="C252" s="31">
        <v>648.67669953295274</v>
      </c>
      <c r="D252" s="31">
        <v>72.516316171138499</v>
      </c>
      <c r="E252" s="32">
        <v>1506.9</v>
      </c>
      <c r="F252" s="35">
        <v>2681.1</v>
      </c>
      <c r="G252" s="36">
        <v>3.5215000000000001</v>
      </c>
      <c r="H252" s="36">
        <v>5.4781000000000004</v>
      </c>
      <c r="I252" s="36">
        <v>6.9664870121278408</v>
      </c>
      <c r="J252" s="36">
        <v>9.1945507726500733</v>
      </c>
    </row>
    <row r="253" spans="1:10" x14ac:dyDescent="0.3">
      <c r="A253" s="32">
        <v>328</v>
      </c>
      <c r="B253" s="34">
        <v>125.35</v>
      </c>
      <c r="C253" s="31">
        <v>645.95310380466378</v>
      </c>
      <c r="D253" s="31">
        <v>74.29420505200595</v>
      </c>
      <c r="E253" s="32">
        <v>1513.4</v>
      </c>
      <c r="F253" s="35">
        <v>2677.6</v>
      </c>
      <c r="G253" s="36">
        <v>3.5318999999999998</v>
      </c>
      <c r="H253" s="36">
        <v>5.4684999999999997</v>
      </c>
      <c r="I253" s="36">
        <v>7.0374148215713452</v>
      </c>
      <c r="J253" s="36">
        <v>9.3678786092551434</v>
      </c>
    </row>
    <row r="254" spans="1:10" x14ac:dyDescent="0.3">
      <c r="A254" s="32">
        <v>329</v>
      </c>
      <c r="B254" s="34">
        <v>126.98</v>
      </c>
      <c r="C254" s="31">
        <v>643.21090885701426</v>
      </c>
      <c r="D254" s="31">
        <v>75.642965204236006</v>
      </c>
      <c r="E254" s="32">
        <v>1519.9</v>
      </c>
      <c r="F254" s="35">
        <v>2673.9</v>
      </c>
      <c r="G254" s="36">
        <v>3.5423</v>
      </c>
      <c r="H254" s="36">
        <v>5.4588000000000001</v>
      </c>
      <c r="I254" s="36">
        <v>7.1114439016682605</v>
      </c>
      <c r="J254" s="36">
        <v>9.5488627478599657</v>
      </c>
    </row>
    <row r="255" spans="1:10" x14ac:dyDescent="0.3">
      <c r="A255" s="32">
        <v>330</v>
      </c>
      <c r="B255" s="34">
        <v>128.63</v>
      </c>
      <c r="C255" s="31">
        <v>640.40986231187958</v>
      </c>
      <c r="D255" s="31">
        <v>76.982294072363359</v>
      </c>
      <c r="E255" s="32">
        <v>1520.5</v>
      </c>
      <c r="F255" s="35">
        <v>2670.2</v>
      </c>
      <c r="G255" s="36">
        <v>3.5528</v>
      </c>
      <c r="H255" s="36">
        <v>5.4489999999999998</v>
      </c>
      <c r="I255" s="36">
        <v>7.1888046304871587</v>
      </c>
      <c r="J255" s="36">
        <v>9.7380568673236034</v>
      </c>
    </row>
    <row r="256" spans="1:10" x14ac:dyDescent="0.3">
      <c r="A256" s="32">
        <v>331</v>
      </c>
      <c r="B256" s="34">
        <v>130.29</v>
      </c>
      <c r="C256" s="31">
        <v>637.59245090538127</v>
      </c>
      <c r="D256" s="31">
        <v>78.369905956112845</v>
      </c>
      <c r="E256" s="32">
        <v>1533.2</v>
      </c>
      <c r="F256" s="35">
        <v>2666.3</v>
      </c>
      <c r="G256" s="36">
        <v>3.5634000000000001</v>
      </c>
      <c r="H256" s="36">
        <v>5.4390999999999998</v>
      </c>
      <c r="I256" s="36">
        <v>7.2697507301873436</v>
      </c>
      <c r="J256" s="36">
        <v>9.9360611615800334</v>
      </c>
    </row>
    <row r="257" spans="1:10" x14ac:dyDescent="0.3">
      <c r="A257" s="32">
        <v>332</v>
      </c>
      <c r="B257" s="34">
        <v>131.97</v>
      </c>
      <c r="C257" s="31">
        <v>634.71913678197393</v>
      </c>
      <c r="D257" s="31">
        <v>79.808459696727851</v>
      </c>
      <c r="E257" s="32">
        <v>1539.9</v>
      </c>
      <c r="F257" s="35">
        <v>2662.3</v>
      </c>
      <c r="G257" s="36">
        <v>3.5739999999999998</v>
      </c>
      <c r="H257" s="36">
        <v>5.4290000000000003</v>
      </c>
      <c r="I257" s="36">
        <v>7.3545617260059588</v>
      </c>
      <c r="J257" s="36">
        <v>10.143525698098584</v>
      </c>
    </row>
    <row r="258" spans="1:10" x14ac:dyDescent="0.3">
      <c r="A258" s="32">
        <v>333</v>
      </c>
      <c r="B258" s="34">
        <v>133.66999999999999</v>
      </c>
      <c r="C258" s="31">
        <v>631.83168004043716</v>
      </c>
      <c r="D258" s="31">
        <v>80.710250201775622</v>
      </c>
      <c r="E258" s="32">
        <v>1546.6</v>
      </c>
      <c r="F258" s="35">
        <v>2658.3</v>
      </c>
      <c r="G258" s="36">
        <v>3.5847000000000002</v>
      </c>
      <c r="H258" s="36">
        <v>5.4188000000000001</v>
      </c>
      <c r="I258" s="36">
        <v>7.4435456164810967</v>
      </c>
      <c r="J258" s="36">
        <v>10.361153939883902</v>
      </c>
    </row>
    <row r="259" spans="1:10" x14ac:dyDescent="0.3">
      <c r="A259" s="32">
        <v>334</v>
      </c>
      <c r="B259" s="34">
        <v>135.38</v>
      </c>
      <c r="C259" s="31">
        <v>628.85171676518678</v>
      </c>
      <c r="D259" s="31">
        <v>82.781456953642376</v>
      </c>
      <c r="E259" s="32">
        <v>1553.4</v>
      </c>
      <c r="F259" s="35">
        <v>2654.1</v>
      </c>
      <c r="G259" s="36">
        <v>3.5954999999999999</v>
      </c>
      <c r="H259" s="36">
        <v>5.4084000000000003</v>
      </c>
      <c r="I259" s="36">
        <v>7.5370417629175677</v>
      </c>
      <c r="J259" s="36">
        <v>10.58970643489544</v>
      </c>
    </row>
    <row r="260" spans="1:10" x14ac:dyDescent="0.3">
      <c r="A260" s="32">
        <v>335</v>
      </c>
      <c r="B260" s="34">
        <v>137.12</v>
      </c>
      <c r="C260" s="31">
        <v>625.86055826761799</v>
      </c>
      <c r="D260" s="31">
        <v>84.388185654008439</v>
      </c>
      <c r="E260" s="32">
        <v>1560.3</v>
      </c>
      <c r="F260" s="35">
        <v>2649.7</v>
      </c>
      <c r="G260" s="36">
        <v>3.6063000000000001</v>
      </c>
      <c r="H260" s="36">
        <v>5.3978999999999999</v>
      </c>
      <c r="I260" s="36">
        <v>7.6354240045120019</v>
      </c>
      <c r="J260" s="36">
        <v>10.83000467720087</v>
      </c>
    </row>
    <row r="261" spans="1:10" x14ac:dyDescent="0.3">
      <c r="A261" s="32">
        <v>336</v>
      </c>
      <c r="B261" s="34">
        <v>138.87</v>
      </c>
      <c r="C261" s="31">
        <v>622.85892245406421</v>
      </c>
      <c r="D261" s="31">
        <v>85.984522785898534</v>
      </c>
      <c r="E261" s="32">
        <v>1567.2</v>
      </c>
      <c r="F261" s="35">
        <v>2645.3</v>
      </c>
      <c r="G261" s="36">
        <v>3.6172</v>
      </c>
      <c r="H261" s="36">
        <v>5.3872</v>
      </c>
      <c r="I261" s="36">
        <v>7.7391040035152541</v>
      </c>
      <c r="J261" s="36">
        <v>11.082935144856879</v>
      </c>
    </row>
    <row r="262" spans="1:10" x14ac:dyDescent="0.3">
      <c r="A262" s="32">
        <v>337</v>
      </c>
      <c r="B262" s="34">
        <v>140.63999999999999</v>
      </c>
      <c r="C262" s="31">
        <v>619.77068484660674</v>
      </c>
      <c r="D262" s="31">
        <v>87.565674255691775</v>
      </c>
      <c r="E262" s="32">
        <v>1574.2</v>
      </c>
      <c r="F262" s="35">
        <v>2640.7</v>
      </c>
      <c r="G262" s="36">
        <v>3.6282000000000001</v>
      </c>
      <c r="H262" s="36">
        <v>5.3764000000000003</v>
      </c>
      <c r="I262" s="36">
        <v>7.84853482223438</v>
      </c>
      <c r="J262" s="36">
        <v>11.349453520334862</v>
      </c>
    </row>
    <row r="263" spans="1:10" x14ac:dyDescent="0.3">
      <c r="A263" s="32">
        <v>338</v>
      </c>
      <c r="B263" s="34">
        <v>142.41999999999999</v>
      </c>
      <c r="C263" s="31">
        <v>616.63686255164339</v>
      </c>
      <c r="D263" s="31">
        <v>89.285714285714292</v>
      </c>
      <c r="E263" s="32">
        <v>1581.2</v>
      </c>
      <c r="F263" s="35">
        <v>2636</v>
      </c>
      <c r="G263" s="36">
        <v>3.6392000000000002</v>
      </c>
      <c r="H263" s="36">
        <v>5.3653000000000004</v>
      </c>
      <c r="I263" s="36">
        <v>7.9642147306558417</v>
      </c>
      <c r="J263" s="36">
        <v>11.63058910043193</v>
      </c>
    </row>
    <row r="264" spans="1:10" x14ac:dyDescent="0.3">
      <c r="A264" s="32">
        <v>339</v>
      </c>
      <c r="B264" s="34">
        <v>144.22999999999999</v>
      </c>
      <c r="C264" s="31">
        <v>613.45929697564566</v>
      </c>
      <c r="D264" s="31">
        <v>99.108027750247771</v>
      </c>
      <c r="E264" s="32">
        <v>1588.3</v>
      </c>
      <c r="F264" s="35">
        <v>2631.2</v>
      </c>
      <c r="G264" s="36">
        <v>3.6503999999999999</v>
      </c>
      <c r="H264" s="36">
        <v>5.3540999999999999</v>
      </c>
      <c r="I264" s="36">
        <v>8.0866912396772435</v>
      </c>
      <c r="J264" s="36">
        <v>11.927449404013871</v>
      </c>
    </row>
    <row r="265" spans="1:10" x14ac:dyDescent="0.3">
      <c r="A265" s="32">
        <v>340</v>
      </c>
      <c r="B265" s="34">
        <v>146.05000000000001</v>
      </c>
      <c r="C265" s="31">
        <v>610.23982425093061</v>
      </c>
      <c r="D265" s="31">
        <v>92.764378478664199</v>
      </c>
      <c r="E265" s="32">
        <v>1595.5</v>
      </c>
      <c r="F265" s="35">
        <v>2626.2</v>
      </c>
      <c r="G265" s="36">
        <v>3.6616</v>
      </c>
      <c r="H265" s="36">
        <v>5.3426999999999998</v>
      </c>
      <c r="I265" s="36">
        <v>8.2165653506162588</v>
      </c>
      <c r="J265" s="36">
        <v>12.24122498768374</v>
      </c>
    </row>
    <row r="266" spans="1:10" x14ac:dyDescent="0.3">
      <c r="A266" s="32">
        <v>341</v>
      </c>
      <c r="B266" s="34">
        <v>147.88999999999999</v>
      </c>
      <c r="C266" s="31">
        <v>606.94343287205641</v>
      </c>
      <c r="D266" s="31">
        <v>94.607379375591307</v>
      </c>
      <c r="E266" s="32">
        <v>1602.7</v>
      </c>
      <c r="F266" s="35">
        <v>2621</v>
      </c>
      <c r="G266" s="36">
        <v>3.6728999999999998</v>
      </c>
      <c r="H266" s="36">
        <v>5.3311999999999999</v>
      </c>
      <c r="I266" s="36">
        <v>8.3544960064456735</v>
      </c>
      <c r="J266" s="36">
        <v>12.573194481640289</v>
      </c>
    </row>
    <row r="267" spans="1:10" x14ac:dyDescent="0.3">
      <c r="A267" s="32">
        <v>342</v>
      </c>
      <c r="B267" s="34">
        <v>149.76</v>
      </c>
      <c r="C267" s="31">
        <v>603.60958532021482</v>
      </c>
      <c r="D267" s="31">
        <v>96.432015429122458</v>
      </c>
      <c r="E267" s="32">
        <v>1610</v>
      </c>
      <c r="F267" s="35">
        <v>2615.6999999999998</v>
      </c>
      <c r="G267" s="36">
        <v>3.6844000000000001</v>
      </c>
      <c r="H267" s="36">
        <v>5.3190999999999997</v>
      </c>
      <c r="I267" s="36">
        <v>8.5012047242660547</v>
      </c>
      <c r="J267" s="36">
        <v>12.924729860671926</v>
      </c>
    </row>
    <row r="268" spans="1:10" x14ac:dyDescent="0.3">
      <c r="A268" s="32">
        <v>343</v>
      </c>
      <c r="B268" s="34">
        <v>151.63999999999999</v>
      </c>
      <c r="C268" s="31">
        <v>600.20406938359042</v>
      </c>
      <c r="D268" s="31">
        <v>98.425196850393689</v>
      </c>
      <c r="E268" s="32">
        <v>1617.5</v>
      </c>
      <c r="F268" s="35">
        <v>2610.3000000000002</v>
      </c>
      <c r="G268" s="36">
        <v>3.6959</v>
      </c>
      <c r="H268" s="36">
        <v>5.3074000000000003</v>
      </c>
      <c r="I268" s="36">
        <v>8.6574803816502559</v>
      </c>
      <c r="J268" s="36">
        <v>13.297301968436363</v>
      </c>
    </row>
    <row r="269" spans="1:10" x14ac:dyDescent="0.3">
      <c r="A269" s="32">
        <v>344</v>
      </c>
      <c r="B269" s="34">
        <v>153.54</v>
      </c>
      <c r="C269" s="31">
        <v>596.7299200381907</v>
      </c>
      <c r="D269" s="31">
        <v>100.3814495081309</v>
      </c>
      <c r="E269" s="32">
        <v>1624.9</v>
      </c>
      <c r="F269" s="35">
        <v>2604.6999999999998</v>
      </c>
      <c r="G269" s="36">
        <v>3.7075</v>
      </c>
      <c r="H269" s="36">
        <v>5.2952000000000004</v>
      </c>
      <c r="I269" s="36">
        <v>8.8241841217247199</v>
      </c>
      <c r="J269" s="36">
        <v>13.692486317147333</v>
      </c>
    </row>
    <row r="270" spans="1:10" x14ac:dyDescent="0.3">
      <c r="A270" s="32">
        <v>345</v>
      </c>
      <c r="B270" s="34">
        <v>155.44999999999999</v>
      </c>
      <c r="C270" s="31">
        <v>593.19017677067268</v>
      </c>
      <c r="D270" s="31">
        <v>102.42753252074156</v>
      </c>
      <c r="E270" s="32">
        <v>1632.5</v>
      </c>
      <c r="F270" s="35">
        <v>2598.9</v>
      </c>
      <c r="G270" s="36">
        <v>3.7193000000000001</v>
      </c>
      <c r="H270" s="36">
        <v>5.2827999999999999</v>
      </c>
      <c r="I270" s="36">
        <v>9.0022543329019733</v>
      </c>
      <c r="J270" s="36">
        <v>14.111969189529656</v>
      </c>
    </row>
    <row r="271" spans="1:10" x14ac:dyDescent="0.3">
      <c r="A271" s="32">
        <v>346</v>
      </c>
      <c r="B271" s="34">
        <v>157.38999999999999</v>
      </c>
      <c r="C271" s="31">
        <v>589.58787807322676</v>
      </c>
      <c r="D271" s="31">
        <v>104.53690152623876</v>
      </c>
      <c r="E271" s="32">
        <v>1640.2</v>
      </c>
      <c r="F271" s="35">
        <v>2593</v>
      </c>
      <c r="G271" s="36">
        <v>3.7311000000000001</v>
      </c>
      <c r="H271" s="36">
        <v>5.2702</v>
      </c>
      <c r="I271" s="36">
        <v>9.1927116493878778</v>
      </c>
      <c r="J271" s="36">
        <v>14.557554075686827</v>
      </c>
    </row>
    <row r="272" spans="1:10" x14ac:dyDescent="0.3">
      <c r="A272" s="32">
        <v>347</v>
      </c>
      <c r="B272" s="34">
        <v>159.35</v>
      </c>
      <c r="C272" s="31">
        <v>585.92605613171622</v>
      </c>
      <c r="D272" s="31">
        <v>106.71219720414042</v>
      </c>
      <c r="E272" s="32">
        <v>1648</v>
      </c>
      <c r="F272" s="35">
        <v>2586.9</v>
      </c>
      <c r="G272" s="36">
        <v>3.7431000000000001</v>
      </c>
      <c r="H272" s="36">
        <v>5.2573999999999996</v>
      </c>
      <c r="I272" s="36">
        <v>9.3966639074630027</v>
      </c>
      <c r="J272" s="36">
        <v>15.031168484497618</v>
      </c>
    </row>
    <row r="273" spans="1:10" x14ac:dyDescent="0.3">
      <c r="A273" s="32">
        <v>348</v>
      </c>
      <c r="B273" s="34">
        <v>161.33000000000001</v>
      </c>
      <c r="C273" s="31">
        <v>582.13994644312493</v>
      </c>
      <c r="D273" s="31">
        <v>108.95619960775768</v>
      </c>
      <c r="E273" s="32">
        <v>1655.8</v>
      </c>
      <c r="F273" s="35">
        <v>2580.6999999999998</v>
      </c>
      <c r="G273" s="36">
        <v>3.7553000000000001</v>
      </c>
      <c r="H273" s="36">
        <v>5.2443999999999997</v>
      </c>
      <c r="I273" s="36">
        <v>9.6153109802439616</v>
      </c>
      <c r="J273" s="36">
        <v>15.534871177675006</v>
      </c>
    </row>
    <row r="274" spans="1:10" x14ac:dyDescent="0.3">
      <c r="A274" s="32">
        <v>349</v>
      </c>
      <c r="B274" s="34">
        <v>163.33000000000001</v>
      </c>
      <c r="C274" s="31">
        <v>578.30210501966224</v>
      </c>
      <c r="D274" s="31">
        <v>111.25945705384959</v>
      </c>
      <c r="E274" s="32">
        <v>1663.8</v>
      </c>
      <c r="F274" s="35">
        <v>2574.1999999999998</v>
      </c>
      <c r="G274" s="36">
        <v>3.7675999999999998</v>
      </c>
      <c r="H274" s="36">
        <v>5.2310999999999996</v>
      </c>
      <c r="I274" s="36">
        <v>9.8499494002307824</v>
      </c>
      <c r="J274" s="36">
        <v>16.070859884981388</v>
      </c>
    </row>
    <row r="275" spans="1:10" x14ac:dyDescent="0.3">
      <c r="A275" s="32">
        <v>350</v>
      </c>
      <c r="B275" s="34">
        <v>165.35</v>
      </c>
      <c r="C275" s="31">
        <v>574.34954913560398</v>
      </c>
      <c r="D275" s="31">
        <v>113.64927832708263</v>
      </c>
      <c r="E275" s="32">
        <v>1671.9</v>
      </c>
      <c r="F275" s="35">
        <v>2567.6999999999998</v>
      </c>
      <c r="G275" s="36">
        <v>3.78</v>
      </c>
      <c r="H275" s="36">
        <v>5.2176999999999998</v>
      </c>
      <c r="I275" s="36">
        <v>10.101976664058501</v>
      </c>
      <c r="J275" s="36">
        <v>16.641479571884936</v>
      </c>
    </row>
    <row r="276" spans="1:10" x14ac:dyDescent="0.3">
      <c r="A276" s="32">
        <v>351</v>
      </c>
      <c r="B276" s="34">
        <v>167.39</v>
      </c>
      <c r="C276" s="31">
        <v>570.38558065252118</v>
      </c>
      <c r="D276" s="31">
        <v>116.15750958299454</v>
      </c>
      <c r="E276" s="32">
        <v>1680.4</v>
      </c>
      <c r="F276" s="35">
        <v>2560.6999999999998</v>
      </c>
      <c r="G276" s="36">
        <v>3.7932999999999999</v>
      </c>
      <c r="H276" s="36">
        <v>5.2035999999999998</v>
      </c>
      <c r="I276" s="36">
        <v>10.407748312875432</v>
      </c>
      <c r="J276" s="36">
        <v>17.35837448384132</v>
      </c>
    </row>
    <row r="277" spans="1:10" x14ac:dyDescent="0.3">
      <c r="A277" s="32">
        <v>352</v>
      </c>
      <c r="B277" s="34">
        <v>169.45</v>
      </c>
      <c r="C277" s="31">
        <v>566.21935337749846</v>
      </c>
      <c r="D277" s="31">
        <v>118.76484560570071</v>
      </c>
      <c r="E277" s="32">
        <v>1689.3</v>
      </c>
      <c r="F277" s="35">
        <v>2553.5</v>
      </c>
      <c r="G277" s="36">
        <v>3.8071000000000002</v>
      </c>
      <c r="H277" s="36">
        <v>5.1893000000000002</v>
      </c>
      <c r="I277" s="36">
        <v>10.720205404650397</v>
      </c>
      <c r="J277" s="36">
        <v>18.08420578908736</v>
      </c>
    </row>
    <row r="278" spans="1:10" x14ac:dyDescent="0.3">
      <c r="A278" s="32">
        <v>353</v>
      </c>
      <c r="B278" s="34">
        <v>171.54</v>
      </c>
      <c r="C278" s="31">
        <v>561.9240278714318</v>
      </c>
      <c r="D278" s="31">
        <v>121.47716229348883</v>
      </c>
      <c r="E278" s="32">
        <v>1698.4</v>
      </c>
      <c r="F278" s="35">
        <v>2546.1</v>
      </c>
      <c r="G278" s="36">
        <v>3.8209</v>
      </c>
      <c r="H278" s="36">
        <v>5.1745999999999999</v>
      </c>
      <c r="I278" s="36">
        <v>11.06287812560606</v>
      </c>
      <c r="J278" s="36">
        <v>18.878215983999507</v>
      </c>
    </row>
    <row r="279" spans="1:10" x14ac:dyDescent="0.3">
      <c r="A279" s="32">
        <v>354</v>
      </c>
      <c r="B279" s="34">
        <v>173.64</v>
      </c>
      <c r="C279" s="31">
        <v>557.50682945866083</v>
      </c>
      <c r="D279" s="31">
        <v>124.30080795525171</v>
      </c>
      <c r="E279" s="32">
        <v>1707.5</v>
      </c>
      <c r="F279" s="35">
        <v>2538.4</v>
      </c>
      <c r="G279" s="36">
        <v>3.8349000000000002</v>
      </c>
      <c r="H279" s="36">
        <v>5.1596000000000002</v>
      </c>
      <c r="I279" s="36">
        <v>11.440360053117372</v>
      </c>
      <c r="J279" s="36">
        <v>19.750578788096671</v>
      </c>
    </row>
    <row r="280" spans="1:10" x14ac:dyDescent="0.3">
      <c r="A280" s="32">
        <v>355</v>
      </c>
      <c r="B280" s="34">
        <v>175.77</v>
      </c>
      <c r="C280" s="31">
        <v>552.94442908487702</v>
      </c>
      <c r="D280" s="31">
        <v>127.2426517368622</v>
      </c>
      <c r="E280" s="32">
        <v>1716.6</v>
      </c>
      <c r="F280" s="35">
        <v>2530.4</v>
      </c>
      <c r="G280" s="36">
        <v>3.8489</v>
      </c>
      <c r="H280" s="36">
        <v>5.1441999999999997</v>
      </c>
      <c r="I280" s="36">
        <v>11.858406810493163</v>
      </c>
      <c r="J280" s="36">
        <v>20.713635986778389</v>
      </c>
    </row>
    <row r="281" spans="1:10" x14ac:dyDescent="0.3">
      <c r="A281" s="32">
        <v>356</v>
      </c>
      <c r="B281" s="34">
        <v>177.92</v>
      </c>
      <c r="C281" s="31">
        <v>548.21555835754623</v>
      </c>
      <c r="D281" s="31">
        <v>130.31013812874642</v>
      </c>
      <c r="E281" s="32">
        <v>1725.9</v>
      </c>
      <c r="F281" s="35">
        <v>2522.1</v>
      </c>
      <c r="G281" s="36">
        <v>3.8628999999999998</v>
      </c>
      <c r="H281" s="36">
        <v>5.1283000000000003</v>
      </c>
      <c r="I281" s="36">
        <v>12.323868627734699</v>
      </c>
      <c r="J281" s="36">
        <v>21.782465653883676</v>
      </c>
    </row>
    <row r="282" spans="1:10" x14ac:dyDescent="0.3">
      <c r="A282" s="32">
        <v>357</v>
      </c>
      <c r="B282" s="34">
        <v>180.09</v>
      </c>
      <c r="C282" s="31">
        <v>543.30109746821688</v>
      </c>
      <c r="D282" s="31">
        <v>133.51134846461949</v>
      </c>
      <c r="E282" s="32">
        <v>1735.2</v>
      </c>
      <c r="F282" s="35">
        <v>2513.5</v>
      </c>
      <c r="G282" s="36">
        <v>3.8772000000000002</v>
      </c>
      <c r="H282" s="36">
        <v>5.1120999999999999</v>
      </c>
      <c r="I282" s="36">
        <v>12.845456167794792</v>
      </c>
      <c r="J282" s="36">
        <v>22.975730989179496</v>
      </c>
    </row>
    <row r="283" spans="1:10" x14ac:dyDescent="0.3">
      <c r="A283" s="32">
        <v>358</v>
      </c>
      <c r="B283" s="34">
        <v>182.29</v>
      </c>
      <c r="C283" s="31">
        <v>538.2131324004306</v>
      </c>
      <c r="D283" s="31">
        <v>136.87380235422941</v>
      </c>
      <c r="E283" s="32">
        <v>1744.7</v>
      </c>
      <c r="F283" s="35">
        <v>2504.6</v>
      </c>
      <c r="G283" s="36">
        <v>3.8915000000000002</v>
      </c>
      <c r="H283" s="36">
        <v>5.0952999999999999</v>
      </c>
      <c r="I283" s="36">
        <v>13.434313765949955</v>
      </c>
      <c r="J283" s="36">
        <v>24.316773796905178</v>
      </c>
    </row>
    <row r="284" spans="1:10" x14ac:dyDescent="0.3">
      <c r="A284" s="32">
        <v>359</v>
      </c>
      <c r="B284" s="34">
        <v>184.51</v>
      </c>
      <c r="C284" s="31">
        <v>532.93540822852265</v>
      </c>
      <c r="D284" s="31">
        <v>140.39028499227854</v>
      </c>
      <c r="E284" s="32">
        <v>1754.3</v>
      </c>
      <c r="F284" s="35">
        <v>2495.1999999999998</v>
      </c>
      <c r="G284" s="36">
        <v>3.9060999999999999</v>
      </c>
      <c r="H284" s="36">
        <v>5.0780000000000003</v>
      </c>
      <c r="I284" s="36">
        <v>14.104479385825984</v>
      </c>
      <c r="J284" s="36">
        <v>25.835193033970999</v>
      </c>
    </row>
    <row r="285" spans="1:10" x14ac:dyDescent="0.3">
      <c r="A285" s="32">
        <v>360</v>
      </c>
      <c r="B285" s="34">
        <v>186.75</v>
      </c>
      <c r="C285" s="31">
        <v>527.45397964027632</v>
      </c>
      <c r="D285" s="31">
        <v>144.09221902017291</v>
      </c>
      <c r="E285" s="32">
        <v>1764.2</v>
      </c>
      <c r="F285" s="35">
        <v>2485.4</v>
      </c>
      <c r="G285" s="36">
        <v>3.9209999999999998</v>
      </c>
      <c r="H285" s="36">
        <v>5.0599999999999996</v>
      </c>
      <c r="I285" s="36">
        <v>14.874373336264895</v>
      </c>
      <c r="J285" s="36">
        <v>27.56912930654104</v>
      </c>
    </row>
    <row r="286" spans="1:10" x14ac:dyDescent="0.3">
      <c r="A286" s="32">
        <v>361</v>
      </c>
      <c r="B286" s="34">
        <v>189.02</v>
      </c>
      <c r="C286" s="31">
        <v>521.73005686857618</v>
      </c>
      <c r="D286" s="31">
        <v>147.9946721918011</v>
      </c>
      <c r="E286" s="32">
        <v>1774.2</v>
      </c>
      <c r="F286" s="35">
        <v>2475.1999999999998</v>
      </c>
      <c r="G286" s="36">
        <v>3.9361999999999999</v>
      </c>
      <c r="H286" s="36">
        <v>5.0414000000000003</v>
      </c>
      <c r="I286" s="36">
        <v>15.768251096031932</v>
      </c>
      <c r="J286" s="36">
        <v>29.568596488580162</v>
      </c>
    </row>
    <row r="287" spans="1:10" x14ac:dyDescent="0.3">
      <c r="A287" s="32">
        <v>362</v>
      </c>
      <c r="B287" s="34">
        <v>191.31</v>
      </c>
      <c r="C287" s="31">
        <v>515.7829585310501</v>
      </c>
      <c r="D287" s="31">
        <v>152.13753232922562</v>
      </c>
      <c r="E287" s="32">
        <v>1784.6</v>
      </c>
      <c r="F287" s="35">
        <v>2464.4</v>
      </c>
      <c r="G287" s="36">
        <v>3.9518</v>
      </c>
      <c r="H287" s="36">
        <v>5.0220000000000002</v>
      </c>
      <c r="I287" s="36">
        <v>16.818847572579482</v>
      </c>
      <c r="J287" s="36">
        <v>31.900477371654002</v>
      </c>
    </row>
    <row r="288" spans="1:10" x14ac:dyDescent="0.3">
      <c r="A288" s="32">
        <v>363</v>
      </c>
      <c r="B288" s="34">
        <v>193.62</v>
      </c>
      <c r="C288" s="31">
        <v>509.52817690818301</v>
      </c>
      <c r="D288" s="31">
        <v>156.54351909830933</v>
      </c>
      <c r="E288" s="32">
        <v>1795.3</v>
      </c>
      <c r="F288" s="35">
        <v>2453</v>
      </c>
      <c r="G288" s="36">
        <v>3.9679000000000002</v>
      </c>
      <c r="H288" s="36">
        <v>5.0016999999999996</v>
      </c>
      <c r="I288" s="36">
        <v>18.071941888603124</v>
      </c>
      <c r="J288" s="36">
        <v>34.656371431061686</v>
      </c>
    </row>
    <row r="289" spans="1:10" x14ac:dyDescent="0.3">
      <c r="A289" s="32">
        <v>364</v>
      </c>
      <c r="B289" s="34">
        <v>195.96</v>
      </c>
      <c r="C289" s="31">
        <v>502.96750829896393</v>
      </c>
      <c r="D289" s="31">
        <v>161.26431220770843</v>
      </c>
      <c r="E289" s="32">
        <v>1806.4</v>
      </c>
      <c r="F289" s="35">
        <v>2440.9</v>
      </c>
      <c r="G289" s="36">
        <v>3.9845999999999999</v>
      </c>
      <c r="H289" s="36">
        <v>4.9804000000000004</v>
      </c>
      <c r="I289" s="36">
        <v>19.592034234675623</v>
      </c>
      <c r="J289" s="36">
        <v>37.965055210904858</v>
      </c>
    </row>
    <row r="290" spans="1:10" x14ac:dyDescent="0.3">
      <c r="A290" s="32">
        <v>365</v>
      </c>
      <c r="B290" s="34">
        <v>198.33</v>
      </c>
      <c r="C290" s="31">
        <v>496.03174603174602</v>
      </c>
      <c r="D290" s="31">
        <v>166.33399866932803</v>
      </c>
      <c r="E290" s="32">
        <v>1818</v>
      </c>
      <c r="F290" s="35">
        <v>2428</v>
      </c>
      <c r="G290" s="36">
        <v>4.0021000000000004</v>
      </c>
      <c r="H290" s="36">
        <v>4.9579000000000004</v>
      </c>
      <c r="I290" s="36">
        <v>21.474448650998315</v>
      </c>
      <c r="J290" s="36">
        <v>42.013536893632313</v>
      </c>
    </row>
    <row r="291" spans="1:10" x14ac:dyDescent="0.3">
      <c r="A291" s="32">
        <v>366</v>
      </c>
      <c r="B291" s="34">
        <v>200.72</v>
      </c>
      <c r="C291" s="31">
        <v>488.66301798279909</v>
      </c>
      <c r="D291" s="31">
        <v>171.85083347654236</v>
      </c>
      <c r="E291" s="32">
        <v>1830.2</v>
      </c>
      <c r="F291" s="35">
        <v>2414.1</v>
      </c>
      <c r="G291" s="36">
        <v>4.0205000000000002</v>
      </c>
      <c r="H291" s="36">
        <v>4.9339000000000004</v>
      </c>
      <c r="I291" s="36">
        <v>23.86491706520842</v>
      </c>
      <c r="J291" s="36">
        <v>47.083929040404101</v>
      </c>
    </row>
    <row r="292" spans="1:10" x14ac:dyDescent="0.3">
      <c r="A292" s="32">
        <v>367</v>
      </c>
      <c r="B292" s="34">
        <v>203.13</v>
      </c>
      <c r="C292" s="31">
        <v>480.72300740313432</v>
      </c>
      <c r="D292" s="31">
        <v>177.90428749332858</v>
      </c>
      <c r="E292" s="32">
        <v>1843.2</v>
      </c>
      <c r="F292" s="35">
        <v>2399</v>
      </c>
      <c r="G292" s="36">
        <v>4.0400999999999998</v>
      </c>
      <c r="H292" s="36">
        <v>4.9081000000000001</v>
      </c>
      <c r="I292" s="36">
        <v>26.998197856687025</v>
      </c>
      <c r="J292" s="36">
        <v>53.622431136083719</v>
      </c>
    </row>
    <row r="293" spans="1:10" x14ac:dyDescent="0.3">
      <c r="A293" s="32">
        <v>368</v>
      </c>
      <c r="B293" s="34">
        <v>205.57</v>
      </c>
      <c r="C293" s="31">
        <v>472.12124073462064</v>
      </c>
      <c r="D293" s="31">
        <v>184.63810930576071</v>
      </c>
      <c r="E293" s="32">
        <v>1857.3</v>
      </c>
      <c r="F293" s="35">
        <v>2382.4</v>
      </c>
      <c r="G293" s="36">
        <v>4.0613000000000001</v>
      </c>
      <c r="H293" s="36">
        <v>4.8800999999999997</v>
      </c>
      <c r="I293" s="36">
        <v>31.277360987260931</v>
      </c>
      <c r="J293" s="36">
        <v>62.378791757763601</v>
      </c>
    </row>
    <row r="294" spans="1:10" x14ac:dyDescent="0.3">
      <c r="A294" s="32">
        <v>369</v>
      </c>
      <c r="B294" s="34">
        <v>208.04</v>
      </c>
      <c r="C294" s="31">
        <v>462.57748172818941</v>
      </c>
      <c r="D294" s="31">
        <v>192.27071716977505</v>
      </c>
      <c r="E294" s="32">
        <v>1872.8</v>
      </c>
      <c r="F294" s="35">
        <v>2363.9</v>
      </c>
      <c r="G294" s="36">
        <v>4.0846</v>
      </c>
      <c r="H294" s="36">
        <v>4.8491999999999997</v>
      </c>
      <c r="I294" s="36">
        <v>37.454782120537416</v>
      </c>
      <c r="J294" s="36">
        <v>74.716932857538666</v>
      </c>
    </row>
    <row r="295" spans="1:10" x14ac:dyDescent="0.3">
      <c r="A295" s="32">
        <v>370</v>
      </c>
      <c r="B295" s="34">
        <v>210.54</v>
      </c>
      <c r="C295" s="31">
        <v>451.75280086736535</v>
      </c>
      <c r="D295" s="31">
        <v>201.08586366378444</v>
      </c>
      <c r="E295" s="32">
        <v>1890.2</v>
      </c>
      <c r="F295" s="35">
        <v>2342.8000000000002</v>
      </c>
      <c r="G295" s="36">
        <v>4.1108000000000002</v>
      </c>
      <c r="H295" s="36">
        <v>4.8144</v>
      </c>
      <c r="I295" s="36">
        <v>47.100121990116932</v>
      </c>
      <c r="J295" s="36">
        <v>93.406516210068006</v>
      </c>
    </row>
    <row r="296" spans="1:10" x14ac:dyDescent="0.3">
      <c r="A296" s="32">
        <v>371</v>
      </c>
      <c r="B296" s="34">
        <v>213.06</v>
      </c>
      <c r="C296" s="31">
        <v>439.02010712090612</v>
      </c>
      <c r="D296" s="31">
        <v>211.72983273343215</v>
      </c>
      <c r="E296" s="32">
        <v>1910.5</v>
      </c>
      <c r="F296" s="35">
        <v>2317.9</v>
      </c>
      <c r="G296" s="36">
        <v>4.1414</v>
      </c>
      <c r="H296" s="36">
        <v>4.7737999999999996</v>
      </c>
      <c r="I296" s="36">
        <v>64.102763862943277</v>
      </c>
      <c r="J296" s="36">
        <v>125.06270498737815</v>
      </c>
    </row>
    <row r="297" spans="1:10" x14ac:dyDescent="0.3">
      <c r="A297" s="32">
        <v>372</v>
      </c>
      <c r="B297" s="34">
        <v>215.62</v>
      </c>
      <c r="C297" s="31">
        <v>423.08343205280079</v>
      </c>
      <c r="D297" s="31">
        <v>225.27596305474205</v>
      </c>
      <c r="E297" s="32">
        <v>1935.6</v>
      </c>
      <c r="F297" s="35">
        <v>2286.9</v>
      </c>
      <c r="G297" s="36">
        <v>4.1794000000000002</v>
      </c>
      <c r="H297" s="36">
        <v>4.7240000000000002</v>
      </c>
      <c r="I297" s="36">
        <v>101.15566477459963</v>
      </c>
      <c r="J297" s="36">
        <v>190.32272588317258</v>
      </c>
    </row>
    <row r="298" spans="1:10" x14ac:dyDescent="0.3">
      <c r="A298" s="32">
        <v>373</v>
      </c>
      <c r="B298" s="34">
        <v>218.2</v>
      </c>
      <c r="C298" s="31">
        <v>400.59287745863878</v>
      </c>
      <c r="D298" s="31">
        <v>244.85798237022527</v>
      </c>
      <c r="E298" s="32">
        <v>1970.5</v>
      </c>
      <c r="F298" s="35">
        <v>2244</v>
      </c>
      <c r="G298" s="36">
        <v>4.2324999999999999</v>
      </c>
      <c r="H298" s="36">
        <v>4.6558999999999999</v>
      </c>
      <c r="I298" s="36">
        <v>231.90238061693833</v>
      </c>
      <c r="J298" s="36">
        <v>401.15602935794044</v>
      </c>
    </row>
    <row r="299" spans="1:10" x14ac:dyDescent="0.3">
      <c r="A299" s="32">
        <v>374</v>
      </c>
      <c r="B299" s="34">
        <v>220.81</v>
      </c>
      <c r="C299" s="31">
        <v>352.02590910691026</v>
      </c>
      <c r="D299" s="31">
        <v>289.18449971081549</v>
      </c>
      <c r="E299" s="32">
        <v>2046.3</v>
      </c>
      <c r="F299" s="35">
        <v>2155</v>
      </c>
      <c r="G299" s="36">
        <v>4.3487</v>
      </c>
      <c r="H299" s="36">
        <v>4.5166000000000004</v>
      </c>
      <c r="I299" s="36"/>
      <c r="J299" s="38"/>
    </row>
    <row r="300" spans="1:10" x14ac:dyDescent="0.3">
      <c r="A300" s="41">
        <v>374.15</v>
      </c>
      <c r="B300" s="42">
        <v>221.2</v>
      </c>
      <c r="C300" s="43">
        <v>315.45741324921136</v>
      </c>
      <c r="D300" s="43">
        <v>315.45741324921136</v>
      </c>
      <c r="E300" s="44">
        <v>2107.4</v>
      </c>
      <c r="F300" s="45">
        <v>2107.4</v>
      </c>
      <c r="G300" s="46">
        <v>4.4428999999999998</v>
      </c>
      <c r="H300" s="46">
        <v>4.4428999999999998</v>
      </c>
      <c r="I300" s="40"/>
      <c r="J300" s="39"/>
    </row>
  </sheetData>
  <mergeCells count="3">
    <mergeCell ref="A1:J1"/>
    <mergeCell ref="A2:A3"/>
    <mergeCell ref="B2:B3"/>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691C38-F3C1-4904-B801-1113DBF6E8AF}">
  <dimension ref="A1"/>
  <sheetViews>
    <sheetView workbookViewId="0">
      <selection sqref="A1:A3"/>
    </sheetView>
  </sheetViews>
  <sheetFormatPr defaultRowHeight="13.8" x14ac:dyDescent="0.3"/>
  <cols>
    <col min="1" max="1" width="10.6640625" bestFit="1" customWidth="1"/>
  </cols>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E6A139-B533-49BD-8BA6-FC74F1F263C7}">
  <sheetPr codeName="Sayfa5"/>
  <dimension ref="A1:SA81"/>
  <sheetViews>
    <sheetView tabSelected="1" topLeftCell="A46" zoomScale="85" zoomScaleNormal="85" workbookViewId="0">
      <selection activeCell="L58" sqref="L58"/>
    </sheetView>
  </sheetViews>
  <sheetFormatPr defaultRowHeight="13.8" x14ac:dyDescent="0.3"/>
  <cols>
    <col min="1" max="1" width="19.6640625" customWidth="1"/>
    <col min="2" max="2" width="22" customWidth="1"/>
    <col min="3" max="3" width="10" bestFit="1" customWidth="1"/>
    <col min="9" max="9" width="9.44140625" bestFit="1" customWidth="1"/>
  </cols>
  <sheetData>
    <row r="1" spans="1:54" x14ac:dyDescent="0.3">
      <c r="C1" s="300" cm="1">
        <f t="array" ref="C1:BB1">_xlfn.SEQUENCE(1,52,2015,1)</f>
        <v>2015</v>
      </c>
      <c r="D1" s="300">
        <v>2016</v>
      </c>
      <c r="E1" s="300">
        <v>2017</v>
      </c>
      <c r="F1" s="300">
        <v>2018</v>
      </c>
      <c r="G1" s="300">
        <v>2019</v>
      </c>
      <c r="H1" s="300">
        <v>2020</v>
      </c>
      <c r="I1" s="300">
        <v>2021</v>
      </c>
      <c r="J1" s="300">
        <v>2022</v>
      </c>
      <c r="K1" s="300">
        <v>2023</v>
      </c>
      <c r="L1" s="300">
        <v>2024</v>
      </c>
      <c r="M1" s="300">
        <v>2025</v>
      </c>
      <c r="N1" s="300">
        <v>2026</v>
      </c>
      <c r="O1" s="300">
        <v>2027</v>
      </c>
      <c r="P1" s="300">
        <v>2028</v>
      </c>
      <c r="Q1" s="300">
        <v>2029</v>
      </c>
      <c r="R1" s="300">
        <v>2030</v>
      </c>
      <c r="S1" s="300">
        <v>2031</v>
      </c>
      <c r="T1" s="300">
        <v>2032</v>
      </c>
      <c r="U1" s="300">
        <v>2033</v>
      </c>
      <c r="V1" s="300">
        <v>2034</v>
      </c>
      <c r="W1" s="300">
        <v>2035</v>
      </c>
      <c r="X1" s="300">
        <v>2036</v>
      </c>
      <c r="Y1" s="300">
        <v>2037</v>
      </c>
      <c r="Z1" s="300">
        <v>2038</v>
      </c>
      <c r="AA1" s="300">
        <v>2039</v>
      </c>
      <c r="AB1" s="300">
        <v>2040</v>
      </c>
      <c r="AC1" s="300">
        <v>2041</v>
      </c>
      <c r="AD1" s="300">
        <v>2042</v>
      </c>
      <c r="AE1" s="300">
        <v>2043</v>
      </c>
      <c r="AF1" s="300">
        <v>2044</v>
      </c>
      <c r="AG1" s="300">
        <v>2045</v>
      </c>
      <c r="AH1" s="300">
        <v>2046</v>
      </c>
      <c r="AI1" s="300">
        <v>2047</v>
      </c>
      <c r="AJ1" s="300">
        <v>2048</v>
      </c>
      <c r="AK1" s="300">
        <v>2049</v>
      </c>
      <c r="AL1" s="300">
        <v>2050</v>
      </c>
      <c r="AM1" s="300">
        <v>2051</v>
      </c>
      <c r="AN1" s="300">
        <v>2052</v>
      </c>
      <c r="AO1" s="300">
        <v>2053</v>
      </c>
      <c r="AP1" s="300">
        <v>2054</v>
      </c>
      <c r="AQ1" s="300">
        <v>2055</v>
      </c>
      <c r="AR1" s="300">
        <v>2056</v>
      </c>
      <c r="AS1" s="300">
        <v>2057</v>
      </c>
      <c r="AT1" s="300">
        <v>2058</v>
      </c>
      <c r="AU1" s="300">
        <v>2059</v>
      </c>
      <c r="AV1" s="300">
        <v>2060</v>
      </c>
      <c r="AW1" s="300">
        <v>2061</v>
      </c>
      <c r="AX1" s="300">
        <v>2062</v>
      </c>
      <c r="AY1" s="300">
        <v>2063</v>
      </c>
      <c r="AZ1" s="300">
        <v>2064</v>
      </c>
      <c r="BA1" s="300">
        <v>2065</v>
      </c>
      <c r="BB1" s="300">
        <v>2066</v>
      </c>
    </row>
    <row r="2" spans="1:54" x14ac:dyDescent="0.3">
      <c r="A2" t="s">
        <v>147</v>
      </c>
      <c r="B2" t="s">
        <v>157</v>
      </c>
      <c r="C2">
        <v>5.23</v>
      </c>
      <c r="D2">
        <v>3.75</v>
      </c>
      <c r="E2">
        <v>5.92</v>
      </c>
      <c r="F2">
        <v>0</v>
      </c>
      <c r="G2">
        <v>0</v>
      </c>
      <c r="H2">
        <v>0</v>
      </c>
      <c r="I2">
        <v>0</v>
      </c>
      <c r="J2">
        <v>0</v>
      </c>
      <c r="K2">
        <v>0</v>
      </c>
      <c r="L2">
        <v>0</v>
      </c>
      <c r="M2">
        <v>0</v>
      </c>
      <c r="N2">
        <v>0</v>
      </c>
      <c r="O2">
        <v>0</v>
      </c>
      <c r="P2">
        <v>0</v>
      </c>
      <c r="Q2">
        <v>0</v>
      </c>
      <c r="R2">
        <v>0</v>
      </c>
      <c r="S2">
        <v>0</v>
      </c>
      <c r="T2">
        <v>0</v>
      </c>
      <c r="U2">
        <v>0</v>
      </c>
      <c r="V2">
        <v>0</v>
      </c>
      <c r="W2">
        <v>0</v>
      </c>
      <c r="X2">
        <v>0</v>
      </c>
      <c r="Y2">
        <v>0</v>
      </c>
      <c r="Z2">
        <v>0</v>
      </c>
      <c r="AA2">
        <v>0</v>
      </c>
      <c r="AB2">
        <v>0</v>
      </c>
      <c r="AC2">
        <v>0</v>
      </c>
      <c r="AD2">
        <v>0</v>
      </c>
      <c r="AE2">
        <v>0</v>
      </c>
      <c r="AF2">
        <v>0</v>
      </c>
      <c r="AG2">
        <v>0</v>
      </c>
      <c r="AH2">
        <v>0</v>
      </c>
      <c r="AI2">
        <v>0</v>
      </c>
      <c r="AJ2">
        <v>0</v>
      </c>
      <c r="AK2">
        <v>0</v>
      </c>
      <c r="AL2">
        <v>0</v>
      </c>
      <c r="AM2">
        <v>0</v>
      </c>
      <c r="AN2">
        <v>0</v>
      </c>
      <c r="AO2">
        <v>0</v>
      </c>
      <c r="AP2">
        <v>0</v>
      </c>
      <c r="AQ2">
        <v>0</v>
      </c>
      <c r="AR2">
        <v>0</v>
      </c>
      <c r="AS2">
        <v>0</v>
      </c>
      <c r="AT2">
        <v>0</v>
      </c>
      <c r="AU2">
        <v>0</v>
      </c>
      <c r="AV2">
        <v>0</v>
      </c>
      <c r="AW2">
        <v>0</v>
      </c>
      <c r="AX2">
        <v>0</v>
      </c>
      <c r="AY2">
        <v>0</v>
      </c>
      <c r="AZ2">
        <v>0</v>
      </c>
      <c r="BA2">
        <v>0</v>
      </c>
      <c r="BB2">
        <v>0</v>
      </c>
    </row>
    <row r="3" spans="1:54" x14ac:dyDescent="0.3">
      <c r="A3" t="s">
        <v>148</v>
      </c>
      <c r="B3" t="s">
        <v>158</v>
      </c>
      <c r="C3">
        <v>3.24</v>
      </c>
      <c r="D3">
        <v>-1.74</v>
      </c>
      <c r="E3">
        <v>12.41</v>
      </c>
      <c r="F3">
        <v>0</v>
      </c>
      <c r="G3">
        <v>0</v>
      </c>
      <c r="H3">
        <v>0</v>
      </c>
      <c r="I3">
        <v>0</v>
      </c>
      <c r="J3">
        <v>0</v>
      </c>
      <c r="K3">
        <v>0</v>
      </c>
      <c r="L3">
        <v>0</v>
      </c>
      <c r="M3">
        <v>0</v>
      </c>
      <c r="N3">
        <v>0</v>
      </c>
      <c r="O3">
        <v>0</v>
      </c>
      <c r="P3">
        <v>0</v>
      </c>
      <c r="Q3">
        <v>0</v>
      </c>
      <c r="R3">
        <v>0</v>
      </c>
      <c r="S3">
        <v>0</v>
      </c>
      <c r="T3">
        <v>0</v>
      </c>
      <c r="U3">
        <v>0</v>
      </c>
      <c r="V3">
        <v>0</v>
      </c>
      <c r="W3">
        <v>0</v>
      </c>
      <c r="X3">
        <v>0</v>
      </c>
      <c r="Y3">
        <v>0</v>
      </c>
      <c r="Z3">
        <v>0</v>
      </c>
      <c r="AA3">
        <v>0</v>
      </c>
      <c r="AB3">
        <v>0</v>
      </c>
      <c r="AC3">
        <v>0</v>
      </c>
      <c r="AD3">
        <v>0</v>
      </c>
      <c r="AE3">
        <v>0</v>
      </c>
      <c r="AF3">
        <v>0</v>
      </c>
      <c r="AG3">
        <v>0</v>
      </c>
      <c r="AH3">
        <v>0</v>
      </c>
      <c r="AI3">
        <v>0</v>
      </c>
      <c r="AJ3">
        <v>0</v>
      </c>
      <c r="AK3">
        <v>0</v>
      </c>
      <c r="AL3">
        <v>0</v>
      </c>
      <c r="AM3">
        <v>0</v>
      </c>
      <c r="AN3">
        <v>0</v>
      </c>
      <c r="AO3">
        <v>0</v>
      </c>
      <c r="AP3">
        <v>0</v>
      </c>
      <c r="AQ3">
        <v>0</v>
      </c>
      <c r="AR3">
        <v>0</v>
      </c>
      <c r="AS3">
        <v>0</v>
      </c>
      <c r="AT3">
        <v>0</v>
      </c>
      <c r="AU3">
        <v>0</v>
      </c>
      <c r="AV3">
        <v>0</v>
      </c>
      <c r="AW3">
        <v>0</v>
      </c>
      <c r="AX3">
        <v>0</v>
      </c>
      <c r="AY3">
        <v>0</v>
      </c>
      <c r="AZ3">
        <v>0</v>
      </c>
      <c r="BA3">
        <v>0</v>
      </c>
      <c r="BB3">
        <v>0</v>
      </c>
    </row>
    <row r="4" spans="1:54" x14ac:dyDescent="0.3">
      <c r="A4" t="s">
        <v>149</v>
      </c>
      <c r="B4" t="s">
        <v>159</v>
      </c>
      <c r="C4">
        <v>8.81</v>
      </c>
      <c r="D4">
        <v>8.5299999999999994</v>
      </c>
      <c r="E4">
        <v>11.92</v>
      </c>
      <c r="F4">
        <v>20.3</v>
      </c>
      <c r="G4">
        <v>11.84</v>
      </c>
      <c r="H4">
        <v>14.6</v>
      </c>
      <c r="I4">
        <v>36.1</v>
      </c>
      <c r="J4">
        <v>64.269597496178761</v>
      </c>
      <c r="K4">
        <v>64.77</v>
      </c>
      <c r="L4">
        <v>44.38</v>
      </c>
      <c r="M4">
        <v>30</v>
      </c>
      <c r="N4">
        <v>19.5</v>
      </c>
      <c r="O4">
        <v>17</v>
      </c>
      <c r="P4">
        <v>17</v>
      </c>
      <c r="Q4">
        <v>15</v>
      </c>
      <c r="R4">
        <v>15</v>
      </c>
      <c r="S4">
        <v>14</v>
      </c>
      <c r="T4">
        <v>13</v>
      </c>
      <c r="U4">
        <v>12</v>
      </c>
      <c r="V4">
        <v>12</v>
      </c>
      <c r="W4">
        <v>11</v>
      </c>
      <c r="X4">
        <v>11</v>
      </c>
      <c r="Y4">
        <v>10</v>
      </c>
      <c r="Z4">
        <v>10</v>
      </c>
      <c r="AA4">
        <v>10</v>
      </c>
      <c r="AB4">
        <v>10</v>
      </c>
      <c r="AC4">
        <v>10</v>
      </c>
      <c r="AD4">
        <v>10</v>
      </c>
      <c r="AE4">
        <v>10</v>
      </c>
      <c r="AF4">
        <v>10</v>
      </c>
      <c r="AG4">
        <v>10</v>
      </c>
      <c r="AH4">
        <v>10</v>
      </c>
      <c r="AI4">
        <v>10</v>
      </c>
      <c r="AJ4">
        <v>10</v>
      </c>
      <c r="AK4">
        <v>10</v>
      </c>
      <c r="AL4">
        <v>10</v>
      </c>
      <c r="AM4">
        <v>10</v>
      </c>
      <c r="AN4">
        <v>10</v>
      </c>
      <c r="AO4">
        <v>10</v>
      </c>
      <c r="AP4">
        <v>10</v>
      </c>
      <c r="AQ4">
        <v>10</v>
      </c>
      <c r="AR4">
        <v>10</v>
      </c>
      <c r="AS4">
        <v>10</v>
      </c>
      <c r="AT4">
        <v>10</v>
      </c>
      <c r="AU4">
        <v>10</v>
      </c>
      <c r="AV4">
        <v>10</v>
      </c>
      <c r="AW4">
        <v>10</v>
      </c>
      <c r="AX4">
        <v>10</v>
      </c>
      <c r="AY4">
        <v>10</v>
      </c>
      <c r="AZ4">
        <v>10</v>
      </c>
      <c r="BA4">
        <v>10</v>
      </c>
      <c r="BB4">
        <v>10</v>
      </c>
    </row>
    <row r="5" spans="1:54" x14ac:dyDescent="0.3">
      <c r="A5" t="s">
        <v>150</v>
      </c>
      <c r="B5" t="s">
        <v>160</v>
      </c>
      <c r="C5">
        <v>7.67</v>
      </c>
      <c r="D5">
        <v>7.78</v>
      </c>
      <c r="E5">
        <v>11.14</v>
      </c>
      <c r="F5">
        <v>16.329999999999998</v>
      </c>
      <c r="G5">
        <v>15.2</v>
      </c>
      <c r="H5">
        <v>12.28</v>
      </c>
      <c r="I5">
        <v>19.600000000000001</v>
      </c>
      <c r="J5">
        <v>72.3</v>
      </c>
      <c r="K5">
        <v>53.86</v>
      </c>
      <c r="L5">
        <v>58.51</v>
      </c>
      <c r="M5">
        <v>34.6</v>
      </c>
      <c r="N5">
        <v>22.8</v>
      </c>
      <c r="O5">
        <v>18.25</v>
      </c>
      <c r="P5">
        <v>17</v>
      </c>
      <c r="Q5">
        <v>16</v>
      </c>
      <c r="R5">
        <v>15</v>
      </c>
      <c r="S5">
        <v>14.5</v>
      </c>
      <c r="T5">
        <v>13.5</v>
      </c>
      <c r="U5">
        <v>12.5</v>
      </c>
      <c r="V5">
        <v>12</v>
      </c>
      <c r="W5">
        <v>11.5</v>
      </c>
      <c r="X5">
        <v>11</v>
      </c>
      <c r="Y5">
        <v>10.5</v>
      </c>
      <c r="Z5">
        <v>10</v>
      </c>
      <c r="AA5">
        <v>10</v>
      </c>
      <c r="AB5">
        <v>10</v>
      </c>
      <c r="AC5">
        <v>10</v>
      </c>
      <c r="AD5">
        <v>10</v>
      </c>
      <c r="AE5">
        <v>10</v>
      </c>
      <c r="AF5">
        <v>10</v>
      </c>
      <c r="AG5">
        <v>10</v>
      </c>
      <c r="AH5">
        <v>10</v>
      </c>
      <c r="AI5">
        <v>10</v>
      </c>
      <c r="AJ5">
        <v>10</v>
      </c>
      <c r="AK5">
        <v>10</v>
      </c>
      <c r="AL5">
        <v>10</v>
      </c>
      <c r="AM5">
        <v>10</v>
      </c>
      <c r="AN5">
        <v>10</v>
      </c>
      <c r="AO5">
        <v>10</v>
      </c>
      <c r="AP5">
        <v>10</v>
      </c>
      <c r="AQ5">
        <v>10</v>
      </c>
      <c r="AR5">
        <v>10</v>
      </c>
      <c r="AS5">
        <v>10</v>
      </c>
      <c r="AT5">
        <v>10</v>
      </c>
      <c r="AU5">
        <v>10</v>
      </c>
      <c r="AV5">
        <v>10</v>
      </c>
      <c r="AW5">
        <v>10</v>
      </c>
      <c r="AX5">
        <v>10</v>
      </c>
      <c r="AY5">
        <v>10</v>
      </c>
      <c r="AZ5">
        <v>10</v>
      </c>
      <c r="BA5">
        <v>10</v>
      </c>
      <c r="BB5">
        <v>10</v>
      </c>
    </row>
    <row r="6" spans="1:54" x14ac:dyDescent="0.3">
      <c r="A6" t="s">
        <v>151</v>
      </c>
      <c r="B6" t="s">
        <v>161</v>
      </c>
      <c r="C6">
        <v>-2.4680781601212334</v>
      </c>
      <c r="D6">
        <v>-2.5539534923185299</v>
      </c>
      <c r="E6">
        <v>-4.0858837335221239</v>
      </c>
      <c r="F6">
        <v>-1.8315849101783128</v>
      </c>
      <c r="G6">
        <v>1.9716647316485283</v>
      </c>
      <c r="H6">
        <v>-4.3366646168605616</v>
      </c>
      <c r="I6">
        <v>-0.79215371742886709</v>
      </c>
      <c r="J6">
        <v>-5.1445440233866995</v>
      </c>
      <c r="K6">
        <v>-3.5309453287540182</v>
      </c>
      <c r="L6">
        <v>-0.75534696698328763</v>
      </c>
      <c r="M6">
        <v>-1.17</v>
      </c>
      <c r="N6">
        <v>-2</v>
      </c>
      <c r="O6">
        <v>-2</v>
      </c>
      <c r="P6">
        <v>-2</v>
      </c>
      <c r="Q6">
        <v>-2</v>
      </c>
      <c r="R6">
        <v>-2</v>
      </c>
      <c r="S6">
        <v>-2</v>
      </c>
      <c r="T6">
        <v>-2</v>
      </c>
      <c r="U6">
        <v>-2</v>
      </c>
      <c r="V6">
        <v>-2</v>
      </c>
      <c r="W6">
        <v>-2</v>
      </c>
      <c r="X6">
        <v>-2</v>
      </c>
      <c r="Y6">
        <v>-2</v>
      </c>
      <c r="Z6">
        <v>-2</v>
      </c>
      <c r="AA6">
        <v>-2</v>
      </c>
      <c r="AB6">
        <v>-2</v>
      </c>
      <c r="AC6">
        <v>-2</v>
      </c>
      <c r="AD6">
        <v>-2</v>
      </c>
      <c r="AE6">
        <v>-2</v>
      </c>
      <c r="AF6">
        <v>-2</v>
      </c>
      <c r="AG6">
        <v>-2</v>
      </c>
      <c r="AH6">
        <v>-2</v>
      </c>
      <c r="AI6">
        <v>-2</v>
      </c>
      <c r="AJ6">
        <v>-2</v>
      </c>
      <c r="AK6">
        <v>-2</v>
      </c>
      <c r="AL6">
        <v>-2</v>
      </c>
      <c r="AM6">
        <v>-2</v>
      </c>
      <c r="AN6">
        <v>-2</v>
      </c>
      <c r="AO6">
        <v>-2</v>
      </c>
      <c r="AP6">
        <v>-2</v>
      </c>
      <c r="AQ6">
        <v>-2</v>
      </c>
      <c r="AR6">
        <v>-2</v>
      </c>
      <c r="AS6">
        <v>-2</v>
      </c>
      <c r="AT6">
        <v>-2</v>
      </c>
      <c r="AU6">
        <v>-2</v>
      </c>
      <c r="AV6">
        <v>-2</v>
      </c>
      <c r="AW6">
        <v>-2</v>
      </c>
      <c r="AX6">
        <v>-2</v>
      </c>
      <c r="AY6">
        <v>-2</v>
      </c>
      <c r="AZ6">
        <v>-2</v>
      </c>
      <c r="BA6">
        <v>-2</v>
      </c>
      <c r="BB6">
        <v>-2</v>
      </c>
    </row>
    <row r="7" spans="1:54" x14ac:dyDescent="0.3">
      <c r="A7" t="s">
        <v>152</v>
      </c>
      <c r="B7" t="s">
        <v>162</v>
      </c>
      <c r="C7">
        <v>10.28</v>
      </c>
      <c r="D7">
        <v>8.32</v>
      </c>
      <c r="E7">
        <v>12.03</v>
      </c>
      <c r="F7">
        <v>24</v>
      </c>
      <c r="G7">
        <v>12</v>
      </c>
      <c r="H7">
        <v>17</v>
      </c>
      <c r="I7">
        <v>14</v>
      </c>
      <c r="J7">
        <v>9</v>
      </c>
      <c r="K7">
        <v>42.5</v>
      </c>
      <c r="L7">
        <v>47.5</v>
      </c>
      <c r="M7">
        <v>35</v>
      </c>
      <c r="N7">
        <v>23</v>
      </c>
      <c r="O7">
        <v>17</v>
      </c>
      <c r="P7">
        <v>17</v>
      </c>
      <c r="Q7">
        <v>16</v>
      </c>
      <c r="R7">
        <v>15</v>
      </c>
      <c r="S7">
        <v>14</v>
      </c>
      <c r="T7">
        <v>13</v>
      </c>
      <c r="U7">
        <v>12</v>
      </c>
      <c r="V7">
        <v>12</v>
      </c>
      <c r="W7">
        <v>11</v>
      </c>
      <c r="X7">
        <v>11</v>
      </c>
      <c r="Y7">
        <v>10</v>
      </c>
      <c r="Z7">
        <v>10</v>
      </c>
      <c r="AA7">
        <v>10</v>
      </c>
      <c r="AB7">
        <v>10</v>
      </c>
      <c r="AC7">
        <v>10</v>
      </c>
      <c r="AD7">
        <v>10</v>
      </c>
      <c r="AE7">
        <v>10</v>
      </c>
      <c r="AF7">
        <v>10</v>
      </c>
      <c r="AG7">
        <v>10</v>
      </c>
      <c r="AH7">
        <v>10</v>
      </c>
      <c r="AI7">
        <v>10</v>
      </c>
      <c r="AJ7">
        <v>10</v>
      </c>
      <c r="AK7">
        <v>10</v>
      </c>
      <c r="AL7">
        <v>10</v>
      </c>
      <c r="AM7">
        <v>10</v>
      </c>
      <c r="AN7">
        <v>10</v>
      </c>
      <c r="AO7">
        <v>10</v>
      </c>
      <c r="AP7">
        <v>10</v>
      </c>
      <c r="AQ7">
        <v>10</v>
      </c>
      <c r="AR7">
        <v>10</v>
      </c>
      <c r="AS7">
        <v>10</v>
      </c>
      <c r="AT7">
        <v>10</v>
      </c>
      <c r="AU7">
        <v>10</v>
      </c>
      <c r="AV7">
        <v>10</v>
      </c>
      <c r="AW7">
        <v>10</v>
      </c>
      <c r="AX7">
        <v>10</v>
      </c>
      <c r="AY7">
        <v>10</v>
      </c>
      <c r="AZ7">
        <v>10</v>
      </c>
      <c r="BA7">
        <v>10</v>
      </c>
      <c r="BB7">
        <v>10</v>
      </c>
    </row>
    <row r="8" spans="1:54" x14ac:dyDescent="0.3">
      <c r="A8" t="s">
        <v>153</v>
      </c>
      <c r="B8" t="s">
        <v>163</v>
      </c>
      <c r="C8">
        <v>10.74</v>
      </c>
      <c r="D8">
        <v>11.42</v>
      </c>
      <c r="E8">
        <v>11.74</v>
      </c>
      <c r="F8">
        <v>16.48</v>
      </c>
      <c r="G8">
        <v>12.21</v>
      </c>
      <c r="H8">
        <v>12.94</v>
      </c>
      <c r="I8">
        <v>22.7</v>
      </c>
      <c r="J8">
        <v>8.86</v>
      </c>
      <c r="K8">
        <v>24.98</v>
      </c>
      <c r="L8">
        <v>29.5</v>
      </c>
      <c r="M8">
        <v>29</v>
      </c>
      <c r="N8">
        <v>24</v>
      </c>
      <c r="O8">
        <v>19</v>
      </c>
      <c r="P8">
        <v>17</v>
      </c>
      <c r="Q8">
        <v>16</v>
      </c>
      <c r="R8">
        <v>16</v>
      </c>
      <c r="S8">
        <v>15</v>
      </c>
      <c r="T8">
        <v>14</v>
      </c>
      <c r="U8">
        <v>13</v>
      </c>
      <c r="V8">
        <v>12</v>
      </c>
      <c r="W8">
        <v>12</v>
      </c>
      <c r="X8">
        <v>12</v>
      </c>
      <c r="Y8">
        <v>11</v>
      </c>
      <c r="Z8">
        <v>11</v>
      </c>
      <c r="AA8">
        <v>11</v>
      </c>
      <c r="AB8">
        <v>11</v>
      </c>
      <c r="AC8">
        <v>11</v>
      </c>
      <c r="AD8">
        <v>11</v>
      </c>
      <c r="AE8">
        <v>11</v>
      </c>
      <c r="AF8">
        <v>11</v>
      </c>
      <c r="AG8">
        <v>11</v>
      </c>
      <c r="AH8">
        <v>11</v>
      </c>
      <c r="AI8">
        <v>11</v>
      </c>
      <c r="AJ8">
        <v>11</v>
      </c>
      <c r="AK8">
        <v>11</v>
      </c>
      <c r="AL8">
        <v>11</v>
      </c>
      <c r="AM8">
        <v>11</v>
      </c>
      <c r="AN8">
        <v>11</v>
      </c>
      <c r="AO8">
        <v>11</v>
      </c>
      <c r="AP8">
        <v>11</v>
      </c>
      <c r="AQ8">
        <v>11</v>
      </c>
      <c r="AR8">
        <v>11</v>
      </c>
      <c r="AS8">
        <v>11</v>
      </c>
      <c r="AT8">
        <v>11</v>
      </c>
      <c r="AU8">
        <v>11</v>
      </c>
      <c r="AV8">
        <v>11</v>
      </c>
      <c r="AW8">
        <v>11</v>
      </c>
      <c r="AX8">
        <v>11</v>
      </c>
      <c r="AY8">
        <v>11</v>
      </c>
      <c r="AZ8">
        <v>11</v>
      </c>
      <c r="BA8">
        <v>11</v>
      </c>
      <c r="BB8">
        <v>11</v>
      </c>
    </row>
    <row r="9" spans="1:54" x14ac:dyDescent="0.3">
      <c r="A9" t="s">
        <v>154</v>
      </c>
      <c r="B9" t="s">
        <v>164</v>
      </c>
      <c r="C9">
        <v>5.7</v>
      </c>
      <c r="D9">
        <v>6.6668000000000003</v>
      </c>
      <c r="E9">
        <v>5.9260000000000002</v>
      </c>
      <c r="F9">
        <v>7.3250000000000002</v>
      </c>
      <c r="G9">
        <v>6.6820000000000004</v>
      </c>
      <c r="H9">
        <v>6.25</v>
      </c>
      <c r="I9">
        <v>7.36</v>
      </c>
      <c r="J9">
        <v>8.5</v>
      </c>
      <c r="K9">
        <v>7.69</v>
      </c>
      <c r="L9">
        <v>8.2200000000000006</v>
      </c>
      <c r="M9">
        <v>8</v>
      </c>
      <c r="N9">
        <v>7.7</v>
      </c>
      <c r="O9">
        <v>7.6</v>
      </c>
      <c r="P9">
        <v>7.5</v>
      </c>
      <c r="Q9">
        <v>7.4</v>
      </c>
      <c r="R9">
        <v>7.3</v>
      </c>
      <c r="S9">
        <v>7.2</v>
      </c>
      <c r="T9">
        <v>7.1</v>
      </c>
      <c r="U9">
        <v>7.1</v>
      </c>
      <c r="V9">
        <v>7.1</v>
      </c>
      <c r="W9">
        <v>7.1</v>
      </c>
      <c r="X9">
        <v>7.1</v>
      </c>
      <c r="Y9">
        <v>7</v>
      </c>
      <c r="Z9">
        <v>7</v>
      </c>
      <c r="AA9">
        <v>6.9</v>
      </c>
      <c r="AB9">
        <v>6.9</v>
      </c>
      <c r="AC9">
        <v>6.9</v>
      </c>
      <c r="AD9">
        <v>6.9</v>
      </c>
      <c r="AE9">
        <v>6.9</v>
      </c>
      <c r="AF9">
        <v>6.9</v>
      </c>
      <c r="AG9">
        <v>6.9</v>
      </c>
      <c r="AH9">
        <v>6.9</v>
      </c>
      <c r="AI9">
        <v>6.9</v>
      </c>
      <c r="AJ9">
        <v>6.9</v>
      </c>
      <c r="AK9">
        <v>6.9</v>
      </c>
      <c r="AL9">
        <v>6.9</v>
      </c>
      <c r="AM9">
        <v>6.9</v>
      </c>
      <c r="AN9">
        <v>6.9</v>
      </c>
      <c r="AO9">
        <v>6.9</v>
      </c>
      <c r="AP9">
        <v>6.9</v>
      </c>
      <c r="AQ9">
        <v>6.9</v>
      </c>
      <c r="AR9">
        <v>6.9</v>
      </c>
      <c r="AS9">
        <v>6.9</v>
      </c>
      <c r="AT9">
        <v>6.9</v>
      </c>
      <c r="AU9">
        <v>6.9</v>
      </c>
      <c r="AV9">
        <v>6.9</v>
      </c>
      <c r="AW9">
        <v>6.9</v>
      </c>
      <c r="AX9">
        <v>6.9</v>
      </c>
      <c r="AY9">
        <v>6.9</v>
      </c>
      <c r="AZ9">
        <v>6.9</v>
      </c>
      <c r="BA9">
        <v>6.9</v>
      </c>
      <c r="BB9">
        <v>6.9</v>
      </c>
    </row>
    <row r="10" spans="1:54" x14ac:dyDescent="0.3">
      <c r="A10" s="323" t="s">
        <v>155</v>
      </c>
      <c r="B10" s="323" t="s">
        <v>165</v>
      </c>
      <c r="C10" s="323">
        <v>2.9076</v>
      </c>
      <c r="D10" s="323">
        <v>3.5318000000000001</v>
      </c>
      <c r="E10" s="323">
        <v>3.8104</v>
      </c>
      <c r="F10" s="323">
        <v>5.2609000000000004</v>
      </c>
      <c r="G10" s="323">
        <v>5.9401999999999999</v>
      </c>
      <c r="H10" s="323">
        <v>7.3404999999999996</v>
      </c>
      <c r="I10" s="323">
        <v>12.977499999999999</v>
      </c>
      <c r="J10" s="323">
        <v>18.6966</v>
      </c>
      <c r="K10" s="323">
        <v>29.4</v>
      </c>
      <c r="L10" s="323">
        <v>35.222999999999999</v>
      </c>
      <c r="M10" s="323">
        <v>44</v>
      </c>
      <c r="N10" s="323">
        <v>51.4</v>
      </c>
      <c r="O10" s="323">
        <v>59.418894230769233</v>
      </c>
      <c r="P10" s="323">
        <v>68.363303623188401</v>
      </c>
      <c r="Q10" s="323">
        <v>77.6590455182927</v>
      </c>
      <c r="R10" s="323">
        <v>87.366426208079289</v>
      </c>
      <c r="S10" s="323">
        <v>97.41356522200843</v>
      </c>
      <c r="T10" s="323">
        <v>107.64198957031931</v>
      </c>
      <c r="U10" s="323">
        <v>118.40618852735126</v>
      </c>
      <c r="V10" s="323">
        <v>130.24680738008641</v>
      </c>
      <c r="W10" s="323">
        <v>141.96902004429418</v>
      </c>
      <c r="X10" s="323">
        <v>154.74623184828067</v>
      </c>
      <c r="Y10" s="323">
        <v>167.12593039614313</v>
      </c>
      <c r="Z10" s="323">
        <v>180.49600482783461</v>
      </c>
      <c r="AA10" s="323">
        <v>194.93568521406141</v>
      </c>
      <c r="AB10" s="323">
        <v>210.53054003118632</v>
      </c>
      <c r="AC10" s="323">
        <v>227.37298323368123</v>
      </c>
      <c r="AD10" s="323">
        <v>245.56282189237575</v>
      </c>
      <c r="AE10" s="323">
        <v>265.20784764376583</v>
      </c>
      <c r="AF10" s="323">
        <v>286.4244754552671</v>
      </c>
      <c r="AG10" s="323">
        <v>309.33843349168853</v>
      </c>
      <c r="AH10" s="323">
        <v>334.08550817102366</v>
      </c>
      <c r="AI10" s="323">
        <v>360.81234882470557</v>
      </c>
      <c r="AJ10" s="323">
        <v>389.67733673068204</v>
      </c>
      <c r="AK10" s="323">
        <v>420.85152366913667</v>
      </c>
      <c r="AL10" s="323">
        <v>454.51964556266762</v>
      </c>
      <c r="AM10" s="323">
        <v>490.88121720768106</v>
      </c>
      <c r="AN10" s="323">
        <v>530.15171458429552</v>
      </c>
      <c r="AO10" s="323">
        <v>572.56385175103924</v>
      </c>
      <c r="AP10" s="323">
        <v>618.36895989112236</v>
      </c>
      <c r="AQ10" s="323">
        <v>667.83847668241231</v>
      </c>
      <c r="AR10" s="323">
        <v>721.26555481700541</v>
      </c>
      <c r="AS10" s="323">
        <v>778.96679920236591</v>
      </c>
      <c r="AT10" s="323">
        <v>841.28414313855524</v>
      </c>
      <c r="AU10" s="323">
        <v>908.58687458963971</v>
      </c>
      <c r="AV10" s="323">
        <v>981.27382455681095</v>
      </c>
      <c r="AW10" s="323">
        <v>1059.7757305213559</v>
      </c>
      <c r="AX10" s="323">
        <v>1144.5577889630645</v>
      </c>
      <c r="AY10" s="323">
        <v>1236.1224120801096</v>
      </c>
      <c r="AZ10" s="323">
        <v>1335.0122050465184</v>
      </c>
      <c r="BA10" s="323">
        <v>1441.8131814502399</v>
      </c>
      <c r="BB10" s="323">
        <v>1557.1582359662591</v>
      </c>
    </row>
    <row r="11" spans="1:54" x14ac:dyDescent="0.3">
      <c r="A11" t="s">
        <v>156</v>
      </c>
      <c r="B11" t="s">
        <v>166</v>
      </c>
      <c r="C11">
        <v>3.1776</v>
      </c>
      <c r="D11">
        <v>3.6939000000000002</v>
      </c>
      <c r="E11">
        <v>4.5477999999999996</v>
      </c>
      <c r="F11">
        <v>6.0279999999999996</v>
      </c>
      <c r="G11">
        <v>6.6505999999999998</v>
      </c>
      <c r="H11">
        <v>9.0078999999999994</v>
      </c>
      <c r="I11">
        <v>14.6823</v>
      </c>
      <c r="J11">
        <v>19.881599999999999</v>
      </c>
      <c r="K11">
        <v>32.69</v>
      </c>
      <c r="L11">
        <v>36.74</v>
      </c>
      <c r="M11">
        <v>49.28</v>
      </c>
      <c r="N11">
        <v>56.540000000000006</v>
      </c>
      <c r="O11">
        <v>64.172405769230778</v>
      </c>
      <c r="P11">
        <v>73.148734876811588</v>
      </c>
      <c r="Q11">
        <v>81.541997794207333</v>
      </c>
      <c r="R11">
        <v>91.73474751848326</v>
      </c>
      <c r="S11">
        <v>102.28424348310885</v>
      </c>
      <c r="T11">
        <v>113.02408904883528</v>
      </c>
      <c r="U11">
        <v>124.32649795371883</v>
      </c>
      <c r="V11">
        <v>136.75914774909074</v>
      </c>
      <c r="W11">
        <v>149.0674710465089</v>
      </c>
      <c r="X11">
        <v>162.48354344069472</v>
      </c>
      <c r="Y11">
        <v>175.48222691595029</v>
      </c>
      <c r="Z11">
        <v>189.52080506922636</v>
      </c>
      <c r="AA11">
        <v>204.68246947476447</v>
      </c>
      <c r="AB11">
        <v>221.05706703274564</v>
      </c>
      <c r="AC11">
        <v>238.74163239536529</v>
      </c>
      <c r="AD11">
        <v>257.84096298699455</v>
      </c>
      <c r="AE11">
        <v>278.46824002595412</v>
      </c>
      <c r="AF11">
        <v>300.74569922803045</v>
      </c>
      <c r="AG11">
        <v>324.80535516627299</v>
      </c>
      <c r="AH11">
        <v>350.78978357957487</v>
      </c>
      <c r="AI11">
        <v>378.85296626594084</v>
      </c>
      <c r="AJ11">
        <v>409.16120356721615</v>
      </c>
      <c r="AK11">
        <v>441.89409985259351</v>
      </c>
      <c r="AL11">
        <v>477.24562784080103</v>
      </c>
      <c r="AM11">
        <v>515.42527806806515</v>
      </c>
      <c r="AN11">
        <v>556.65930031351036</v>
      </c>
      <c r="AO11">
        <v>601.19204433859124</v>
      </c>
      <c r="AP11">
        <v>649.28740788567848</v>
      </c>
      <c r="AQ11">
        <v>701.230400516533</v>
      </c>
      <c r="AR11">
        <v>757.32883255785566</v>
      </c>
      <c r="AS11">
        <v>817.91513916248425</v>
      </c>
      <c r="AT11">
        <v>883.34835029548299</v>
      </c>
      <c r="AU11">
        <v>954.01621831912178</v>
      </c>
      <c r="AV11">
        <v>1030.3375157846515</v>
      </c>
      <c r="AW11">
        <v>1112.7645170474236</v>
      </c>
      <c r="AX11">
        <v>1201.7856784112178</v>
      </c>
      <c r="AY11">
        <v>1297.9285326841152</v>
      </c>
      <c r="AZ11">
        <v>1401.7628152988443</v>
      </c>
      <c r="BA11">
        <v>1513.903840522752</v>
      </c>
      <c r="BB11">
        <v>1635.0161477645722</v>
      </c>
    </row>
    <row r="15" spans="1:54" x14ac:dyDescent="0.3">
      <c r="A15" t="s">
        <v>520</v>
      </c>
    </row>
    <row r="19" spans="1:495" x14ac:dyDescent="0.3">
      <c r="A19" s="303" t="e" vm="1">
        <v>#VALUE!</v>
      </c>
      <c r="B19" s="303" cm="1">
        <f t="array" aca="1" ref="B19" ca="1">_FV(A19,"Price")</f>
        <v>42.4208</v>
      </c>
    </row>
    <row r="20" spans="1:495" x14ac:dyDescent="0.3">
      <c r="A20" t="s">
        <v>498</v>
      </c>
      <c r="B20" s="8">
        <f ca="1">TODAY()</f>
        <v>45993</v>
      </c>
      <c r="C20" s="8"/>
    </row>
    <row r="21" spans="1:495" x14ac:dyDescent="0.3">
      <c r="A21" t="s">
        <v>499</v>
      </c>
      <c r="B21" s="8">
        <f>DATE((MAX(_xlfn.ANCHORARRAY(C1))),12,31)</f>
        <v>60997</v>
      </c>
    </row>
    <row r="22" spans="1:495" x14ac:dyDescent="0.3">
      <c r="A22" s="8" t="s">
        <v>492</v>
      </c>
      <c r="B22" s="8" cm="1">
        <f t="array" aca="1" ref="B22:RZ22" ca="1">EDATE(EOMONTH(B20,-1)+1,_xlfn.SEQUENCE(1,((YEAR(B21)-YEAR(B20))*12+(MONTH(B21)-MONTH(B20))+1),0))</f>
        <v>45992</v>
      </c>
      <c r="C22" s="8">
        <f ca="1"/>
        <v>46023</v>
      </c>
      <c r="D22" s="8">
        <f ca="1"/>
        <v>46054</v>
      </c>
      <c r="E22" s="8">
        <f ca="1"/>
        <v>46082</v>
      </c>
      <c r="F22" s="8">
        <f ca="1"/>
        <v>46113</v>
      </c>
      <c r="G22" s="8">
        <f ca="1"/>
        <v>46143</v>
      </c>
      <c r="H22" s="8">
        <f ca="1"/>
        <v>46174</v>
      </c>
      <c r="I22" s="8">
        <f ca="1"/>
        <v>46204</v>
      </c>
      <c r="J22" s="8">
        <f ca="1"/>
        <v>46235</v>
      </c>
      <c r="K22" s="8">
        <f ca="1"/>
        <v>46266</v>
      </c>
      <c r="L22" s="8">
        <f ca="1"/>
        <v>46296</v>
      </c>
      <c r="M22" s="8">
        <f ca="1"/>
        <v>46327</v>
      </c>
      <c r="N22" s="8">
        <f ca="1"/>
        <v>46357</v>
      </c>
      <c r="O22" s="8">
        <f ca="1"/>
        <v>46388</v>
      </c>
      <c r="P22" s="8">
        <f ca="1"/>
        <v>46419</v>
      </c>
      <c r="Q22" s="8">
        <f ca="1"/>
        <v>46447</v>
      </c>
      <c r="R22" s="8">
        <f ca="1"/>
        <v>46478</v>
      </c>
      <c r="S22" s="8">
        <f ca="1"/>
        <v>46508</v>
      </c>
      <c r="T22" s="8">
        <f ca="1"/>
        <v>46539</v>
      </c>
      <c r="U22" s="8">
        <f ca="1"/>
        <v>46569</v>
      </c>
      <c r="V22" s="8">
        <f ca="1"/>
        <v>46600</v>
      </c>
      <c r="W22" s="8">
        <f ca="1"/>
        <v>46631</v>
      </c>
      <c r="X22" s="8">
        <f ca="1"/>
        <v>46661</v>
      </c>
      <c r="Y22" s="8">
        <f ca="1"/>
        <v>46692</v>
      </c>
      <c r="Z22" s="8">
        <f ca="1"/>
        <v>46722</v>
      </c>
      <c r="AA22" s="8">
        <f ca="1"/>
        <v>46753</v>
      </c>
      <c r="AB22" s="8">
        <f ca="1"/>
        <v>46784</v>
      </c>
      <c r="AC22" s="8">
        <f ca="1"/>
        <v>46813</v>
      </c>
      <c r="AD22" s="8">
        <f ca="1"/>
        <v>46844</v>
      </c>
      <c r="AE22" s="8">
        <f ca="1"/>
        <v>46874</v>
      </c>
      <c r="AF22" s="8">
        <f ca="1"/>
        <v>46905</v>
      </c>
      <c r="AG22" s="8">
        <f ca="1"/>
        <v>46935</v>
      </c>
      <c r="AH22" s="8">
        <f ca="1"/>
        <v>46966</v>
      </c>
      <c r="AI22" s="8">
        <f ca="1"/>
        <v>46997</v>
      </c>
      <c r="AJ22" s="8">
        <f ca="1"/>
        <v>47027</v>
      </c>
      <c r="AK22" s="8">
        <f ca="1"/>
        <v>47058</v>
      </c>
      <c r="AL22" s="8">
        <f ca="1"/>
        <v>47088</v>
      </c>
      <c r="AM22" s="8">
        <f ca="1"/>
        <v>47119</v>
      </c>
      <c r="AN22" s="8">
        <f ca="1"/>
        <v>47150</v>
      </c>
      <c r="AO22" s="8">
        <f ca="1"/>
        <v>47178</v>
      </c>
      <c r="AP22" s="8">
        <f ca="1"/>
        <v>47209</v>
      </c>
      <c r="AQ22" s="8">
        <f ca="1"/>
        <v>47239</v>
      </c>
      <c r="AR22" s="8">
        <f ca="1"/>
        <v>47270</v>
      </c>
      <c r="AS22" s="8">
        <f ca="1"/>
        <v>47300</v>
      </c>
      <c r="AT22" s="8">
        <f ca="1"/>
        <v>47331</v>
      </c>
      <c r="AU22" s="8">
        <f ca="1"/>
        <v>47362</v>
      </c>
      <c r="AV22" s="8">
        <f ca="1"/>
        <v>47392</v>
      </c>
      <c r="AW22" s="8">
        <f ca="1"/>
        <v>47423</v>
      </c>
      <c r="AX22" s="8">
        <f ca="1"/>
        <v>47453</v>
      </c>
      <c r="AY22" s="8">
        <f ca="1"/>
        <v>47484</v>
      </c>
      <c r="AZ22" s="8">
        <f ca="1"/>
        <v>47515</v>
      </c>
      <c r="BA22" s="8">
        <f ca="1"/>
        <v>47543</v>
      </c>
      <c r="BB22" s="8">
        <f ca="1"/>
        <v>47574</v>
      </c>
      <c r="BC22" s="8">
        <f ca="1"/>
        <v>47604</v>
      </c>
      <c r="BD22" s="8">
        <f ca="1"/>
        <v>47635</v>
      </c>
      <c r="BE22" s="8">
        <f ca="1"/>
        <v>47665</v>
      </c>
      <c r="BF22" s="8">
        <f ca="1"/>
        <v>47696</v>
      </c>
      <c r="BG22" s="8">
        <f ca="1"/>
        <v>47727</v>
      </c>
      <c r="BH22" s="8">
        <f ca="1"/>
        <v>47757</v>
      </c>
      <c r="BI22" s="8">
        <f ca="1"/>
        <v>47788</v>
      </c>
      <c r="BJ22" s="8">
        <f ca="1"/>
        <v>47818</v>
      </c>
      <c r="BK22" s="8">
        <f ca="1"/>
        <v>47849</v>
      </c>
      <c r="BL22" s="8">
        <f ca="1"/>
        <v>47880</v>
      </c>
      <c r="BM22" s="8">
        <f ca="1"/>
        <v>47908</v>
      </c>
      <c r="BN22" s="8">
        <f ca="1"/>
        <v>47939</v>
      </c>
      <c r="BO22" s="8">
        <f ca="1"/>
        <v>47969</v>
      </c>
      <c r="BP22" s="8">
        <f ca="1"/>
        <v>48000</v>
      </c>
      <c r="BQ22" s="8">
        <f ca="1"/>
        <v>48030</v>
      </c>
      <c r="BR22" s="8">
        <f ca="1"/>
        <v>48061</v>
      </c>
      <c r="BS22" s="8">
        <f ca="1"/>
        <v>48092</v>
      </c>
      <c r="BT22" s="8">
        <f ca="1"/>
        <v>48122</v>
      </c>
      <c r="BU22" s="8">
        <f ca="1"/>
        <v>48153</v>
      </c>
      <c r="BV22" s="8">
        <f ca="1"/>
        <v>48183</v>
      </c>
      <c r="BW22" s="8">
        <f ca="1"/>
        <v>48214</v>
      </c>
      <c r="BX22" s="8">
        <f ca="1"/>
        <v>48245</v>
      </c>
      <c r="BY22" s="8">
        <f ca="1"/>
        <v>48274</v>
      </c>
      <c r="BZ22" s="8">
        <f ca="1"/>
        <v>48305</v>
      </c>
      <c r="CA22" s="8">
        <f ca="1"/>
        <v>48335</v>
      </c>
      <c r="CB22" s="8">
        <f ca="1"/>
        <v>48366</v>
      </c>
      <c r="CC22" s="8">
        <f ca="1"/>
        <v>48396</v>
      </c>
      <c r="CD22" s="8">
        <f ca="1"/>
        <v>48427</v>
      </c>
      <c r="CE22" s="8">
        <f ca="1"/>
        <v>48458</v>
      </c>
      <c r="CF22" s="8">
        <f ca="1"/>
        <v>48488</v>
      </c>
      <c r="CG22" s="8">
        <f ca="1"/>
        <v>48519</v>
      </c>
      <c r="CH22" s="8">
        <f ca="1"/>
        <v>48549</v>
      </c>
      <c r="CI22" s="8">
        <f ca="1"/>
        <v>48580</v>
      </c>
      <c r="CJ22" s="8">
        <f ca="1"/>
        <v>48611</v>
      </c>
      <c r="CK22" s="8">
        <f ca="1"/>
        <v>48639</v>
      </c>
      <c r="CL22" s="8">
        <f ca="1"/>
        <v>48670</v>
      </c>
      <c r="CM22" s="8">
        <f ca="1"/>
        <v>48700</v>
      </c>
      <c r="CN22" s="8">
        <f ca="1"/>
        <v>48731</v>
      </c>
      <c r="CO22" s="8">
        <f ca="1"/>
        <v>48761</v>
      </c>
      <c r="CP22" s="8">
        <f ca="1"/>
        <v>48792</v>
      </c>
      <c r="CQ22" s="8">
        <f ca="1"/>
        <v>48823</v>
      </c>
      <c r="CR22" s="8">
        <f ca="1"/>
        <v>48853</v>
      </c>
      <c r="CS22" s="8">
        <f ca="1"/>
        <v>48884</v>
      </c>
      <c r="CT22" s="8">
        <f ca="1"/>
        <v>48914</v>
      </c>
      <c r="CU22" s="8">
        <f ca="1"/>
        <v>48945</v>
      </c>
      <c r="CV22" s="8">
        <f ca="1"/>
        <v>48976</v>
      </c>
      <c r="CW22" s="8">
        <f ca="1"/>
        <v>49004</v>
      </c>
      <c r="CX22" s="8">
        <f ca="1"/>
        <v>49035</v>
      </c>
      <c r="CY22" s="8">
        <f ca="1"/>
        <v>49065</v>
      </c>
      <c r="CZ22" s="8">
        <f ca="1"/>
        <v>49096</v>
      </c>
      <c r="DA22" s="8">
        <f ca="1"/>
        <v>49126</v>
      </c>
      <c r="DB22" s="8">
        <f ca="1"/>
        <v>49157</v>
      </c>
      <c r="DC22" s="8">
        <f ca="1"/>
        <v>49188</v>
      </c>
      <c r="DD22" s="8">
        <f ca="1"/>
        <v>49218</v>
      </c>
      <c r="DE22" s="8">
        <f ca="1"/>
        <v>49249</v>
      </c>
      <c r="DF22" s="8">
        <f ca="1"/>
        <v>49279</v>
      </c>
      <c r="DG22" s="8">
        <f ca="1"/>
        <v>49310</v>
      </c>
      <c r="DH22" s="8">
        <f ca="1"/>
        <v>49341</v>
      </c>
      <c r="DI22" s="8">
        <f ca="1"/>
        <v>49369</v>
      </c>
      <c r="DJ22" s="8">
        <f ca="1"/>
        <v>49400</v>
      </c>
      <c r="DK22" s="8">
        <f ca="1"/>
        <v>49430</v>
      </c>
      <c r="DL22" s="8">
        <f ca="1"/>
        <v>49461</v>
      </c>
      <c r="DM22" s="8">
        <f ca="1"/>
        <v>49491</v>
      </c>
      <c r="DN22" s="8">
        <f ca="1"/>
        <v>49522</v>
      </c>
      <c r="DO22" s="8">
        <f ca="1"/>
        <v>49553</v>
      </c>
      <c r="DP22" s="8">
        <f ca="1"/>
        <v>49583</v>
      </c>
      <c r="DQ22" s="8">
        <f ca="1"/>
        <v>49614</v>
      </c>
      <c r="DR22" s="8">
        <f ca="1"/>
        <v>49644</v>
      </c>
      <c r="DS22" s="8">
        <f ca="1"/>
        <v>49675</v>
      </c>
      <c r="DT22" s="8">
        <f ca="1"/>
        <v>49706</v>
      </c>
      <c r="DU22" s="8">
        <f ca="1"/>
        <v>49735</v>
      </c>
      <c r="DV22" s="8">
        <f ca="1"/>
        <v>49766</v>
      </c>
      <c r="DW22" s="8">
        <f ca="1"/>
        <v>49796</v>
      </c>
      <c r="DX22" s="8">
        <f ca="1"/>
        <v>49827</v>
      </c>
      <c r="DY22" s="8">
        <f ca="1"/>
        <v>49857</v>
      </c>
      <c r="DZ22" s="8">
        <f ca="1"/>
        <v>49888</v>
      </c>
      <c r="EA22" s="8">
        <f ca="1"/>
        <v>49919</v>
      </c>
      <c r="EB22" s="8">
        <f ca="1"/>
        <v>49949</v>
      </c>
      <c r="EC22" s="8">
        <f ca="1"/>
        <v>49980</v>
      </c>
      <c r="ED22" s="8">
        <f ca="1"/>
        <v>50010</v>
      </c>
      <c r="EE22" s="8">
        <f ca="1"/>
        <v>50041</v>
      </c>
      <c r="EF22" s="8">
        <f ca="1"/>
        <v>50072</v>
      </c>
      <c r="EG22" s="8">
        <f ca="1"/>
        <v>50100</v>
      </c>
      <c r="EH22" s="8">
        <f ca="1"/>
        <v>50131</v>
      </c>
      <c r="EI22" s="8">
        <f ca="1"/>
        <v>50161</v>
      </c>
      <c r="EJ22" s="8">
        <f ca="1"/>
        <v>50192</v>
      </c>
      <c r="EK22" s="8">
        <f ca="1"/>
        <v>50222</v>
      </c>
      <c r="EL22" s="8">
        <f ca="1"/>
        <v>50253</v>
      </c>
      <c r="EM22" s="8">
        <f ca="1"/>
        <v>50284</v>
      </c>
      <c r="EN22" s="8">
        <f ca="1"/>
        <v>50314</v>
      </c>
      <c r="EO22" s="8">
        <f ca="1"/>
        <v>50345</v>
      </c>
      <c r="EP22" s="8">
        <f ca="1"/>
        <v>50375</v>
      </c>
      <c r="EQ22" s="8">
        <f ca="1"/>
        <v>50406</v>
      </c>
      <c r="ER22" s="8">
        <f ca="1"/>
        <v>50437</v>
      </c>
      <c r="ES22" s="8">
        <f ca="1"/>
        <v>50465</v>
      </c>
      <c r="ET22" s="8">
        <f ca="1"/>
        <v>50496</v>
      </c>
      <c r="EU22" s="8">
        <f ca="1"/>
        <v>50526</v>
      </c>
      <c r="EV22" s="8">
        <f ca="1"/>
        <v>50557</v>
      </c>
      <c r="EW22" s="8">
        <f ca="1"/>
        <v>50587</v>
      </c>
      <c r="EX22" s="8">
        <f ca="1"/>
        <v>50618</v>
      </c>
      <c r="EY22" s="8">
        <f ca="1"/>
        <v>50649</v>
      </c>
      <c r="EZ22" s="8">
        <f ca="1"/>
        <v>50679</v>
      </c>
      <c r="FA22" s="8">
        <f ca="1"/>
        <v>50710</v>
      </c>
      <c r="FB22" s="8">
        <f ca="1"/>
        <v>50740</v>
      </c>
      <c r="FC22" s="8">
        <f ca="1"/>
        <v>50771</v>
      </c>
      <c r="FD22" s="8">
        <f ca="1"/>
        <v>50802</v>
      </c>
      <c r="FE22" s="8">
        <f ca="1"/>
        <v>50830</v>
      </c>
      <c r="FF22" s="8">
        <f ca="1"/>
        <v>50861</v>
      </c>
      <c r="FG22" s="8">
        <f ca="1"/>
        <v>50891</v>
      </c>
      <c r="FH22" s="8">
        <f ca="1"/>
        <v>50922</v>
      </c>
      <c r="FI22" s="8">
        <f ca="1"/>
        <v>50952</v>
      </c>
      <c r="FJ22" s="8">
        <f ca="1"/>
        <v>50983</v>
      </c>
      <c r="FK22" s="8">
        <f ca="1"/>
        <v>51014</v>
      </c>
      <c r="FL22" s="8">
        <f ca="1"/>
        <v>51044</v>
      </c>
      <c r="FM22" s="8">
        <f ca="1"/>
        <v>51075</v>
      </c>
      <c r="FN22" s="8">
        <f ca="1"/>
        <v>51105</v>
      </c>
      <c r="FO22" s="8">
        <f ca="1"/>
        <v>51136</v>
      </c>
      <c r="FP22" s="8">
        <f ca="1"/>
        <v>51167</v>
      </c>
      <c r="FQ22" s="8">
        <f ca="1"/>
        <v>51196</v>
      </c>
      <c r="FR22" s="8">
        <f ca="1"/>
        <v>51227</v>
      </c>
      <c r="FS22" s="8">
        <f ca="1"/>
        <v>51257</v>
      </c>
      <c r="FT22" s="8">
        <f ca="1"/>
        <v>51288</v>
      </c>
      <c r="FU22" s="8">
        <f ca="1"/>
        <v>51318</v>
      </c>
      <c r="FV22" s="8">
        <f ca="1"/>
        <v>51349</v>
      </c>
      <c r="FW22" s="8">
        <f ca="1"/>
        <v>51380</v>
      </c>
      <c r="FX22" s="8">
        <f ca="1"/>
        <v>51410</v>
      </c>
      <c r="FY22" s="8">
        <f ca="1"/>
        <v>51441</v>
      </c>
      <c r="FZ22" s="8">
        <f ca="1"/>
        <v>51471</v>
      </c>
      <c r="GA22" s="8">
        <f ca="1"/>
        <v>51502</v>
      </c>
      <c r="GB22" s="8">
        <f ca="1"/>
        <v>51533</v>
      </c>
      <c r="GC22" s="8">
        <f ca="1"/>
        <v>51561</v>
      </c>
      <c r="GD22" s="8">
        <f ca="1"/>
        <v>51592</v>
      </c>
      <c r="GE22" s="8">
        <f ca="1"/>
        <v>51622</v>
      </c>
      <c r="GF22" s="8">
        <f ca="1"/>
        <v>51653</v>
      </c>
      <c r="GG22" s="8">
        <f ca="1"/>
        <v>51683</v>
      </c>
      <c r="GH22" s="8">
        <f ca="1"/>
        <v>51714</v>
      </c>
      <c r="GI22" s="8">
        <f ca="1"/>
        <v>51745</v>
      </c>
      <c r="GJ22" s="8">
        <f ca="1"/>
        <v>51775</v>
      </c>
      <c r="GK22" s="8">
        <f ca="1"/>
        <v>51806</v>
      </c>
      <c r="GL22" s="8">
        <f ca="1"/>
        <v>51836</v>
      </c>
      <c r="GM22" s="8">
        <f ca="1"/>
        <v>51867</v>
      </c>
      <c r="GN22" s="8">
        <f ca="1"/>
        <v>51898</v>
      </c>
      <c r="GO22" s="8">
        <f ca="1"/>
        <v>51926</v>
      </c>
      <c r="GP22" s="8">
        <f ca="1"/>
        <v>51957</v>
      </c>
      <c r="GQ22" s="8">
        <f ca="1"/>
        <v>51987</v>
      </c>
      <c r="GR22" s="8">
        <f ca="1"/>
        <v>52018</v>
      </c>
      <c r="GS22" s="8">
        <f ca="1"/>
        <v>52048</v>
      </c>
      <c r="GT22" s="8">
        <f ca="1"/>
        <v>52079</v>
      </c>
      <c r="GU22" s="8">
        <f ca="1"/>
        <v>52110</v>
      </c>
      <c r="GV22" s="8">
        <f ca="1"/>
        <v>52140</v>
      </c>
      <c r="GW22" s="8">
        <f ca="1"/>
        <v>52171</v>
      </c>
      <c r="GX22" s="8">
        <f ca="1"/>
        <v>52201</v>
      </c>
      <c r="GY22" s="8">
        <f ca="1"/>
        <v>52232</v>
      </c>
      <c r="GZ22" s="8">
        <f ca="1"/>
        <v>52263</v>
      </c>
      <c r="HA22" s="8">
        <f ca="1"/>
        <v>52291</v>
      </c>
      <c r="HB22" s="8">
        <f ca="1"/>
        <v>52322</v>
      </c>
      <c r="HC22" s="8">
        <f ca="1"/>
        <v>52352</v>
      </c>
      <c r="HD22" s="8">
        <f ca="1"/>
        <v>52383</v>
      </c>
      <c r="HE22" s="8">
        <f ca="1"/>
        <v>52413</v>
      </c>
      <c r="HF22" s="8">
        <f ca="1"/>
        <v>52444</v>
      </c>
      <c r="HG22" s="8">
        <f ca="1"/>
        <v>52475</v>
      </c>
      <c r="HH22" s="8">
        <f ca="1"/>
        <v>52505</v>
      </c>
      <c r="HI22" s="8">
        <f ca="1"/>
        <v>52536</v>
      </c>
      <c r="HJ22" s="8">
        <f ca="1"/>
        <v>52566</v>
      </c>
      <c r="HK22" s="8">
        <f ca="1"/>
        <v>52597</v>
      </c>
      <c r="HL22" s="8">
        <f ca="1"/>
        <v>52628</v>
      </c>
      <c r="HM22" s="8">
        <f ca="1"/>
        <v>52657</v>
      </c>
      <c r="HN22" s="8">
        <f ca="1"/>
        <v>52688</v>
      </c>
      <c r="HO22" s="8">
        <f ca="1"/>
        <v>52718</v>
      </c>
      <c r="HP22" s="8">
        <f ca="1"/>
        <v>52749</v>
      </c>
      <c r="HQ22" s="8">
        <f ca="1"/>
        <v>52779</v>
      </c>
      <c r="HR22" s="8">
        <f ca="1"/>
        <v>52810</v>
      </c>
      <c r="HS22" s="8">
        <f ca="1"/>
        <v>52841</v>
      </c>
      <c r="HT22" s="8">
        <f ca="1"/>
        <v>52871</v>
      </c>
      <c r="HU22" s="8">
        <f ca="1"/>
        <v>52902</v>
      </c>
      <c r="HV22" s="8">
        <f ca="1"/>
        <v>52932</v>
      </c>
      <c r="HW22" s="8">
        <f ca="1"/>
        <v>52963</v>
      </c>
      <c r="HX22" s="8">
        <f ca="1"/>
        <v>52994</v>
      </c>
      <c r="HY22" s="8">
        <f ca="1"/>
        <v>53022</v>
      </c>
      <c r="HZ22" s="8">
        <f ca="1"/>
        <v>53053</v>
      </c>
      <c r="IA22" s="8">
        <f ca="1"/>
        <v>53083</v>
      </c>
      <c r="IB22" s="8">
        <f ca="1"/>
        <v>53114</v>
      </c>
      <c r="IC22" s="8">
        <f ca="1"/>
        <v>53144</v>
      </c>
      <c r="ID22" s="8">
        <f ca="1"/>
        <v>53175</v>
      </c>
      <c r="IE22" s="8">
        <f ca="1"/>
        <v>53206</v>
      </c>
      <c r="IF22" s="8">
        <f ca="1"/>
        <v>53236</v>
      </c>
      <c r="IG22" s="8">
        <f ca="1"/>
        <v>53267</v>
      </c>
      <c r="IH22" s="8">
        <f ca="1"/>
        <v>53297</v>
      </c>
      <c r="II22" s="8">
        <f ca="1"/>
        <v>53328</v>
      </c>
      <c r="IJ22" s="8">
        <f ca="1"/>
        <v>53359</v>
      </c>
      <c r="IK22" s="8">
        <f ca="1"/>
        <v>53387</v>
      </c>
      <c r="IL22" s="8">
        <f ca="1"/>
        <v>53418</v>
      </c>
      <c r="IM22" s="8">
        <f ca="1"/>
        <v>53448</v>
      </c>
      <c r="IN22" s="8">
        <f ca="1"/>
        <v>53479</v>
      </c>
      <c r="IO22" s="8">
        <f ca="1"/>
        <v>53509</v>
      </c>
      <c r="IP22" s="8">
        <f ca="1"/>
        <v>53540</v>
      </c>
      <c r="IQ22" s="8">
        <f ca="1"/>
        <v>53571</v>
      </c>
      <c r="IR22" s="8">
        <f ca="1"/>
        <v>53601</v>
      </c>
      <c r="IS22" s="8">
        <f ca="1"/>
        <v>53632</v>
      </c>
      <c r="IT22" s="8">
        <f ca="1"/>
        <v>53662</v>
      </c>
      <c r="IU22" s="8">
        <f ca="1"/>
        <v>53693</v>
      </c>
      <c r="IV22" s="8">
        <f ca="1"/>
        <v>53724</v>
      </c>
      <c r="IW22" s="8">
        <f ca="1"/>
        <v>53752</v>
      </c>
      <c r="IX22" s="8">
        <f ca="1"/>
        <v>53783</v>
      </c>
      <c r="IY22" s="8">
        <f ca="1"/>
        <v>53813</v>
      </c>
      <c r="IZ22" s="8">
        <f ca="1"/>
        <v>53844</v>
      </c>
      <c r="JA22" s="8">
        <f ca="1"/>
        <v>53874</v>
      </c>
      <c r="JB22" s="8">
        <f ca="1"/>
        <v>53905</v>
      </c>
      <c r="JC22" s="8">
        <f ca="1"/>
        <v>53936</v>
      </c>
      <c r="JD22" s="8">
        <f ca="1"/>
        <v>53966</v>
      </c>
      <c r="JE22" s="8">
        <f ca="1"/>
        <v>53997</v>
      </c>
      <c r="JF22" s="8">
        <f ca="1"/>
        <v>54027</v>
      </c>
      <c r="JG22" s="8">
        <f ca="1"/>
        <v>54058</v>
      </c>
      <c r="JH22" s="8">
        <f ca="1"/>
        <v>54089</v>
      </c>
      <c r="JI22" s="8">
        <f ca="1"/>
        <v>54118</v>
      </c>
      <c r="JJ22" s="8">
        <f ca="1"/>
        <v>54149</v>
      </c>
      <c r="JK22" s="8">
        <f ca="1"/>
        <v>54179</v>
      </c>
      <c r="JL22" s="8">
        <f ca="1"/>
        <v>54210</v>
      </c>
      <c r="JM22" s="8">
        <f ca="1"/>
        <v>54240</v>
      </c>
      <c r="JN22" s="8">
        <f ca="1"/>
        <v>54271</v>
      </c>
      <c r="JO22" s="8">
        <f ca="1"/>
        <v>54302</v>
      </c>
      <c r="JP22" s="8">
        <f ca="1"/>
        <v>54332</v>
      </c>
      <c r="JQ22" s="8">
        <f ca="1"/>
        <v>54363</v>
      </c>
      <c r="JR22" s="8">
        <f ca="1"/>
        <v>54393</v>
      </c>
      <c r="JS22" s="8">
        <f ca="1"/>
        <v>54424</v>
      </c>
      <c r="JT22" s="8">
        <f ca="1"/>
        <v>54455</v>
      </c>
      <c r="JU22" s="8">
        <f ca="1"/>
        <v>54483</v>
      </c>
      <c r="JV22" s="8">
        <f ca="1"/>
        <v>54514</v>
      </c>
      <c r="JW22" s="8">
        <f ca="1"/>
        <v>54544</v>
      </c>
      <c r="JX22" s="8">
        <f ca="1"/>
        <v>54575</v>
      </c>
      <c r="JY22" s="8">
        <f ca="1"/>
        <v>54605</v>
      </c>
      <c r="JZ22" s="8">
        <f ca="1"/>
        <v>54636</v>
      </c>
      <c r="KA22" s="8">
        <f ca="1"/>
        <v>54667</v>
      </c>
      <c r="KB22" s="8">
        <f ca="1"/>
        <v>54697</v>
      </c>
      <c r="KC22" s="8">
        <f ca="1"/>
        <v>54728</v>
      </c>
      <c r="KD22" s="8">
        <f ca="1"/>
        <v>54758</v>
      </c>
      <c r="KE22" s="8">
        <f ca="1"/>
        <v>54789</v>
      </c>
      <c r="KF22" s="8">
        <f ca="1"/>
        <v>54820</v>
      </c>
      <c r="KG22" s="8">
        <f ca="1"/>
        <v>54848</v>
      </c>
      <c r="KH22" s="8">
        <f ca="1"/>
        <v>54879</v>
      </c>
      <c r="KI22" s="8">
        <f ca="1"/>
        <v>54909</v>
      </c>
      <c r="KJ22" s="8">
        <f ca="1"/>
        <v>54940</v>
      </c>
      <c r="KK22" s="8">
        <f ca="1"/>
        <v>54970</v>
      </c>
      <c r="KL22" s="8">
        <f ca="1"/>
        <v>55001</v>
      </c>
      <c r="KM22" s="8">
        <f ca="1"/>
        <v>55032</v>
      </c>
      <c r="KN22" s="8">
        <f ca="1"/>
        <v>55062</v>
      </c>
      <c r="KO22" s="8">
        <f ca="1"/>
        <v>55093</v>
      </c>
      <c r="KP22" s="8">
        <f ca="1"/>
        <v>55123</v>
      </c>
      <c r="KQ22" s="8">
        <f ca="1"/>
        <v>55154</v>
      </c>
      <c r="KR22" s="8">
        <f ca="1"/>
        <v>55185</v>
      </c>
      <c r="KS22" s="8">
        <f ca="1"/>
        <v>55213</v>
      </c>
      <c r="KT22" s="8">
        <f ca="1"/>
        <v>55244</v>
      </c>
      <c r="KU22" s="8">
        <f ca="1"/>
        <v>55274</v>
      </c>
      <c r="KV22" s="8">
        <f ca="1"/>
        <v>55305</v>
      </c>
      <c r="KW22" s="8">
        <f ca="1"/>
        <v>55335</v>
      </c>
      <c r="KX22" s="8">
        <f ca="1"/>
        <v>55366</v>
      </c>
      <c r="KY22" s="8">
        <f ca="1"/>
        <v>55397</v>
      </c>
      <c r="KZ22" s="8">
        <f ca="1"/>
        <v>55427</v>
      </c>
      <c r="LA22" s="8">
        <f ca="1"/>
        <v>55458</v>
      </c>
      <c r="LB22" s="8">
        <f ca="1"/>
        <v>55488</v>
      </c>
      <c r="LC22" s="8">
        <f ca="1"/>
        <v>55519</v>
      </c>
      <c r="LD22" s="8">
        <f ca="1"/>
        <v>55550</v>
      </c>
      <c r="LE22" s="8">
        <f ca="1"/>
        <v>55579</v>
      </c>
      <c r="LF22" s="8">
        <f ca="1"/>
        <v>55610</v>
      </c>
      <c r="LG22" s="8">
        <f ca="1"/>
        <v>55640</v>
      </c>
      <c r="LH22" s="8">
        <f ca="1"/>
        <v>55671</v>
      </c>
      <c r="LI22" s="8">
        <f ca="1"/>
        <v>55701</v>
      </c>
      <c r="LJ22" s="8">
        <f ca="1"/>
        <v>55732</v>
      </c>
      <c r="LK22" s="8">
        <f ca="1"/>
        <v>55763</v>
      </c>
      <c r="LL22" s="8">
        <f ca="1"/>
        <v>55793</v>
      </c>
      <c r="LM22" s="8">
        <f ca="1"/>
        <v>55824</v>
      </c>
      <c r="LN22" s="8">
        <f ca="1"/>
        <v>55854</v>
      </c>
      <c r="LO22" s="8">
        <f ca="1"/>
        <v>55885</v>
      </c>
      <c r="LP22" s="8">
        <f ca="1"/>
        <v>55916</v>
      </c>
      <c r="LQ22" s="8">
        <f ca="1"/>
        <v>55944</v>
      </c>
      <c r="LR22" s="8">
        <f ca="1"/>
        <v>55975</v>
      </c>
      <c r="LS22" s="8">
        <f ca="1"/>
        <v>56005</v>
      </c>
      <c r="LT22" s="8">
        <f ca="1"/>
        <v>56036</v>
      </c>
      <c r="LU22" s="8">
        <f ca="1"/>
        <v>56066</v>
      </c>
      <c r="LV22" s="8">
        <f ca="1"/>
        <v>56097</v>
      </c>
      <c r="LW22" s="8">
        <f ca="1"/>
        <v>56128</v>
      </c>
      <c r="LX22" s="8">
        <f ca="1"/>
        <v>56158</v>
      </c>
      <c r="LY22" s="8">
        <f ca="1"/>
        <v>56189</v>
      </c>
      <c r="LZ22" s="8">
        <f ca="1"/>
        <v>56219</v>
      </c>
      <c r="MA22" s="8">
        <f ca="1"/>
        <v>56250</v>
      </c>
      <c r="MB22" s="8">
        <f ca="1"/>
        <v>56281</v>
      </c>
      <c r="MC22" s="8">
        <f ca="1"/>
        <v>56309</v>
      </c>
      <c r="MD22" s="8">
        <f ca="1"/>
        <v>56340</v>
      </c>
      <c r="ME22" s="8">
        <f ca="1"/>
        <v>56370</v>
      </c>
      <c r="MF22" s="8">
        <f ca="1"/>
        <v>56401</v>
      </c>
      <c r="MG22" s="8">
        <f ca="1"/>
        <v>56431</v>
      </c>
      <c r="MH22" s="8">
        <f ca="1"/>
        <v>56462</v>
      </c>
      <c r="MI22" s="8">
        <f ca="1"/>
        <v>56493</v>
      </c>
      <c r="MJ22" s="8">
        <f ca="1"/>
        <v>56523</v>
      </c>
      <c r="MK22" s="8">
        <f ca="1"/>
        <v>56554</v>
      </c>
      <c r="ML22" s="8">
        <f ca="1"/>
        <v>56584</v>
      </c>
      <c r="MM22" s="8">
        <f ca="1"/>
        <v>56615</v>
      </c>
      <c r="MN22" s="8">
        <f ca="1"/>
        <v>56646</v>
      </c>
      <c r="MO22" s="8">
        <f ca="1"/>
        <v>56674</v>
      </c>
      <c r="MP22" s="8">
        <f ca="1"/>
        <v>56705</v>
      </c>
      <c r="MQ22" s="8">
        <f ca="1"/>
        <v>56735</v>
      </c>
      <c r="MR22" s="8">
        <f ca="1"/>
        <v>56766</v>
      </c>
      <c r="MS22" s="8">
        <f ca="1"/>
        <v>56796</v>
      </c>
      <c r="MT22" s="8">
        <f ca="1"/>
        <v>56827</v>
      </c>
      <c r="MU22" s="8">
        <f ca="1"/>
        <v>56858</v>
      </c>
      <c r="MV22" s="8">
        <f ca="1"/>
        <v>56888</v>
      </c>
      <c r="MW22" s="8">
        <f ca="1"/>
        <v>56919</v>
      </c>
      <c r="MX22" s="8">
        <f ca="1"/>
        <v>56949</v>
      </c>
      <c r="MY22" s="8">
        <f ca="1"/>
        <v>56980</v>
      </c>
      <c r="MZ22" s="8">
        <f ca="1"/>
        <v>57011</v>
      </c>
      <c r="NA22" s="8">
        <f ca="1"/>
        <v>57040</v>
      </c>
      <c r="NB22" s="8">
        <f ca="1"/>
        <v>57071</v>
      </c>
      <c r="NC22" s="8">
        <f ca="1"/>
        <v>57101</v>
      </c>
      <c r="ND22" s="8">
        <f ca="1"/>
        <v>57132</v>
      </c>
      <c r="NE22" s="8">
        <f ca="1"/>
        <v>57162</v>
      </c>
      <c r="NF22" s="8">
        <f ca="1"/>
        <v>57193</v>
      </c>
      <c r="NG22" s="8">
        <f ca="1"/>
        <v>57224</v>
      </c>
      <c r="NH22" s="8">
        <f ca="1"/>
        <v>57254</v>
      </c>
      <c r="NI22" s="8">
        <f ca="1"/>
        <v>57285</v>
      </c>
      <c r="NJ22" s="8">
        <f ca="1"/>
        <v>57315</v>
      </c>
      <c r="NK22" s="8">
        <f ca="1"/>
        <v>57346</v>
      </c>
      <c r="NL22" s="8">
        <f ca="1"/>
        <v>57377</v>
      </c>
      <c r="NM22" s="8">
        <f ca="1"/>
        <v>57405</v>
      </c>
      <c r="NN22" s="8">
        <f ca="1"/>
        <v>57436</v>
      </c>
      <c r="NO22" s="8">
        <f ca="1"/>
        <v>57466</v>
      </c>
      <c r="NP22" s="8">
        <f ca="1"/>
        <v>57497</v>
      </c>
      <c r="NQ22" s="8">
        <f ca="1"/>
        <v>57527</v>
      </c>
      <c r="NR22" s="8">
        <f ca="1"/>
        <v>57558</v>
      </c>
      <c r="NS22" s="8">
        <f ca="1"/>
        <v>57589</v>
      </c>
      <c r="NT22" s="8">
        <f ca="1"/>
        <v>57619</v>
      </c>
      <c r="NU22" s="8">
        <f ca="1"/>
        <v>57650</v>
      </c>
      <c r="NV22" s="8">
        <f ca="1"/>
        <v>57680</v>
      </c>
      <c r="NW22" s="8">
        <f ca="1"/>
        <v>57711</v>
      </c>
      <c r="NX22" s="8">
        <f ca="1"/>
        <v>57742</v>
      </c>
      <c r="NY22" s="8">
        <f ca="1"/>
        <v>57770</v>
      </c>
      <c r="NZ22" s="8">
        <f ca="1"/>
        <v>57801</v>
      </c>
      <c r="OA22" s="8">
        <f ca="1"/>
        <v>57831</v>
      </c>
      <c r="OB22" s="8">
        <f ca="1"/>
        <v>57862</v>
      </c>
      <c r="OC22" s="8">
        <f ca="1"/>
        <v>57892</v>
      </c>
      <c r="OD22" s="8">
        <f ca="1"/>
        <v>57923</v>
      </c>
      <c r="OE22" s="8">
        <f ca="1"/>
        <v>57954</v>
      </c>
      <c r="OF22" s="8">
        <f ca="1"/>
        <v>57984</v>
      </c>
      <c r="OG22" s="8">
        <f ca="1"/>
        <v>58015</v>
      </c>
      <c r="OH22" s="8">
        <f ca="1"/>
        <v>58045</v>
      </c>
      <c r="OI22" s="8">
        <f ca="1"/>
        <v>58076</v>
      </c>
      <c r="OJ22" s="8">
        <f ca="1"/>
        <v>58107</v>
      </c>
      <c r="OK22" s="8">
        <f ca="1"/>
        <v>58135</v>
      </c>
      <c r="OL22" s="8">
        <f ca="1"/>
        <v>58166</v>
      </c>
      <c r="OM22" s="8">
        <f ca="1"/>
        <v>58196</v>
      </c>
      <c r="ON22" s="8">
        <f ca="1"/>
        <v>58227</v>
      </c>
      <c r="OO22" s="8">
        <f ca="1"/>
        <v>58257</v>
      </c>
      <c r="OP22" s="8">
        <f ca="1"/>
        <v>58288</v>
      </c>
      <c r="OQ22" s="8">
        <f ca="1"/>
        <v>58319</v>
      </c>
      <c r="OR22" s="8">
        <f ca="1"/>
        <v>58349</v>
      </c>
      <c r="OS22" s="8">
        <f ca="1"/>
        <v>58380</v>
      </c>
      <c r="OT22" s="8">
        <f ca="1"/>
        <v>58410</v>
      </c>
      <c r="OU22" s="8">
        <f ca="1"/>
        <v>58441</v>
      </c>
      <c r="OV22" s="8">
        <f ca="1"/>
        <v>58472</v>
      </c>
      <c r="OW22" s="8">
        <f ca="1"/>
        <v>58501</v>
      </c>
      <c r="OX22" s="8">
        <f ca="1"/>
        <v>58532</v>
      </c>
      <c r="OY22" s="8">
        <f ca="1"/>
        <v>58562</v>
      </c>
      <c r="OZ22" s="8">
        <f ca="1"/>
        <v>58593</v>
      </c>
      <c r="PA22" s="8">
        <f ca="1"/>
        <v>58623</v>
      </c>
      <c r="PB22" s="8">
        <f ca="1"/>
        <v>58654</v>
      </c>
      <c r="PC22" s="8">
        <f ca="1"/>
        <v>58685</v>
      </c>
      <c r="PD22" s="8">
        <f ca="1"/>
        <v>58715</v>
      </c>
      <c r="PE22" s="8">
        <f ca="1"/>
        <v>58746</v>
      </c>
      <c r="PF22" s="8">
        <f ca="1"/>
        <v>58776</v>
      </c>
      <c r="PG22" s="8">
        <f ca="1"/>
        <v>58807</v>
      </c>
      <c r="PH22" s="8">
        <f ca="1"/>
        <v>58838</v>
      </c>
      <c r="PI22" s="8">
        <f ca="1"/>
        <v>58866</v>
      </c>
      <c r="PJ22" s="8">
        <f ca="1"/>
        <v>58897</v>
      </c>
      <c r="PK22" s="8">
        <f ca="1"/>
        <v>58927</v>
      </c>
      <c r="PL22" s="8">
        <f ca="1"/>
        <v>58958</v>
      </c>
      <c r="PM22" s="8">
        <f ca="1"/>
        <v>58988</v>
      </c>
      <c r="PN22" s="8">
        <f ca="1"/>
        <v>59019</v>
      </c>
      <c r="PO22" s="8">
        <f ca="1"/>
        <v>59050</v>
      </c>
      <c r="PP22" s="8">
        <f ca="1"/>
        <v>59080</v>
      </c>
      <c r="PQ22" s="8">
        <f ca="1"/>
        <v>59111</v>
      </c>
      <c r="PR22" s="8">
        <f ca="1"/>
        <v>59141</v>
      </c>
      <c r="PS22" s="8">
        <f ca="1"/>
        <v>59172</v>
      </c>
      <c r="PT22" s="8">
        <f ca="1"/>
        <v>59203</v>
      </c>
      <c r="PU22" s="8">
        <f ca="1"/>
        <v>59231</v>
      </c>
      <c r="PV22" s="8">
        <f ca="1"/>
        <v>59262</v>
      </c>
      <c r="PW22" s="8">
        <f ca="1"/>
        <v>59292</v>
      </c>
      <c r="PX22" s="8">
        <f ca="1"/>
        <v>59323</v>
      </c>
      <c r="PY22" s="8">
        <f ca="1"/>
        <v>59353</v>
      </c>
      <c r="PZ22" s="8">
        <f ca="1"/>
        <v>59384</v>
      </c>
      <c r="QA22" s="8">
        <f ca="1"/>
        <v>59415</v>
      </c>
      <c r="QB22" s="8">
        <f ca="1"/>
        <v>59445</v>
      </c>
      <c r="QC22" s="8">
        <f ca="1"/>
        <v>59476</v>
      </c>
      <c r="QD22" s="8">
        <f ca="1"/>
        <v>59506</v>
      </c>
      <c r="QE22" s="8">
        <f ca="1"/>
        <v>59537</v>
      </c>
      <c r="QF22" s="8">
        <f ca="1"/>
        <v>59568</v>
      </c>
      <c r="QG22" s="8">
        <f ca="1"/>
        <v>59596</v>
      </c>
      <c r="QH22" s="8">
        <f ca="1"/>
        <v>59627</v>
      </c>
      <c r="QI22" s="8">
        <f ca="1"/>
        <v>59657</v>
      </c>
      <c r="QJ22" s="8">
        <f ca="1"/>
        <v>59688</v>
      </c>
      <c r="QK22" s="8">
        <f ca="1"/>
        <v>59718</v>
      </c>
      <c r="QL22" s="8">
        <f ca="1"/>
        <v>59749</v>
      </c>
      <c r="QM22" s="8">
        <f ca="1"/>
        <v>59780</v>
      </c>
      <c r="QN22" s="8">
        <f ca="1"/>
        <v>59810</v>
      </c>
      <c r="QO22" s="8">
        <f ca="1"/>
        <v>59841</v>
      </c>
      <c r="QP22" s="8">
        <f ca="1"/>
        <v>59871</v>
      </c>
      <c r="QQ22" s="8">
        <f ca="1"/>
        <v>59902</v>
      </c>
      <c r="QR22" s="8">
        <f ca="1"/>
        <v>59933</v>
      </c>
      <c r="QS22" s="8">
        <f ca="1"/>
        <v>59962</v>
      </c>
      <c r="QT22" s="8">
        <f ca="1"/>
        <v>59993</v>
      </c>
      <c r="QU22" s="8">
        <f ca="1"/>
        <v>60023</v>
      </c>
      <c r="QV22" s="8">
        <f ca="1"/>
        <v>60054</v>
      </c>
      <c r="QW22" s="8">
        <f ca="1"/>
        <v>60084</v>
      </c>
      <c r="QX22" s="8">
        <f ca="1"/>
        <v>60115</v>
      </c>
      <c r="QY22" s="8">
        <f ca="1"/>
        <v>60146</v>
      </c>
      <c r="QZ22" s="8">
        <f ca="1"/>
        <v>60176</v>
      </c>
      <c r="RA22" s="8">
        <f ca="1"/>
        <v>60207</v>
      </c>
      <c r="RB22" s="8">
        <f ca="1"/>
        <v>60237</v>
      </c>
      <c r="RC22" s="8">
        <f ca="1"/>
        <v>60268</v>
      </c>
      <c r="RD22" s="8">
        <f ca="1"/>
        <v>60299</v>
      </c>
      <c r="RE22" s="8">
        <f ca="1"/>
        <v>60327</v>
      </c>
      <c r="RF22" s="8">
        <f ca="1"/>
        <v>60358</v>
      </c>
      <c r="RG22" s="8">
        <f ca="1"/>
        <v>60388</v>
      </c>
      <c r="RH22" s="8">
        <f ca="1"/>
        <v>60419</v>
      </c>
      <c r="RI22" s="8">
        <f ca="1"/>
        <v>60449</v>
      </c>
      <c r="RJ22" s="8">
        <f ca="1"/>
        <v>60480</v>
      </c>
      <c r="RK22" s="8">
        <f ca="1"/>
        <v>60511</v>
      </c>
      <c r="RL22" s="8">
        <f ca="1"/>
        <v>60541</v>
      </c>
      <c r="RM22" s="8">
        <f ca="1"/>
        <v>60572</v>
      </c>
      <c r="RN22" s="8">
        <f ca="1"/>
        <v>60602</v>
      </c>
      <c r="RO22" s="8">
        <f ca="1"/>
        <v>60633</v>
      </c>
      <c r="RP22" s="8">
        <f ca="1"/>
        <v>60664</v>
      </c>
      <c r="RQ22" s="8">
        <f ca="1"/>
        <v>60692</v>
      </c>
      <c r="RR22" s="8">
        <f ca="1"/>
        <v>60723</v>
      </c>
      <c r="RS22" s="8">
        <f ca="1"/>
        <v>60753</v>
      </c>
      <c r="RT22" s="8">
        <f ca="1"/>
        <v>60784</v>
      </c>
      <c r="RU22" s="8">
        <f ca="1"/>
        <v>60814</v>
      </c>
      <c r="RV22" s="8">
        <f ca="1"/>
        <v>60845</v>
      </c>
      <c r="RW22" s="8">
        <f ca="1"/>
        <v>60876</v>
      </c>
      <c r="RX22" s="8">
        <f ca="1"/>
        <v>60906</v>
      </c>
      <c r="RY22" s="8">
        <f ca="1"/>
        <v>60937</v>
      </c>
      <c r="RZ22" s="8">
        <f ca="1"/>
        <v>60967</v>
      </c>
    </row>
    <row r="23" spans="1:495" x14ac:dyDescent="0.3">
      <c r="A23" t="s">
        <v>493</v>
      </c>
      <c r="B23" s="302" cm="1">
        <f t="array" aca="1" ref="B23:RZ23" ca="1">MATCH(YEAR(_xlfn.ANCHORARRAY(B22)),_xlfn.ANCHORARRAY($C$1))</f>
        <v>11</v>
      </c>
      <c r="C23" s="302">
        <f ca="1"/>
        <v>12</v>
      </c>
      <c r="D23" s="302">
        <f ca="1"/>
        <v>12</v>
      </c>
      <c r="E23" s="302">
        <f ca="1"/>
        <v>12</v>
      </c>
      <c r="F23" s="302">
        <f ca="1"/>
        <v>12</v>
      </c>
      <c r="G23" s="302">
        <f ca="1"/>
        <v>12</v>
      </c>
      <c r="H23" s="302">
        <f ca="1"/>
        <v>12</v>
      </c>
      <c r="I23" s="302">
        <f ca="1"/>
        <v>12</v>
      </c>
      <c r="J23" s="302">
        <f ca="1"/>
        <v>12</v>
      </c>
      <c r="K23" s="302">
        <f ca="1"/>
        <v>12</v>
      </c>
      <c r="L23" s="302">
        <f ca="1"/>
        <v>12</v>
      </c>
      <c r="M23" s="302">
        <f ca="1"/>
        <v>12</v>
      </c>
      <c r="N23" s="302">
        <f ca="1"/>
        <v>12</v>
      </c>
      <c r="O23" s="302">
        <f ca="1"/>
        <v>13</v>
      </c>
      <c r="P23" s="302">
        <f ca="1"/>
        <v>13</v>
      </c>
      <c r="Q23" s="302">
        <f ca="1"/>
        <v>13</v>
      </c>
      <c r="R23" s="302">
        <f ca="1"/>
        <v>13</v>
      </c>
      <c r="S23" s="302">
        <f ca="1"/>
        <v>13</v>
      </c>
      <c r="T23" s="302">
        <f ca="1"/>
        <v>13</v>
      </c>
      <c r="U23" s="302">
        <f ca="1"/>
        <v>13</v>
      </c>
      <c r="V23" s="302">
        <f ca="1"/>
        <v>13</v>
      </c>
      <c r="W23" s="302">
        <f ca="1"/>
        <v>13</v>
      </c>
      <c r="X23" s="302">
        <f ca="1"/>
        <v>13</v>
      </c>
      <c r="Y23" s="302">
        <f ca="1"/>
        <v>13</v>
      </c>
      <c r="Z23" s="302">
        <f ca="1"/>
        <v>13</v>
      </c>
      <c r="AA23" s="302">
        <f ca="1"/>
        <v>14</v>
      </c>
      <c r="AB23" s="302">
        <f ca="1"/>
        <v>14</v>
      </c>
      <c r="AC23" s="302">
        <f ca="1"/>
        <v>14</v>
      </c>
      <c r="AD23" s="302">
        <f ca="1"/>
        <v>14</v>
      </c>
      <c r="AE23" s="302">
        <f ca="1"/>
        <v>14</v>
      </c>
      <c r="AF23" s="302">
        <f ca="1"/>
        <v>14</v>
      </c>
      <c r="AG23" s="302">
        <f ca="1"/>
        <v>14</v>
      </c>
      <c r="AH23" s="302">
        <f ca="1"/>
        <v>14</v>
      </c>
      <c r="AI23" s="302">
        <f ca="1"/>
        <v>14</v>
      </c>
      <c r="AJ23" s="302">
        <f ca="1"/>
        <v>14</v>
      </c>
      <c r="AK23" s="302">
        <f ca="1"/>
        <v>14</v>
      </c>
      <c r="AL23" s="302">
        <f ca="1"/>
        <v>14</v>
      </c>
      <c r="AM23" s="302">
        <f ca="1"/>
        <v>15</v>
      </c>
      <c r="AN23" s="302">
        <f ca="1"/>
        <v>15</v>
      </c>
      <c r="AO23" s="302">
        <f ca="1"/>
        <v>15</v>
      </c>
      <c r="AP23" s="302">
        <f ca="1"/>
        <v>15</v>
      </c>
      <c r="AQ23" s="302">
        <f ca="1"/>
        <v>15</v>
      </c>
      <c r="AR23" s="302">
        <f ca="1"/>
        <v>15</v>
      </c>
      <c r="AS23" s="302">
        <f ca="1"/>
        <v>15</v>
      </c>
      <c r="AT23" s="302">
        <f ca="1"/>
        <v>15</v>
      </c>
      <c r="AU23" s="302">
        <f ca="1"/>
        <v>15</v>
      </c>
      <c r="AV23" s="302">
        <f ca="1"/>
        <v>15</v>
      </c>
      <c r="AW23" s="302">
        <f ca="1"/>
        <v>15</v>
      </c>
      <c r="AX23" s="302">
        <f ca="1"/>
        <v>15</v>
      </c>
      <c r="AY23" s="302">
        <f ca="1"/>
        <v>16</v>
      </c>
      <c r="AZ23" s="302">
        <f ca="1"/>
        <v>16</v>
      </c>
      <c r="BA23" s="302">
        <f ca="1"/>
        <v>16</v>
      </c>
      <c r="BB23" s="302">
        <f ca="1"/>
        <v>16</v>
      </c>
      <c r="BC23" s="302">
        <f ca="1"/>
        <v>16</v>
      </c>
      <c r="BD23" s="302">
        <f ca="1"/>
        <v>16</v>
      </c>
      <c r="BE23" s="302">
        <f ca="1"/>
        <v>16</v>
      </c>
      <c r="BF23" s="302">
        <f ca="1"/>
        <v>16</v>
      </c>
      <c r="BG23" s="302">
        <f ca="1"/>
        <v>16</v>
      </c>
      <c r="BH23" s="302">
        <f ca="1"/>
        <v>16</v>
      </c>
      <c r="BI23" s="302">
        <f ca="1"/>
        <v>16</v>
      </c>
      <c r="BJ23" s="302">
        <f ca="1"/>
        <v>16</v>
      </c>
      <c r="BK23" s="302">
        <f ca="1"/>
        <v>17</v>
      </c>
      <c r="BL23" s="302">
        <f ca="1"/>
        <v>17</v>
      </c>
      <c r="BM23" s="302">
        <f ca="1"/>
        <v>17</v>
      </c>
      <c r="BN23" s="302">
        <f ca="1"/>
        <v>17</v>
      </c>
      <c r="BO23" s="302">
        <f ca="1"/>
        <v>17</v>
      </c>
      <c r="BP23" s="302">
        <f ca="1"/>
        <v>17</v>
      </c>
      <c r="BQ23" s="302">
        <f ca="1"/>
        <v>17</v>
      </c>
      <c r="BR23" s="302">
        <f ca="1"/>
        <v>17</v>
      </c>
      <c r="BS23" s="302">
        <f ca="1"/>
        <v>17</v>
      </c>
      <c r="BT23" s="302">
        <f ca="1"/>
        <v>17</v>
      </c>
      <c r="BU23" s="302">
        <f ca="1"/>
        <v>17</v>
      </c>
      <c r="BV23" s="302">
        <f ca="1"/>
        <v>17</v>
      </c>
      <c r="BW23" s="302">
        <f ca="1"/>
        <v>18</v>
      </c>
      <c r="BX23" s="302">
        <f ca="1"/>
        <v>18</v>
      </c>
      <c r="BY23" s="302">
        <f ca="1"/>
        <v>18</v>
      </c>
      <c r="BZ23" s="302">
        <f ca="1"/>
        <v>18</v>
      </c>
      <c r="CA23" s="302">
        <f ca="1"/>
        <v>18</v>
      </c>
      <c r="CB23" s="302">
        <f ca="1"/>
        <v>18</v>
      </c>
      <c r="CC23" s="302">
        <f ca="1"/>
        <v>18</v>
      </c>
      <c r="CD23" s="302">
        <f ca="1"/>
        <v>18</v>
      </c>
      <c r="CE23" s="302">
        <f ca="1"/>
        <v>18</v>
      </c>
      <c r="CF23" s="302">
        <f ca="1"/>
        <v>18</v>
      </c>
      <c r="CG23" s="302">
        <f ca="1"/>
        <v>18</v>
      </c>
      <c r="CH23" s="302">
        <f ca="1"/>
        <v>18</v>
      </c>
      <c r="CI23" s="302">
        <f ca="1"/>
        <v>19</v>
      </c>
      <c r="CJ23" s="302">
        <f ca="1"/>
        <v>19</v>
      </c>
      <c r="CK23" s="302">
        <f ca="1"/>
        <v>19</v>
      </c>
      <c r="CL23" s="302">
        <f ca="1"/>
        <v>19</v>
      </c>
      <c r="CM23" s="302">
        <f ca="1"/>
        <v>19</v>
      </c>
      <c r="CN23" s="302">
        <f ca="1"/>
        <v>19</v>
      </c>
      <c r="CO23" s="302">
        <f ca="1"/>
        <v>19</v>
      </c>
      <c r="CP23" s="302">
        <f ca="1"/>
        <v>19</v>
      </c>
      <c r="CQ23" s="302">
        <f ca="1"/>
        <v>19</v>
      </c>
      <c r="CR23" s="302">
        <f ca="1"/>
        <v>19</v>
      </c>
      <c r="CS23" s="302">
        <f ca="1"/>
        <v>19</v>
      </c>
      <c r="CT23" s="302">
        <f ca="1"/>
        <v>19</v>
      </c>
      <c r="CU23" s="302">
        <f ca="1"/>
        <v>20</v>
      </c>
      <c r="CV23" s="302">
        <f ca="1"/>
        <v>20</v>
      </c>
      <c r="CW23" s="302">
        <f ca="1"/>
        <v>20</v>
      </c>
      <c r="CX23" s="302">
        <f ca="1"/>
        <v>20</v>
      </c>
      <c r="CY23" s="302">
        <f ca="1"/>
        <v>20</v>
      </c>
      <c r="CZ23" s="302">
        <f ca="1"/>
        <v>20</v>
      </c>
      <c r="DA23" s="302">
        <f ca="1"/>
        <v>20</v>
      </c>
      <c r="DB23" s="302">
        <f ca="1"/>
        <v>20</v>
      </c>
      <c r="DC23" s="302">
        <f ca="1"/>
        <v>20</v>
      </c>
      <c r="DD23" s="302">
        <f ca="1"/>
        <v>20</v>
      </c>
      <c r="DE23" s="302">
        <f ca="1"/>
        <v>20</v>
      </c>
      <c r="DF23" s="302">
        <f ca="1"/>
        <v>20</v>
      </c>
      <c r="DG23" s="302">
        <f ca="1"/>
        <v>21</v>
      </c>
      <c r="DH23" s="302">
        <f ca="1"/>
        <v>21</v>
      </c>
      <c r="DI23" s="302">
        <f ca="1"/>
        <v>21</v>
      </c>
      <c r="DJ23" s="302">
        <f ca="1"/>
        <v>21</v>
      </c>
      <c r="DK23" s="302">
        <f ca="1"/>
        <v>21</v>
      </c>
      <c r="DL23" s="302">
        <f ca="1"/>
        <v>21</v>
      </c>
      <c r="DM23" s="302">
        <f ca="1"/>
        <v>21</v>
      </c>
      <c r="DN23" s="302">
        <f ca="1"/>
        <v>21</v>
      </c>
      <c r="DO23" s="302">
        <f ca="1"/>
        <v>21</v>
      </c>
      <c r="DP23" s="302">
        <f ca="1"/>
        <v>21</v>
      </c>
      <c r="DQ23" s="302">
        <f ca="1"/>
        <v>21</v>
      </c>
      <c r="DR23" s="302">
        <f ca="1"/>
        <v>21</v>
      </c>
      <c r="DS23" s="302">
        <f ca="1"/>
        <v>22</v>
      </c>
      <c r="DT23" s="302">
        <f ca="1"/>
        <v>22</v>
      </c>
      <c r="DU23" s="302">
        <f ca="1"/>
        <v>22</v>
      </c>
      <c r="DV23" s="302">
        <f ca="1"/>
        <v>22</v>
      </c>
      <c r="DW23" s="302">
        <f ca="1"/>
        <v>22</v>
      </c>
      <c r="DX23" s="302">
        <f ca="1"/>
        <v>22</v>
      </c>
      <c r="DY23" s="302">
        <f ca="1"/>
        <v>22</v>
      </c>
      <c r="DZ23" s="302">
        <f ca="1"/>
        <v>22</v>
      </c>
      <c r="EA23" s="302">
        <f ca="1"/>
        <v>22</v>
      </c>
      <c r="EB23" s="302">
        <f ca="1"/>
        <v>22</v>
      </c>
      <c r="EC23" s="302">
        <f ca="1"/>
        <v>22</v>
      </c>
      <c r="ED23" s="302">
        <f ca="1"/>
        <v>22</v>
      </c>
      <c r="EE23" s="302">
        <f ca="1"/>
        <v>23</v>
      </c>
      <c r="EF23" s="302">
        <f ca="1"/>
        <v>23</v>
      </c>
      <c r="EG23" s="302">
        <f ca="1"/>
        <v>23</v>
      </c>
      <c r="EH23" s="302">
        <f ca="1"/>
        <v>23</v>
      </c>
      <c r="EI23" s="302">
        <f ca="1"/>
        <v>23</v>
      </c>
      <c r="EJ23" s="302">
        <f ca="1"/>
        <v>23</v>
      </c>
      <c r="EK23" s="302">
        <f ca="1"/>
        <v>23</v>
      </c>
      <c r="EL23" s="302">
        <f ca="1"/>
        <v>23</v>
      </c>
      <c r="EM23" s="302">
        <f ca="1"/>
        <v>23</v>
      </c>
      <c r="EN23" s="302">
        <f ca="1"/>
        <v>23</v>
      </c>
      <c r="EO23" s="302">
        <f ca="1"/>
        <v>23</v>
      </c>
      <c r="EP23" s="302">
        <f ca="1"/>
        <v>23</v>
      </c>
      <c r="EQ23" s="302">
        <f ca="1"/>
        <v>24</v>
      </c>
      <c r="ER23" s="302">
        <f ca="1"/>
        <v>24</v>
      </c>
      <c r="ES23" s="302">
        <f ca="1"/>
        <v>24</v>
      </c>
      <c r="ET23" s="302">
        <f ca="1"/>
        <v>24</v>
      </c>
      <c r="EU23" s="302">
        <f ca="1"/>
        <v>24</v>
      </c>
      <c r="EV23" s="302">
        <f ca="1"/>
        <v>24</v>
      </c>
      <c r="EW23" s="302">
        <f ca="1"/>
        <v>24</v>
      </c>
      <c r="EX23" s="302">
        <f ca="1"/>
        <v>24</v>
      </c>
      <c r="EY23" s="302">
        <f ca="1"/>
        <v>24</v>
      </c>
      <c r="EZ23" s="302">
        <f ca="1"/>
        <v>24</v>
      </c>
      <c r="FA23" s="302">
        <f ca="1"/>
        <v>24</v>
      </c>
      <c r="FB23" s="302">
        <f ca="1"/>
        <v>24</v>
      </c>
      <c r="FC23" s="302">
        <f ca="1"/>
        <v>25</v>
      </c>
      <c r="FD23" s="302">
        <f ca="1"/>
        <v>25</v>
      </c>
      <c r="FE23" s="302">
        <f ca="1"/>
        <v>25</v>
      </c>
      <c r="FF23" s="302">
        <f ca="1"/>
        <v>25</v>
      </c>
      <c r="FG23" s="302">
        <f ca="1"/>
        <v>25</v>
      </c>
      <c r="FH23" s="302">
        <f ca="1"/>
        <v>25</v>
      </c>
      <c r="FI23" s="302">
        <f ca="1"/>
        <v>25</v>
      </c>
      <c r="FJ23" s="302">
        <f ca="1"/>
        <v>25</v>
      </c>
      <c r="FK23" s="302">
        <f ca="1"/>
        <v>25</v>
      </c>
      <c r="FL23" s="302">
        <f ca="1"/>
        <v>25</v>
      </c>
      <c r="FM23" s="302">
        <f ca="1"/>
        <v>25</v>
      </c>
      <c r="FN23" s="302">
        <f ca="1"/>
        <v>25</v>
      </c>
      <c r="FO23" s="302">
        <f ca="1"/>
        <v>26</v>
      </c>
      <c r="FP23" s="302">
        <f ca="1"/>
        <v>26</v>
      </c>
      <c r="FQ23" s="302">
        <f ca="1"/>
        <v>26</v>
      </c>
      <c r="FR23" s="302">
        <f ca="1"/>
        <v>26</v>
      </c>
      <c r="FS23" s="302">
        <f ca="1"/>
        <v>26</v>
      </c>
      <c r="FT23" s="302">
        <f ca="1"/>
        <v>26</v>
      </c>
      <c r="FU23" s="302">
        <f ca="1"/>
        <v>26</v>
      </c>
      <c r="FV23" s="302">
        <f ca="1"/>
        <v>26</v>
      </c>
      <c r="FW23" s="302">
        <f ca="1"/>
        <v>26</v>
      </c>
      <c r="FX23" s="302">
        <f ca="1"/>
        <v>26</v>
      </c>
      <c r="FY23" s="302">
        <f ca="1"/>
        <v>26</v>
      </c>
      <c r="FZ23" s="302">
        <f ca="1"/>
        <v>26</v>
      </c>
      <c r="GA23" s="302">
        <f ca="1"/>
        <v>27</v>
      </c>
      <c r="GB23" s="302">
        <f ca="1"/>
        <v>27</v>
      </c>
      <c r="GC23" s="302">
        <f ca="1"/>
        <v>27</v>
      </c>
      <c r="GD23" s="302">
        <f ca="1"/>
        <v>27</v>
      </c>
      <c r="GE23" s="302">
        <f ca="1"/>
        <v>27</v>
      </c>
      <c r="GF23" s="302">
        <f ca="1"/>
        <v>27</v>
      </c>
      <c r="GG23" s="302">
        <f ca="1"/>
        <v>27</v>
      </c>
      <c r="GH23" s="302">
        <f ca="1"/>
        <v>27</v>
      </c>
      <c r="GI23" s="302">
        <f ca="1"/>
        <v>27</v>
      </c>
      <c r="GJ23" s="302">
        <f ca="1"/>
        <v>27</v>
      </c>
      <c r="GK23" s="302">
        <f ca="1"/>
        <v>27</v>
      </c>
      <c r="GL23" s="302">
        <f ca="1"/>
        <v>27</v>
      </c>
      <c r="GM23" s="302">
        <f ca="1"/>
        <v>28</v>
      </c>
      <c r="GN23" s="302">
        <f ca="1"/>
        <v>28</v>
      </c>
      <c r="GO23" s="302">
        <f ca="1"/>
        <v>28</v>
      </c>
      <c r="GP23" s="302">
        <f ca="1"/>
        <v>28</v>
      </c>
      <c r="GQ23" s="302">
        <f ca="1"/>
        <v>28</v>
      </c>
      <c r="GR23" s="302">
        <f ca="1"/>
        <v>28</v>
      </c>
      <c r="GS23" s="302">
        <f ca="1"/>
        <v>28</v>
      </c>
      <c r="GT23" s="302">
        <f ca="1"/>
        <v>28</v>
      </c>
      <c r="GU23" s="302">
        <f ca="1"/>
        <v>28</v>
      </c>
      <c r="GV23" s="302">
        <f ca="1"/>
        <v>28</v>
      </c>
      <c r="GW23" s="302">
        <f ca="1"/>
        <v>28</v>
      </c>
      <c r="GX23" s="302">
        <f ca="1"/>
        <v>28</v>
      </c>
      <c r="GY23" s="302">
        <f ca="1"/>
        <v>29</v>
      </c>
      <c r="GZ23" s="302">
        <f ca="1"/>
        <v>29</v>
      </c>
      <c r="HA23" s="302">
        <f ca="1"/>
        <v>29</v>
      </c>
      <c r="HB23" s="302">
        <f ca="1"/>
        <v>29</v>
      </c>
      <c r="HC23" s="302">
        <f ca="1"/>
        <v>29</v>
      </c>
      <c r="HD23" s="302">
        <f ca="1"/>
        <v>29</v>
      </c>
      <c r="HE23" s="302">
        <f ca="1"/>
        <v>29</v>
      </c>
      <c r="HF23" s="302">
        <f ca="1"/>
        <v>29</v>
      </c>
      <c r="HG23" s="302">
        <f ca="1"/>
        <v>29</v>
      </c>
      <c r="HH23" s="302">
        <f ca="1"/>
        <v>29</v>
      </c>
      <c r="HI23" s="302">
        <f ca="1"/>
        <v>29</v>
      </c>
      <c r="HJ23" s="302">
        <f ca="1"/>
        <v>29</v>
      </c>
      <c r="HK23" s="302">
        <f ca="1"/>
        <v>30</v>
      </c>
      <c r="HL23" s="302">
        <f ca="1"/>
        <v>30</v>
      </c>
      <c r="HM23" s="302">
        <f ca="1"/>
        <v>30</v>
      </c>
      <c r="HN23" s="302">
        <f ca="1"/>
        <v>30</v>
      </c>
      <c r="HO23" s="302">
        <f ca="1"/>
        <v>30</v>
      </c>
      <c r="HP23" s="302">
        <f ca="1"/>
        <v>30</v>
      </c>
      <c r="HQ23" s="302">
        <f ca="1"/>
        <v>30</v>
      </c>
      <c r="HR23" s="302">
        <f ca="1"/>
        <v>30</v>
      </c>
      <c r="HS23" s="302">
        <f ca="1"/>
        <v>30</v>
      </c>
      <c r="HT23" s="302">
        <f ca="1"/>
        <v>30</v>
      </c>
      <c r="HU23" s="302">
        <f ca="1"/>
        <v>30</v>
      </c>
      <c r="HV23" s="302">
        <f ca="1"/>
        <v>30</v>
      </c>
      <c r="HW23" s="302">
        <f ca="1"/>
        <v>31</v>
      </c>
      <c r="HX23" s="302">
        <f ca="1"/>
        <v>31</v>
      </c>
      <c r="HY23" s="302">
        <f ca="1"/>
        <v>31</v>
      </c>
      <c r="HZ23" s="302">
        <f ca="1"/>
        <v>31</v>
      </c>
      <c r="IA23" s="302">
        <f ca="1"/>
        <v>31</v>
      </c>
      <c r="IB23" s="302">
        <f ca="1"/>
        <v>31</v>
      </c>
      <c r="IC23" s="302">
        <f ca="1"/>
        <v>31</v>
      </c>
      <c r="ID23" s="302">
        <f ca="1"/>
        <v>31</v>
      </c>
      <c r="IE23" s="302">
        <f ca="1"/>
        <v>31</v>
      </c>
      <c r="IF23" s="302">
        <f ca="1"/>
        <v>31</v>
      </c>
      <c r="IG23" s="302">
        <f ca="1"/>
        <v>31</v>
      </c>
      <c r="IH23" s="302">
        <f ca="1"/>
        <v>31</v>
      </c>
      <c r="II23" s="302">
        <f ca="1"/>
        <v>32</v>
      </c>
      <c r="IJ23" s="302">
        <f ca="1"/>
        <v>32</v>
      </c>
      <c r="IK23" s="302">
        <f ca="1"/>
        <v>32</v>
      </c>
      <c r="IL23" s="302">
        <f ca="1"/>
        <v>32</v>
      </c>
      <c r="IM23" s="302">
        <f ca="1"/>
        <v>32</v>
      </c>
      <c r="IN23" s="302">
        <f ca="1"/>
        <v>32</v>
      </c>
      <c r="IO23" s="302">
        <f ca="1"/>
        <v>32</v>
      </c>
      <c r="IP23" s="302">
        <f ca="1"/>
        <v>32</v>
      </c>
      <c r="IQ23" s="302">
        <f ca="1"/>
        <v>32</v>
      </c>
      <c r="IR23" s="302">
        <f ca="1"/>
        <v>32</v>
      </c>
      <c r="IS23" s="302">
        <f ca="1"/>
        <v>32</v>
      </c>
      <c r="IT23" s="302">
        <f ca="1"/>
        <v>32</v>
      </c>
      <c r="IU23" s="302">
        <f ca="1"/>
        <v>33</v>
      </c>
      <c r="IV23" s="302">
        <f ca="1"/>
        <v>33</v>
      </c>
      <c r="IW23" s="302">
        <f ca="1"/>
        <v>33</v>
      </c>
      <c r="IX23" s="302">
        <f ca="1"/>
        <v>33</v>
      </c>
      <c r="IY23" s="302">
        <f ca="1"/>
        <v>33</v>
      </c>
      <c r="IZ23" s="302">
        <f ca="1"/>
        <v>33</v>
      </c>
      <c r="JA23" s="302">
        <f ca="1"/>
        <v>33</v>
      </c>
      <c r="JB23" s="302">
        <f ca="1"/>
        <v>33</v>
      </c>
      <c r="JC23" s="302">
        <f ca="1"/>
        <v>33</v>
      </c>
      <c r="JD23" s="302">
        <f ca="1"/>
        <v>33</v>
      </c>
      <c r="JE23" s="302">
        <f ca="1"/>
        <v>33</v>
      </c>
      <c r="JF23" s="302">
        <f ca="1"/>
        <v>33</v>
      </c>
      <c r="JG23" s="302">
        <f ca="1"/>
        <v>34</v>
      </c>
      <c r="JH23" s="302">
        <f ca="1"/>
        <v>34</v>
      </c>
      <c r="JI23" s="302">
        <f ca="1"/>
        <v>34</v>
      </c>
      <c r="JJ23" s="302">
        <f ca="1"/>
        <v>34</v>
      </c>
      <c r="JK23" s="302">
        <f ca="1"/>
        <v>34</v>
      </c>
      <c r="JL23" s="302">
        <f ca="1"/>
        <v>34</v>
      </c>
      <c r="JM23" s="302">
        <f ca="1"/>
        <v>34</v>
      </c>
      <c r="JN23" s="302">
        <f ca="1"/>
        <v>34</v>
      </c>
      <c r="JO23" s="302">
        <f ca="1"/>
        <v>34</v>
      </c>
      <c r="JP23" s="302">
        <f ca="1"/>
        <v>34</v>
      </c>
      <c r="JQ23" s="302">
        <f ca="1"/>
        <v>34</v>
      </c>
      <c r="JR23" s="302">
        <f ca="1"/>
        <v>34</v>
      </c>
      <c r="JS23" s="302">
        <f ca="1"/>
        <v>35</v>
      </c>
      <c r="JT23" s="302">
        <f ca="1"/>
        <v>35</v>
      </c>
      <c r="JU23" s="302">
        <f ca="1"/>
        <v>35</v>
      </c>
      <c r="JV23" s="302">
        <f ca="1"/>
        <v>35</v>
      </c>
      <c r="JW23" s="302">
        <f ca="1"/>
        <v>35</v>
      </c>
      <c r="JX23" s="302">
        <f ca="1"/>
        <v>35</v>
      </c>
      <c r="JY23" s="302">
        <f ca="1"/>
        <v>35</v>
      </c>
      <c r="JZ23" s="302">
        <f ca="1"/>
        <v>35</v>
      </c>
      <c r="KA23" s="302">
        <f ca="1"/>
        <v>35</v>
      </c>
      <c r="KB23" s="302">
        <f ca="1"/>
        <v>35</v>
      </c>
      <c r="KC23" s="302">
        <f ca="1"/>
        <v>35</v>
      </c>
      <c r="KD23" s="302">
        <f ca="1"/>
        <v>35</v>
      </c>
      <c r="KE23" s="302">
        <f ca="1"/>
        <v>36</v>
      </c>
      <c r="KF23" s="302">
        <f ca="1"/>
        <v>36</v>
      </c>
      <c r="KG23" s="302">
        <f ca="1"/>
        <v>36</v>
      </c>
      <c r="KH23" s="302">
        <f ca="1"/>
        <v>36</v>
      </c>
      <c r="KI23" s="302">
        <f ca="1"/>
        <v>36</v>
      </c>
      <c r="KJ23" s="302">
        <f ca="1"/>
        <v>36</v>
      </c>
      <c r="KK23" s="302">
        <f ca="1"/>
        <v>36</v>
      </c>
      <c r="KL23" s="302">
        <f ca="1"/>
        <v>36</v>
      </c>
      <c r="KM23" s="302">
        <f ca="1"/>
        <v>36</v>
      </c>
      <c r="KN23" s="302">
        <f ca="1"/>
        <v>36</v>
      </c>
      <c r="KO23" s="302">
        <f ca="1"/>
        <v>36</v>
      </c>
      <c r="KP23" s="302">
        <f ca="1"/>
        <v>36</v>
      </c>
      <c r="KQ23" s="302">
        <f ca="1"/>
        <v>37</v>
      </c>
      <c r="KR23" s="302">
        <f ca="1"/>
        <v>37</v>
      </c>
      <c r="KS23" s="302">
        <f ca="1"/>
        <v>37</v>
      </c>
      <c r="KT23" s="302">
        <f ca="1"/>
        <v>37</v>
      </c>
      <c r="KU23" s="302">
        <f ca="1"/>
        <v>37</v>
      </c>
      <c r="KV23" s="302">
        <f ca="1"/>
        <v>37</v>
      </c>
      <c r="KW23" s="302">
        <f ca="1"/>
        <v>37</v>
      </c>
      <c r="KX23" s="302">
        <f ca="1"/>
        <v>37</v>
      </c>
      <c r="KY23" s="302">
        <f ca="1"/>
        <v>37</v>
      </c>
      <c r="KZ23" s="302">
        <f ca="1"/>
        <v>37</v>
      </c>
      <c r="LA23" s="302">
        <f ca="1"/>
        <v>37</v>
      </c>
      <c r="LB23" s="302">
        <f ca="1"/>
        <v>37</v>
      </c>
      <c r="LC23" s="302">
        <f ca="1"/>
        <v>38</v>
      </c>
      <c r="LD23" s="302">
        <f ca="1"/>
        <v>38</v>
      </c>
      <c r="LE23" s="302">
        <f ca="1"/>
        <v>38</v>
      </c>
      <c r="LF23" s="302">
        <f ca="1"/>
        <v>38</v>
      </c>
      <c r="LG23" s="302">
        <f ca="1"/>
        <v>38</v>
      </c>
      <c r="LH23" s="302">
        <f ca="1"/>
        <v>38</v>
      </c>
      <c r="LI23" s="302">
        <f ca="1"/>
        <v>38</v>
      </c>
      <c r="LJ23" s="302">
        <f ca="1"/>
        <v>38</v>
      </c>
      <c r="LK23" s="302">
        <f ca="1"/>
        <v>38</v>
      </c>
      <c r="LL23" s="302">
        <f ca="1"/>
        <v>38</v>
      </c>
      <c r="LM23" s="302">
        <f ca="1"/>
        <v>38</v>
      </c>
      <c r="LN23" s="302">
        <f ca="1"/>
        <v>38</v>
      </c>
      <c r="LO23" s="302">
        <f ca="1"/>
        <v>39</v>
      </c>
      <c r="LP23" s="302">
        <f ca="1"/>
        <v>39</v>
      </c>
      <c r="LQ23" s="302">
        <f ca="1"/>
        <v>39</v>
      </c>
      <c r="LR23" s="302">
        <f ca="1"/>
        <v>39</v>
      </c>
      <c r="LS23" s="302">
        <f ca="1"/>
        <v>39</v>
      </c>
      <c r="LT23" s="302">
        <f ca="1"/>
        <v>39</v>
      </c>
      <c r="LU23" s="302">
        <f ca="1"/>
        <v>39</v>
      </c>
      <c r="LV23" s="302">
        <f ca="1"/>
        <v>39</v>
      </c>
      <c r="LW23" s="302">
        <f ca="1"/>
        <v>39</v>
      </c>
      <c r="LX23" s="302">
        <f ca="1"/>
        <v>39</v>
      </c>
      <c r="LY23" s="302">
        <f ca="1"/>
        <v>39</v>
      </c>
      <c r="LZ23" s="302">
        <f ca="1"/>
        <v>39</v>
      </c>
      <c r="MA23" s="302">
        <f ca="1"/>
        <v>40</v>
      </c>
      <c r="MB23" s="302">
        <f ca="1"/>
        <v>40</v>
      </c>
      <c r="MC23" s="302">
        <f ca="1"/>
        <v>40</v>
      </c>
      <c r="MD23" s="302">
        <f ca="1"/>
        <v>40</v>
      </c>
      <c r="ME23" s="302">
        <f ca="1"/>
        <v>40</v>
      </c>
      <c r="MF23" s="302">
        <f ca="1"/>
        <v>40</v>
      </c>
      <c r="MG23" s="302">
        <f ca="1"/>
        <v>40</v>
      </c>
      <c r="MH23" s="302">
        <f ca="1"/>
        <v>40</v>
      </c>
      <c r="MI23" s="302">
        <f ca="1"/>
        <v>40</v>
      </c>
      <c r="MJ23" s="302">
        <f ca="1"/>
        <v>40</v>
      </c>
      <c r="MK23" s="302">
        <f ca="1"/>
        <v>40</v>
      </c>
      <c r="ML23" s="302">
        <f ca="1"/>
        <v>40</v>
      </c>
      <c r="MM23" s="302">
        <f ca="1"/>
        <v>41</v>
      </c>
      <c r="MN23" s="302">
        <f ca="1"/>
        <v>41</v>
      </c>
      <c r="MO23" s="302">
        <f ca="1"/>
        <v>41</v>
      </c>
      <c r="MP23" s="302">
        <f ca="1"/>
        <v>41</v>
      </c>
      <c r="MQ23" s="302">
        <f ca="1"/>
        <v>41</v>
      </c>
      <c r="MR23" s="302">
        <f ca="1"/>
        <v>41</v>
      </c>
      <c r="MS23" s="302">
        <f ca="1"/>
        <v>41</v>
      </c>
      <c r="MT23" s="302">
        <f ca="1"/>
        <v>41</v>
      </c>
      <c r="MU23" s="302">
        <f ca="1"/>
        <v>41</v>
      </c>
      <c r="MV23" s="302">
        <f ca="1"/>
        <v>41</v>
      </c>
      <c r="MW23" s="302">
        <f ca="1"/>
        <v>41</v>
      </c>
      <c r="MX23" s="302">
        <f ca="1"/>
        <v>41</v>
      </c>
      <c r="MY23" s="302">
        <f ca="1"/>
        <v>42</v>
      </c>
      <c r="MZ23" s="302">
        <f ca="1"/>
        <v>42</v>
      </c>
      <c r="NA23" s="302">
        <f ca="1"/>
        <v>42</v>
      </c>
      <c r="NB23" s="302">
        <f ca="1"/>
        <v>42</v>
      </c>
      <c r="NC23" s="302">
        <f ca="1"/>
        <v>42</v>
      </c>
      <c r="ND23" s="302">
        <f ca="1"/>
        <v>42</v>
      </c>
      <c r="NE23" s="302">
        <f ca="1"/>
        <v>42</v>
      </c>
      <c r="NF23" s="302">
        <f ca="1"/>
        <v>42</v>
      </c>
      <c r="NG23" s="302">
        <f ca="1"/>
        <v>42</v>
      </c>
      <c r="NH23" s="302">
        <f ca="1"/>
        <v>42</v>
      </c>
      <c r="NI23" s="302">
        <f ca="1"/>
        <v>42</v>
      </c>
      <c r="NJ23" s="302">
        <f ca="1"/>
        <v>42</v>
      </c>
      <c r="NK23" s="302">
        <f ca="1"/>
        <v>43</v>
      </c>
      <c r="NL23" s="302">
        <f ca="1"/>
        <v>43</v>
      </c>
      <c r="NM23" s="302">
        <f ca="1"/>
        <v>43</v>
      </c>
      <c r="NN23" s="302">
        <f ca="1"/>
        <v>43</v>
      </c>
      <c r="NO23" s="302">
        <f ca="1"/>
        <v>43</v>
      </c>
      <c r="NP23" s="302">
        <f ca="1"/>
        <v>43</v>
      </c>
      <c r="NQ23" s="302">
        <f ca="1"/>
        <v>43</v>
      </c>
      <c r="NR23" s="302">
        <f ca="1"/>
        <v>43</v>
      </c>
      <c r="NS23" s="302">
        <f ca="1"/>
        <v>43</v>
      </c>
      <c r="NT23" s="302">
        <f ca="1"/>
        <v>43</v>
      </c>
      <c r="NU23" s="302">
        <f ca="1"/>
        <v>43</v>
      </c>
      <c r="NV23" s="302">
        <f ca="1"/>
        <v>43</v>
      </c>
      <c r="NW23" s="302">
        <f ca="1"/>
        <v>44</v>
      </c>
      <c r="NX23" s="302">
        <f ca="1"/>
        <v>44</v>
      </c>
      <c r="NY23" s="302">
        <f ca="1"/>
        <v>44</v>
      </c>
      <c r="NZ23" s="302">
        <f ca="1"/>
        <v>44</v>
      </c>
      <c r="OA23" s="302">
        <f ca="1"/>
        <v>44</v>
      </c>
      <c r="OB23" s="302">
        <f ca="1"/>
        <v>44</v>
      </c>
      <c r="OC23" s="302">
        <f ca="1"/>
        <v>44</v>
      </c>
      <c r="OD23" s="302">
        <f ca="1"/>
        <v>44</v>
      </c>
      <c r="OE23" s="302">
        <f ca="1"/>
        <v>44</v>
      </c>
      <c r="OF23" s="302">
        <f ca="1"/>
        <v>44</v>
      </c>
      <c r="OG23" s="302">
        <f ca="1"/>
        <v>44</v>
      </c>
      <c r="OH23" s="302">
        <f ca="1"/>
        <v>44</v>
      </c>
      <c r="OI23" s="302">
        <f ca="1"/>
        <v>45</v>
      </c>
      <c r="OJ23" s="302">
        <f ca="1"/>
        <v>45</v>
      </c>
      <c r="OK23" s="302">
        <f ca="1"/>
        <v>45</v>
      </c>
      <c r="OL23" s="302">
        <f ca="1"/>
        <v>45</v>
      </c>
      <c r="OM23" s="302">
        <f ca="1"/>
        <v>45</v>
      </c>
      <c r="ON23" s="302">
        <f ca="1"/>
        <v>45</v>
      </c>
      <c r="OO23" s="302">
        <f ca="1"/>
        <v>45</v>
      </c>
      <c r="OP23" s="302">
        <f ca="1"/>
        <v>45</v>
      </c>
      <c r="OQ23" s="302">
        <f ca="1"/>
        <v>45</v>
      </c>
      <c r="OR23" s="302">
        <f ca="1"/>
        <v>45</v>
      </c>
      <c r="OS23" s="302">
        <f ca="1"/>
        <v>45</v>
      </c>
      <c r="OT23" s="302">
        <f ca="1"/>
        <v>45</v>
      </c>
      <c r="OU23" s="302">
        <f ca="1"/>
        <v>46</v>
      </c>
      <c r="OV23" s="302">
        <f ca="1"/>
        <v>46</v>
      </c>
      <c r="OW23" s="302">
        <f ca="1"/>
        <v>46</v>
      </c>
      <c r="OX23" s="302">
        <f ca="1"/>
        <v>46</v>
      </c>
      <c r="OY23" s="302">
        <f ca="1"/>
        <v>46</v>
      </c>
      <c r="OZ23" s="302">
        <f ca="1"/>
        <v>46</v>
      </c>
      <c r="PA23" s="302">
        <f ca="1"/>
        <v>46</v>
      </c>
      <c r="PB23" s="302">
        <f ca="1"/>
        <v>46</v>
      </c>
      <c r="PC23" s="302">
        <f ca="1"/>
        <v>46</v>
      </c>
      <c r="PD23" s="302">
        <f ca="1"/>
        <v>46</v>
      </c>
      <c r="PE23" s="302">
        <f ca="1"/>
        <v>46</v>
      </c>
      <c r="PF23" s="302">
        <f ca="1"/>
        <v>46</v>
      </c>
      <c r="PG23" s="302">
        <f ca="1"/>
        <v>47</v>
      </c>
      <c r="PH23" s="302">
        <f ca="1"/>
        <v>47</v>
      </c>
      <c r="PI23" s="302">
        <f ca="1"/>
        <v>47</v>
      </c>
      <c r="PJ23" s="302">
        <f ca="1"/>
        <v>47</v>
      </c>
      <c r="PK23" s="302">
        <f ca="1"/>
        <v>47</v>
      </c>
      <c r="PL23" s="302">
        <f ca="1"/>
        <v>47</v>
      </c>
      <c r="PM23" s="302">
        <f ca="1"/>
        <v>47</v>
      </c>
      <c r="PN23" s="302">
        <f ca="1"/>
        <v>47</v>
      </c>
      <c r="PO23" s="302">
        <f ca="1"/>
        <v>47</v>
      </c>
      <c r="PP23" s="302">
        <f ca="1"/>
        <v>47</v>
      </c>
      <c r="PQ23" s="302">
        <f ca="1"/>
        <v>47</v>
      </c>
      <c r="PR23" s="302">
        <f ca="1"/>
        <v>47</v>
      </c>
      <c r="PS23" s="302">
        <f ca="1"/>
        <v>48</v>
      </c>
      <c r="PT23" s="302">
        <f ca="1"/>
        <v>48</v>
      </c>
      <c r="PU23" s="302">
        <f ca="1"/>
        <v>48</v>
      </c>
      <c r="PV23" s="302">
        <f ca="1"/>
        <v>48</v>
      </c>
      <c r="PW23" s="302">
        <f ca="1"/>
        <v>48</v>
      </c>
      <c r="PX23" s="302">
        <f ca="1"/>
        <v>48</v>
      </c>
      <c r="PY23" s="302">
        <f ca="1"/>
        <v>48</v>
      </c>
      <c r="PZ23" s="302">
        <f ca="1"/>
        <v>48</v>
      </c>
      <c r="QA23" s="302">
        <f ca="1"/>
        <v>48</v>
      </c>
      <c r="QB23" s="302">
        <f ca="1"/>
        <v>48</v>
      </c>
      <c r="QC23" s="302">
        <f ca="1"/>
        <v>48</v>
      </c>
      <c r="QD23" s="302">
        <f ca="1"/>
        <v>48</v>
      </c>
      <c r="QE23" s="302">
        <f ca="1"/>
        <v>49</v>
      </c>
      <c r="QF23" s="302">
        <f ca="1"/>
        <v>49</v>
      </c>
      <c r="QG23" s="302">
        <f ca="1"/>
        <v>49</v>
      </c>
      <c r="QH23" s="302">
        <f ca="1"/>
        <v>49</v>
      </c>
      <c r="QI23" s="302">
        <f ca="1"/>
        <v>49</v>
      </c>
      <c r="QJ23" s="302">
        <f ca="1"/>
        <v>49</v>
      </c>
      <c r="QK23" s="302">
        <f ca="1"/>
        <v>49</v>
      </c>
      <c r="QL23" s="302">
        <f ca="1"/>
        <v>49</v>
      </c>
      <c r="QM23" s="302">
        <f ca="1"/>
        <v>49</v>
      </c>
      <c r="QN23" s="302">
        <f ca="1"/>
        <v>49</v>
      </c>
      <c r="QO23" s="302">
        <f ca="1"/>
        <v>49</v>
      </c>
      <c r="QP23" s="302">
        <f ca="1"/>
        <v>49</v>
      </c>
      <c r="QQ23" s="302">
        <f ca="1"/>
        <v>50</v>
      </c>
      <c r="QR23" s="302">
        <f ca="1"/>
        <v>50</v>
      </c>
      <c r="QS23" s="302">
        <f ca="1"/>
        <v>50</v>
      </c>
      <c r="QT23" s="302">
        <f ca="1"/>
        <v>50</v>
      </c>
      <c r="QU23" s="302">
        <f ca="1"/>
        <v>50</v>
      </c>
      <c r="QV23" s="302">
        <f ca="1"/>
        <v>50</v>
      </c>
      <c r="QW23" s="302">
        <f ca="1"/>
        <v>50</v>
      </c>
      <c r="QX23" s="302">
        <f ca="1"/>
        <v>50</v>
      </c>
      <c r="QY23" s="302">
        <f ca="1"/>
        <v>50</v>
      </c>
      <c r="QZ23" s="302">
        <f ca="1"/>
        <v>50</v>
      </c>
      <c r="RA23" s="302">
        <f ca="1"/>
        <v>50</v>
      </c>
      <c r="RB23" s="302">
        <f ca="1"/>
        <v>50</v>
      </c>
      <c r="RC23" s="302">
        <f ca="1"/>
        <v>51</v>
      </c>
      <c r="RD23" s="302">
        <f ca="1"/>
        <v>51</v>
      </c>
      <c r="RE23" s="302">
        <f ca="1"/>
        <v>51</v>
      </c>
      <c r="RF23" s="302">
        <f ca="1"/>
        <v>51</v>
      </c>
      <c r="RG23" s="302">
        <f ca="1"/>
        <v>51</v>
      </c>
      <c r="RH23" s="302">
        <f ca="1"/>
        <v>51</v>
      </c>
      <c r="RI23" s="302">
        <f ca="1"/>
        <v>51</v>
      </c>
      <c r="RJ23" s="302">
        <f ca="1"/>
        <v>51</v>
      </c>
      <c r="RK23" s="302">
        <f ca="1"/>
        <v>51</v>
      </c>
      <c r="RL23" s="302">
        <f ca="1"/>
        <v>51</v>
      </c>
      <c r="RM23" s="302">
        <f ca="1"/>
        <v>51</v>
      </c>
      <c r="RN23" s="302">
        <f ca="1"/>
        <v>51</v>
      </c>
      <c r="RO23" s="302">
        <f ca="1"/>
        <v>52</v>
      </c>
      <c r="RP23" s="302">
        <f ca="1"/>
        <v>52</v>
      </c>
      <c r="RQ23" s="302">
        <f ca="1"/>
        <v>52</v>
      </c>
      <c r="RR23" s="302">
        <f ca="1"/>
        <v>52</v>
      </c>
      <c r="RS23" s="302">
        <f ca="1"/>
        <v>52</v>
      </c>
      <c r="RT23" s="302">
        <f ca="1"/>
        <v>52</v>
      </c>
      <c r="RU23" s="302">
        <f ca="1"/>
        <v>52</v>
      </c>
      <c r="RV23" s="302">
        <f ca="1"/>
        <v>52</v>
      </c>
      <c r="RW23" s="302">
        <f ca="1"/>
        <v>52</v>
      </c>
      <c r="RX23" s="302">
        <f ca="1"/>
        <v>52</v>
      </c>
      <c r="RY23" s="302">
        <f ca="1"/>
        <v>52</v>
      </c>
      <c r="RZ23" s="302">
        <f ca="1"/>
        <v>52</v>
      </c>
      <c r="SA23" s="302"/>
    </row>
    <row r="24" spans="1:495" x14ac:dyDescent="0.3">
      <c r="A24" t="s">
        <v>494</v>
      </c>
      <c r="B24" cm="1">
        <f t="array" aca="1" ref="B24:RZ24" ca="1">IF(  YEAR(_xlfn.ANCHORARRAY(B22))=YEAR(TODAY()),B19,INDEX($C$10:$BB$10,_xlfn.ANCHORARRAY( B23)-1))</f>
        <v>42.4208</v>
      </c>
      <c r="C24">
        <f ca="1"/>
        <v>44</v>
      </c>
      <c r="D24">
        <f ca="1"/>
        <v>44</v>
      </c>
      <c r="E24">
        <f ca="1"/>
        <v>44</v>
      </c>
      <c r="F24">
        <f ca="1"/>
        <v>44</v>
      </c>
      <c r="G24">
        <f ca="1"/>
        <v>44</v>
      </c>
      <c r="H24">
        <f ca="1"/>
        <v>44</v>
      </c>
      <c r="I24">
        <f ca="1"/>
        <v>44</v>
      </c>
      <c r="J24">
        <f ca="1"/>
        <v>44</v>
      </c>
      <c r="K24">
        <f ca="1"/>
        <v>44</v>
      </c>
      <c r="L24">
        <f ca="1"/>
        <v>44</v>
      </c>
      <c r="M24">
        <f ca="1"/>
        <v>44</v>
      </c>
      <c r="N24">
        <f ca="1"/>
        <v>44</v>
      </c>
      <c r="O24">
        <f ca="1"/>
        <v>51.4</v>
      </c>
      <c r="P24">
        <f ca="1"/>
        <v>51.4</v>
      </c>
      <c r="Q24">
        <f ca="1"/>
        <v>51.4</v>
      </c>
      <c r="R24">
        <f ca="1"/>
        <v>51.4</v>
      </c>
      <c r="S24">
        <f ca="1"/>
        <v>51.4</v>
      </c>
      <c r="T24">
        <f ca="1"/>
        <v>51.4</v>
      </c>
      <c r="U24">
        <f ca="1"/>
        <v>51.4</v>
      </c>
      <c r="V24">
        <f ca="1"/>
        <v>51.4</v>
      </c>
      <c r="W24">
        <f ca="1"/>
        <v>51.4</v>
      </c>
      <c r="X24">
        <f ca="1"/>
        <v>51.4</v>
      </c>
      <c r="Y24">
        <f ca="1"/>
        <v>51.4</v>
      </c>
      <c r="Z24">
        <f ca="1"/>
        <v>51.4</v>
      </c>
      <c r="AA24">
        <f ca="1"/>
        <v>59.418894230769233</v>
      </c>
      <c r="AB24">
        <f ca="1"/>
        <v>59.418894230769233</v>
      </c>
      <c r="AC24">
        <f ca="1"/>
        <v>59.418894230769233</v>
      </c>
      <c r="AD24">
        <f ca="1"/>
        <v>59.418894230769233</v>
      </c>
      <c r="AE24">
        <f ca="1"/>
        <v>59.418894230769233</v>
      </c>
      <c r="AF24">
        <f ca="1"/>
        <v>59.418894230769233</v>
      </c>
      <c r="AG24">
        <f ca="1"/>
        <v>59.418894230769233</v>
      </c>
      <c r="AH24">
        <f ca="1"/>
        <v>59.418894230769233</v>
      </c>
      <c r="AI24">
        <f ca="1"/>
        <v>59.418894230769233</v>
      </c>
      <c r="AJ24">
        <f ca="1"/>
        <v>59.418894230769233</v>
      </c>
      <c r="AK24">
        <f ca="1"/>
        <v>59.418894230769233</v>
      </c>
      <c r="AL24">
        <f ca="1"/>
        <v>59.418894230769233</v>
      </c>
      <c r="AM24">
        <f ca="1"/>
        <v>68.363303623188401</v>
      </c>
      <c r="AN24">
        <f ca="1"/>
        <v>68.363303623188401</v>
      </c>
      <c r="AO24">
        <f ca="1"/>
        <v>68.363303623188401</v>
      </c>
      <c r="AP24">
        <f ca="1"/>
        <v>68.363303623188401</v>
      </c>
      <c r="AQ24">
        <f ca="1"/>
        <v>68.363303623188401</v>
      </c>
      <c r="AR24">
        <f ca="1"/>
        <v>68.363303623188401</v>
      </c>
      <c r="AS24">
        <f ca="1"/>
        <v>68.363303623188401</v>
      </c>
      <c r="AT24">
        <f ca="1"/>
        <v>68.363303623188401</v>
      </c>
      <c r="AU24">
        <f ca="1"/>
        <v>68.363303623188401</v>
      </c>
      <c r="AV24">
        <f ca="1"/>
        <v>68.363303623188401</v>
      </c>
      <c r="AW24">
        <f ca="1"/>
        <v>68.363303623188401</v>
      </c>
      <c r="AX24">
        <f ca="1"/>
        <v>68.363303623188401</v>
      </c>
      <c r="AY24">
        <f ca="1"/>
        <v>77.6590455182927</v>
      </c>
      <c r="AZ24">
        <f ca="1"/>
        <v>77.6590455182927</v>
      </c>
      <c r="BA24">
        <f ca="1"/>
        <v>77.6590455182927</v>
      </c>
      <c r="BB24">
        <f ca="1"/>
        <v>77.6590455182927</v>
      </c>
      <c r="BC24">
        <f ca="1"/>
        <v>77.6590455182927</v>
      </c>
      <c r="BD24">
        <f ca="1"/>
        <v>77.6590455182927</v>
      </c>
      <c r="BE24">
        <f ca="1"/>
        <v>77.6590455182927</v>
      </c>
      <c r="BF24">
        <f ca="1"/>
        <v>77.6590455182927</v>
      </c>
      <c r="BG24">
        <f ca="1"/>
        <v>77.6590455182927</v>
      </c>
      <c r="BH24">
        <f ca="1"/>
        <v>77.6590455182927</v>
      </c>
      <c r="BI24">
        <f ca="1"/>
        <v>77.6590455182927</v>
      </c>
      <c r="BJ24">
        <f ca="1"/>
        <v>77.6590455182927</v>
      </c>
      <c r="BK24">
        <f ca="1"/>
        <v>87.366426208079289</v>
      </c>
      <c r="BL24">
        <f ca="1"/>
        <v>87.366426208079289</v>
      </c>
      <c r="BM24">
        <f ca="1"/>
        <v>87.366426208079289</v>
      </c>
      <c r="BN24">
        <f ca="1"/>
        <v>87.366426208079289</v>
      </c>
      <c r="BO24">
        <f ca="1"/>
        <v>87.366426208079289</v>
      </c>
      <c r="BP24">
        <f ca="1"/>
        <v>87.366426208079289</v>
      </c>
      <c r="BQ24">
        <f ca="1"/>
        <v>87.366426208079289</v>
      </c>
      <c r="BR24">
        <f ca="1"/>
        <v>87.366426208079289</v>
      </c>
      <c r="BS24">
        <f ca="1"/>
        <v>87.366426208079289</v>
      </c>
      <c r="BT24">
        <f ca="1"/>
        <v>87.366426208079289</v>
      </c>
      <c r="BU24">
        <f ca="1"/>
        <v>87.366426208079289</v>
      </c>
      <c r="BV24">
        <f ca="1"/>
        <v>87.366426208079289</v>
      </c>
      <c r="BW24">
        <f ca="1"/>
        <v>97.41356522200843</v>
      </c>
      <c r="BX24">
        <f ca="1"/>
        <v>97.41356522200843</v>
      </c>
      <c r="BY24">
        <f ca="1"/>
        <v>97.41356522200843</v>
      </c>
      <c r="BZ24">
        <f ca="1"/>
        <v>97.41356522200843</v>
      </c>
      <c r="CA24">
        <f ca="1"/>
        <v>97.41356522200843</v>
      </c>
      <c r="CB24">
        <f ca="1"/>
        <v>97.41356522200843</v>
      </c>
      <c r="CC24">
        <f ca="1"/>
        <v>97.41356522200843</v>
      </c>
      <c r="CD24">
        <f ca="1"/>
        <v>97.41356522200843</v>
      </c>
      <c r="CE24">
        <f ca="1"/>
        <v>97.41356522200843</v>
      </c>
      <c r="CF24">
        <f ca="1"/>
        <v>97.41356522200843</v>
      </c>
      <c r="CG24">
        <f ca="1"/>
        <v>97.41356522200843</v>
      </c>
      <c r="CH24">
        <f ca="1"/>
        <v>97.41356522200843</v>
      </c>
      <c r="CI24">
        <f ca="1"/>
        <v>107.64198957031931</v>
      </c>
      <c r="CJ24">
        <f ca="1"/>
        <v>107.64198957031931</v>
      </c>
      <c r="CK24">
        <f ca="1"/>
        <v>107.64198957031931</v>
      </c>
      <c r="CL24">
        <f ca="1"/>
        <v>107.64198957031931</v>
      </c>
      <c r="CM24">
        <f ca="1"/>
        <v>107.64198957031931</v>
      </c>
      <c r="CN24">
        <f ca="1"/>
        <v>107.64198957031931</v>
      </c>
      <c r="CO24">
        <f ca="1"/>
        <v>107.64198957031931</v>
      </c>
      <c r="CP24">
        <f ca="1"/>
        <v>107.64198957031931</v>
      </c>
      <c r="CQ24">
        <f ca="1"/>
        <v>107.64198957031931</v>
      </c>
      <c r="CR24">
        <f ca="1"/>
        <v>107.64198957031931</v>
      </c>
      <c r="CS24">
        <f ca="1"/>
        <v>107.64198957031931</v>
      </c>
      <c r="CT24">
        <f ca="1"/>
        <v>107.64198957031931</v>
      </c>
      <c r="CU24">
        <f ca="1"/>
        <v>118.40618852735126</v>
      </c>
      <c r="CV24">
        <f ca="1"/>
        <v>118.40618852735126</v>
      </c>
      <c r="CW24">
        <f ca="1"/>
        <v>118.40618852735126</v>
      </c>
      <c r="CX24">
        <f ca="1"/>
        <v>118.40618852735126</v>
      </c>
      <c r="CY24">
        <f ca="1"/>
        <v>118.40618852735126</v>
      </c>
      <c r="CZ24">
        <f ca="1"/>
        <v>118.40618852735126</v>
      </c>
      <c r="DA24">
        <f ca="1"/>
        <v>118.40618852735126</v>
      </c>
      <c r="DB24">
        <f ca="1"/>
        <v>118.40618852735126</v>
      </c>
      <c r="DC24">
        <f ca="1"/>
        <v>118.40618852735126</v>
      </c>
      <c r="DD24">
        <f ca="1"/>
        <v>118.40618852735126</v>
      </c>
      <c r="DE24">
        <f ca="1"/>
        <v>118.40618852735126</v>
      </c>
      <c r="DF24">
        <f ca="1"/>
        <v>118.40618852735126</v>
      </c>
      <c r="DG24">
        <f ca="1"/>
        <v>130.24680738008641</v>
      </c>
      <c r="DH24">
        <f ca="1"/>
        <v>130.24680738008641</v>
      </c>
      <c r="DI24">
        <f ca="1"/>
        <v>130.24680738008641</v>
      </c>
      <c r="DJ24">
        <f ca="1"/>
        <v>130.24680738008641</v>
      </c>
      <c r="DK24">
        <f ca="1"/>
        <v>130.24680738008641</v>
      </c>
      <c r="DL24">
        <f ca="1"/>
        <v>130.24680738008641</v>
      </c>
      <c r="DM24">
        <f ca="1"/>
        <v>130.24680738008641</v>
      </c>
      <c r="DN24">
        <f ca="1"/>
        <v>130.24680738008641</v>
      </c>
      <c r="DO24">
        <f ca="1"/>
        <v>130.24680738008641</v>
      </c>
      <c r="DP24">
        <f ca="1"/>
        <v>130.24680738008641</v>
      </c>
      <c r="DQ24">
        <f ca="1"/>
        <v>130.24680738008641</v>
      </c>
      <c r="DR24">
        <f ca="1"/>
        <v>130.24680738008641</v>
      </c>
      <c r="DS24">
        <f ca="1"/>
        <v>141.96902004429418</v>
      </c>
      <c r="DT24">
        <f ca="1"/>
        <v>141.96902004429418</v>
      </c>
      <c r="DU24">
        <f ca="1"/>
        <v>141.96902004429418</v>
      </c>
      <c r="DV24">
        <f ca="1"/>
        <v>141.96902004429418</v>
      </c>
      <c r="DW24">
        <f ca="1"/>
        <v>141.96902004429418</v>
      </c>
      <c r="DX24">
        <f ca="1"/>
        <v>141.96902004429418</v>
      </c>
      <c r="DY24">
        <f ca="1"/>
        <v>141.96902004429418</v>
      </c>
      <c r="DZ24">
        <f ca="1"/>
        <v>141.96902004429418</v>
      </c>
      <c r="EA24">
        <f ca="1"/>
        <v>141.96902004429418</v>
      </c>
      <c r="EB24">
        <f ca="1"/>
        <v>141.96902004429418</v>
      </c>
      <c r="EC24">
        <f ca="1"/>
        <v>141.96902004429418</v>
      </c>
      <c r="ED24">
        <f ca="1"/>
        <v>141.96902004429418</v>
      </c>
      <c r="EE24">
        <f ca="1"/>
        <v>154.74623184828067</v>
      </c>
      <c r="EF24">
        <f ca="1"/>
        <v>154.74623184828067</v>
      </c>
      <c r="EG24">
        <f ca="1"/>
        <v>154.74623184828067</v>
      </c>
      <c r="EH24">
        <f ca="1"/>
        <v>154.74623184828067</v>
      </c>
      <c r="EI24">
        <f ca="1"/>
        <v>154.74623184828067</v>
      </c>
      <c r="EJ24">
        <f ca="1"/>
        <v>154.74623184828067</v>
      </c>
      <c r="EK24">
        <f ca="1"/>
        <v>154.74623184828067</v>
      </c>
      <c r="EL24">
        <f ca="1"/>
        <v>154.74623184828067</v>
      </c>
      <c r="EM24">
        <f ca="1"/>
        <v>154.74623184828067</v>
      </c>
      <c r="EN24">
        <f ca="1"/>
        <v>154.74623184828067</v>
      </c>
      <c r="EO24">
        <f ca="1"/>
        <v>154.74623184828067</v>
      </c>
      <c r="EP24">
        <f ca="1"/>
        <v>154.74623184828067</v>
      </c>
      <c r="EQ24">
        <f ca="1"/>
        <v>167.12593039614313</v>
      </c>
      <c r="ER24">
        <f ca="1"/>
        <v>167.12593039614313</v>
      </c>
      <c r="ES24">
        <f ca="1"/>
        <v>167.12593039614313</v>
      </c>
      <c r="ET24">
        <f ca="1"/>
        <v>167.12593039614313</v>
      </c>
      <c r="EU24">
        <f ca="1"/>
        <v>167.12593039614313</v>
      </c>
      <c r="EV24">
        <f ca="1"/>
        <v>167.12593039614313</v>
      </c>
      <c r="EW24">
        <f ca="1"/>
        <v>167.12593039614313</v>
      </c>
      <c r="EX24">
        <f ca="1"/>
        <v>167.12593039614313</v>
      </c>
      <c r="EY24">
        <f ca="1"/>
        <v>167.12593039614313</v>
      </c>
      <c r="EZ24">
        <f ca="1"/>
        <v>167.12593039614313</v>
      </c>
      <c r="FA24">
        <f ca="1"/>
        <v>167.12593039614313</v>
      </c>
      <c r="FB24">
        <f ca="1"/>
        <v>167.12593039614313</v>
      </c>
      <c r="FC24">
        <f ca="1"/>
        <v>180.49600482783461</v>
      </c>
      <c r="FD24">
        <f ca="1"/>
        <v>180.49600482783461</v>
      </c>
      <c r="FE24">
        <f ca="1"/>
        <v>180.49600482783461</v>
      </c>
      <c r="FF24">
        <f ca="1"/>
        <v>180.49600482783461</v>
      </c>
      <c r="FG24">
        <f ca="1"/>
        <v>180.49600482783461</v>
      </c>
      <c r="FH24">
        <f ca="1"/>
        <v>180.49600482783461</v>
      </c>
      <c r="FI24">
        <f ca="1"/>
        <v>180.49600482783461</v>
      </c>
      <c r="FJ24">
        <f ca="1"/>
        <v>180.49600482783461</v>
      </c>
      <c r="FK24">
        <f ca="1"/>
        <v>180.49600482783461</v>
      </c>
      <c r="FL24">
        <f ca="1"/>
        <v>180.49600482783461</v>
      </c>
      <c r="FM24">
        <f ca="1"/>
        <v>180.49600482783461</v>
      </c>
      <c r="FN24">
        <f ca="1"/>
        <v>180.49600482783461</v>
      </c>
      <c r="FO24">
        <f ca="1"/>
        <v>194.93568521406141</v>
      </c>
      <c r="FP24">
        <f ca="1"/>
        <v>194.93568521406141</v>
      </c>
      <c r="FQ24">
        <f ca="1"/>
        <v>194.93568521406141</v>
      </c>
      <c r="FR24">
        <f ca="1"/>
        <v>194.93568521406141</v>
      </c>
      <c r="FS24">
        <f ca="1"/>
        <v>194.93568521406141</v>
      </c>
      <c r="FT24">
        <f ca="1"/>
        <v>194.93568521406141</v>
      </c>
      <c r="FU24">
        <f ca="1"/>
        <v>194.93568521406141</v>
      </c>
      <c r="FV24">
        <f ca="1"/>
        <v>194.93568521406141</v>
      </c>
      <c r="FW24">
        <f ca="1"/>
        <v>194.93568521406141</v>
      </c>
      <c r="FX24">
        <f ca="1"/>
        <v>194.93568521406141</v>
      </c>
      <c r="FY24">
        <f ca="1"/>
        <v>194.93568521406141</v>
      </c>
      <c r="FZ24">
        <f ca="1"/>
        <v>194.93568521406141</v>
      </c>
      <c r="GA24">
        <f ca="1"/>
        <v>210.53054003118632</v>
      </c>
      <c r="GB24">
        <f ca="1"/>
        <v>210.53054003118632</v>
      </c>
      <c r="GC24">
        <f ca="1"/>
        <v>210.53054003118632</v>
      </c>
      <c r="GD24">
        <f ca="1"/>
        <v>210.53054003118632</v>
      </c>
      <c r="GE24">
        <f ca="1"/>
        <v>210.53054003118632</v>
      </c>
      <c r="GF24">
        <f ca="1"/>
        <v>210.53054003118632</v>
      </c>
      <c r="GG24">
        <f ca="1"/>
        <v>210.53054003118632</v>
      </c>
      <c r="GH24">
        <f ca="1"/>
        <v>210.53054003118632</v>
      </c>
      <c r="GI24">
        <f ca="1"/>
        <v>210.53054003118632</v>
      </c>
      <c r="GJ24">
        <f ca="1"/>
        <v>210.53054003118632</v>
      </c>
      <c r="GK24">
        <f ca="1"/>
        <v>210.53054003118632</v>
      </c>
      <c r="GL24">
        <f ca="1"/>
        <v>210.53054003118632</v>
      </c>
      <c r="GM24">
        <f ca="1"/>
        <v>227.37298323368123</v>
      </c>
      <c r="GN24">
        <f ca="1"/>
        <v>227.37298323368123</v>
      </c>
      <c r="GO24">
        <f ca="1"/>
        <v>227.37298323368123</v>
      </c>
      <c r="GP24">
        <f ca="1"/>
        <v>227.37298323368123</v>
      </c>
      <c r="GQ24">
        <f ca="1"/>
        <v>227.37298323368123</v>
      </c>
      <c r="GR24">
        <f ca="1"/>
        <v>227.37298323368123</v>
      </c>
      <c r="GS24">
        <f ca="1"/>
        <v>227.37298323368123</v>
      </c>
      <c r="GT24">
        <f ca="1"/>
        <v>227.37298323368123</v>
      </c>
      <c r="GU24">
        <f ca="1"/>
        <v>227.37298323368123</v>
      </c>
      <c r="GV24">
        <f ca="1"/>
        <v>227.37298323368123</v>
      </c>
      <c r="GW24">
        <f ca="1"/>
        <v>227.37298323368123</v>
      </c>
      <c r="GX24">
        <f ca="1"/>
        <v>227.37298323368123</v>
      </c>
      <c r="GY24">
        <f ca="1"/>
        <v>245.56282189237575</v>
      </c>
      <c r="GZ24">
        <f ca="1"/>
        <v>245.56282189237575</v>
      </c>
      <c r="HA24">
        <f ca="1"/>
        <v>245.56282189237575</v>
      </c>
      <c r="HB24">
        <f ca="1"/>
        <v>245.56282189237575</v>
      </c>
      <c r="HC24">
        <f ca="1"/>
        <v>245.56282189237575</v>
      </c>
      <c r="HD24">
        <f ca="1"/>
        <v>245.56282189237575</v>
      </c>
      <c r="HE24">
        <f ca="1"/>
        <v>245.56282189237575</v>
      </c>
      <c r="HF24">
        <f ca="1"/>
        <v>245.56282189237575</v>
      </c>
      <c r="HG24">
        <f ca="1"/>
        <v>245.56282189237575</v>
      </c>
      <c r="HH24">
        <f ca="1"/>
        <v>245.56282189237575</v>
      </c>
      <c r="HI24">
        <f ca="1"/>
        <v>245.56282189237575</v>
      </c>
      <c r="HJ24">
        <f ca="1"/>
        <v>245.56282189237575</v>
      </c>
      <c r="HK24">
        <f ca="1"/>
        <v>265.20784764376583</v>
      </c>
      <c r="HL24">
        <f ca="1"/>
        <v>265.20784764376583</v>
      </c>
      <c r="HM24">
        <f ca="1"/>
        <v>265.20784764376583</v>
      </c>
      <c r="HN24">
        <f ca="1"/>
        <v>265.20784764376583</v>
      </c>
      <c r="HO24">
        <f ca="1"/>
        <v>265.20784764376583</v>
      </c>
      <c r="HP24">
        <f ca="1"/>
        <v>265.20784764376583</v>
      </c>
      <c r="HQ24">
        <f ca="1"/>
        <v>265.20784764376583</v>
      </c>
      <c r="HR24">
        <f ca="1"/>
        <v>265.20784764376583</v>
      </c>
      <c r="HS24">
        <f ca="1"/>
        <v>265.20784764376583</v>
      </c>
      <c r="HT24">
        <f ca="1"/>
        <v>265.20784764376583</v>
      </c>
      <c r="HU24">
        <f ca="1"/>
        <v>265.20784764376583</v>
      </c>
      <c r="HV24">
        <f ca="1"/>
        <v>265.20784764376583</v>
      </c>
      <c r="HW24">
        <f ca="1"/>
        <v>286.4244754552671</v>
      </c>
      <c r="HX24">
        <f ca="1"/>
        <v>286.4244754552671</v>
      </c>
      <c r="HY24">
        <f ca="1"/>
        <v>286.4244754552671</v>
      </c>
      <c r="HZ24">
        <f ca="1"/>
        <v>286.4244754552671</v>
      </c>
      <c r="IA24">
        <f ca="1"/>
        <v>286.4244754552671</v>
      </c>
      <c r="IB24">
        <f ca="1"/>
        <v>286.4244754552671</v>
      </c>
      <c r="IC24">
        <f ca="1"/>
        <v>286.4244754552671</v>
      </c>
      <c r="ID24">
        <f ca="1"/>
        <v>286.4244754552671</v>
      </c>
      <c r="IE24">
        <f ca="1"/>
        <v>286.4244754552671</v>
      </c>
      <c r="IF24">
        <f ca="1"/>
        <v>286.4244754552671</v>
      </c>
      <c r="IG24">
        <f ca="1"/>
        <v>286.4244754552671</v>
      </c>
      <c r="IH24">
        <f ca="1"/>
        <v>286.4244754552671</v>
      </c>
      <c r="II24">
        <f ca="1"/>
        <v>309.33843349168853</v>
      </c>
      <c r="IJ24">
        <f ca="1"/>
        <v>309.33843349168853</v>
      </c>
      <c r="IK24">
        <f ca="1"/>
        <v>309.33843349168853</v>
      </c>
      <c r="IL24">
        <f ca="1"/>
        <v>309.33843349168853</v>
      </c>
      <c r="IM24">
        <f ca="1"/>
        <v>309.33843349168853</v>
      </c>
      <c r="IN24">
        <f ca="1"/>
        <v>309.33843349168853</v>
      </c>
      <c r="IO24">
        <f ca="1"/>
        <v>309.33843349168853</v>
      </c>
      <c r="IP24">
        <f ca="1"/>
        <v>309.33843349168853</v>
      </c>
      <c r="IQ24">
        <f ca="1"/>
        <v>309.33843349168853</v>
      </c>
      <c r="IR24">
        <f ca="1"/>
        <v>309.33843349168853</v>
      </c>
      <c r="IS24">
        <f ca="1"/>
        <v>309.33843349168853</v>
      </c>
      <c r="IT24">
        <f ca="1"/>
        <v>309.33843349168853</v>
      </c>
      <c r="IU24">
        <f ca="1"/>
        <v>334.08550817102366</v>
      </c>
      <c r="IV24">
        <f ca="1"/>
        <v>334.08550817102366</v>
      </c>
      <c r="IW24">
        <f ca="1"/>
        <v>334.08550817102366</v>
      </c>
      <c r="IX24">
        <f ca="1"/>
        <v>334.08550817102366</v>
      </c>
      <c r="IY24">
        <f ca="1"/>
        <v>334.08550817102366</v>
      </c>
      <c r="IZ24">
        <f ca="1"/>
        <v>334.08550817102366</v>
      </c>
      <c r="JA24">
        <f ca="1"/>
        <v>334.08550817102366</v>
      </c>
      <c r="JB24">
        <f ca="1"/>
        <v>334.08550817102366</v>
      </c>
      <c r="JC24">
        <f ca="1"/>
        <v>334.08550817102366</v>
      </c>
      <c r="JD24">
        <f ca="1"/>
        <v>334.08550817102366</v>
      </c>
      <c r="JE24">
        <f ca="1"/>
        <v>334.08550817102366</v>
      </c>
      <c r="JF24">
        <f ca="1"/>
        <v>334.08550817102366</v>
      </c>
      <c r="JG24">
        <f ca="1"/>
        <v>360.81234882470557</v>
      </c>
      <c r="JH24">
        <f ca="1"/>
        <v>360.81234882470557</v>
      </c>
      <c r="JI24">
        <f ca="1"/>
        <v>360.81234882470557</v>
      </c>
      <c r="JJ24">
        <f ca="1"/>
        <v>360.81234882470557</v>
      </c>
      <c r="JK24">
        <f ca="1"/>
        <v>360.81234882470557</v>
      </c>
      <c r="JL24">
        <f ca="1"/>
        <v>360.81234882470557</v>
      </c>
      <c r="JM24">
        <f ca="1"/>
        <v>360.81234882470557</v>
      </c>
      <c r="JN24">
        <f ca="1"/>
        <v>360.81234882470557</v>
      </c>
      <c r="JO24">
        <f ca="1"/>
        <v>360.81234882470557</v>
      </c>
      <c r="JP24">
        <f ca="1"/>
        <v>360.81234882470557</v>
      </c>
      <c r="JQ24">
        <f ca="1"/>
        <v>360.81234882470557</v>
      </c>
      <c r="JR24">
        <f ca="1"/>
        <v>360.81234882470557</v>
      </c>
      <c r="JS24">
        <f ca="1"/>
        <v>389.67733673068204</v>
      </c>
      <c r="JT24">
        <f ca="1"/>
        <v>389.67733673068204</v>
      </c>
      <c r="JU24">
        <f ca="1"/>
        <v>389.67733673068204</v>
      </c>
      <c r="JV24">
        <f ca="1"/>
        <v>389.67733673068204</v>
      </c>
      <c r="JW24">
        <f ca="1"/>
        <v>389.67733673068204</v>
      </c>
      <c r="JX24">
        <f ca="1"/>
        <v>389.67733673068204</v>
      </c>
      <c r="JY24">
        <f ca="1"/>
        <v>389.67733673068204</v>
      </c>
      <c r="JZ24">
        <f ca="1"/>
        <v>389.67733673068204</v>
      </c>
      <c r="KA24">
        <f ca="1"/>
        <v>389.67733673068204</v>
      </c>
      <c r="KB24">
        <f ca="1"/>
        <v>389.67733673068204</v>
      </c>
      <c r="KC24">
        <f ca="1"/>
        <v>389.67733673068204</v>
      </c>
      <c r="KD24">
        <f ca="1"/>
        <v>389.67733673068204</v>
      </c>
      <c r="KE24">
        <f ca="1"/>
        <v>420.85152366913667</v>
      </c>
      <c r="KF24">
        <f ca="1"/>
        <v>420.85152366913667</v>
      </c>
      <c r="KG24">
        <f ca="1"/>
        <v>420.85152366913667</v>
      </c>
      <c r="KH24">
        <f ca="1"/>
        <v>420.85152366913667</v>
      </c>
      <c r="KI24">
        <f ca="1"/>
        <v>420.85152366913667</v>
      </c>
      <c r="KJ24">
        <f ca="1"/>
        <v>420.85152366913667</v>
      </c>
      <c r="KK24">
        <f ca="1"/>
        <v>420.85152366913667</v>
      </c>
      <c r="KL24">
        <f ca="1"/>
        <v>420.85152366913667</v>
      </c>
      <c r="KM24">
        <f ca="1"/>
        <v>420.85152366913667</v>
      </c>
      <c r="KN24">
        <f ca="1"/>
        <v>420.85152366913667</v>
      </c>
      <c r="KO24">
        <f ca="1"/>
        <v>420.85152366913667</v>
      </c>
      <c r="KP24">
        <f ca="1"/>
        <v>420.85152366913667</v>
      </c>
      <c r="KQ24">
        <f ca="1"/>
        <v>454.51964556266762</v>
      </c>
      <c r="KR24">
        <f ca="1"/>
        <v>454.51964556266762</v>
      </c>
      <c r="KS24">
        <f ca="1"/>
        <v>454.51964556266762</v>
      </c>
      <c r="KT24">
        <f ca="1"/>
        <v>454.51964556266762</v>
      </c>
      <c r="KU24">
        <f ca="1"/>
        <v>454.51964556266762</v>
      </c>
      <c r="KV24">
        <f ca="1"/>
        <v>454.51964556266762</v>
      </c>
      <c r="KW24">
        <f ca="1"/>
        <v>454.51964556266762</v>
      </c>
      <c r="KX24">
        <f ca="1"/>
        <v>454.51964556266762</v>
      </c>
      <c r="KY24">
        <f ca="1"/>
        <v>454.51964556266762</v>
      </c>
      <c r="KZ24">
        <f ca="1"/>
        <v>454.51964556266762</v>
      </c>
      <c r="LA24">
        <f ca="1"/>
        <v>454.51964556266762</v>
      </c>
      <c r="LB24">
        <f ca="1"/>
        <v>454.51964556266762</v>
      </c>
      <c r="LC24">
        <f ca="1"/>
        <v>490.88121720768106</v>
      </c>
      <c r="LD24">
        <f ca="1"/>
        <v>490.88121720768106</v>
      </c>
      <c r="LE24">
        <f ca="1"/>
        <v>490.88121720768106</v>
      </c>
      <c r="LF24">
        <f ca="1"/>
        <v>490.88121720768106</v>
      </c>
      <c r="LG24">
        <f ca="1"/>
        <v>490.88121720768106</v>
      </c>
      <c r="LH24">
        <f ca="1"/>
        <v>490.88121720768106</v>
      </c>
      <c r="LI24">
        <f ca="1"/>
        <v>490.88121720768106</v>
      </c>
      <c r="LJ24">
        <f ca="1"/>
        <v>490.88121720768106</v>
      </c>
      <c r="LK24">
        <f ca="1"/>
        <v>490.88121720768106</v>
      </c>
      <c r="LL24">
        <f ca="1"/>
        <v>490.88121720768106</v>
      </c>
      <c r="LM24">
        <f ca="1"/>
        <v>490.88121720768106</v>
      </c>
      <c r="LN24">
        <f ca="1"/>
        <v>490.88121720768106</v>
      </c>
      <c r="LO24">
        <f ca="1"/>
        <v>530.15171458429552</v>
      </c>
      <c r="LP24">
        <f ca="1"/>
        <v>530.15171458429552</v>
      </c>
      <c r="LQ24">
        <f ca="1"/>
        <v>530.15171458429552</v>
      </c>
      <c r="LR24">
        <f ca="1"/>
        <v>530.15171458429552</v>
      </c>
      <c r="LS24">
        <f ca="1"/>
        <v>530.15171458429552</v>
      </c>
      <c r="LT24">
        <f ca="1"/>
        <v>530.15171458429552</v>
      </c>
      <c r="LU24">
        <f ca="1"/>
        <v>530.15171458429552</v>
      </c>
      <c r="LV24">
        <f ca="1"/>
        <v>530.15171458429552</v>
      </c>
      <c r="LW24">
        <f ca="1"/>
        <v>530.15171458429552</v>
      </c>
      <c r="LX24">
        <f ca="1"/>
        <v>530.15171458429552</v>
      </c>
      <c r="LY24">
        <f ca="1"/>
        <v>530.15171458429552</v>
      </c>
      <c r="LZ24">
        <f ca="1"/>
        <v>530.15171458429552</v>
      </c>
      <c r="MA24">
        <f ca="1"/>
        <v>572.56385175103924</v>
      </c>
      <c r="MB24">
        <f ca="1"/>
        <v>572.56385175103924</v>
      </c>
      <c r="MC24">
        <f ca="1"/>
        <v>572.56385175103924</v>
      </c>
      <c r="MD24">
        <f ca="1"/>
        <v>572.56385175103924</v>
      </c>
      <c r="ME24">
        <f ca="1"/>
        <v>572.56385175103924</v>
      </c>
      <c r="MF24">
        <f ca="1"/>
        <v>572.56385175103924</v>
      </c>
      <c r="MG24">
        <f ca="1"/>
        <v>572.56385175103924</v>
      </c>
      <c r="MH24">
        <f ca="1"/>
        <v>572.56385175103924</v>
      </c>
      <c r="MI24">
        <f ca="1"/>
        <v>572.56385175103924</v>
      </c>
      <c r="MJ24">
        <f ca="1"/>
        <v>572.56385175103924</v>
      </c>
      <c r="MK24">
        <f ca="1"/>
        <v>572.56385175103924</v>
      </c>
      <c r="ML24">
        <f ca="1"/>
        <v>572.56385175103924</v>
      </c>
      <c r="MM24">
        <f ca="1"/>
        <v>618.36895989112236</v>
      </c>
      <c r="MN24">
        <f ca="1"/>
        <v>618.36895989112236</v>
      </c>
      <c r="MO24">
        <f ca="1"/>
        <v>618.36895989112236</v>
      </c>
      <c r="MP24">
        <f ca="1"/>
        <v>618.36895989112236</v>
      </c>
      <c r="MQ24">
        <f ca="1"/>
        <v>618.36895989112236</v>
      </c>
      <c r="MR24">
        <f ca="1"/>
        <v>618.36895989112236</v>
      </c>
      <c r="MS24">
        <f ca="1"/>
        <v>618.36895989112236</v>
      </c>
      <c r="MT24">
        <f ca="1"/>
        <v>618.36895989112236</v>
      </c>
      <c r="MU24">
        <f ca="1"/>
        <v>618.36895989112236</v>
      </c>
      <c r="MV24">
        <f ca="1"/>
        <v>618.36895989112236</v>
      </c>
      <c r="MW24">
        <f ca="1"/>
        <v>618.36895989112236</v>
      </c>
      <c r="MX24">
        <f ca="1"/>
        <v>618.36895989112236</v>
      </c>
      <c r="MY24">
        <f ca="1"/>
        <v>667.83847668241231</v>
      </c>
      <c r="MZ24">
        <f ca="1"/>
        <v>667.83847668241231</v>
      </c>
      <c r="NA24">
        <f ca="1"/>
        <v>667.83847668241231</v>
      </c>
      <c r="NB24">
        <f ca="1"/>
        <v>667.83847668241231</v>
      </c>
      <c r="NC24">
        <f ca="1"/>
        <v>667.83847668241231</v>
      </c>
      <c r="ND24">
        <f ca="1"/>
        <v>667.83847668241231</v>
      </c>
      <c r="NE24">
        <f ca="1"/>
        <v>667.83847668241231</v>
      </c>
      <c r="NF24">
        <f ca="1"/>
        <v>667.83847668241231</v>
      </c>
      <c r="NG24">
        <f ca="1"/>
        <v>667.83847668241231</v>
      </c>
      <c r="NH24">
        <f ca="1"/>
        <v>667.83847668241231</v>
      </c>
      <c r="NI24">
        <f ca="1"/>
        <v>667.83847668241231</v>
      </c>
      <c r="NJ24">
        <f ca="1"/>
        <v>667.83847668241231</v>
      </c>
      <c r="NK24">
        <f ca="1"/>
        <v>721.26555481700541</v>
      </c>
      <c r="NL24">
        <f ca="1"/>
        <v>721.26555481700541</v>
      </c>
      <c r="NM24">
        <f ca="1"/>
        <v>721.26555481700541</v>
      </c>
      <c r="NN24">
        <f ca="1"/>
        <v>721.26555481700541</v>
      </c>
      <c r="NO24">
        <f ca="1"/>
        <v>721.26555481700541</v>
      </c>
      <c r="NP24">
        <f ca="1"/>
        <v>721.26555481700541</v>
      </c>
      <c r="NQ24">
        <f ca="1"/>
        <v>721.26555481700541</v>
      </c>
      <c r="NR24">
        <f ca="1"/>
        <v>721.26555481700541</v>
      </c>
      <c r="NS24">
        <f ca="1"/>
        <v>721.26555481700541</v>
      </c>
      <c r="NT24">
        <f ca="1"/>
        <v>721.26555481700541</v>
      </c>
      <c r="NU24">
        <f ca="1"/>
        <v>721.26555481700541</v>
      </c>
      <c r="NV24">
        <f ca="1"/>
        <v>721.26555481700541</v>
      </c>
      <c r="NW24">
        <f ca="1"/>
        <v>778.96679920236591</v>
      </c>
      <c r="NX24">
        <f ca="1"/>
        <v>778.96679920236591</v>
      </c>
      <c r="NY24">
        <f ca="1"/>
        <v>778.96679920236591</v>
      </c>
      <c r="NZ24">
        <f ca="1"/>
        <v>778.96679920236591</v>
      </c>
      <c r="OA24">
        <f ca="1"/>
        <v>778.96679920236591</v>
      </c>
      <c r="OB24">
        <f ca="1"/>
        <v>778.96679920236591</v>
      </c>
      <c r="OC24">
        <f ca="1"/>
        <v>778.96679920236591</v>
      </c>
      <c r="OD24">
        <f ca="1"/>
        <v>778.96679920236591</v>
      </c>
      <c r="OE24">
        <f ca="1"/>
        <v>778.96679920236591</v>
      </c>
      <c r="OF24">
        <f ca="1"/>
        <v>778.96679920236591</v>
      </c>
      <c r="OG24">
        <f ca="1"/>
        <v>778.96679920236591</v>
      </c>
      <c r="OH24">
        <f ca="1"/>
        <v>778.96679920236591</v>
      </c>
      <c r="OI24">
        <f ca="1"/>
        <v>841.28414313855524</v>
      </c>
      <c r="OJ24">
        <f ca="1"/>
        <v>841.28414313855524</v>
      </c>
      <c r="OK24">
        <f ca="1"/>
        <v>841.28414313855524</v>
      </c>
      <c r="OL24">
        <f ca="1"/>
        <v>841.28414313855524</v>
      </c>
      <c r="OM24">
        <f ca="1"/>
        <v>841.28414313855524</v>
      </c>
      <c r="ON24">
        <f ca="1"/>
        <v>841.28414313855524</v>
      </c>
      <c r="OO24">
        <f ca="1"/>
        <v>841.28414313855524</v>
      </c>
      <c r="OP24">
        <f ca="1"/>
        <v>841.28414313855524</v>
      </c>
      <c r="OQ24">
        <f ca="1"/>
        <v>841.28414313855524</v>
      </c>
      <c r="OR24">
        <f ca="1"/>
        <v>841.28414313855524</v>
      </c>
      <c r="OS24">
        <f ca="1"/>
        <v>841.28414313855524</v>
      </c>
      <c r="OT24">
        <f ca="1"/>
        <v>841.28414313855524</v>
      </c>
      <c r="OU24">
        <f ca="1"/>
        <v>908.58687458963971</v>
      </c>
      <c r="OV24">
        <f ca="1"/>
        <v>908.58687458963971</v>
      </c>
      <c r="OW24">
        <f ca="1"/>
        <v>908.58687458963971</v>
      </c>
      <c r="OX24">
        <f ca="1"/>
        <v>908.58687458963971</v>
      </c>
      <c r="OY24">
        <f ca="1"/>
        <v>908.58687458963971</v>
      </c>
      <c r="OZ24">
        <f ca="1"/>
        <v>908.58687458963971</v>
      </c>
      <c r="PA24">
        <f ca="1"/>
        <v>908.58687458963971</v>
      </c>
      <c r="PB24">
        <f ca="1"/>
        <v>908.58687458963971</v>
      </c>
      <c r="PC24">
        <f ca="1"/>
        <v>908.58687458963971</v>
      </c>
      <c r="PD24">
        <f ca="1"/>
        <v>908.58687458963971</v>
      </c>
      <c r="PE24">
        <f ca="1"/>
        <v>908.58687458963971</v>
      </c>
      <c r="PF24">
        <f ca="1"/>
        <v>908.58687458963971</v>
      </c>
      <c r="PG24">
        <f ca="1"/>
        <v>981.27382455681095</v>
      </c>
      <c r="PH24">
        <f ca="1"/>
        <v>981.27382455681095</v>
      </c>
      <c r="PI24">
        <f ca="1"/>
        <v>981.27382455681095</v>
      </c>
      <c r="PJ24">
        <f ca="1"/>
        <v>981.27382455681095</v>
      </c>
      <c r="PK24">
        <f ca="1"/>
        <v>981.27382455681095</v>
      </c>
      <c r="PL24">
        <f ca="1"/>
        <v>981.27382455681095</v>
      </c>
      <c r="PM24">
        <f ca="1"/>
        <v>981.27382455681095</v>
      </c>
      <c r="PN24">
        <f ca="1"/>
        <v>981.27382455681095</v>
      </c>
      <c r="PO24">
        <f ca="1"/>
        <v>981.27382455681095</v>
      </c>
      <c r="PP24">
        <f ca="1"/>
        <v>981.27382455681095</v>
      </c>
      <c r="PQ24">
        <f ca="1"/>
        <v>981.27382455681095</v>
      </c>
      <c r="PR24">
        <f ca="1"/>
        <v>981.27382455681095</v>
      </c>
      <c r="PS24">
        <f ca="1"/>
        <v>1059.7757305213559</v>
      </c>
      <c r="PT24">
        <f ca="1"/>
        <v>1059.7757305213559</v>
      </c>
      <c r="PU24">
        <f ca="1"/>
        <v>1059.7757305213559</v>
      </c>
      <c r="PV24">
        <f ca="1"/>
        <v>1059.7757305213559</v>
      </c>
      <c r="PW24">
        <f ca="1"/>
        <v>1059.7757305213559</v>
      </c>
      <c r="PX24">
        <f ca="1"/>
        <v>1059.7757305213559</v>
      </c>
      <c r="PY24">
        <f ca="1"/>
        <v>1059.7757305213559</v>
      </c>
      <c r="PZ24">
        <f ca="1"/>
        <v>1059.7757305213559</v>
      </c>
      <c r="QA24">
        <f ca="1"/>
        <v>1059.7757305213559</v>
      </c>
      <c r="QB24">
        <f ca="1"/>
        <v>1059.7757305213559</v>
      </c>
      <c r="QC24">
        <f ca="1"/>
        <v>1059.7757305213559</v>
      </c>
      <c r="QD24">
        <f ca="1"/>
        <v>1059.7757305213559</v>
      </c>
      <c r="QE24">
        <f ca="1"/>
        <v>1144.5577889630645</v>
      </c>
      <c r="QF24">
        <f ca="1"/>
        <v>1144.5577889630645</v>
      </c>
      <c r="QG24">
        <f ca="1"/>
        <v>1144.5577889630645</v>
      </c>
      <c r="QH24">
        <f ca="1"/>
        <v>1144.5577889630645</v>
      </c>
      <c r="QI24">
        <f ca="1"/>
        <v>1144.5577889630645</v>
      </c>
      <c r="QJ24">
        <f ca="1"/>
        <v>1144.5577889630645</v>
      </c>
      <c r="QK24">
        <f ca="1"/>
        <v>1144.5577889630645</v>
      </c>
      <c r="QL24">
        <f ca="1"/>
        <v>1144.5577889630645</v>
      </c>
      <c r="QM24">
        <f ca="1"/>
        <v>1144.5577889630645</v>
      </c>
      <c r="QN24">
        <f ca="1"/>
        <v>1144.5577889630645</v>
      </c>
      <c r="QO24">
        <f ca="1"/>
        <v>1144.5577889630645</v>
      </c>
      <c r="QP24">
        <f ca="1"/>
        <v>1144.5577889630645</v>
      </c>
      <c r="QQ24">
        <f ca="1"/>
        <v>1236.1224120801096</v>
      </c>
      <c r="QR24">
        <f ca="1"/>
        <v>1236.1224120801096</v>
      </c>
      <c r="QS24">
        <f ca="1"/>
        <v>1236.1224120801096</v>
      </c>
      <c r="QT24">
        <f ca="1"/>
        <v>1236.1224120801096</v>
      </c>
      <c r="QU24">
        <f ca="1"/>
        <v>1236.1224120801096</v>
      </c>
      <c r="QV24">
        <f ca="1"/>
        <v>1236.1224120801096</v>
      </c>
      <c r="QW24">
        <f ca="1"/>
        <v>1236.1224120801096</v>
      </c>
      <c r="QX24">
        <f ca="1"/>
        <v>1236.1224120801096</v>
      </c>
      <c r="QY24">
        <f ca="1"/>
        <v>1236.1224120801096</v>
      </c>
      <c r="QZ24">
        <f ca="1"/>
        <v>1236.1224120801096</v>
      </c>
      <c r="RA24">
        <f ca="1"/>
        <v>1236.1224120801096</v>
      </c>
      <c r="RB24">
        <f ca="1"/>
        <v>1236.1224120801096</v>
      </c>
      <c r="RC24">
        <f ca="1"/>
        <v>1335.0122050465184</v>
      </c>
      <c r="RD24">
        <f ca="1"/>
        <v>1335.0122050465184</v>
      </c>
      <c r="RE24">
        <f ca="1"/>
        <v>1335.0122050465184</v>
      </c>
      <c r="RF24">
        <f ca="1"/>
        <v>1335.0122050465184</v>
      </c>
      <c r="RG24">
        <f ca="1"/>
        <v>1335.0122050465184</v>
      </c>
      <c r="RH24">
        <f ca="1"/>
        <v>1335.0122050465184</v>
      </c>
      <c r="RI24">
        <f ca="1"/>
        <v>1335.0122050465184</v>
      </c>
      <c r="RJ24">
        <f ca="1"/>
        <v>1335.0122050465184</v>
      </c>
      <c r="RK24">
        <f ca="1"/>
        <v>1335.0122050465184</v>
      </c>
      <c r="RL24">
        <f ca="1"/>
        <v>1335.0122050465184</v>
      </c>
      <c r="RM24">
        <f ca="1"/>
        <v>1335.0122050465184</v>
      </c>
      <c r="RN24">
        <f ca="1"/>
        <v>1335.0122050465184</v>
      </c>
      <c r="RO24">
        <f ca="1"/>
        <v>1441.8131814502399</v>
      </c>
      <c r="RP24">
        <f ca="1"/>
        <v>1441.8131814502399</v>
      </c>
      <c r="RQ24">
        <f ca="1"/>
        <v>1441.8131814502399</v>
      </c>
      <c r="RR24">
        <f ca="1"/>
        <v>1441.8131814502399</v>
      </c>
      <c r="RS24">
        <f ca="1"/>
        <v>1441.8131814502399</v>
      </c>
      <c r="RT24">
        <f ca="1"/>
        <v>1441.8131814502399</v>
      </c>
      <c r="RU24">
        <f ca="1"/>
        <v>1441.8131814502399</v>
      </c>
      <c r="RV24">
        <f ca="1"/>
        <v>1441.8131814502399</v>
      </c>
      <c r="RW24">
        <f ca="1"/>
        <v>1441.8131814502399</v>
      </c>
      <c r="RX24">
        <f ca="1"/>
        <v>1441.8131814502399</v>
      </c>
      <c r="RY24">
        <f ca="1"/>
        <v>1441.8131814502399</v>
      </c>
      <c r="RZ24">
        <f ca="1"/>
        <v>1441.8131814502399</v>
      </c>
    </row>
    <row r="25" spans="1:495" x14ac:dyDescent="0.3">
      <c r="A25" s="8" t="s">
        <v>495</v>
      </c>
      <c r="B25" cm="1">
        <f t="array" aca="1" ref="B25:RZ25" ca="1">INDEX($C$10:$BB$10,_xlfn.ANCHORARRAY( B23))</f>
        <v>44</v>
      </c>
      <c r="C25">
        <f ca="1"/>
        <v>51.4</v>
      </c>
      <c r="D25">
        <f ca="1"/>
        <v>51.4</v>
      </c>
      <c r="E25">
        <f ca="1"/>
        <v>51.4</v>
      </c>
      <c r="F25">
        <f ca="1"/>
        <v>51.4</v>
      </c>
      <c r="G25">
        <f ca="1"/>
        <v>51.4</v>
      </c>
      <c r="H25">
        <f ca="1"/>
        <v>51.4</v>
      </c>
      <c r="I25">
        <f ca="1"/>
        <v>51.4</v>
      </c>
      <c r="J25">
        <f ca="1"/>
        <v>51.4</v>
      </c>
      <c r="K25">
        <f ca="1"/>
        <v>51.4</v>
      </c>
      <c r="L25">
        <f ca="1"/>
        <v>51.4</v>
      </c>
      <c r="M25">
        <f ca="1"/>
        <v>51.4</v>
      </c>
      <c r="N25">
        <f ca="1"/>
        <v>51.4</v>
      </c>
      <c r="O25">
        <f ca="1"/>
        <v>59.418894230769233</v>
      </c>
      <c r="P25">
        <f ca="1"/>
        <v>59.418894230769233</v>
      </c>
      <c r="Q25">
        <f ca="1"/>
        <v>59.418894230769233</v>
      </c>
      <c r="R25">
        <f ca="1"/>
        <v>59.418894230769233</v>
      </c>
      <c r="S25">
        <f ca="1"/>
        <v>59.418894230769233</v>
      </c>
      <c r="T25">
        <f ca="1"/>
        <v>59.418894230769233</v>
      </c>
      <c r="U25">
        <f ca="1"/>
        <v>59.418894230769233</v>
      </c>
      <c r="V25">
        <f ca="1"/>
        <v>59.418894230769233</v>
      </c>
      <c r="W25">
        <f ca="1"/>
        <v>59.418894230769233</v>
      </c>
      <c r="X25">
        <f ca="1"/>
        <v>59.418894230769233</v>
      </c>
      <c r="Y25">
        <f ca="1"/>
        <v>59.418894230769233</v>
      </c>
      <c r="Z25">
        <f ca="1"/>
        <v>59.418894230769233</v>
      </c>
      <c r="AA25">
        <f ca="1"/>
        <v>68.363303623188401</v>
      </c>
      <c r="AB25">
        <f ca="1"/>
        <v>68.363303623188401</v>
      </c>
      <c r="AC25">
        <f ca="1"/>
        <v>68.363303623188401</v>
      </c>
      <c r="AD25">
        <f ca="1"/>
        <v>68.363303623188401</v>
      </c>
      <c r="AE25">
        <f ca="1"/>
        <v>68.363303623188401</v>
      </c>
      <c r="AF25">
        <f ca="1"/>
        <v>68.363303623188401</v>
      </c>
      <c r="AG25">
        <f ca="1"/>
        <v>68.363303623188401</v>
      </c>
      <c r="AH25">
        <f ca="1"/>
        <v>68.363303623188401</v>
      </c>
      <c r="AI25">
        <f ca="1"/>
        <v>68.363303623188401</v>
      </c>
      <c r="AJ25">
        <f ca="1"/>
        <v>68.363303623188401</v>
      </c>
      <c r="AK25">
        <f ca="1"/>
        <v>68.363303623188401</v>
      </c>
      <c r="AL25">
        <f ca="1"/>
        <v>68.363303623188401</v>
      </c>
      <c r="AM25">
        <f ca="1"/>
        <v>77.6590455182927</v>
      </c>
      <c r="AN25">
        <f ca="1"/>
        <v>77.6590455182927</v>
      </c>
      <c r="AO25">
        <f ca="1"/>
        <v>77.6590455182927</v>
      </c>
      <c r="AP25">
        <f ca="1"/>
        <v>77.6590455182927</v>
      </c>
      <c r="AQ25">
        <f ca="1"/>
        <v>77.6590455182927</v>
      </c>
      <c r="AR25">
        <f ca="1"/>
        <v>77.6590455182927</v>
      </c>
      <c r="AS25">
        <f ca="1"/>
        <v>77.6590455182927</v>
      </c>
      <c r="AT25">
        <f ca="1"/>
        <v>77.6590455182927</v>
      </c>
      <c r="AU25">
        <f ca="1"/>
        <v>77.6590455182927</v>
      </c>
      <c r="AV25">
        <f ca="1"/>
        <v>77.6590455182927</v>
      </c>
      <c r="AW25">
        <f ca="1"/>
        <v>77.6590455182927</v>
      </c>
      <c r="AX25">
        <f ca="1"/>
        <v>77.6590455182927</v>
      </c>
      <c r="AY25">
        <f ca="1"/>
        <v>87.366426208079289</v>
      </c>
      <c r="AZ25">
        <f ca="1"/>
        <v>87.366426208079289</v>
      </c>
      <c r="BA25">
        <f ca="1"/>
        <v>87.366426208079289</v>
      </c>
      <c r="BB25">
        <f ca="1"/>
        <v>87.366426208079289</v>
      </c>
      <c r="BC25">
        <f ca="1"/>
        <v>87.366426208079289</v>
      </c>
      <c r="BD25">
        <f ca="1"/>
        <v>87.366426208079289</v>
      </c>
      <c r="BE25">
        <f ca="1"/>
        <v>87.366426208079289</v>
      </c>
      <c r="BF25">
        <f ca="1"/>
        <v>87.366426208079289</v>
      </c>
      <c r="BG25">
        <f ca="1"/>
        <v>87.366426208079289</v>
      </c>
      <c r="BH25">
        <f ca="1"/>
        <v>87.366426208079289</v>
      </c>
      <c r="BI25">
        <f ca="1"/>
        <v>87.366426208079289</v>
      </c>
      <c r="BJ25">
        <f ca="1"/>
        <v>87.366426208079289</v>
      </c>
      <c r="BK25">
        <f ca="1"/>
        <v>97.41356522200843</v>
      </c>
      <c r="BL25">
        <f ca="1"/>
        <v>97.41356522200843</v>
      </c>
      <c r="BM25">
        <f ca="1"/>
        <v>97.41356522200843</v>
      </c>
      <c r="BN25">
        <f ca="1"/>
        <v>97.41356522200843</v>
      </c>
      <c r="BO25">
        <f ca="1"/>
        <v>97.41356522200843</v>
      </c>
      <c r="BP25">
        <f ca="1"/>
        <v>97.41356522200843</v>
      </c>
      <c r="BQ25">
        <f ca="1"/>
        <v>97.41356522200843</v>
      </c>
      <c r="BR25">
        <f ca="1"/>
        <v>97.41356522200843</v>
      </c>
      <c r="BS25">
        <f ca="1"/>
        <v>97.41356522200843</v>
      </c>
      <c r="BT25">
        <f ca="1"/>
        <v>97.41356522200843</v>
      </c>
      <c r="BU25">
        <f ca="1"/>
        <v>97.41356522200843</v>
      </c>
      <c r="BV25">
        <f ca="1"/>
        <v>97.41356522200843</v>
      </c>
      <c r="BW25">
        <f ca="1"/>
        <v>107.64198957031931</v>
      </c>
      <c r="BX25">
        <f ca="1"/>
        <v>107.64198957031931</v>
      </c>
      <c r="BY25">
        <f ca="1"/>
        <v>107.64198957031931</v>
      </c>
      <c r="BZ25">
        <f ca="1"/>
        <v>107.64198957031931</v>
      </c>
      <c r="CA25">
        <f ca="1"/>
        <v>107.64198957031931</v>
      </c>
      <c r="CB25">
        <f ca="1"/>
        <v>107.64198957031931</v>
      </c>
      <c r="CC25">
        <f ca="1"/>
        <v>107.64198957031931</v>
      </c>
      <c r="CD25">
        <f ca="1"/>
        <v>107.64198957031931</v>
      </c>
      <c r="CE25">
        <f ca="1"/>
        <v>107.64198957031931</v>
      </c>
      <c r="CF25">
        <f ca="1"/>
        <v>107.64198957031931</v>
      </c>
      <c r="CG25">
        <f ca="1"/>
        <v>107.64198957031931</v>
      </c>
      <c r="CH25">
        <f ca="1"/>
        <v>107.64198957031931</v>
      </c>
      <c r="CI25">
        <f ca="1"/>
        <v>118.40618852735126</v>
      </c>
      <c r="CJ25">
        <f ca="1"/>
        <v>118.40618852735126</v>
      </c>
      <c r="CK25">
        <f ca="1"/>
        <v>118.40618852735126</v>
      </c>
      <c r="CL25">
        <f ca="1"/>
        <v>118.40618852735126</v>
      </c>
      <c r="CM25">
        <f ca="1"/>
        <v>118.40618852735126</v>
      </c>
      <c r="CN25">
        <f ca="1"/>
        <v>118.40618852735126</v>
      </c>
      <c r="CO25">
        <f ca="1"/>
        <v>118.40618852735126</v>
      </c>
      <c r="CP25">
        <f ca="1"/>
        <v>118.40618852735126</v>
      </c>
      <c r="CQ25">
        <f ca="1"/>
        <v>118.40618852735126</v>
      </c>
      <c r="CR25">
        <f ca="1"/>
        <v>118.40618852735126</v>
      </c>
      <c r="CS25">
        <f ca="1"/>
        <v>118.40618852735126</v>
      </c>
      <c r="CT25">
        <f ca="1"/>
        <v>118.40618852735126</v>
      </c>
      <c r="CU25">
        <f ca="1"/>
        <v>130.24680738008641</v>
      </c>
      <c r="CV25">
        <f ca="1"/>
        <v>130.24680738008641</v>
      </c>
      <c r="CW25">
        <f ca="1"/>
        <v>130.24680738008641</v>
      </c>
      <c r="CX25">
        <f ca="1"/>
        <v>130.24680738008641</v>
      </c>
      <c r="CY25">
        <f ca="1"/>
        <v>130.24680738008641</v>
      </c>
      <c r="CZ25">
        <f ca="1"/>
        <v>130.24680738008641</v>
      </c>
      <c r="DA25">
        <f ca="1"/>
        <v>130.24680738008641</v>
      </c>
      <c r="DB25">
        <f ca="1"/>
        <v>130.24680738008641</v>
      </c>
      <c r="DC25">
        <f ca="1"/>
        <v>130.24680738008641</v>
      </c>
      <c r="DD25">
        <f ca="1"/>
        <v>130.24680738008641</v>
      </c>
      <c r="DE25">
        <f ca="1"/>
        <v>130.24680738008641</v>
      </c>
      <c r="DF25">
        <f ca="1"/>
        <v>130.24680738008641</v>
      </c>
      <c r="DG25">
        <f ca="1"/>
        <v>141.96902004429418</v>
      </c>
      <c r="DH25">
        <f ca="1"/>
        <v>141.96902004429418</v>
      </c>
      <c r="DI25">
        <f ca="1"/>
        <v>141.96902004429418</v>
      </c>
      <c r="DJ25">
        <f ca="1"/>
        <v>141.96902004429418</v>
      </c>
      <c r="DK25">
        <f ca="1"/>
        <v>141.96902004429418</v>
      </c>
      <c r="DL25">
        <f ca="1"/>
        <v>141.96902004429418</v>
      </c>
      <c r="DM25">
        <f ca="1"/>
        <v>141.96902004429418</v>
      </c>
      <c r="DN25">
        <f ca="1"/>
        <v>141.96902004429418</v>
      </c>
      <c r="DO25">
        <f ca="1"/>
        <v>141.96902004429418</v>
      </c>
      <c r="DP25">
        <f ca="1"/>
        <v>141.96902004429418</v>
      </c>
      <c r="DQ25">
        <f ca="1"/>
        <v>141.96902004429418</v>
      </c>
      <c r="DR25">
        <f ca="1"/>
        <v>141.96902004429418</v>
      </c>
      <c r="DS25">
        <f ca="1"/>
        <v>154.74623184828067</v>
      </c>
      <c r="DT25">
        <f ca="1"/>
        <v>154.74623184828067</v>
      </c>
      <c r="DU25">
        <f ca="1"/>
        <v>154.74623184828067</v>
      </c>
      <c r="DV25">
        <f ca="1"/>
        <v>154.74623184828067</v>
      </c>
      <c r="DW25">
        <f ca="1"/>
        <v>154.74623184828067</v>
      </c>
      <c r="DX25">
        <f ca="1"/>
        <v>154.74623184828067</v>
      </c>
      <c r="DY25">
        <f ca="1"/>
        <v>154.74623184828067</v>
      </c>
      <c r="DZ25">
        <f ca="1"/>
        <v>154.74623184828067</v>
      </c>
      <c r="EA25">
        <f ca="1"/>
        <v>154.74623184828067</v>
      </c>
      <c r="EB25">
        <f ca="1"/>
        <v>154.74623184828067</v>
      </c>
      <c r="EC25">
        <f ca="1"/>
        <v>154.74623184828067</v>
      </c>
      <c r="ED25">
        <f ca="1"/>
        <v>154.74623184828067</v>
      </c>
      <c r="EE25">
        <f ca="1"/>
        <v>167.12593039614313</v>
      </c>
      <c r="EF25">
        <f ca="1"/>
        <v>167.12593039614313</v>
      </c>
      <c r="EG25">
        <f ca="1"/>
        <v>167.12593039614313</v>
      </c>
      <c r="EH25">
        <f ca="1"/>
        <v>167.12593039614313</v>
      </c>
      <c r="EI25">
        <f ca="1"/>
        <v>167.12593039614313</v>
      </c>
      <c r="EJ25">
        <f ca="1"/>
        <v>167.12593039614313</v>
      </c>
      <c r="EK25">
        <f ca="1"/>
        <v>167.12593039614313</v>
      </c>
      <c r="EL25">
        <f ca="1"/>
        <v>167.12593039614313</v>
      </c>
      <c r="EM25">
        <f ca="1"/>
        <v>167.12593039614313</v>
      </c>
      <c r="EN25">
        <f ca="1"/>
        <v>167.12593039614313</v>
      </c>
      <c r="EO25">
        <f ca="1"/>
        <v>167.12593039614313</v>
      </c>
      <c r="EP25">
        <f ca="1"/>
        <v>167.12593039614313</v>
      </c>
      <c r="EQ25">
        <f ca="1"/>
        <v>180.49600482783461</v>
      </c>
      <c r="ER25">
        <f ca="1"/>
        <v>180.49600482783461</v>
      </c>
      <c r="ES25">
        <f ca="1"/>
        <v>180.49600482783461</v>
      </c>
      <c r="ET25">
        <f ca="1"/>
        <v>180.49600482783461</v>
      </c>
      <c r="EU25">
        <f ca="1"/>
        <v>180.49600482783461</v>
      </c>
      <c r="EV25">
        <f ca="1"/>
        <v>180.49600482783461</v>
      </c>
      <c r="EW25">
        <f ca="1"/>
        <v>180.49600482783461</v>
      </c>
      <c r="EX25">
        <f ca="1"/>
        <v>180.49600482783461</v>
      </c>
      <c r="EY25">
        <f ca="1"/>
        <v>180.49600482783461</v>
      </c>
      <c r="EZ25">
        <f ca="1"/>
        <v>180.49600482783461</v>
      </c>
      <c r="FA25">
        <f ca="1"/>
        <v>180.49600482783461</v>
      </c>
      <c r="FB25">
        <f ca="1"/>
        <v>180.49600482783461</v>
      </c>
      <c r="FC25">
        <f ca="1"/>
        <v>194.93568521406141</v>
      </c>
      <c r="FD25">
        <f ca="1"/>
        <v>194.93568521406141</v>
      </c>
      <c r="FE25">
        <f ca="1"/>
        <v>194.93568521406141</v>
      </c>
      <c r="FF25">
        <f ca="1"/>
        <v>194.93568521406141</v>
      </c>
      <c r="FG25">
        <f ca="1"/>
        <v>194.93568521406141</v>
      </c>
      <c r="FH25">
        <f ca="1"/>
        <v>194.93568521406141</v>
      </c>
      <c r="FI25">
        <f ca="1"/>
        <v>194.93568521406141</v>
      </c>
      <c r="FJ25">
        <f ca="1"/>
        <v>194.93568521406141</v>
      </c>
      <c r="FK25">
        <f ca="1"/>
        <v>194.93568521406141</v>
      </c>
      <c r="FL25">
        <f ca="1"/>
        <v>194.93568521406141</v>
      </c>
      <c r="FM25">
        <f ca="1"/>
        <v>194.93568521406141</v>
      </c>
      <c r="FN25">
        <f ca="1"/>
        <v>194.93568521406141</v>
      </c>
      <c r="FO25">
        <f ca="1"/>
        <v>210.53054003118632</v>
      </c>
      <c r="FP25">
        <f ca="1"/>
        <v>210.53054003118632</v>
      </c>
      <c r="FQ25">
        <f ca="1"/>
        <v>210.53054003118632</v>
      </c>
      <c r="FR25">
        <f ca="1"/>
        <v>210.53054003118632</v>
      </c>
      <c r="FS25">
        <f ca="1"/>
        <v>210.53054003118632</v>
      </c>
      <c r="FT25">
        <f ca="1"/>
        <v>210.53054003118632</v>
      </c>
      <c r="FU25">
        <f ca="1"/>
        <v>210.53054003118632</v>
      </c>
      <c r="FV25">
        <f ca="1"/>
        <v>210.53054003118632</v>
      </c>
      <c r="FW25">
        <f ca="1"/>
        <v>210.53054003118632</v>
      </c>
      <c r="FX25">
        <f ca="1"/>
        <v>210.53054003118632</v>
      </c>
      <c r="FY25">
        <f ca="1"/>
        <v>210.53054003118632</v>
      </c>
      <c r="FZ25">
        <f ca="1"/>
        <v>210.53054003118632</v>
      </c>
      <c r="GA25">
        <f ca="1"/>
        <v>227.37298323368123</v>
      </c>
      <c r="GB25">
        <f ca="1"/>
        <v>227.37298323368123</v>
      </c>
      <c r="GC25">
        <f ca="1"/>
        <v>227.37298323368123</v>
      </c>
      <c r="GD25">
        <f ca="1"/>
        <v>227.37298323368123</v>
      </c>
      <c r="GE25">
        <f ca="1"/>
        <v>227.37298323368123</v>
      </c>
      <c r="GF25">
        <f ca="1"/>
        <v>227.37298323368123</v>
      </c>
      <c r="GG25">
        <f ca="1"/>
        <v>227.37298323368123</v>
      </c>
      <c r="GH25">
        <f ca="1"/>
        <v>227.37298323368123</v>
      </c>
      <c r="GI25">
        <f ca="1"/>
        <v>227.37298323368123</v>
      </c>
      <c r="GJ25">
        <f ca="1"/>
        <v>227.37298323368123</v>
      </c>
      <c r="GK25">
        <f ca="1"/>
        <v>227.37298323368123</v>
      </c>
      <c r="GL25">
        <f ca="1"/>
        <v>227.37298323368123</v>
      </c>
      <c r="GM25">
        <f ca="1"/>
        <v>245.56282189237575</v>
      </c>
      <c r="GN25">
        <f ca="1"/>
        <v>245.56282189237575</v>
      </c>
      <c r="GO25">
        <f ca="1"/>
        <v>245.56282189237575</v>
      </c>
      <c r="GP25">
        <f ca="1"/>
        <v>245.56282189237575</v>
      </c>
      <c r="GQ25">
        <f ca="1"/>
        <v>245.56282189237575</v>
      </c>
      <c r="GR25">
        <f ca="1"/>
        <v>245.56282189237575</v>
      </c>
      <c r="GS25">
        <f ca="1"/>
        <v>245.56282189237575</v>
      </c>
      <c r="GT25">
        <f ca="1"/>
        <v>245.56282189237575</v>
      </c>
      <c r="GU25">
        <f ca="1"/>
        <v>245.56282189237575</v>
      </c>
      <c r="GV25">
        <f ca="1"/>
        <v>245.56282189237575</v>
      </c>
      <c r="GW25">
        <f ca="1"/>
        <v>245.56282189237575</v>
      </c>
      <c r="GX25">
        <f ca="1"/>
        <v>245.56282189237575</v>
      </c>
      <c r="GY25">
        <f ca="1"/>
        <v>265.20784764376583</v>
      </c>
      <c r="GZ25">
        <f ca="1"/>
        <v>265.20784764376583</v>
      </c>
      <c r="HA25">
        <f ca="1"/>
        <v>265.20784764376583</v>
      </c>
      <c r="HB25">
        <f ca="1"/>
        <v>265.20784764376583</v>
      </c>
      <c r="HC25">
        <f ca="1"/>
        <v>265.20784764376583</v>
      </c>
      <c r="HD25">
        <f ca="1"/>
        <v>265.20784764376583</v>
      </c>
      <c r="HE25">
        <f ca="1"/>
        <v>265.20784764376583</v>
      </c>
      <c r="HF25">
        <f ca="1"/>
        <v>265.20784764376583</v>
      </c>
      <c r="HG25">
        <f ca="1"/>
        <v>265.20784764376583</v>
      </c>
      <c r="HH25">
        <f ca="1"/>
        <v>265.20784764376583</v>
      </c>
      <c r="HI25">
        <f ca="1"/>
        <v>265.20784764376583</v>
      </c>
      <c r="HJ25">
        <f ca="1"/>
        <v>265.20784764376583</v>
      </c>
      <c r="HK25">
        <f ca="1"/>
        <v>286.4244754552671</v>
      </c>
      <c r="HL25">
        <f ca="1"/>
        <v>286.4244754552671</v>
      </c>
      <c r="HM25">
        <f ca="1"/>
        <v>286.4244754552671</v>
      </c>
      <c r="HN25">
        <f ca="1"/>
        <v>286.4244754552671</v>
      </c>
      <c r="HO25">
        <f ca="1"/>
        <v>286.4244754552671</v>
      </c>
      <c r="HP25">
        <f ca="1"/>
        <v>286.4244754552671</v>
      </c>
      <c r="HQ25">
        <f ca="1"/>
        <v>286.4244754552671</v>
      </c>
      <c r="HR25">
        <f ca="1"/>
        <v>286.4244754552671</v>
      </c>
      <c r="HS25">
        <f ca="1"/>
        <v>286.4244754552671</v>
      </c>
      <c r="HT25">
        <f ca="1"/>
        <v>286.4244754552671</v>
      </c>
      <c r="HU25">
        <f ca="1"/>
        <v>286.4244754552671</v>
      </c>
      <c r="HV25">
        <f ca="1"/>
        <v>286.4244754552671</v>
      </c>
      <c r="HW25">
        <f ca="1"/>
        <v>309.33843349168853</v>
      </c>
      <c r="HX25">
        <f ca="1"/>
        <v>309.33843349168853</v>
      </c>
      <c r="HY25">
        <f ca="1"/>
        <v>309.33843349168853</v>
      </c>
      <c r="HZ25">
        <f ca="1"/>
        <v>309.33843349168853</v>
      </c>
      <c r="IA25">
        <f ca="1"/>
        <v>309.33843349168853</v>
      </c>
      <c r="IB25">
        <f ca="1"/>
        <v>309.33843349168853</v>
      </c>
      <c r="IC25">
        <f ca="1"/>
        <v>309.33843349168853</v>
      </c>
      <c r="ID25">
        <f ca="1"/>
        <v>309.33843349168853</v>
      </c>
      <c r="IE25">
        <f ca="1"/>
        <v>309.33843349168853</v>
      </c>
      <c r="IF25">
        <f ca="1"/>
        <v>309.33843349168853</v>
      </c>
      <c r="IG25">
        <f ca="1"/>
        <v>309.33843349168853</v>
      </c>
      <c r="IH25">
        <f ca="1"/>
        <v>309.33843349168853</v>
      </c>
      <c r="II25">
        <f ca="1"/>
        <v>334.08550817102366</v>
      </c>
      <c r="IJ25">
        <f ca="1"/>
        <v>334.08550817102366</v>
      </c>
      <c r="IK25">
        <f ca="1"/>
        <v>334.08550817102366</v>
      </c>
      <c r="IL25">
        <f ca="1"/>
        <v>334.08550817102366</v>
      </c>
      <c r="IM25">
        <f ca="1"/>
        <v>334.08550817102366</v>
      </c>
      <c r="IN25">
        <f ca="1"/>
        <v>334.08550817102366</v>
      </c>
      <c r="IO25">
        <f ca="1"/>
        <v>334.08550817102366</v>
      </c>
      <c r="IP25">
        <f ca="1"/>
        <v>334.08550817102366</v>
      </c>
      <c r="IQ25">
        <f ca="1"/>
        <v>334.08550817102366</v>
      </c>
      <c r="IR25">
        <f ca="1"/>
        <v>334.08550817102366</v>
      </c>
      <c r="IS25">
        <f ca="1"/>
        <v>334.08550817102366</v>
      </c>
      <c r="IT25">
        <f ca="1"/>
        <v>334.08550817102366</v>
      </c>
      <c r="IU25">
        <f ca="1"/>
        <v>360.81234882470557</v>
      </c>
      <c r="IV25">
        <f ca="1"/>
        <v>360.81234882470557</v>
      </c>
      <c r="IW25">
        <f ca="1"/>
        <v>360.81234882470557</v>
      </c>
      <c r="IX25">
        <f ca="1"/>
        <v>360.81234882470557</v>
      </c>
      <c r="IY25">
        <f ca="1"/>
        <v>360.81234882470557</v>
      </c>
      <c r="IZ25">
        <f ca="1"/>
        <v>360.81234882470557</v>
      </c>
      <c r="JA25">
        <f ca="1"/>
        <v>360.81234882470557</v>
      </c>
      <c r="JB25">
        <f ca="1"/>
        <v>360.81234882470557</v>
      </c>
      <c r="JC25">
        <f ca="1"/>
        <v>360.81234882470557</v>
      </c>
      <c r="JD25">
        <f ca="1"/>
        <v>360.81234882470557</v>
      </c>
      <c r="JE25">
        <f ca="1"/>
        <v>360.81234882470557</v>
      </c>
      <c r="JF25">
        <f ca="1"/>
        <v>360.81234882470557</v>
      </c>
      <c r="JG25">
        <f ca="1"/>
        <v>389.67733673068204</v>
      </c>
      <c r="JH25">
        <f ca="1"/>
        <v>389.67733673068204</v>
      </c>
      <c r="JI25">
        <f ca="1"/>
        <v>389.67733673068204</v>
      </c>
      <c r="JJ25">
        <f ca="1"/>
        <v>389.67733673068204</v>
      </c>
      <c r="JK25">
        <f ca="1"/>
        <v>389.67733673068204</v>
      </c>
      <c r="JL25">
        <f ca="1"/>
        <v>389.67733673068204</v>
      </c>
      <c r="JM25">
        <f ca="1"/>
        <v>389.67733673068204</v>
      </c>
      <c r="JN25">
        <f ca="1"/>
        <v>389.67733673068204</v>
      </c>
      <c r="JO25">
        <f ca="1"/>
        <v>389.67733673068204</v>
      </c>
      <c r="JP25">
        <f ca="1"/>
        <v>389.67733673068204</v>
      </c>
      <c r="JQ25">
        <f ca="1"/>
        <v>389.67733673068204</v>
      </c>
      <c r="JR25">
        <f ca="1"/>
        <v>389.67733673068204</v>
      </c>
      <c r="JS25">
        <f ca="1"/>
        <v>420.85152366913667</v>
      </c>
      <c r="JT25">
        <f ca="1"/>
        <v>420.85152366913667</v>
      </c>
      <c r="JU25">
        <f ca="1"/>
        <v>420.85152366913667</v>
      </c>
      <c r="JV25">
        <f ca="1"/>
        <v>420.85152366913667</v>
      </c>
      <c r="JW25">
        <f ca="1"/>
        <v>420.85152366913667</v>
      </c>
      <c r="JX25">
        <f ca="1"/>
        <v>420.85152366913667</v>
      </c>
      <c r="JY25">
        <f ca="1"/>
        <v>420.85152366913667</v>
      </c>
      <c r="JZ25">
        <f ca="1"/>
        <v>420.85152366913667</v>
      </c>
      <c r="KA25">
        <f ca="1"/>
        <v>420.85152366913667</v>
      </c>
      <c r="KB25">
        <f ca="1"/>
        <v>420.85152366913667</v>
      </c>
      <c r="KC25">
        <f ca="1"/>
        <v>420.85152366913667</v>
      </c>
      <c r="KD25">
        <f ca="1"/>
        <v>420.85152366913667</v>
      </c>
      <c r="KE25">
        <f ca="1"/>
        <v>454.51964556266762</v>
      </c>
      <c r="KF25">
        <f ca="1"/>
        <v>454.51964556266762</v>
      </c>
      <c r="KG25">
        <f ca="1"/>
        <v>454.51964556266762</v>
      </c>
      <c r="KH25">
        <f ca="1"/>
        <v>454.51964556266762</v>
      </c>
      <c r="KI25">
        <f ca="1"/>
        <v>454.51964556266762</v>
      </c>
      <c r="KJ25">
        <f ca="1"/>
        <v>454.51964556266762</v>
      </c>
      <c r="KK25">
        <f ca="1"/>
        <v>454.51964556266762</v>
      </c>
      <c r="KL25">
        <f ca="1"/>
        <v>454.51964556266762</v>
      </c>
      <c r="KM25">
        <f ca="1"/>
        <v>454.51964556266762</v>
      </c>
      <c r="KN25">
        <f ca="1"/>
        <v>454.51964556266762</v>
      </c>
      <c r="KO25">
        <f ca="1"/>
        <v>454.51964556266762</v>
      </c>
      <c r="KP25">
        <f ca="1"/>
        <v>454.51964556266762</v>
      </c>
      <c r="KQ25">
        <f ca="1"/>
        <v>490.88121720768106</v>
      </c>
      <c r="KR25">
        <f ca="1"/>
        <v>490.88121720768106</v>
      </c>
      <c r="KS25">
        <f ca="1"/>
        <v>490.88121720768106</v>
      </c>
      <c r="KT25">
        <f ca="1"/>
        <v>490.88121720768106</v>
      </c>
      <c r="KU25">
        <f ca="1"/>
        <v>490.88121720768106</v>
      </c>
      <c r="KV25">
        <f ca="1"/>
        <v>490.88121720768106</v>
      </c>
      <c r="KW25">
        <f ca="1"/>
        <v>490.88121720768106</v>
      </c>
      <c r="KX25">
        <f ca="1"/>
        <v>490.88121720768106</v>
      </c>
      <c r="KY25">
        <f ca="1"/>
        <v>490.88121720768106</v>
      </c>
      <c r="KZ25">
        <f ca="1"/>
        <v>490.88121720768106</v>
      </c>
      <c r="LA25">
        <f ca="1"/>
        <v>490.88121720768106</v>
      </c>
      <c r="LB25">
        <f ca="1"/>
        <v>490.88121720768106</v>
      </c>
      <c r="LC25">
        <f ca="1"/>
        <v>530.15171458429552</v>
      </c>
      <c r="LD25">
        <f ca="1"/>
        <v>530.15171458429552</v>
      </c>
      <c r="LE25">
        <f ca="1"/>
        <v>530.15171458429552</v>
      </c>
      <c r="LF25">
        <f ca="1"/>
        <v>530.15171458429552</v>
      </c>
      <c r="LG25">
        <f ca="1"/>
        <v>530.15171458429552</v>
      </c>
      <c r="LH25">
        <f ca="1"/>
        <v>530.15171458429552</v>
      </c>
      <c r="LI25">
        <f ca="1"/>
        <v>530.15171458429552</v>
      </c>
      <c r="LJ25">
        <f ca="1"/>
        <v>530.15171458429552</v>
      </c>
      <c r="LK25">
        <f ca="1"/>
        <v>530.15171458429552</v>
      </c>
      <c r="LL25">
        <f ca="1"/>
        <v>530.15171458429552</v>
      </c>
      <c r="LM25">
        <f ca="1"/>
        <v>530.15171458429552</v>
      </c>
      <c r="LN25">
        <f ca="1"/>
        <v>530.15171458429552</v>
      </c>
      <c r="LO25">
        <f ca="1"/>
        <v>572.56385175103924</v>
      </c>
      <c r="LP25">
        <f ca="1"/>
        <v>572.56385175103924</v>
      </c>
      <c r="LQ25">
        <f ca="1"/>
        <v>572.56385175103924</v>
      </c>
      <c r="LR25">
        <f ca="1"/>
        <v>572.56385175103924</v>
      </c>
      <c r="LS25">
        <f ca="1"/>
        <v>572.56385175103924</v>
      </c>
      <c r="LT25">
        <f ca="1"/>
        <v>572.56385175103924</v>
      </c>
      <c r="LU25">
        <f ca="1"/>
        <v>572.56385175103924</v>
      </c>
      <c r="LV25">
        <f ca="1"/>
        <v>572.56385175103924</v>
      </c>
      <c r="LW25">
        <f ca="1"/>
        <v>572.56385175103924</v>
      </c>
      <c r="LX25">
        <f ca="1"/>
        <v>572.56385175103924</v>
      </c>
      <c r="LY25">
        <f ca="1"/>
        <v>572.56385175103924</v>
      </c>
      <c r="LZ25">
        <f ca="1"/>
        <v>572.56385175103924</v>
      </c>
      <c r="MA25">
        <f ca="1"/>
        <v>618.36895989112236</v>
      </c>
      <c r="MB25">
        <f ca="1"/>
        <v>618.36895989112236</v>
      </c>
      <c r="MC25">
        <f ca="1"/>
        <v>618.36895989112236</v>
      </c>
      <c r="MD25">
        <f ca="1"/>
        <v>618.36895989112236</v>
      </c>
      <c r="ME25">
        <f ca="1"/>
        <v>618.36895989112236</v>
      </c>
      <c r="MF25">
        <f ca="1"/>
        <v>618.36895989112236</v>
      </c>
      <c r="MG25">
        <f ca="1"/>
        <v>618.36895989112236</v>
      </c>
      <c r="MH25">
        <f ca="1"/>
        <v>618.36895989112236</v>
      </c>
      <c r="MI25">
        <f ca="1"/>
        <v>618.36895989112236</v>
      </c>
      <c r="MJ25">
        <f ca="1"/>
        <v>618.36895989112236</v>
      </c>
      <c r="MK25">
        <f ca="1"/>
        <v>618.36895989112236</v>
      </c>
      <c r="ML25">
        <f ca="1"/>
        <v>618.36895989112236</v>
      </c>
      <c r="MM25">
        <f ca="1"/>
        <v>667.83847668241231</v>
      </c>
      <c r="MN25">
        <f ca="1"/>
        <v>667.83847668241231</v>
      </c>
      <c r="MO25">
        <f ca="1"/>
        <v>667.83847668241231</v>
      </c>
      <c r="MP25">
        <f ca="1"/>
        <v>667.83847668241231</v>
      </c>
      <c r="MQ25">
        <f ca="1"/>
        <v>667.83847668241231</v>
      </c>
      <c r="MR25">
        <f ca="1"/>
        <v>667.83847668241231</v>
      </c>
      <c r="MS25">
        <f ca="1"/>
        <v>667.83847668241231</v>
      </c>
      <c r="MT25">
        <f ca="1"/>
        <v>667.83847668241231</v>
      </c>
      <c r="MU25">
        <f ca="1"/>
        <v>667.83847668241231</v>
      </c>
      <c r="MV25">
        <f ca="1"/>
        <v>667.83847668241231</v>
      </c>
      <c r="MW25">
        <f ca="1"/>
        <v>667.83847668241231</v>
      </c>
      <c r="MX25">
        <f ca="1"/>
        <v>667.83847668241231</v>
      </c>
      <c r="MY25">
        <f ca="1"/>
        <v>721.26555481700541</v>
      </c>
      <c r="MZ25">
        <f ca="1"/>
        <v>721.26555481700541</v>
      </c>
      <c r="NA25">
        <f ca="1"/>
        <v>721.26555481700541</v>
      </c>
      <c r="NB25">
        <f ca="1"/>
        <v>721.26555481700541</v>
      </c>
      <c r="NC25">
        <f ca="1"/>
        <v>721.26555481700541</v>
      </c>
      <c r="ND25">
        <f ca="1"/>
        <v>721.26555481700541</v>
      </c>
      <c r="NE25">
        <f ca="1"/>
        <v>721.26555481700541</v>
      </c>
      <c r="NF25">
        <f ca="1"/>
        <v>721.26555481700541</v>
      </c>
      <c r="NG25">
        <f ca="1"/>
        <v>721.26555481700541</v>
      </c>
      <c r="NH25">
        <f ca="1"/>
        <v>721.26555481700541</v>
      </c>
      <c r="NI25">
        <f ca="1"/>
        <v>721.26555481700541</v>
      </c>
      <c r="NJ25">
        <f ca="1"/>
        <v>721.26555481700541</v>
      </c>
      <c r="NK25">
        <f ca="1"/>
        <v>778.96679920236591</v>
      </c>
      <c r="NL25">
        <f ca="1"/>
        <v>778.96679920236591</v>
      </c>
      <c r="NM25">
        <f ca="1"/>
        <v>778.96679920236591</v>
      </c>
      <c r="NN25">
        <f ca="1"/>
        <v>778.96679920236591</v>
      </c>
      <c r="NO25">
        <f ca="1"/>
        <v>778.96679920236591</v>
      </c>
      <c r="NP25">
        <f ca="1"/>
        <v>778.96679920236591</v>
      </c>
      <c r="NQ25">
        <f ca="1"/>
        <v>778.96679920236591</v>
      </c>
      <c r="NR25">
        <f ca="1"/>
        <v>778.96679920236591</v>
      </c>
      <c r="NS25">
        <f ca="1"/>
        <v>778.96679920236591</v>
      </c>
      <c r="NT25">
        <f ca="1"/>
        <v>778.96679920236591</v>
      </c>
      <c r="NU25">
        <f ca="1"/>
        <v>778.96679920236591</v>
      </c>
      <c r="NV25">
        <f ca="1"/>
        <v>778.96679920236591</v>
      </c>
      <c r="NW25">
        <f ca="1"/>
        <v>841.28414313855524</v>
      </c>
      <c r="NX25">
        <f ca="1"/>
        <v>841.28414313855524</v>
      </c>
      <c r="NY25">
        <f ca="1"/>
        <v>841.28414313855524</v>
      </c>
      <c r="NZ25">
        <f ca="1"/>
        <v>841.28414313855524</v>
      </c>
      <c r="OA25">
        <f ca="1"/>
        <v>841.28414313855524</v>
      </c>
      <c r="OB25">
        <f ca="1"/>
        <v>841.28414313855524</v>
      </c>
      <c r="OC25">
        <f ca="1"/>
        <v>841.28414313855524</v>
      </c>
      <c r="OD25">
        <f ca="1"/>
        <v>841.28414313855524</v>
      </c>
      <c r="OE25">
        <f ca="1"/>
        <v>841.28414313855524</v>
      </c>
      <c r="OF25">
        <f ca="1"/>
        <v>841.28414313855524</v>
      </c>
      <c r="OG25">
        <f ca="1"/>
        <v>841.28414313855524</v>
      </c>
      <c r="OH25">
        <f ca="1"/>
        <v>841.28414313855524</v>
      </c>
      <c r="OI25">
        <f ca="1"/>
        <v>908.58687458963971</v>
      </c>
      <c r="OJ25">
        <f ca="1"/>
        <v>908.58687458963971</v>
      </c>
      <c r="OK25">
        <f ca="1"/>
        <v>908.58687458963971</v>
      </c>
      <c r="OL25">
        <f ca="1"/>
        <v>908.58687458963971</v>
      </c>
      <c r="OM25">
        <f ca="1"/>
        <v>908.58687458963971</v>
      </c>
      <c r="ON25">
        <f ca="1"/>
        <v>908.58687458963971</v>
      </c>
      <c r="OO25">
        <f ca="1"/>
        <v>908.58687458963971</v>
      </c>
      <c r="OP25">
        <f ca="1"/>
        <v>908.58687458963971</v>
      </c>
      <c r="OQ25">
        <f ca="1"/>
        <v>908.58687458963971</v>
      </c>
      <c r="OR25">
        <f ca="1"/>
        <v>908.58687458963971</v>
      </c>
      <c r="OS25">
        <f ca="1"/>
        <v>908.58687458963971</v>
      </c>
      <c r="OT25">
        <f ca="1"/>
        <v>908.58687458963971</v>
      </c>
      <c r="OU25">
        <f ca="1"/>
        <v>981.27382455681095</v>
      </c>
      <c r="OV25">
        <f ca="1"/>
        <v>981.27382455681095</v>
      </c>
      <c r="OW25">
        <f ca="1"/>
        <v>981.27382455681095</v>
      </c>
      <c r="OX25">
        <f ca="1"/>
        <v>981.27382455681095</v>
      </c>
      <c r="OY25">
        <f ca="1"/>
        <v>981.27382455681095</v>
      </c>
      <c r="OZ25">
        <f ca="1"/>
        <v>981.27382455681095</v>
      </c>
      <c r="PA25">
        <f ca="1"/>
        <v>981.27382455681095</v>
      </c>
      <c r="PB25">
        <f ca="1"/>
        <v>981.27382455681095</v>
      </c>
      <c r="PC25">
        <f ca="1"/>
        <v>981.27382455681095</v>
      </c>
      <c r="PD25">
        <f ca="1"/>
        <v>981.27382455681095</v>
      </c>
      <c r="PE25">
        <f ca="1"/>
        <v>981.27382455681095</v>
      </c>
      <c r="PF25">
        <f ca="1"/>
        <v>981.27382455681095</v>
      </c>
      <c r="PG25">
        <f ca="1"/>
        <v>1059.7757305213559</v>
      </c>
      <c r="PH25">
        <f ca="1"/>
        <v>1059.7757305213559</v>
      </c>
      <c r="PI25">
        <f ca="1"/>
        <v>1059.7757305213559</v>
      </c>
      <c r="PJ25">
        <f ca="1"/>
        <v>1059.7757305213559</v>
      </c>
      <c r="PK25">
        <f ca="1"/>
        <v>1059.7757305213559</v>
      </c>
      <c r="PL25">
        <f ca="1"/>
        <v>1059.7757305213559</v>
      </c>
      <c r="PM25">
        <f ca="1"/>
        <v>1059.7757305213559</v>
      </c>
      <c r="PN25">
        <f ca="1"/>
        <v>1059.7757305213559</v>
      </c>
      <c r="PO25">
        <f ca="1"/>
        <v>1059.7757305213559</v>
      </c>
      <c r="PP25">
        <f ca="1"/>
        <v>1059.7757305213559</v>
      </c>
      <c r="PQ25">
        <f ca="1"/>
        <v>1059.7757305213559</v>
      </c>
      <c r="PR25">
        <f ca="1"/>
        <v>1059.7757305213559</v>
      </c>
      <c r="PS25">
        <f ca="1"/>
        <v>1144.5577889630645</v>
      </c>
      <c r="PT25">
        <f ca="1"/>
        <v>1144.5577889630645</v>
      </c>
      <c r="PU25">
        <f ca="1"/>
        <v>1144.5577889630645</v>
      </c>
      <c r="PV25">
        <f ca="1"/>
        <v>1144.5577889630645</v>
      </c>
      <c r="PW25">
        <f ca="1"/>
        <v>1144.5577889630645</v>
      </c>
      <c r="PX25">
        <f ca="1"/>
        <v>1144.5577889630645</v>
      </c>
      <c r="PY25">
        <f ca="1"/>
        <v>1144.5577889630645</v>
      </c>
      <c r="PZ25">
        <f ca="1"/>
        <v>1144.5577889630645</v>
      </c>
      <c r="QA25">
        <f ca="1"/>
        <v>1144.5577889630645</v>
      </c>
      <c r="QB25">
        <f ca="1"/>
        <v>1144.5577889630645</v>
      </c>
      <c r="QC25">
        <f ca="1"/>
        <v>1144.5577889630645</v>
      </c>
      <c r="QD25">
        <f ca="1"/>
        <v>1144.5577889630645</v>
      </c>
      <c r="QE25">
        <f ca="1"/>
        <v>1236.1224120801096</v>
      </c>
      <c r="QF25">
        <f ca="1"/>
        <v>1236.1224120801096</v>
      </c>
      <c r="QG25">
        <f ca="1"/>
        <v>1236.1224120801096</v>
      </c>
      <c r="QH25">
        <f ca="1"/>
        <v>1236.1224120801096</v>
      </c>
      <c r="QI25">
        <f ca="1"/>
        <v>1236.1224120801096</v>
      </c>
      <c r="QJ25">
        <f ca="1"/>
        <v>1236.1224120801096</v>
      </c>
      <c r="QK25">
        <f ca="1"/>
        <v>1236.1224120801096</v>
      </c>
      <c r="QL25">
        <f ca="1"/>
        <v>1236.1224120801096</v>
      </c>
      <c r="QM25">
        <f ca="1"/>
        <v>1236.1224120801096</v>
      </c>
      <c r="QN25">
        <f ca="1"/>
        <v>1236.1224120801096</v>
      </c>
      <c r="QO25">
        <f ca="1"/>
        <v>1236.1224120801096</v>
      </c>
      <c r="QP25">
        <f ca="1"/>
        <v>1236.1224120801096</v>
      </c>
      <c r="QQ25">
        <f ca="1"/>
        <v>1335.0122050465184</v>
      </c>
      <c r="QR25">
        <f ca="1"/>
        <v>1335.0122050465184</v>
      </c>
      <c r="QS25">
        <f ca="1"/>
        <v>1335.0122050465184</v>
      </c>
      <c r="QT25">
        <f ca="1"/>
        <v>1335.0122050465184</v>
      </c>
      <c r="QU25">
        <f ca="1"/>
        <v>1335.0122050465184</v>
      </c>
      <c r="QV25">
        <f ca="1"/>
        <v>1335.0122050465184</v>
      </c>
      <c r="QW25">
        <f ca="1"/>
        <v>1335.0122050465184</v>
      </c>
      <c r="QX25">
        <f ca="1"/>
        <v>1335.0122050465184</v>
      </c>
      <c r="QY25">
        <f ca="1"/>
        <v>1335.0122050465184</v>
      </c>
      <c r="QZ25">
        <f ca="1"/>
        <v>1335.0122050465184</v>
      </c>
      <c r="RA25">
        <f ca="1"/>
        <v>1335.0122050465184</v>
      </c>
      <c r="RB25">
        <f ca="1"/>
        <v>1335.0122050465184</v>
      </c>
      <c r="RC25">
        <f ca="1"/>
        <v>1441.8131814502399</v>
      </c>
      <c r="RD25">
        <f ca="1"/>
        <v>1441.8131814502399</v>
      </c>
      <c r="RE25">
        <f ca="1"/>
        <v>1441.8131814502399</v>
      </c>
      <c r="RF25">
        <f ca="1"/>
        <v>1441.8131814502399</v>
      </c>
      <c r="RG25">
        <f ca="1"/>
        <v>1441.8131814502399</v>
      </c>
      <c r="RH25">
        <f ca="1"/>
        <v>1441.8131814502399</v>
      </c>
      <c r="RI25">
        <f ca="1"/>
        <v>1441.8131814502399</v>
      </c>
      <c r="RJ25">
        <f ca="1"/>
        <v>1441.8131814502399</v>
      </c>
      <c r="RK25">
        <f ca="1"/>
        <v>1441.8131814502399</v>
      </c>
      <c r="RL25">
        <f ca="1"/>
        <v>1441.8131814502399</v>
      </c>
      <c r="RM25">
        <f ca="1"/>
        <v>1441.8131814502399</v>
      </c>
      <c r="RN25">
        <f ca="1"/>
        <v>1441.8131814502399</v>
      </c>
      <c r="RO25">
        <f ca="1"/>
        <v>1557.1582359662591</v>
      </c>
      <c r="RP25">
        <f ca="1"/>
        <v>1557.1582359662591</v>
      </c>
      <c r="RQ25">
        <f ca="1"/>
        <v>1557.1582359662591</v>
      </c>
      <c r="RR25">
        <f ca="1"/>
        <v>1557.1582359662591</v>
      </c>
      <c r="RS25">
        <f ca="1"/>
        <v>1557.1582359662591</v>
      </c>
      <c r="RT25">
        <f ca="1"/>
        <v>1557.1582359662591</v>
      </c>
      <c r="RU25">
        <f ca="1"/>
        <v>1557.1582359662591</v>
      </c>
      <c r="RV25">
        <f ca="1"/>
        <v>1557.1582359662591</v>
      </c>
      <c r="RW25">
        <f ca="1"/>
        <v>1557.1582359662591</v>
      </c>
      <c r="RX25">
        <f ca="1"/>
        <v>1557.1582359662591</v>
      </c>
      <c r="RY25">
        <f ca="1"/>
        <v>1557.1582359662591</v>
      </c>
      <c r="RZ25">
        <f ca="1"/>
        <v>1557.1582359662591</v>
      </c>
    </row>
    <row r="26" spans="1:495" x14ac:dyDescent="0.3">
      <c r="A26" s="8" t="s">
        <v>496</v>
      </c>
      <c r="B26" s="302" cm="1">
        <f t="array" aca="1" ref="B26:RZ26" ca="1">MONTH(_xlfn.ANCHORARRAY(B22))</f>
        <v>12</v>
      </c>
      <c r="C26" s="302">
        <f ca="1"/>
        <v>1</v>
      </c>
      <c r="D26" s="302">
        <f ca="1"/>
        <v>2</v>
      </c>
      <c r="E26" s="302">
        <f ca="1"/>
        <v>3</v>
      </c>
      <c r="F26" s="302">
        <f ca="1"/>
        <v>4</v>
      </c>
      <c r="G26" s="302">
        <f ca="1"/>
        <v>5</v>
      </c>
      <c r="H26" s="302">
        <f ca="1"/>
        <v>6</v>
      </c>
      <c r="I26" s="302">
        <f ca="1"/>
        <v>7</v>
      </c>
      <c r="J26" s="302">
        <f ca="1"/>
        <v>8</v>
      </c>
      <c r="K26" s="302">
        <f ca="1"/>
        <v>9</v>
      </c>
      <c r="L26" s="302">
        <f ca="1"/>
        <v>10</v>
      </c>
      <c r="M26" s="302">
        <f ca="1"/>
        <v>11</v>
      </c>
      <c r="N26" s="302">
        <f ca="1"/>
        <v>12</v>
      </c>
      <c r="O26" s="302">
        <f ca="1"/>
        <v>1</v>
      </c>
      <c r="P26" s="302">
        <f ca="1"/>
        <v>2</v>
      </c>
      <c r="Q26" s="302">
        <f ca="1"/>
        <v>3</v>
      </c>
      <c r="R26" s="302">
        <f ca="1"/>
        <v>4</v>
      </c>
      <c r="S26" s="302">
        <f ca="1"/>
        <v>5</v>
      </c>
      <c r="T26" s="302">
        <f ca="1"/>
        <v>6</v>
      </c>
      <c r="U26" s="302">
        <f ca="1"/>
        <v>7</v>
      </c>
      <c r="V26" s="302">
        <f ca="1"/>
        <v>8</v>
      </c>
      <c r="W26" s="302">
        <f ca="1"/>
        <v>9</v>
      </c>
      <c r="X26" s="302">
        <f ca="1"/>
        <v>10</v>
      </c>
      <c r="Y26" s="302">
        <f ca="1"/>
        <v>11</v>
      </c>
      <c r="Z26" s="302">
        <f ca="1"/>
        <v>12</v>
      </c>
      <c r="AA26" s="302">
        <f ca="1"/>
        <v>1</v>
      </c>
      <c r="AB26" s="302">
        <f ca="1"/>
        <v>2</v>
      </c>
      <c r="AC26" s="302">
        <f ca="1"/>
        <v>3</v>
      </c>
      <c r="AD26" s="302">
        <f ca="1"/>
        <v>4</v>
      </c>
      <c r="AE26" s="302">
        <f ca="1"/>
        <v>5</v>
      </c>
      <c r="AF26" s="302">
        <f ca="1"/>
        <v>6</v>
      </c>
      <c r="AG26" s="302">
        <f ca="1"/>
        <v>7</v>
      </c>
      <c r="AH26" s="302">
        <f ca="1"/>
        <v>8</v>
      </c>
      <c r="AI26" s="302">
        <f ca="1"/>
        <v>9</v>
      </c>
      <c r="AJ26" s="302">
        <f ca="1"/>
        <v>10</v>
      </c>
      <c r="AK26" s="302">
        <f ca="1"/>
        <v>11</v>
      </c>
      <c r="AL26" s="302">
        <f ca="1"/>
        <v>12</v>
      </c>
      <c r="AM26" s="302">
        <f ca="1"/>
        <v>1</v>
      </c>
      <c r="AN26" s="302">
        <f ca="1"/>
        <v>2</v>
      </c>
      <c r="AO26" s="302">
        <f ca="1"/>
        <v>3</v>
      </c>
      <c r="AP26" s="302">
        <f ca="1"/>
        <v>4</v>
      </c>
      <c r="AQ26" s="302">
        <f ca="1"/>
        <v>5</v>
      </c>
      <c r="AR26" s="302">
        <f ca="1"/>
        <v>6</v>
      </c>
      <c r="AS26" s="302">
        <f ca="1"/>
        <v>7</v>
      </c>
      <c r="AT26" s="302">
        <f ca="1"/>
        <v>8</v>
      </c>
      <c r="AU26" s="302">
        <f ca="1"/>
        <v>9</v>
      </c>
      <c r="AV26" s="302">
        <f ca="1"/>
        <v>10</v>
      </c>
      <c r="AW26" s="302">
        <f ca="1"/>
        <v>11</v>
      </c>
      <c r="AX26" s="302">
        <f ca="1"/>
        <v>12</v>
      </c>
      <c r="AY26" s="302">
        <f ca="1"/>
        <v>1</v>
      </c>
      <c r="AZ26" s="302">
        <f ca="1"/>
        <v>2</v>
      </c>
      <c r="BA26" s="302">
        <f ca="1"/>
        <v>3</v>
      </c>
      <c r="BB26" s="302">
        <f ca="1"/>
        <v>4</v>
      </c>
      <c r="BC26" s="302">
        <f ca="1"/>
        <v>5</v>
      </c>
      <c r="BD26" s="302">
        <f ca="1"/>
        <v>6</v>
      </c>
      <c r="BE26" s="302">
        <f ca="1"/>
        <v>7</v>
      </c>
      <c r="BF26" s="302">
        <f ca="1"/>
        <v>8</v>
      </c>
      <c r="BG26" s="302">
        <f ca="1"/>
        <v>9</v>
      </c>
      <c r="BH26" s="302">
        <f ca="1"/>
        <v>10</v>
      </c>
      <c r="BI26" s="302">
        <f ca="1"/>
        <v>11</v>
      </c>
      <c r="BJ26" s="302">
        <f ca="1"/>
        <v>12</v>
      </c>
      <c r="BK26" s="302">
        <f ca="1"/>
        <v>1</v>
      </c>
      <c r="BL26" s="302">
        <f ca="1"/>
        <v>2</v>
      </c>
      <c r="BM26" s="302">
        <f ca="1"/>
        <v>3</v>
      </c>
      <c r="BN26" s="302">
        <f ca="1"/>
        <v>4</v>
      </c>
      <c r="BO26" s="302">
        <f ca="1"/>
        <v>5</v>
      </c>
      <c r="BP26" s="302">
        <f ca="1"/>
        <v>6</v>
      </c>
      <c r="BQ26" s="302">
        <f ca="1"/>
        <v>7</v>
      </c>
      <c r="BR26" s="302">
        <f ca="1"/>
        <v>8</v>
      </c>
      <c r="BS26" s="302">
        <f ca="1"/>
        <v>9</v>
      </c>
      <c r="BT26" s="302">
        <f ca="1"/>
        <v>10</v>
      </c>
      <c r="BU26" s="302">
        <f ca="1"/>
        <v>11</v>
      </c>
      <c r="BV26" s="302">
        <f ca="1"/>
        <v>12</v>
      </c>
      <c r="BW26" s="302">
        <f ca="1"/>
        <v>1</v>
      </c>
      <c r="BX26" s="302">
        <f ca="1"/>
        <v>2</v>
      </c>
      <c r="BY26" s="302">
        <f ca="1"/>
        <v>3</v>
      </c>
      <c r="BZ26" s="302">
        <f ca="1"/>
        <v>4</v>
      </c>
      <c r="CA26" s="302">
        <f ca="1"/>
        <v>5</v>
      </c>
      <c r="CB26" s="302">
        <f ca="1"/>
        <v>6</v>
      </c>
      <c r="CC26" s="302">
        <f ca="1"/>
        <v>7</v>
      </c>
      <c r="CD26" s="302">
        <f ca="1"/>
        <v>8</v>
      </c>
      <c r="CE26" s="302">
        <f ca="1"/>
        <v>9</v>
      </c>
      <c r="CF26" s="302">
        <f ca="1"/>
        <v>10</v>
      </c>
      <c r="CG26" s="302">
        <f ca="1"/>
        <v>11</v>
      </c>
      <c r="CH26" s="302">
        <f ca="1"/>
        <v>12</v>
      </c>
      <c r="CI26" s="302">
        <f ca="1"/>
        <v>1</v>
      </c>
      <c r="CJ26" s="302">
        <f ca="1"/>
        <v>2</v>
      </c>
      <c r="CK26" s="302">
        <f ca="1"/>
        <v>3</v>
      </c>
      <c r="CL26" s="302">
        <f ca="1"/>
        <v>4</v>
      </c>
      <c r="CM26" s="302">
        <f ca="1"/>
        <v>5</v>
      </c>
      <c r="CN26" s="302">
        <f ca="1"/>
        <v>6</v>
      </c>
      <c r="CO26" s="302">
        <f ca="1"/>
        <v>7</v>
      </c>
      <c r="CP26" s="302">
        <f ca="1"/>
        <v>8</v>
      </c>
      <c r="CQ26" s="302">
        <f ca="1"/>
        <v>9</v>
      </c>
      <c r="CR26" s="302">
        <f ca="1"/>
        <v>10</v>
      </c>
      <c r="CS26" s="302">
        <f ca="1"/>
        <v>11</v>
      </c>
      <c r="CT26" s="302">
        <f ca="1"/>
        <v>12</v>
      </c>
      <c r="CU26" s="302">
        <f ca="1"/>
        <v>1</v>
      </c>
      <c r="CV26" s="302">
        <f ca="1"/>
        <v>2</v>
      </c>
      <c r="CW26" s="302">
        <f ca="1"/>
        <v>3</v>
      </c>
      <c r="CX26" s="302">
        <f ca="1"/>
        <v>4</v>
      </c>
      <c r="CY26" s="302">
        <f ca="1"/>
        <v>5</v>
      </c>
      <c r="CZ26" s="302">
        <f ca="1"/>
        <v>6</v>
      </c>
      <c r="DA26" s="302">
        <f ca="1"/>
        <v>7</v>
      </c>
      <c r="DB26" s="302">
        <f ca="1"/>
        <v>8</v>
      </c>
      <c r="DC26" s="302">
        <f ca="1"/>
        <v>9</v>
      </c>
      <c r="DD26" s="302">
        <f ca="1"/>
        <v>10</v>
      </c>
      <c r="DE26" s="302">
        <f ca="1"/>
        <v>11</v>
      </c>
      <c r="DF26" s="302">
        <f ca="1"/>
        <v>12</v>
      </c>
      <c r="DG26" s="302">
        <f ca="1"/>
        <v>1</v>
      </c>
      <c r="DH26" s="302">
        <f ca="1"/>
        <v>2</v>
      </c>
      <c r="DI26" s="302">
        <f ca="1"/>
        <v>3</v>
      </c>
      <c r="DJ26" s="302">
        <f ca="1"/>
        <v>4</v>
      </c>
      <c r="DK26" s="302">
        <f ca="1"/>
        <v>5</v>
      </c>
      <c r="DL26" s="302">
        <f ca="1"/>
        <v>6</v>
      </c>
      <c r="DM26" s="302">
        <f ca="1"/>
        <v>7</v>
      </c>
      <c r="DN26" s="302">
        <f ca="1"/>
        <v>8</v>
      </c>
      <c r="DO26" s="302">
        <f ca="1"/>
        <v>9</v>
      </c>
      <c r="DP26" s="302">
        <f ca="1"/>
        <v>10</v>
      </c>
      <c r="DQ26" s="302">
        <f ca="1"/>
        <v>11</v>
      </c>
      <c r="DR26" s="302">
        <f ca="1"/>
        <v>12</v>
      </c>
      <c r="DS26" s="302">
        <f ca="1"/>
        <v>1</v>
      </c>
      <c r="DT26" s="302">
        <f ca="1"/>
        <v>2</v>
      </c>
      <c r="DU26" s="302">
        <f ca="1"/>
        <v>3</v>
      </c>
      <c r="DV26" s="302">
        <f ca="1"/>
        <v>4</v>
      </c>
      <c r="DW26" s="302">
        <f ca="1"/>
        <v>5</v>
      </c>
      <c r="DX26" s="302">
        <f ca="1"/>
        <v>6</v>
      </c>
      <c r="DY26" s="302">
        <f ca="1"/>
        <v>7</v>
      </c>
      <c r="DZ26" s="302">
        <f ca="1"/>
        <v>8</v>
      </c>
      <c r="EA26" s="302">
        <f ca="1"/>
        <v>9</v>
      </c>
      <c r="EB26" s="302">
        <f ca="1"/>
        <v>10</v>
      </c>
      <c r="EC26" s="302">
        <f ca="1"/>
        <v>11</v>
      </c>
      <c r="ED26" s="302">
        <f ca="1"/>
        <v>12</v>
      </c>
      <c r="EE26" s="302">
        <f ca="1"/>
        <v>1</v>
      </c>
      <c r="EF26" s="302">
        <f ca="1"/>
        <v>2</v>
      </c>
      <c r="EG26" s="302">
        <f ca="1"/>
        <v>3</v>
      </c>
      <c r="EH26" s="302">
        <f ca="1"/>
        <v>4</v>
      </c>
      <c r="EI26" s="302">
        <f ca="1"/>
        <v>5</v>
      </c>
      <c r="EJ26" s="302">
        <f ca="1"/>
        <v>6</v>
      </c>
      <c r="EK26" s="302">
        <f ca="1"/>
        <v>7</v>
      </c>
      <c r="EL26" s="302">
        <f ca="1"/>
        <v>8</v>
      </c>
      <c r="EM26" s="302">
        <f ca="1"/>
        <v>9</v>
      </c>
      <c r="EN26" s="302">
        <f ca="1"/>
        <v>10</v>
      </c>
      <c r="EO26" s="302">
        <f ca="1"/>
        <v>11</v>
      </c>
      <c r="EP26" s="302">
        <f ca="1"/>
        <v>12</v>
      </c>
      <c r="EQ26" s="302">
        <f ca="1"/>
        <v>1</v>
      </c>
      <c r="ER26" s="302">
        <f ca="1"/>
        <v>2</v>
      </c>
      <c r="ES26" s="302">
        <f ca="1"/>
        <v>3</v>
      </c>
      <c r="ET26" s="302">
        <f ca="1"/>
        <v>4</v>
      </c>
      <c r="EU26" s="302">
        <f ca="1"/>
        <v>5</v>
      </c>
      <c r="EV26" s="302">
        <f ca="1"/>
        <v>6</v>
      </c>
      <c r="EW26" s="302">
        <f ca="1"/>
        <v>7</v>
      </c>
      <c r="EX26" s="302">
        <f ca="1"/>
        <v>8</v>
      </c>
      <c r="EY26" s="302">
        <f ca="1"/>
        <v>9</v>
      </c>
      <c r="EZ26" s="302">
        <f ca="1"/>
        <v>10</v>
      </c>
      <c r="FA26" s="302">
        <f ca="1"/>
        <v>11</v>
      </c>
      <c r="FB26" s="302">
        <f ca="1"/>
        <v>12</v>
      </c>
      <c r="FC26" s="302">
        <f ca="1"/>
        <v>1</v>
      </c>
      <c r="FD26" s="302">
        <f ca="1"/>
        <v>2</v>
      </c>
      <c r="FE26" s="302">
        <f ca="1"/>
        <v>3</v>
      </c>
      <c r="FF26" s="302">
        <f ca="1"/>
        <v>4</v>
      </c>
      <c r="FG26" s="302">
        <f ca="1"/>
        <v>5</v>
      </c>
      <c r="FH26" s="302">
        <f ca="1"/>
        <v>6</v>
      </c>
      <c r="FI26" s="302">
        <f ca="1"/>
        <v>7</v>
      </c>
      <c r="FJ26" s="302">
        <f ca="1"/>
        <v>8</v>
      </c>
      <c r="FK26" s="302">
        <f ca="1"/>
        <v>9</v>
      </c>
      <c r="FL26" s="302">
        <f ca="1"/>
        <v>10</v>
      </c>
      <c r="FM26" s="302">
        <f ca="1"/>
        <v>11</v>
      </c>
      <c r="FN26" s="302">
        <f ca="1"/>
        <v>12</v>
      </c>
      <c r="FO26" s="302">
        <f ca="1"/>
        <v>1</v>
      </c>
      <c r="FP26" s="302">
        <f ca="1"/>
        <v>2</v>
      </c>
      <c r="FQ26" s="302">
        <f ca="1"/>
        <v>3</v>
      </c>
      <c r="FR26" s="302">
        <f ca="1"/>
        <v>4</v>
      </c>
      <c r="FS26" s="302">
        <f ca="1"/>
        <v>5</v>
      </c>
      <c r="FT26" s="302">
        <f ca="1"/>
        <v>6</v>
      </c>
      <c r="FU26" s="302">
        <f ca="1"/>
        <v>7</v>
      </c>
      <c r="FV26" s="302">
        <f ca="1"/>
        <v>8</v>
      </c>
      <c r="FW26" s="302">
        <f ca="1"/>
        <v>9</v>
      </c>
      <c r="FX26" s="302">
        <f ca="1"/>
        <v>10</v>
      </c>
      <c r="FY26" s="302">
        <f ca="1"/>
        <v>11</v>
      </c>
      <c r="FZ26" s="302">
        <f ca="1"/>
        <v>12</v>
      </c>
      <c r="GA26" s="302">
        <f ca="1"/>
        <v>1</v>
      </c>
      <c r="GB26" s="302">
        <f ca="1"/>
        <v>2</v>
      </c>
      <c r="GC26" s="302">
        <f ca="1"/>
        <v>3</v>
      </c>
      <c r="GD26" s="302">
        <f ca="1"/>
        <v>4</v>
      </c>
      <c r="GE26" s="302">
        <f ca="1"/>
        <v>5</v>
      </c>
      <c r="GF26" s="302">
        <f ca="1"/>
        <v>6</v>
      </c>
      <c r="GG26" s="302">
        <f ca="1"/>
        <v>7</v>
      </c>
      <c r="GH26" s="302">
        <f ca="1"/>
        <v>8</v>
      </c>
      <c r="GI26" s="302">
        <f ca="1"/>
        <v>9</v>
      </c>
      <c r="GJ26" s="302">
        <f ca="1"/>
        <v>10</v>
      </c>
      <c r="GK26" s="302">
        <f ca="1"/>
        <v>11</v>
      </c>
      <c r="GL26" s="302">
        <f ca="1"/>
        <v>12</v>
      </c>
      <c r="GM26" s="302">
        <f ca="1"/>
        <v>1</v>
      </c>
      <c r="GN26" s="302">
        <f ca="1"/>
        <v>2</v>
      </c>
      <c r="GO26" s="302">
        <f ca="1"/>
        <v>3</v>
      </c>
      <c r="GP26" s="302">
        <f ca="1"/>
        <v>4</v>
      </c>
      <c r="GQ26" s="302">
        <f ca="1"/>
        <v>5</v>
      </c>
      <c r="GR26" s="302">
        <f ca="1"/>
        <v>6</v>
      </c>
      <c r="GS26" s="302">
        <f ca="1"/>
        <v>7</v>
      </c>
      <c r="GT26" s="302">
        <f ca="1"/>
        <v>8</v>
      </c>
      <c r="GU26" s="302">
        <f ca="1"/>
        <v>9</v>
      </c>
      <c r="GV26" s="302">
        <f ca="1"/>
        <v>10</v>
      </c>
      <c r="GW26" s="302">
        <f ca="1"/>
        <v>11</v>
      </c>
      <c r="GX26" s="302">
        <f ca="1"/>
        <v>12</v>
      </c>
      <c r="GY26" s="302">
        <f ca="1"/>
        <v>1</v>
      </c>
      <c r="GZ26" s="302">
        <f ca="1"/>
        <v>2</v>
      </c>
      <c r="HA26" s="302">
        <f ca="1"/>
        <v>3</v>
      </c>
      <c r="HB26" s="302">
        <f ca="1"/>
        <v>4</v>
      </c>
      <c r="HC26" s="302">
        <f ca="1"/>
        <v>5</v>
      </c>
      <c r="HD26" s="302">
        <f ca="1"/>
        <v>6</v>
      </c>
      <c r="HE26" s="302">
        <f ca="1"/>
        <v>7</v>
      </c>
      <c r="HF26" s="302">
        <f ca="1"/>
        <v>8</v>
      </c>
      <c r="HG26" s="302">
        <f ca="1"/>
        <v>9</v>
      </c>
      <c r="HH26" s="302">
        <f ca="1"/>
        <v>10</v>
      </c>
      <c r="HI26" s="302">
        <f ca="1"/>
        <v>11</v>
      </c>
      <c r="HJ26" s="302">
        <f ca="1"/>
        <v>12</v>
      </c>
      <c r="HK26" s="302">
        <f ca="1"/>
        <v>1</v>
      </c>
      <c r="HL26" s="302">
        <f ca="1"/>
        <v>2</v>
      </c>
      <c r="HM26" s="302">
        <f ca="1"/>
        <v>3</v>
      </c>
      <c r="HN26" s="302">
        <f ca="1"/>
        <v>4</v>
      </c>
      <c r="HO26" s="302">
        <f ca="1"/>
        <v>5</v>
      </c>
      <c r="HP26" s="302">
        <f ca="1"/>
        <v>6</v>
      </c>
      <c r="HQ26" s="302">
        <f ca="1"/>
        <v>7</v>
      </c>
      <c r="HR26" s="302">
        <f ca="1"/>
        <v>8</v>
      </c>
      <c r="HS26" s="302">
        <f ca="1"/>
        <v>9</v>
      </c>
      <c r="HT26" s="302">
        <f ca="1"/>
        <v>10</v>
      </c>
      <c r="HU26" s="302">
        <f ca="1"/>
        <v>11</v>
      </c>
      <c r="HV26" s="302">
        <f ca="1"/>
        <v>12</v>
      </c>
      <c r="HW26" s="302">
        <f ca="1"/>
        <v>1</v>
      </c>
      <c r="HX26" s="302">
        <f ca="1"/>
        <v>2</v>
      </c>
      <c r="HY26" s="302">
        <f ca="1"/>
        <v>3</v>
      </c>
      <c r="HZ26" s="302">
        <f ca="1"/>
        <v>4</v>
      </c>
      <c r="IA26" s="302">
        <f ca="1"/>
        <v>5</v>
      </c>
      <c r="IB26" s="302">
        <f ca="1"/>
        <v>6</v>
      </c>
      <c r="IC26" s="302">
        <f ca="1"/>
        <v>7</v>
      </c>
      <c r="ID26" s="302">
        <f ca="1"/>
        <v>8</v>
      </c>
      <c r="IE26" s="302">
        <f ca="1"/>
        <v>9</v>
      </c>
      <c r="IF26" s="302">
        <f ca="1"/>
        <v>10</v>
      </c>
      <c r="IG26" s="302">
        <f ca="1"/>
        <v>11</v>
      </c>
      <c r="IH26" s="302">
        <f ca="1"/>
        <v>12</v>
      </c>
      <c r="II26" s="302">
        <f ca="1"/>
        <v>1</v>
      </c>
      <c r="IJ26" s="302">
        <f ca="1"/>
        <v>2</v>
      </c>
      <c r="IK26" s="302">
        <f ca="1"/>
        <v>3</v>
      </c>
      <c r="IL26" s="302">
        <f ca="1"/>
        <v>4</v>
      </c>
      <c r="IM26" s="302">
        <f ca="1"/>
        <v>5</v>
      </c>
      <c r="IN26" s="302">
        <f ca="1"/>
        <v>6</v>
      </c>
      <c r="IO26" s="302">
        <f ca="1"/>
        <v>7</v>
      </c>
      <c r="IP26" s="302">
        <f ca="1"/>
        <v>8</v>
      </c>
      <c r="IQ26" s="302">
        <f ca="1"/>
        <v>9</v>
      </c>
      <c r="IR26" s="302">
        <f ca="1"/>
        <v>10</v>
      </c>
      <c r="IS26" s="302">
        <f ca="1"/>
        <v>11</v>
      </c>
      <c r="IT26" s="302">
        <f ca="1"/>
        <v>12</v>
      </c>
      <c r="IU26" s="302">
        <f ca="1"/>
        <v>1</v>
      </c>
      <c r="IV26" s="302">
        <f ca="1"/>
        <v>2</v>
      </c>
      <c r="IW26" s="302">
        <f ca="1"/>
        <v>3</v>
      </c>
      <c r="IX26" s="302">
        <f ca="1"/>
        <v>4</v>
      </c>
      <c r="IY26" s="302">
        <f ca="1"/>
        <v>5</v>
      </c>
      <c r="IZ26" s="302">
        <f ca="1"/>
        <v>6</v>
      </c>
      <c r="JA26" s="302">
        <f ca="1"/>
        <v>7</v>
      </c>
      <c r="JB26" s="302">
        <f ca="1"/>
        <v>8</v>
      </c>
      <c r="JC26" s="302">
        <f ca="1"/>
        <v>9</v>
      </c>
      <c r="JD26" s="302">
        <f ca="1"/>
        <v>10</v>
      </c>
      <c r="JE26" s="302">
        <f ca="1"/>
        <v>11</v>
      </c>
      <c r="JF26" s="302">
        <f ca="1"/>
        <v>12</v>
      </c>
      <c r="JG26" s="302">
        <f ca="1"/>
        <v>1</v>
      </c>
      <c r="JH26" s="302">
        <f ca="1"/>
        <v>2</v>
      </c>
      <c r="JI26" s="302">
        <f ca="1"/>
        <v>3</v>
      </c>
      <c r="JJ26" s="302">
        <f ca="1"/>
        <v>4</v>
      </c>
      <c r="JK26" s="302">
        <f ca="1"/>
        <v>5</v>
      </c>
      <c r="JL26" s="302">
        <f ca="1"/>
        <v>6</v>
      </c>
      <c r="JM26" s="302">
        <f ca="1"/>
        <v>7</v>
      </c>
      <c r="JN26" s="302">
        <f ca="1"/>
        <v>8</v>
      </c>
      <c r="JO26" s="302">
        <f ca="1"/>
        <v>9</v>
      </c>
      <c r="JP26" s="302">
        <f ca="1"/>
        <v>10</v>
      </c>
      <c r="JQ26" s="302">
        <f ca="1"/>
        <v>11</v>
      </c>
      <c r="JR26" s="302">
        <f ca="1"/>
        <v>12</v>
      </c>
      <c r="JS26" s="302">
        <f ca="1"/>
        <v>1</v>
      </c>
      <c r="JT26" s="302">
        <f ca="1"/>
        <v>2</v>
      </c>
      <c r="JU26" s="302">
        <f ca="1"/>
        <v>3</v>
      </c>
      <c r="JV26" s="302">
        <f ca="1"/>
        <v>4</v>
      </c>
      <c r="JW26" s="302">
        <f ca="1"/>
        <v>5</v>
      </c>
      <c r="JX26" s="302">
        <f ca="1"/>
        <v>6</v>
      </c>
      <c r="JY26" s="302">
        <f ca="1"/>
        <v>7</v>
      </c>
      <c r="JZ26" s="302">
        <f ca="1"/>
        <v>8</v>
      </c>
      <c r="KA26" s="302">
        <f ca="1"/>
        <v>9</v>
      </c>
      <c r="KB26" s="302">
        <f ca="1"/>
        <v>10</v>
      </c>
      <c r="KC26" s="302">
        <f ca="1"/>
        <v>11</v>
      </c>
      <c r="KD26" s="302">
        <f ca="1"/>
        <v>12</v>
      </c>
      <c r="KE26" s="302">
        <f ca="1"/>
        <v>1</v>
      </c>
      <c r="KF26" s="302">
        <f ca="1"/>
        <v>2</v>
      </c>
      <c r="KG26" s="302">
        <f ca="1"/>
        <v>3</v>
      </c>
      <c r="KH26" s="302">
        <f ca="1"/>
        <v>4</v>
      </c>
      <c r="KI26" s="302">
        <f ca="1"/>
        <v>5</v>
      </c>
      <c r="KJ26" s="302">
        <f ca="1"/>
        <v>6</v>
      </c>
      <c r="KK26" s="302">
        <f ca="1"/>
        <v>7</v>
      </c>
      <c r="KL26" s="302">
        <f ca="1"/>
        <v>8</v>
      </c>
      <c r="KM26" s="302">
        <f ca="1"/>
        <v>9</v>
      </c>
      <c r="KN26" s="302">
        <f ca="1"/>
        <v>10</v>
      </c>
      <c r="KO26" s="302">
        <f ca="1"/>
        <v>11</v>
      </c>
      <c r="KP26" s="302">
        <f ca="1"/>
        <v>12</v>
      </c>
      <c r="KQ26" s="302">
        <f ca="1"/>
        <v>1</v>
      </c>
      <c r="KR26" s="302">
        <f ca="1"/>
        <v>2</v>
      </c>
      <c r="KS26" s="302">
        <f ca="1"/>
        <v>3</v>
      </c>
      <c r="KT26" s="302">
        <f ca="1"/>
        <v>4</v>
      </c>
      <c r="KU26" s="302">
        <f ca="1"/>
        <v>5</v>
      </c>
      <c r="KV26" s="302">
        <f ca="1"/>
        <v>6</v>
      </c>
      <c r="KW26" s="302">
        <f ca="1"/>
        <v>7</v>
      </c>
      <c r="KX26" s="302">
        <f ca="1"/>
        <v>8</v>
      </c>
      <c r="KY26" s="302">
        <f ca="1"/>
        <v>9</v>
      </c>
      <c r="KZ26" s="302">
        <f ca="1"/>
        <v>10</v>
      </c>
      <c r="LA26" s="302">
        <f ca="1"/>
        <v>11</v>
      </c>
      <c r="LB26" s="302">
        <f ca="1"/>
        <v>12</v>
      </c>
      <c r="LC26" s="302">
        <f ca="1"/>
        <v>1</v>
      </c>
      <c r="LD26" s="302">
        <f ca="1"/>
        <v>2</v>
      </c>
      <c r="LE26" s="302">
        <f ca="1"/>
        <v>3</v>
      </c>
      <c r="LF26" s="302">
        <f ca="1"/>
        <v>4</v>
      </c>
      <c r="LG26" s="302">
        <f ca="1"/>
        <v>5</v>
      </c>
      <c r="LH26" s="302">
        <f ca="1"/>
        <v>6</v>
      </c>
      <c r="LI26" s="302">
        <f ca="1"/>
        <v>7</v>
      </c>
      <c r="LJ26" s="302">
        <f ca="1"/>
        <v>8</v>
      </c>
      <c r="LK26" s="302">
        <f ca="1"/>
        <v>9</v>
      </c>
      <c r="LL26" s="302">
        <f ca="1"/>
        <v>10</v>
      </c>
      <c r="LM26" s="302">
        <f ca="1"/>
        <v>11</v>
      </c>
      <c r="LN26" s="302">
        <f ca="1"/>
        <v>12</v>
      </c>
      <c r="LO26" s="302">
        <f ca="1"/>
        <v>1</v>
      </c>
      <c r="LP26" s="302">
        <f ca="1"/>
        <v>2</v>
      </c>
      <c r="LQ26" s="302">
        <f ca="1"/>
        <v>3</v>
      </c>
      <c r="LR26" s="302">
        <f ca="1"/>
        <v>4</v>
      </c>
      <c r="LS26" s="302">
        <f ca="1"/>
        <v>5</v>
      </c>
      <c r="LT26" s="302">
        <f ca="1"/>
        <v>6</v>
      </c>
      <c r="LU26" s="302">
        <f ca="1"/>
        <v>7</v>
      </c>
      <c r="LV26" s="302">
        <f ca="1"/>
        <v>8</v>
      </c>
      <c r="LW26" s="302">
        <f ca="1"/>
        <v>9</v>
      </c>
      <c r="LX26" s="302">
        <f ca="1"/>
        <v>10</v>
      </c>
      <c r="LY26" s="302">
        <f ca="1"/>
        <v>11</v>
      </c>
      <c r="LZ26" s="302">
        <f ca="1"/>
        <v>12</v>
      </c>
      <c r="MA26" s="302">
        <f ca="1"/>
        <v>1</v>
      </c>
      <c r="MB26" s="302">
        <f ca="1"/>
        <v>2</v>
      </c>
      <c r="MC26" s="302">
        <f ca="1"/>
        <v>3</v>
      </c>
      <c r="MD26" s="302">
        <f ca="1"/>
        <v>4</v>
      </c>
      <c r="ME26" s="302">
        <f ca="1"/>
        <v>5</v>
      </c>
      <c r="MF26" s="302">
        <f ca="1"/>
        <v>6</v>
      </c>
      <c r="MG26" s="302">
        <f ca="1"/>
        <v>7</v>
      </c>
      <c r="MH26" s="302">
        <f ca="1"/>
        <v>8</v>
      </c>
      <c r="MI26" s="302">
        <f ca="1"/>
        <v>9</v>
      </c>
      <c r="MJ26" s="302">
        <f ca="1"/>
        <v>10</v>
      </c>
      <c r="MK26" s="302">
        <f ca="1"/>
        <v>11</v>
      </c>
      <c r="ML26" s="302">
        <f ca="1"/>
        <v>12</v>
      </c>
      <c r="MM26" s="302">
        <f ca="1"/>
        <v>1</v>
      </c>
      <c r="MN26" s="302">
        <f ca="1"/>
        <v>2</v>
      </c>
      <c r="MO26" s="302">
        <f ca="1"/>
        <v>3</v>
      </c>
      <c r="MP26" s="302">
        <f ca="1"/>
        <v>4</v>
      </c>
      <c r="MQ26" s="302">
        <f ca="1"/>
        <v>5</v>
      </c>
      <c r="MR26" s="302">
        <f ca="1"/>
        <v>6</v>
      </c>
      <c r="MS26" s="302">
        <f ca="1"/>
        <v>7</v>
      </c>
      <c r="MT26" s="302">
        <f ca="1"/>
        <v>8</v>
      </c>
      <c r="MU26" s="302">
        <f ca="1"/>
        <v>9</v>
      </c>
      <c r="MV26" s="302">
        <f ca="1"/>
        <v>10</v>
      </c>
      <c r="MW26" s="302">
        <f ca="1"/>
        <v>11</v>
      </c>
      <c r="MX26" s="302">
        <f ca="1"/>
        <v>12</v>
      </c>
      <c r="MY26" s="302">
        <f ca="1"/>
        <v>1</v>
      </c>
      <c r="MZ26" s="302">
        <f ca="1"/>
        <v>2</v>
      </c>
      <c r="NA26" s="302">
        <f ca="1"/>
        <v>3</v>
      </c>
      <c r="NB26" s="302">
        <f ca="1"/>
        <v>4</v>
      </c>
      <c r="NC26" s="302">
        <f ca="1"/>
        <v>5</v>
      </c>
      <c r="ND26" s="302">
        <f ca="1"/>
        <v>6</v>
      </c>
      <c r="NE26" s="302">
        <f ca="1"/>
        <v>7</v>
      </c>
      <c r="NF26" s="302">
        <f ca="1"/>
        <v>8</v>
      </c>
      <c r="NG26" s="302">
        <f ca="1"/>
        <v>9</v>
      </c>
      <c r="NH26" s="302">
        <f ca="1"/>
        <v>10</v>
      </c>
      <c r="NI26" s="302">
        <f ca="1"/>
        <v>11</v>
      </c>
      <c r="NJ26" s="302">
        <f ca="1"/>
        <v>12</v>
      </c>
      <c r="NK26" s="302">
        <f ca="1"/>
        <v>1</v>
      </c>
      <c r="NL26" s="302">
        <f ca="1"/>
        <v>2</v>
      </c>
      <c r="NM26" s="302">
        <f ca="1"/>
        <v>3</v>
      </c>
      <c r="NN26" s="302">
        <f ca="1"/>
        <v>4</v>
      </c>
      <c r="NO26" s="302">
        <f ca="1"/>
        <v>5</v>
      </c>
      <c r="NP26" s="302">
        <f ca="1"/>
        <v>6</v>
      </c>
      <c r="NQ26" s="302">
        <f ca="1"/>
        <v>7</v>
      </c>
      <c r="NR26" s="302">
        <f ca="1"/>
        <v>8</v>
      </c>
      <c r="NS26" s="302">
        <f ca="1"/>
        <v>9</v>
      </c>
      <c r="NT26" s="302">
        <f ca="1"/>
        <v>10</v>
      </c>
      <c r="NU26" s="302">
        <f ca="1"/>
        <v>11</v>
      </c>
      <c r="NV26" s="302">
        <f ca="1"/>
        <v>12</v>
      </c>
      <c r="NW26" s="302">
        <f ca="1"/>
        <v>1</v>
      </c>
      <c r="NX26" s="302">
        <f ca="1"/>
        <v>2</v>
      </c>
      <c r="NY26" s="302">
        <f ca="1"/>
        <v>3</v>
      </c>
      <c r="NZ26" s="302">
        <f ca="1"/>
        <v>4</v>
      </c>
      <c r="OA26" s="302">
        <f ca="1"/>
        <v>5</v>
      </c>
      <c r="OB26" s="302">
        <f ca="1"/>
        <v>6</v>
      </c>
      <c r="OC26" s="302">
        <f ca="1"/>
        <v>7</v>
      </c>
      <c r="OD26" s="302">
        <f ca="1"/>
        <v>8</v>
      </c>
      <c r="OE26" s="302">
        <f ca="1"/>
        <v>9</v>
      </c>
      <c r="OF26" s="302">
        <f ca="1"/>
        <v>10</v>
      </c>
      <c r="OG26" s="302">
        <f ca="1"/>
        <v>11</v>
      </c>
      <c r="OH26" s="302">
        <f ca="1"/>
        <v>12</v>
      </c>
      <c r="OI26" s="302">
        <f ca="1"/>
        <v>1</v>
      </c>
      <c r="OJ26" s="302">
        <f ca="1"/>
        <v>2</v>
      </c>
      <c r="OK26" s="302">
        <f ca="1"/>
        <v>3</v>
      </c>
      <c r="OL26" s="302">
        <f ca="1"/>
        <v>4</v>
      </c>
      <c r="OM26" s="302">
        <f ca="1"/>
        <v>5</v>
      </c>
      <c r="ON26" s="302">
        <f ca="1"/>
        <v>6</v>
      </c>
      <c r="OO26" s="302">
        <f ca="1"/>
        <v>7</v>
      </c>
      <c r="OP26" s="302">
        <f ca="1"/>
        <v>8</v>
      </c>
      <c r="OQ26" s="302">
        <f ca="1"/>
        <v>9</v>
      </c>
      <c r="OR26" s="302">
        <f ca="1"/>
        <v>10</v>
      </c>
      <c r="OS26" s="302">
        <f ca="1"/>
        <v>11</v>
      </c>
      <c r="OT26" s="302">
        <f ca="1"/>
        <v>12</v>
      </c>
      <c r="OU26" s="302">
        <f ca="1"/>
        <v>1</v>
      </c>
      <c r="OV26" s="302">
        <f ca="1"/>
        <v>2</v>
      </c>
      <c r="OW26" s="302">
        <f ca="1"/>
        <v>3</v>
      </c>
      <c r="OX26" s="302">
        <f ca="1"/>
        <v>4</v>
      </c>
      <c r="OY26" s="302">
        <f ca="1"/>
        <v>5</v>
      </c>
      <c r="OZ26" s="302">
        <f ca="1"/>
        <v>6</v>
      </c>
      <c r="PA26" s="302">
        <f ca="1"/>
        <v>7</v>
      </c>
      <c r="PB26" s="302">
        <f ca="1"/>
        <v>8</v>
      </c>
      <c r="PC26" s="302">
        <f ca="1"/>
        <v>9</v>
      </c>
      <c r="PD26" s="302">
        <f ca="1"/>
        <v>10</v>
      </c>
      <c r="PE26" s="302">
        <f ca="1"/>
        <v>11</v>
      </c>
      <c r="PF26" s="302">
        <f ca="1"/>
        <v>12</v>
      </c>
      <c r="PG26" s="302">
        <f ca="1"/>
        <v>1</v>
      </c>
      <c r="PH26" s="302">
        <f ca="1"/>
        <v>2</v>
      </c>
      <c r="PI26" s="302">
        <f ca="1"/>
        <v>3</v>
      </c>
      <c r="PJ26" s="302">
        <f ca="1"/>
        <v>4</v>
      </c>
      <c r="PK26" s="302">
        <f ca="1"/>
        <v>5</v>
      </c>
      <c r="PL26" s="302">
        <f ca="1"/>
        <v>6</v>
      </c>
      <c r="PM26" s="302">
        <f ca="1"/>
        <v>7</v>
      </c>
      <c r="PN26" s="302">
        <f ca="1"/>
        <v>8</v>
      </c>
      <c r="PO26" s="302">
        <f ca="1"/>
        <v>9</v>
      </c>
      <c r="PP26" s="302">
        <f ca="1"/>
        <v>10</v>
      </c>
      <c r="PQ26" s="302">
        <f ca="1"/>
        <v>11</v>
      </c>
      <c r="PR26" s="302">
        <f ca="1"/>
        <v>12</v>
      </c>
      <c r="PS26" s="302">
        <f ca="1"/>
        <v>1</v>
      </c>
      <c r="PT26" s="302">
        <f ca="1"/>
        <v>2</v>
      </c>
      <c r="PU26" s="302">
        <f ca="1"/>
        <v>3</v>
      </c>
      <c r="PV26" s="302">
        <f ca="1"/>
        <v>4</v>
      </c>
      <c r="PW26" s="302">
        <f ca="1"/>
        <v>5</v>
      </c>
      <c r="PX26" s="302">
        <f ca="1"/>
        <v>6</v>
      </c>
      <c r="PY26" s="302">
        <f ca="1"/>
        <v>7</v>
      </c>
      <c r="PZ26" s="302">
        <f ca="1"/>
        <v>8</v>
      </c>
      <c r="QA26" s="302">
        <f ca="1"/>
        <v>9</v>
      </c>
      <c r="QB26" s="302">
        <f ca="1"/>
        <v>10</v>
      </c>
      <c r="QC26" s="302">
        <f ca="1"/>
        <v>11</v>
      </c>
      <c r="QD26" s="302">
        <f ca="1"/>
        <v>12</v>
      </c>
      <c r="QE26" s="302">
        <f ca="1"/>
        <v>1</v>
      </c>
      <c r="QF26" s="302">
        <f ca="1"/>
        <v>2</v>
      </c>
      <c r="QG26" s="302">
        <f ca="1"/>
        <v>3</v>
      </c>
      <c r="QH26" s="302">
        <f ca="1"/>
        <v>4</v>
      </c>
      <c r="QI26" s="302">
        <f ca="1"/>
        <v>5</v>
      </c>
      <c r="QJ26" s="302">
        <f ca="1"/>
        <v>6</v>
      </c>
      <c r="QK26" s="302">
        <f ca="1"/>
        <v>7</v>
      </c>
      <c r="QL26" s="302">
        <f ca="1"/>
        <v>8</v>
      </c>
      <c r="QM26" s="302">
        <f ca="1"/>
        <v>9</v>
      </c>
      <c r="QN26" s="302">
        <f ca="1"/>
        <v>10</v>
      </c>
      <c r="QO26" s="302">
        <f ca="1"/>
        <v>11</v>
      </c>
      <c r="QP26" s="302">
        <f ca="1"/>
        <v>12</v>
      </c>
      <c r="QQ26" s="302">
        <f ca="1"/>
        <v>1</v>
      </c>
      <c r="QR26" s="302">
        <f ca="1"/>
        <v>2</v>
      </c>
      <c r="QS26" s="302">
        <f ca="1"/>
        <v>3</v>
      </c>
      <c r="QT26" s="302">
        <f ca="1"/>
        <v>4</v>
      </c>
      <c r="QU26" s="302">
        <f ca="1"/>
        <v>5</v>
      </c>
      <c r="QV26" s="302">
        <f ca="1"/>
        <v>6</v>
      </c>
      <c r="QW26" s="302">
        <f ca="1"/>
        <v>7</v>
      </c>
      <c r="QX26" s="302">
        <f ca="1"/>
        <v>8</v>
      </c>
      <c r="QY26" s="302">
        <f ca="1"/>
        <v>9</v>
      </c>
      <c r="QZ26" s="302">
        <f ca="1"/>
        <v>10</v>
      </c>
      <c r="RA26" s="302">
        <f ca="1"/>
        <v>11</v>
      </c>
      <c r="RB26" s="302">
        <f ca="1"/>
        <v>12</v>
      </c>
      <c r="RC26" s="302">
        <f ca="1"/>
        <v>1</v>
      </c>
      <c r="RD26" s="302">
        <f ca="1"/>
        <v>2</v>
      </c>
      <c r="RE26" s="302">
        <f ca="1"/>
        <v>3</v>
      </c>
      <c r="RF26" s="302">
        <f ca="1"/>
        <v>4</v>
      </c>
      <c r="RG26" s="302">
        <f ca="1"/>
        <v>5</v>
      </c>
      <c r="RH26" s="302">
        <f ca="1"/>
        <v>6</v>
      </c>
      <c r="RI26" s="302">
        <f ca="1"/>
        <v>7</v>
      </c>
      <c r="RJ26" s="302">
        <f ca="1"/>
        <v>8</v>
      </c>
      <c r="RK26" s="302">
        <f ca="1"/>
        <v>9</v>
      </c>
      <c r="RL26" s="302">
        <f ca="1"/>
        <v>10</v>
      </c>
      <c r="RM26" s="302">
        <f ca="1"/>
        <v>11</v>
      </c>
      <c r="RN26" s="302">
        <f ca="1"/>
        <v>12</v>
      </c>
      <c r="RO26" s="302">
        <f ca="1"/>
        <v>1</v>
      </c>
      <c r="RP26" s="302">
        <f ca="1"/>
        <v>2</v>
      </c>
      <c r="RQ26" s="302">
        <f ca="1"/>
        <v>3</v>
      </c>
      <c r="RR26" s="302">
        <f ca="1"/>
        <v>4</v>
      </c>
      <c r="RS26" s="302">
        <f ca="1"/>
        <v>5</v>
      </c>
      <c r="RT26" s="302">
        <f ca="1"/>
        <v>6</v>
      </c>
      <c r="RU26" s="302">
        <f ca="1"/>
        <v>7</v>
      </c>
      <c r="RV26" s="302">
        <f ca="1"/>
        <v>8</v>
      </c>
      <c r="RW26" s="302">
        <f ca="1"/>
        <v>9</v>
      </c>
      <c r="RX26" s="302">
        <f ca="1"/>
        <v>10</v>
      </c>
      <c r="RY26" s="302">
        <f ca="1"/>
        <v>11</v>
      </c>
      <c r="RZ26" s="302">
        <f ca="1"/>
        <v>12</v>
      </c>
    </row>
    <row r="27" spans="1:495" x14ac:dyDescent="0.3">
      <c r="A27" s="8" t="s">
        <v>497</v>
      </c>
      <c r="B27" s="302" cm="1">
        <f t="array" aca="1" ref="B27:RZ27" ca="1">IF(YEAR(_xlfn.ANCHORARRAY(B22))=YEAR(TODAY()),12-MONTH(TODAY())+1,12)</f>
        <v>1</v>
      </c>
      <c r="C27" s="302">
        <f ca="1"/>
        <v>12</v>
      </c>
      <c r="D27" s="302">
        <f ca="1"/>
        <v>12</v>
      </c>
      <c r="E27" s="302">
        <f ca="1"/>
        <v>12</v>
      </c>
      <c r="F27" s="302">
        <f ca="1"/>
        <v>12</v>
      </c>
      <c r="G27" s="302">
        <f ca="1"/>
        <v>12</v>
      </c>
      <c r="H27" s="302">
        <f ca="1"/>
        <v>12</v>
      </c>
      <c r="I27" s="302">
        <f ca="1"/>
        <v>12</v>
      </c>
      <c r="J27" s="302">
        <f ca="1"/>
        <v>12</v>
      </c>
      <c r="K27" s="302">
        <f ca="1"/>
        <v>12</v>
      </c>
      <c r="L27" s="302">
        <f ca="1"/>
        <v>12</v>
      </c>
      <c r="M27" s="302">
        <f ca="1"/>
        <v>12</v>
      </c>
      <c r="N27" s="302">
        <f ca="1"/>
        <v>12</v>
      </c>
      <c r="O27" s="302">
        <f ca="1"/>
        <v>12</v>
      </c>
      <c r="P27" s="302">
        <f ca="1"/>
        <v>12</v>
      </c>
      <c r="Q27" s="302">
        <f ca="1"/>
        <v>12</v>
      </c>
      <c r="R27" s="302">
        <f ca="1"/>
        <v>12</v>
      </c>
      <c r="S27" s="302">
        <f ca="1"/>
        <v>12</v>
      </c>
      <c r="T27" s="302">
        <f ca="1"/>
        <v>12</v>
      </c>
      <c r="U27" s="302">
        <f ca="1"/>
        <v>12</v>
      </c>
      <c r="V27" s="302">
        <f ca="1"/>
        <v>12</v>
      </c>
      <c r="W27" s="302">
        <f ca="1"/>
        <v>12</v>
      </c>
      <c r="X27" s="302">
        <f ca="1"/>
        <v>12</v>
      </c>
      <c r="Y27" s="302">
        <f ca="1"/>
        <v>12</v>
      </c>
      <c r="Z27" s="302">
        <f ca="1"/>
        <v>12</v>
      </c>
      <c r="AA27" s="302">
        <f ca="1"/>
        <v>12</v>
      </c>
      <c r="AB27" s="302">
        <f ca="1"/>
        <v>12</v>
      </c>
      <c r="AC27" s="302">
        <f ca="1"/>
        <v>12</v>
      </c>
      <c r="AD27" s="302">
        <f ca="1"/>
        <v>12</v>
      </c>
      <c r="AE27" s="302">
        <f ca="1"/>
        <v>12</v>
      </c>
      <c r="AF27" s="302">
        <f ca="1"/>
        <v>12</v>
      </c>
      <c r="AG27" s="302">
        <f ca="1"/>
        <v>12</v>
      </c>
      <c r="AH27" s="302">
        <f ca="1"/>
        <v>12</v>
      </c>
      <c r="AI27" s="302">
        <f ca="1"/>
        <v>12</v>
      </c>
      <c r="AJ27" s="302">
        <f ca="1"/>
        <v>12</v>
      </c>
      <c r="AK27" s="302">
        <f ca="1"/>
        <v>12</v>
      </c>
      <c r="AL27" s="302">
        <f ca="1"/>
        <v>12</v>
      </c>
      <c r="AM27" s="302">
        <f ca="1"/>
        <v>12</v>
      </c>
      <c r="AN27" s="302">
        <f ca="1"/>
        <v>12</v>
      </c>
      <c r="AO27" s="302">
        <f ca="1"/>
        <v>12</v>
      </c>
      <c r="AP27" s="302">
        <f ca="1"/>
        <v>12</v>
      </c>
      <c r="AQ27" s="302">
        <f ca="1"/>
        <v>12</v>
      </c>
      <c r="AR27" s="302">
        <f ca="1"/>
        <v>12</v>
      </c>
      <c r="AS27" s="302">
        <f ca="1"/>
        <v>12</v>
      </c>
      <c r="AT27" s="302">
        <f ca="1"/>
        <v>12</v>
      </c>
      <c r="AU27" s="302">
        <f ca="1"/>
        <v>12</v>
      </c>
      <c r="AV27" s="302">
        <f ca="1"/>
        <v>12</v>
      </c>
      <c r="AW27" s="302">
        <f ca="1"/>
        <v>12</v>
      </c>
      <c r="AX27" s="302">
        <f ca="1"/>
        <v>12</v>
      </c>
      <c r="AY27" s="302">
        <f ca="1"/>
        <v>12</v>
      </c>
      <c r="AZ27" s="302">
        <f ca="1"/>
        <v>12</v>
      </c>
      <c r="BA27" s="302">
        <f ca="1"/>
        <v>12</v>
      </c>
      <c r="BB27" s="302">
        <f ca="1"/>
        <v>12</v>
      </c>
      <c r="BC27" s="302">
        <f ca="1"/>
        <v>12</v>
      </c>
      <c r="BD27" s="302">
        <f ca="1"/>
        <v>12</v>
      </c>
      <c r="BE27" s="302">
        <f ca="1"/>
        <v>12</v>
      </c>
      <c r="BF27" s="302">
        <f ca="1"/>
        <v>12</v>
      </c>
      <c r="BG27" s="302">
        <f ca="1"/>
        <v>12</v>
      </c>
      <c r="BH27" s="302">
        <f ca="1"/>
        <v>12</v>
      </c>
      <c r="BI27" s="302">
        <f ca="1"/>
        <v>12</v>
      </c>
      <c r="BJ27" s="302">
        <f ca="1"/>
        <v>12</v>
      </c>
      <c r="BK27" s="302">
        <f ca="1"/>
        <v>12</v>
      </c>
      <c r="BL27" s="302">
        <f ca="1"/>
        <v>12</v>
      </c>
      <c r="BM27" s="302">
        <f ca="1"/>
        <v>12</v>
      </c>
      <c r="BN27" s="302">
        <f ca="1"/>
        <v>12</v>
      </c>
      <c r="BO27" s="302">
        <f ca="1"/>
        <v>12</v>
      </c>
      <c r="BP27" s="302">
        <f ca="1"/>
        <v>12</v>
      </c>
      <c r="BQ27" s="302">
        <f ca="1"/>
        <v>12</v>
      </c>
      <c r="BR27" s="302">
        <f ca="1"/>
        <v>12</v>
      </c>
      <c r="BS27" s="302">
        <f ca="1"/>
        <v>12</v>
      </c>
      <c r="BT27" s="302">
        <f ca="1"/>
        <v>12</v>
      </c>
      <c r="BU27" s="302">
        <f ca="1"/>
        <v>12</v>
      </c>
      <c r="BV27" s="302">
        <f ca="1"/>
        <v>12</v>
      </c>
      <c r="BW27" s="302">
        <f ca="1"/>
        <v>12</v>
      </c>
      <c r="BX27" s="302">
        <f ca="1"/>
        <v>12</v>
      </c>
      <c r="BY27" s="302">
        <f ca="1"/>
        <v>12</v>
      </c>
      <c r="BZ27" s="302">
        <f ca="1"/>
        <v>12</v>
      </c>
      <c r="CA27" s="302">
        <f ca="1"/>
        <v>12</v>
      </c>
      <c r="CB27" s="302">
        <f ca="1"/>
        <v>12</v>
      </c>
      <c r="CC27" s="302">
        <f ca="1"/>
        <v>12</v>
      </c>
      <c r="CD27" s="302">
        <f ca="1"/>
        <v>12</v>
      </c>
      <c r="CE27" s="302">
        <f ca="1"/>
        <v>12</v>
      </c>
      <c r="CF27" s="302">
        <f ca="1"/>
        <v>12</v>
      </c>
      <c r="CG27" s="302">
        <f ca="1"/>
        <v>12</v>
      </c>
      <c r="CH27" s="302">
        <f ca="1"/>
        <v>12</v>
      </c>
      <c r="CI27" s="302">
        <f ca="1"/>
        <v>12</v>
      </c>
      <c r="CJ27" s="302">
        <f ca="1"/>
        <v>12</v>
      </c>
      <c r="CK27" s="302">
        <f ca="1"/>
        <v>12</v>
      </c>
      <c r="CL27" s="302">
        <f ca="1"/>
        <v>12</v>
      </c>
      <c r="CM27" s="302">
        <f ca="1"/>
        <v>12</v>
      </c>
      <c r="CN27" s="302">
        <f ca="1"/>
        <v>12</v>
      </c>
      <c r="CO27" s="302">
        <f ca="1"/>
        <v>12</v>
      </c>
      <c r="CP27" s="302">
        <f ca="1"/>
        <v>12</v>
      </c>
      <c r="CQ27" s="302">
        <f ca="1"/>
        <v>12</v>
      </c>
      <c r="CR27" s="302">
        <f ca="1"/>
        <v>12</v>
      </c>
      <c r="CS27" s="302">
        <f ca="1"/>
        <v>12</v>
      </c>
      <c r="CT27" s="302">
        <f ca="1"/>
        <v>12</v>
      </c>
      <c r="CU27" s="302">
        <f ca="1"/>
        <v>12</v>
      </c>
      <c r="CV27" s="302">
        <f ca="1"/>
        <v>12</v>
      </c>
      <c r="CW27" s="302">
        <f ca="1"/>
        <v>12</v>
      </c>
      <c r="CX27" s="302">
        <f ca="1"/>
        <v>12</v>
      </c>
      <c r="CY27" s="302">
        <f ca="1"/>
        <v>12</v>
      </c>
      <c r="CZ27" s="302">
        <f ca="1"/>
        <v>12</v>
      </c>
      <c r="DA27" s="302">
        <f ca="1"/>
        <v>12</v>
      </c>
      <c r="DB27" s="302">
        <f ca="1"/>
        <v>12</v>
      </c>
      <c r="DC27" s="302">
        <f ca="1"/>
        <v>12</v>
      </c>
      <c r="DD27" s="302">
        <f ca="1"/>
        <v>12</v>
      </c>
      <c r="DE27" s="302">
        <f ca="1"/>
        <v>12</v>
      </c>
      <c r="DF27" s="302">
        <f ca="1"/>
        <v>12</v>
      </c>
      <c r="DG27" s="302">
        <f ca="1"/>
        <v>12</v>
      </c>
      <c r="DH27" s="302">
        <f ca="1"/>
        <v>12</v>
      </c>
      <c r="DI27" s="302">
        <f ca="1"/>
        <v>12</v>
      </c>
      <c r="DJ27" s="302">
        <f ca="1"/>
        <v>12</v>
      </c>
      <c r="DK27" s="302">
        <f ca="1"/>
        <v>12</v>
      </c>
      <c r="DL27" s="302">
        <f ca="1"/>
        <v>12</v>
      </c>
      <c r="DM27" s="302">
        <f ca="1"/>
        <v>12</v>
      </c>
      <c r="DN27" s="302">
        <f ca="1"/>
        <v>12</v>
      </c>
      <c r="DO27" s="302">
        <f ca="1"/>
        <v>12</v>
      </c>
      <c r="DP27" s="302">
        <f ca="1"/>
        <v>12</v>
      </c>
      <c r="DQ27" s="302">
        <f ca="1"/>
        <v>12</v>
      </c>
      <c r="DR27" s="302">
        <f ca="1"/>
        <v>12</v>
      </c>
      <c r="DS27" s="302">
        <f ca="1"/>
        <v>12</v>
      </c>
      <c r="DT27" s="302">
        <f ca="1"/>
        <v>12</v>
      </c>
      <c r="DU27" s="302">
        <f ca="1"/>
        <v>12</v>
      </c>
      <c r="DV27" s="302">
        <f ca="1"/>
        <v>12</v>
      </c>
      <c r="DW27" s="302">
        <f ca="1"/>
        <v>12</v>
      </c>
      <c r="DX27" s="302">
        <f ca="1"/>
        <v>12</v>
      </c>
      <c r="DY27" s="302">
        <f ca="1"/>
        <v>12</v>
      </c>
      <c r="DZ27" s="302">
        <f ca="1"/>
        <v>12</v>
      </c>
      <c r="EA27" s="302">
        <f ca="1"/>
        <v>12</v>
      </c>
      <c r="EB27" s="302">
        <f ca="1"/>
        <v>12</v>
      </c>
      <c r="EC27" s="302">
        <f ca="1"/>
        <v>12</v>
      </c>
      <c r="ED27" s="302">
        <f ca="1"/>
        <v>12</v>
      </c>
      <c r="EE27" s="302">
        <f ca="1"/>
        <v>12</v>
      </c>
      <c r="EF27" s="302">
        <f ca="1"/>
        <v>12</v>
      </c>
      <c r="EG27" s="302">
        <f ca="1"/>
        <v>12</v>
      </c>
      <c r="EH27" s="302">
        <f ca="1"/>
        <v>12</v>
      </c>
      <c r="EI27" s="302">
        <f ca="1"/>
        <v>12</v>
      </c>
      <c r="EJ27" s="302">
        <f ca="1"/>
        <v>12</v>
      </c>
      <c r="EK27" s="302">
        <f ca="1"/>
        <v>12</v>
      </c>
      <c r="EL27" s="302">
        <f ca="1"/>
        <v>12</v>
      </c>
      <c r="EM27" s="302">
        <f ca="1"/>
        <v>12</v>
      </c>
      <c r="EN27" s="302">
        <f ca="1"/>
        <v>12</v>
      </c>
      <c r="EO27" s="302">
        <f ca="1"/>
        <v>12</v>
      </c>
      <c r="EP27" s="302">
        <f ca="1"/>
        <v>12</v>
      </c>
      <c r="EQ27" s="302">
        <f ca="1"/>
        <v>12</v>
      </c>
      <c r="ER27" s="302">
        <f ca="1"/>
        <v>12</v>
      </c>
      <c r="ES27" s="302">
        <f ca="1"/>
        <v>12</v>
      </c>
      <c r="ET27" s="302">
        <f ca="1"/>
        <v>12</v>
      </c>
      <c r="EU27" s="302">
        <f ca="1"/>
        <v>12</v>
      </c>
      <c r="EV27" s="302">
        <f ca="1"/>
        <v>12</v>
      </c>
      <c r="EW27" s="302">
        <f ca="1"/>
        <v>12</v>
      </c>
      <c r="EX27" s="302">
        <f ca="1"/>
        <v>12</v>
      </c>
      <c r="EY27" s="302">
        <f ca="1"/>
        <v>12</v>
      </c>
      <c r="EZ27" s="302">
        <f ca="1"/>
        <v>12</v>
      </c>
      <c r="FA27" s="302">
        <f ca="1"/>
        <v>12</v>
      </c>
      <c r="FB27" s="302">
        <f ca="1"/>
        <v>12</v>
      </c>
      <c r="FC27" s="302">
        <f ca="1"/>
        <v>12</v>
      </c>
      <c r="FD27" s="302">
        <f ca="1"/>
        <v>12</v>
      </c>
      <c r="FE27" s="302">
        <f ca="1"/>
        <v>12</v>
      </c>
      <c r="FF27" s="302">
        <f ca="1"/>
        <v>12</v>
      </c>
      <c r="FG27" s="302">
        <f ca="1"/>
        <v>12</v>
      </c>
      <c r="FH27" s="302">
        <f ca="1"/>
        <v>12</v>
      </c>
      <c r="FI27" s="302">
        <f ca="1"/>
        <v>12</v>
      </c>
      <c r="FJ27" s="302">
        <f ca="1"/>
        <v>12</v>
      </c>
      <c r="FK27" s="302">
        <f ca="1"/>
        <v>12</v>
      </c>
      <c r="FL27" s="302">
        <f ca="1"/>
        <v>12</v>
      </c>
      <c r="FM27" s="302">
        <f ca="1"/>
        <v>12</v>
      </c>
      <c r="FN27" s="302">
        <f ca="1"/>
        <v>12</v>
      </c>
      <c r="FO27" s="302">
        <f ca="1"/>
        <v>12</v>
      </c>
      <c r="FP27" s="302">
        <f ca="1"/>
        <v>12</v>
      </c>
      <c r="FQ27" s="302">
        <f ca="1"/>
        <v>12</v>
      </c>
      <c r="FR27" s="302">
        <f ca="1"/>
        <v>12</v>
      </c>
      <c r="FS27" s="302">
        <f ca="1"/>
        <v>12</v>
      </c>
      <c r="FT27" s="302">
        <f ca="1"/>
        <v>12</v>
      </c>
      <c r="FU27" s="302">
        <f ca="1"/>
        <v>12</v>
      </c>
      <c r="FV27" s="302">
        <f ca="1"/>
        <v>12</v>
      </c>
      <c r="FW27" s="302">
        <f ca="1"/>
        <v>12</v>
      </c>
      <c r="FX27" s="302">
        <f ca="1"/>
        <v>12</v>
      </c>
      <c r="FY27" s="302">
        <f ca="1"/>
        <v>12</v>
      </c>
      <c r="FZ27" s="302">
        <f ca="1"/>
        <v>12</v>
      </c>
      <c r="GA27" s="302">
        <f ca="1"/>
        <v>12</v>
      </c>
      <c r="GB27" s="302">
        <f ca="1"/>
        <v>12</v>
      </c>
      <c r="GC27" s="302">
        <f ca="1"/>
        <v>12</v>
      </c>
      <c r="GD27" s="302">
        <f ca="1"/>
        <v>12</v>
      </c>
      <c r="GE27" s="302">
        <f ca="1"/>
        <v>12</v>
      </c>
      <c r="GF27" s="302">
        <f ca="1"/>
        <v>12</v>
      </c>
      <c r="GG27" s="302">
        <f ca="1"/>
        <v>12</v>
      </c>
      <c r="GH27" s="302">
        <f ca="1"/>
        <v>12</v>
      </c>
      <c r="GI27" s="302">
        <f ca="1"/>
        <v>12</v>
      </c>
      <c r="GJ27" s="302">
        <f ca="1"/>
        <v>12</v>
      </c>
      <c r="GK27" s="302">
        <f ca="1"/>
        <v>12</v>
      </c>
      <c r="GL27" s="302">
        <f ca="1"/>
        <v>12</v>
      </c>
      <c r="GM27" s="302">
        <f ca="1"/>
        <v>12</v>
      </c>
      <c r="GN27" s="302">
        <f ca="1"/>
        <v>12</v>
      </c>
      <c r="GO27" s="302">
        <f ca="1"/>
        <v>12</v>
      </c>
      <c r="GP27" s="302">
        <f ca="1"/>
        <v>12</v>
      </c>
      <c r="GQ27" s="302">
        <f ca="1"/>
        <v>12</v>
      </c>
      <c r="GR27" s="302">
        <f ca="1"/>
        <v>12</v>
      </c>
      <c r="GS27" s="302">
        <f ca="1"/>
        <v>12</v>
      </c>
      <c r="GT27" s="302">
        <f ca="1"/>
        <v>12</v>
      </c>
      <c r="GU27" s="302">
        <f ca="1"/>
        <v>12</v>
      </c>
      <c r="GV27" s="302">
        <f ca="1"/>
        <v>12</v>
      </c>
      <c r="GW27" s="302">
        <f ca="1"/>
        <v>12</v>
      </c>
      <c r="GX27" s="302">
        <f ca="1"/>
        <v>12</v>
      </c>
      <c r="GY27" s="302">
        <f ca="1"/>
        <v>12</v>
      </c>
      <c r="GZ27" s="302">
        <f ca="1"/>
        <v>12</v>
      </c>
      <c r="HA27" s="302">
        <f ca="1"/>
        <v>12</v>
      </c>
      <c r="HB27" s="302">
        <f ca="1"/>
        <v>12</v>
      </c>
      <c r="HC27" s="302">
        <f ca="1"/>
        <v>12</v>
      </c>
      <c r="HD27" s="302">
        <f ca="1"/>
        <v>12</v>
      </c>
      <c r="HE27" s="302">
        <f ca="1"/>
        <v>12</v>
      </c>
      <c r="HF27" s="302">
        <f ca="1"/>
        <v>12</v>
      </c>
      <c r="HG27" s="302">
        <f ca="1"/>
        <v>12</v>
      </c>
      <c r="HH27" s="302">
        <f ca="1"/>
        <v>12</v>
      </c>
      <c r="HI27" s="302">
        <f ca="1"/>
        <v>12</v>
      </c>
      <c r="HJ27" s="302">
        <f ca="1"/>
        <v>12</v>
      </c>
      <c r="HK27" s="302">
        <f ca="1"/>
        <v>12</v>
      </c>
      <c r="HL27" s="302">
        <f ca="1"/>
        <v>12</v>
      </c>
      <c r="HM27" s="302">
        <f ca="1"/>
        <v>12</v>
      </c>
      <c r="HN27" s="302">
        <f ca="1"/>
        <v>12</v>
      </c>
      <c r="HO27" s="302">
        <f ca="1"/>
        <v>12</v>
      </c>
      <c r="HP27" s="302">
        <f ca="1"/>
        <v>12</v>
      </c>
      <c r="HQ27" s="302">
        <f ca="1"/>
        <v>12</v>
      </c>
      <c r="HR27" s="302">
        <f ca="1"/>
        <v>12</v>
      </c>
      <c r="HS27" s="302">
        <f ca="1"/>
        <v>12</v>
      </c>
      <c r="HT27" s="302">
        <f ca="1"/>
        <v>12</v>
      </c>
      <c r="HU27" s="302">
        <f ca="1"/>
        <v>12</v>
      </c>
      <c r="HV27" s="302">
        <f ca="1"/>
        <v>12</v>
      </c>
      <c r="HW27" s="302">
        <f ca="1"/>
        <v>12</v>
      </c>
      <c r="HX27" s="302">
        <f ca="1"/>
        <v>12</v>
      </c>
      <c r="HY27" s="302">
        <f ca="1"/>
        <v>12</v>
      </c>
      <c r="HZ27" s="302">
        <f ca="1"/>
        <v>12</v>
      </c>
      <c r="IA27" s="302">
        <f ca="1"/>
        <v>12</v>
      </c>
      <c r="IB27" s="302">
        <f ca="1"/>
        <v>12</v>
      </c>
      <c r="IC27" s="302">
        <f ca="1"/>
        <v>12</v>
      </c>
      <c r="ID27" s="302">
        <f ca="1"/>
        <v>12</v>
      </c>
      <c r="IE27" s="302">
        <f ca="1"/>
        <v>12</v>
      </c>
      <c r="IF27" s="302">
        <f ca="1"/>
        <v>12</v>
      </c>
      <c r="IG27" s="302">
        <f ca="1"/>
        <v>12</v>
      </c>
      <c r="IH27" s="302">
        <f ca="1"/>
        <v>12</v>
      </c>
      <c r="II27" s="302">
        <f ca="1"/>
        <v>12</v>
      </c>
      <c r="IJ27" s="302">
        <f ca="1"/>
        <v>12</v>
      </c>
      <c r="IK27" s="302">
        <f ca="1"/>
        <v>12</v>
      </c>
      <c r="IL27" s="302">
        <f ca="1"/>
        <v>12</v>
      </c>
      <c r="IM27" s="302">
        <f ca="1"/>
        <v>12</v>
      </c>
      <c r="IN27" s="302">
        <f ca="1"/>
        <v>12</v>
      </c>
      <c r="IO27" s="302">
        <f ca="1"/>
        <v>12</v>
      </c>
      <c r="IP27" s="302">
        <f ca="1"/>
        <v>12</v>
      </c>
      <c r="IQ27" s="302">
        <f ca="1"/>
        <v>12</v>
      </c>
      <c r="IR27" s="302">
        <f ca="1"/>
        <v>12</v>
      </c>
      <c r="IS27" s="302">
        <f ca="1"/>
        <v>12</v>
      </c>
      <c r="IT27" s="302">
        <f ca="1"/>
        <v>12</v>
      </c>
      <c r="IU27" s="302">
        <f ca="1"/>
        <v>12</v>
      </c>
      <c r="IV27" s="302">
        <f ca="1"/>
        <v>12</v>
      </c>
      <c r="IW27" s="302">
        <f ca="1"/>
        <v>12</v>
      </c>
      <c r="IX27" s="302">
        <f ca="1"/>
        <v>12</v>
      </c>
      <c r="IY27" s="302">
        <f ca="1"/>
        <v>12</v>
      </c>
      <c r="IZ27" s="302">
        <f ca="1"/>
        <v>12</v>
      </c>
      <c r="JA27" s="302">
        <f ca="1"/>
        <v>12</v>
      </c>
      <c r="JB27" s="302">
        <f ca="1"/>
        <v>12</v>
      </c>
      <c r="JC27" s="302">
        <f ca="1"/>
        <v>12</v>
      </c>
      <c r="JD27" s="302">
        <f ca="1"/>
        <v>12</v>
      </c>
      <c r="JE27" s="302">
        <f ca="1"/>
        <v>12</v>
      </c>
      <c r="JF27" s="302">
        <f ca="1"/>
        <v>12</v>
      </c>
      <c r="JG27" s="302">
        <f ca="1"/>
        <v>12</v>
      </c>
      <c r="JH27" s="302">
        <f ca="1"/>
        <v>12</v>
      </c>
      <c r="JI27" s="302">
        <f ca="1"/>
        <v>12</v>
      </c>
      <c r="JJ27" s="302">
        <f ca="1"/>
        <v>12</v>
      </c>
      <c r="JK27" s="302">
        <f ca="1"/>
        <v>12</v>
      </c>
      <c r="JL27" s="302">
        <f ca="1"/>
        <v>12</v>
      </c>
      <c r="JM27" s="302">
        <f ca="1"/>
        <v>12</v>
      </c>
      <c r="JN27" s="302">
        <f ca="1"/>
        <v>12</v>
      </c>
      <c r="JO27" s="302">
        <f ca="1"/>
        <v>12</v>
      </c>
      <c r="JP27" s="302">
        <f ca="1"/>
        <v>12</v>
      </c>
      <c r="JQ27" s="302">
        <f ca="1"/>
        <v>12</v>
      </c>
      <c r="JR27" s="302">
        <f ca="1"/>
        <v>12</v>
      </c>
      <c r="JS27" s="302">
        <f ca="1"/>
        <v>12</v>
      </c>
      <c r="JT27" s="302">
        <f ca="1"/>
        <v>12</v>
      </c>
      <c r="JU27" s="302">
        <f ca="1"/>
        <v>12</v>
      </c>
      <c r="JV27" s="302">
        <f ca="1"/>
        <v>12</v>
      </c>
      <c r="JW27" s="302">
        <f ca="1"/>
        <v>12</v>
      </c>
      <c r="JX27" s="302">
        <f ca="1"/>
        <v>12</v>
      </c>
      <c r="JY27" s="302">
        <f ca="1"/>
        <v>12</v>
      </c>
      <c r="JZ27" s="302">
        <f ca="1"/>
        <v>12</v>
      </c>
      <c r="KA27" s="302">
        <f ca="1"/>
        <v>12</v>
      </c>
      <c r="KB27" s="302">
        <f ca="1"/>
        <v>12</v>
      </c>
      <c r="KC27" s="302">
        <f ca="1"/>
        <v>12</v>
      </c>
      <c r="KD27" s="302">
        <f ca="1"/>
        <v>12</v>
      </c>
      <c r="KE27" s="302">
        <f ca="1"/>
        <v>12</v>
      </c>
      <c r="KF27" s="302">
        <f ca="1"/>
        <v>12</v>
      </c>
      <c r="KG27" s="302">
        <f ca="1"/>
        <v>12</v>
      </c>
      <c r="KH27" s="302">
        <f ca="1"/>
        <v>12</v>
      </c>
      <c r="KI27" s="302">
        <f ca="1"/>
        <v>12</v>
      </c>
      <c r="KJ27" s="302">
        <f ca="1"/>
        <v>12</v>
      </c>
      <c r="KK27" s="302">
        <f ca="1"/>
        <v>12</v>
      </c>
      <c r="KL27" s="302">
        <f ca="1"/>
        <v>12</v>
      </c>
      <c r="KM27" s="302">
        <f ca="1"/>
        <v>12</v>
      </c>
      <c r="KN27" s="302">
        <f ca="1"/>
        <v>12</v>
      </c>
      <c r="KO27" s="302">
        <f ca="1"/>
        <v>12</v>
      </c>
      <c r="KP27" s="302">
        <f ca="1"/>
        <v>12</v>
      </c>
      <c r="KQ27" s="302">
        <f ca="1"/>
        <v>12</v>
      </c>
      <c r="KR27" s="302">
        <f ca="1"/>
        <v>12</v>
      </c>
      <c r="KS27" s="302">
        <f ca="1"/>
        <v>12</v>
      </c>
      <c r="KT27" s="302">
        <f ca="1"/>
        <v>12</v>
      </c>
      <c r="KU27" s="302">
        <f ca="1"/>
        <v>12</v>
      </c>
      <c r="KV27" s="302">
        <f ca="1"/>
        <v>12</v>
      </c>
      <c r="KW27" s="302">
        <f ca="1"/>
        <v>12</v>
      </c>
      <c r="KX27" s="302">
        <f ca="1"/>
        <v>12</v>
      </c>
      <c r="KY27" s="302">
        <f ca="1"/>
        <v>12</v>
      </c>
      <c r="KZ27" s="302">
        <f ca="1"/>
        <v>12</v>
      </c>
      <c r="LA27" s="302">
        <f ca="1"/>
        <v>12</v>
      </c>
      <c r="LB27" s="302">
        <f ca="1"/>
        <v>12</v>
      </c>
      <c r="LC27" s="302">
        <f ca="1"/>
        <v>12</v>
      </c>
      <c r="LD27" s="302">
        <f ca="1"/>
        <v>12</v>
      </c>
      <c r="LE27" s="302">
        <f ca="1"/>
        <v>12</v>
      </c>
      <c r="LF27" s="302">
        <f ca="1"/>
        <v>12</v>
      </c>
      <c r="LG27" s="302">
        <f ca="1"/>
        <v>12</v>
      </c>
      <c r="LH27" s="302">
        <f ca="1"/>
        <v>12</v>
      </c>
      <c r="LI27" s="302">
        <f ca="1"/>
        <v>12</v>
      </c>
      <c r="LJ27" s="302">
        <f ca="1"/>
        <v>12</v>
      </c>
      <c r="LK27" s="302">
        <f ca="1"/>
        <v>12</v>
      </c>
      <c r="LL27" s="302">
        <f ca="1"/>
        <v>12</v>
      </c>
      <c r="LM27" s="302">
        <f ca="1"/>
        <v>12</v>
      </c>
      <c r="LN27" s="302">
        <f ca="1"/>
        <v>12</v>
      </c>
      <c r="LO27" s="302">
        <f ca="1"/>
        <v>12</v>
      </c>
      <c r="LP27" s="302">
        <f ca="1"/>
        <v>12</v>
      </c>
      <c r="LQ27" s="302">
        <f ca="1"/>
        <v>12</v>
      </c>
      <c r="LR27" s="302">
        <f ca="1"/>
        <v>12</v>
      </c>
      <c r="LS27" s="302">
        <f ca="1"/>
        <v>12</v>
      </c>
      <c r="LT27" s="302">
        <f ca="1"/>
        <v>12</v>
      </c>
      <c r="LU27" s="302">
        <f ca="1"/>
        <v>12</v>
      </c>
      <c r="LV27" s="302">
        <f ca="1"/>
        <v>12</v>
      </c>
      <c r="LW27" s="302">
        <f ca="1"/>
        <v>12</v>
      </c>
      <c r="LX27" s="302">
        <f ca="1"/>
        <v>12</v>
      </c>
      <c r="LY27" s="302">
        <f ca="1"/>
        <v>12</v>
      </c>
      <c r="LZ27" s="302">
        <f ca="1"/>
        <v>12</v>
      </c>
      <c r="MA27" s="302">
        <f ca="1"/>
        <v>12</v>
      </c>
      <c r="MB27" s="302">
        <f ca="1"/>
        <v>12</v>
      </c>
      <c r="MC27" s="302">
        <f ca="1"/>
        <v>12</v>
      </c>
      <c r="MD27" s="302">
        <f ca="1"/>
        <v>12</v>
      </c>
      <c r="ME27" s="302">
        <f ca="1"/>
        <v>12</v>
      </c>
      <c r="MF27" s="302">
        <f ca="1"/>
        <v>12</v>
      </c>
      <c r="MG27" s="302">
        <f ca="1"/>
        <v>12</v>
      </c>
      <c r="MH27" s="302">
        <f ca="1"/>
        <v>12</v>
      </c>
      <c r="MI27" s="302">
        <f ca="1"/>
        <v>12</v>
      </c>
      <c r="MJ27" s="302">
        <f ca="1"/>
        <v>12</v>
      </c>
      <c r="MK27" s="302">
        <f ca="1"/>
        <v>12</v>
      </c>
      <c r="ML27" s="302">
        <f ca="1"/>
        <v>12</v>
      </c>
      <c r="MM27" s="302">
        <f ca="1"/>
        <v>12</v>
      </c>
      <c r="MN27" s="302">
        <f ca="1"/>
        <v>12</v>
      </c>
      <c r="MO27" s="302">
        <f ca="1"/>
        <v>12</v>
      </c>
      <c r="MP27" s="302">
        <f ca="1"/>
        <v>12</v>
      </c>
      <c r="MQ27" s="302">
        <f ca="1"/>
        <v>12</v>
      </c>
      <c r="MR27" s="302">
        <f ca="1"/>
        <v>12</v>
      </c>
      <c r="MS27" s="302">
        <f ca="1"/>
        <v>12</v>
      </c>
      <c r="MT27" s="302">
        <f ca="1"/>
        <v>12</v>
      </c>
      <c r="MU27" s="302">
        <f ca="1"/>
        <v>12</v>
      </c>
      <c r="MV27" s="302">
        <f ca="1"/>
        <v>12</v>
      </c>
      <c r="MW27" s="302">
        <f ca="1"/>
        <v>12</v>
      </c>
      <c r="MX27" s="302">
        <f ca="1"/>
        <v>12</v>
      </c>
      <c r="MY27" s="302">
        <f ca="1"/>
        <v>12</v>
      </c>
      <c r="MZ27" s="302">
        <f ca="1"/>
        <v>12</v>
      </c>
      <c r="NA27" s="302">
        <f ca="1"/>
        <v>12</v>
      </c>
      <c r="NB27" s="302">
        <f ca="1"/>
        <v>12</v>
      </c>
      <c r="NC27" s="302">
        <f ca="1"/>
        <v>12</v>
      </c>
      <c r="ND27" s="302">
        <f ca="1"/>
        <v>12</v>
      </c>
      <c r="NE27" s="302">
        <f ca="1"/>
        <v>12</v>
      </c>
      <c r="NF27" s="302">
        <f ca="1"/>
        <v>12</v>
      </c>
      <c r="NG27" s="302">
        <f ca="1"/>
        <v>12</v>
      </c>
      <c r="NH27" s="302">
        <f ca="1"/>
        <v>12</v>
      </c>
      <c r="NI27" s="302">
        <f ca="1"/>
        <v>12</v>
      </c>
      <c r="NJ27" s="302">
        <f ca="1"/>
        <v>12</v>
      </c>
      <c r="NK27" s="302">
        <f ca="1"/>
        <v>12</v>
      </c>
      <c r="NL27" s="302">
        <f ca="1"/>
        <v>12</v>
      </c>
      <c r="NM27" s="302">
        <f ca="1"/>
        <v>12</v>
      </c>
      <c r="NN27" s="302">
        <f ca="1"/>
        <v>12</v>
      </c>
      <c r="NO27" s="302">
        <f ca="1"/>
        <v>12</v>
      </c>
      <c r="NP27" s="302">
        <f ca="1"/>
        <v>12</v>
      </c>
      <c r="NQ27" s="302">
        <f ca="1"/>
        <v>12</v>
      </c>
      <c r="NR27" s="302">
        <f ca="1"/>
        <v>12</v>
      </c>
      <c r="NS27" s="302">
        <f ca="1"/>
        <v>12</v>
      </c>
      <c r="NT27" s="302">
        <f ca="1"/>
        <v>12</v>
      </c>
      <c r="NU27" s="302">
        <f ca="1"/>
        <v>12</v>
      </c>
      <c r="NV27" s="302">
        <f ca="1"/>
        <v>12</v>
      </c>
      <c r="NW27" s="302">
        <f ca="1"/>
        <v>12</v>
      </c>
      <c r="NX27" s="302">
        <f ca="1"/>
        <v>12</v>
      </c>
      <c r="NY27" s="302">
        <f ca="1"/>
        <v>12</v>
      </c>
      <c r="NZ27" s="302">
        <f ca="1"/>
        <v>12</v>
      </c>
      <c r="OA27" s="302">
        <f ca="1"/>
        <v>12</v>
      </c>
      <c r="OB27" s="302">
        <f ca="1"/>
        <v>12</v>
      </c>
      <c r="OC27" s="302">
        <f ca="1"/>
        <v>12</v>
      </c>
      <c r="OD27" s="302">
        <f ca="1"/>
        <v>12</v>
      </c>
      <c r="OE27" s="302">
        <f ca="1"/>
        <v>12</v>
      </c>
      <c r="OF27" s="302">
        <f ca="1"/>
        <v>12</v>
      </c>
      <c r="OG27" s="302">
        <f ca="1"/>
        <v>12</v>
      </c>
      <c r="OH27" s="302">
        <f ca="1"/>
        <v>12</v>
      </c>
      <c r="OI27" s="302">
        <f ca="1"/>
        <v>12</v>
      </c>
      <c r="OJ27" s="302">
        <f ca="1"/>
        <v>12</v>
      </c>
      <c r="OK27" s="302">
        <f ca="1"/>
        <v>12</v>
      </c>
      <c r="OL27" s="302">
        <f ca="1"/>
        <v>12</v>
      </c>
      <c r="OM27" s="302">
        <f ca="1"/>
        <v>12</v>
      </c>
      <c r="ON27" s="302">
        <f ca="1"/>
        <v>12</v>
      </c>
      <c r="OO27" s="302">
        <f ca="1"/>
        <v>12</v>
      </c>
      <c r="OP27" s="302">
        <f ca="1"/>
        <v>12</v>
      </c>
      <c r="OQ27" s="302">
        <f ca="1"/>
        <v>12</v>
      </c>
      <c r="OR27" s="302">
        <f ca="1"/>
        <v>12</v>
      </c>
      <c r="OS27" s="302">
        <f ca="1"/>
        <v>12</v>
      </c>
      <c r="OT27" s="302">
        <f ca="1"/>
        <v>12</v>
      </c>
      <c r="OU27" s="302">
        <f ca="1"/>
        <v>12</v>
      </c>
      <c r="OV27" s="302">
        <f ca="1"/>
        <v>12</v>
      </c>
      <c r="OW27" s="302">
        <f ca="1"/>
        <v>12</v>
      </c>
      <c r="OX27" s="302">
        <f ca="1"/>
        <v>12</v>
      </c>
      <c r="OY27" s="302">
        <f ca="1"/>
        <v>12</v>
      </c>
      <c r="OZ27" s="302">
        <f ca="1"/>
        <v>12</v>
      </c>
      <c r="PA27" s="302">
        <f ca="1"/>
        <v>12</v>
      </c>
      <c r="PB27" s="302">
        <f ca="1"/>
        <v>12</v>
      </c>
      <c r="PC27" s="302">
        <f ca="1"/>
        <v>12</v>
      </c>
      <c r="PD27" s="302">
        <f ca="1"/>
        <v>12</v>
      </c>
      <c r="PE27" s="302">
        <f ca="1"/>
        <v>12</v>
      </c>
      <c r="PF27" s="302">
        <f ca="1"/>
        <v>12</v>
      </c>
      <c r="PG27" s="302">
        <f ca="1"/>
        <v>12</v>
      </c>
      <c r="PH27" s="302">
        <f ca="1"/>
        <v>12</v>
      </c>
      <c r="PI27" s="302">
        <f ca="1"/>
        <v>12</v>
      </c>
      <c r="PJ27" s="302">
        <f ca="1"/>
        <v>12</v>
      </c>
      <c r="PK27" s="302">
        <f ca="1"/>
        <v>12</v>
      </c>
      <c r="PL27" s="302">
        <f ca="1"/>
        <v>12</v>
      </c>
      <c r="PM27" s="302">
        <f ca="1"/>
        <v>12</v>
      </c>
      <c r="PN27" s="302">
        <f ca="1"/>
        <v>12</v>
      </c>
      <c r="PO27" s="302">
        <f ca="1"/>
        <v>12</v>
      </c>
      <c r="PP27" s="302">
        <f ca="1"/>
        <v>12</v>
      </c>
      <c r="PQ27" s="302">
        <f ca="1"/>
        <v>12</v>
      </c>
      <c r="PR27" s="302">
        <f ca="1"/>
        <v>12</v>
      </c>
      <c r="PS27" s="302">
        <f ca="1"/>
        <v>12</v>
      </c>
      <c r="PT27" s="302">
        <f ca="1"/>
        <v>12</v>
      </c>
      <c r="PU27" s="302">
        <f ca="1"/>
        <v>12</v>
      </c>
      <c r="PV27" s="302">
        <f ca="1"/>
        <v>12</v>
      </c>
      <c r="PW27" s="302">
        <f ca="1"/>
        <v>12</v>
      </c>
      <c r="PX27" s="302">
        <f ca="1"/>
        <v>12</v>
      </c>
      <c r="PY27" s="302">
        <f ca="1"/>
        <v>12</v>
      </c>
      <c r="PZ27" s="302">
        <f ca="1"/>
        <v>12</v>
      </c>
      <c r="QA27" s="302">
        <f ca="1"/>
        <v>12</v>
      </c>
      <c r="QB27" s="302">
        <f ca="1"/>
        <v>12</v>
      </c>
      <c r="QC27" s="302">
        <f ca="1"/>
        <v>12</v>
      </c>
      <c r="QD27" s="302">
        <f ca="1"/>
        <v>12</v>
      </c>
      <c r="QE27" s="302">
        <f ca="1"/>
        <v>12</v>
      </c>
      <c r="QF27" s="302">
        <f ca="1"/>
        <v>12</v>
      </c>
      <c r="QG27" s="302">
        <f ca="1"/>
        <v>12</v>
      </c>
      <c r="QH27" s="302">
        <f ca="1"/>
        <v>12</v>
      </c>
      <c r="QI27" s="302">
        <f ca="1"/>
        <v>12</v>
      </c>
      <c r="QJ27" s="302">
        <f ca="1"/>
        <v>12</v>
      </c>
      <c r="QK27" s="302">
        <f ca="1"/>
        <v>12</v>
      </c>
      <c r="QL27" s="302">
        <f ca="1"/>
        <v>12</v>
      </c>
      <c r="QM27" s="302">
        <f ca="1"/>
        <v>12</v>
      </c>
      <c r="QN27" s="302">
        <f ca="1"/>
        <v>12</v>
      </c>
      <c r="QO27" s="302">
        <f ca="1"/>
        <v>12</v>
      </c>
      <c r="QP27" s="302">
        <f ca="1"/>
        <v>12</v>
      </c>
      <c r="QQ27" s="302">
        <f ca="1"/>
        <v>12</v>
      </c>
      <c r="QR27" s="302">
        <f ca="1"/>
        <v>12</v>
      </c>
      <c r="QS27" s="302">
        <f ca="1"/>
        <v>12</v>
      </c>
      <c r="QT27" s="302">
        <f ca="1"/>
        <v>12</v>
      </c>
      <c r="QU27" s="302">
        <f ca="1"/>
        <v>12</v>
      </c>
      <c r="QV27" s="302">
        <f ca="1"/>
        <v>12</v>
      </c>
      <c r="QW27" s="302">
        <f ca="1"/>
        <v>12</v>
      </c>
      <c r="QX27" s="302">
        <f ca="1"/>
        <v>12</v>
      </c>
      <c r="QY27" s="302">
        <f ca="1"/>
        <v>12</v>
      </c>
      <c r="QZ27" s="302">
        <f ca="1"/>
        <v>12</v>
      </c>
      <c r="RA27" s="302">
        <f ca="1"/>
        <v>12</v>
      </c>
      <c r="RB27" s="302">
        <f ca="1"/>
        <v>12</v>
      </c>
      <c r="RC27" s="302">
        <f ca="1"/>
        <v>12</v>
      </c>
      <c r="RD27" s="302">
        <f ca="1"/>
        <v>12</v>
      </c>
      <c r="RE27" s="302">
        <f ca="1"/>
        <v>12</v>
      </c>
      <c r="RF27" s="302">
        <f ca="1"/>
        <v>12</v>
      </c>
      <c r="RG27" s="302">
        <f ca="1"/>
        <v>12</v>
      </c>
      <c r="RH27" s="302">
        <f ca="1"/>
        <v>12</v>
      </c>
      <c r="RI27" s="302">
        <f ca="1"/>
        <v>12</v>
      </c>
      <c r="RJ27" s="302">
        <f ca="1"/>
        <v>12</v>
      </c>
      <c r="RK27" s="302">
        <f ca="1"/>
        <v>12</v>
      </c>
      <c r="RL27" s="302">
        <f ca="1"/>
        <v>12</v>
      </c>
      <c r="RM27" s="302">
        <f ca="1"/>
        <v>12</v>
      </c>
      <c r="RN27" s="302">
        <f ca="1"/>
        <v>12</v>
      </c>
      <c r="RO27" s="302">
        <f ca="1"/>
        <v>12</v>
      </c>
      <c r="RP27" s="302">
        <f ca="1"/>
        <v>12</v>
      </c>
      <c r="RQ27" s="302">
        <f ca="1"/>
        <v>12</v>
      </c>
      <c r="RR27" s="302">
        <f ca="1"/>
        <v>12</v>
      </c>
      <c r="RS27" s="302">
        <f ca="1"/>
        <v>12</v>
      </c>
      <c r="RT27" s="302">
        <f ca="1"/>
        <v>12</v>
      </c>
      <c r="RU27" s="302">
        <f ca="1"/>
        <v>12</v>
      </c>
      <c r="RV27" s="302">
        <f ca="1"/>
        <v>12</v>
      </c>
      <c r="RW27" s="302">
        <f ca="1"/>
        <v>12</v>
      </c>
      <c r="RX27" s="302">
        <f ca="1"/>
        <v>12</v>
      </c>
      <c r="RY27" s="302">
        <f ca="1"/>
        <v>12</v>
      </c>
      <c r="RZ27" s="302">
        <f ca="1"/>
        <v>12</v>
      </c>
    </row>
    <row r="28" spans="1:495" x14ac:dyDescent="0.3">
      <c r="A28" s="8" t="s">
        <v>500</v>
      </c>
      <c r="B28" cm="1">
        <f t="array" aca="1" ref="B28:RZ28" ca="1">_xlfn.ANCHORARRAY(B24) + (_xlfn.ANCHORARRAY(B25)-_xlfn.ANCHORARRAY(B24))*(_xlfn.ANCHORARRAY(B26)-1-(12-_xlfn.ANCHORARRAY(B27)))/_xlfn.ANCHORARRAY(B27)</f>
        <v>42.4208</v>
      </c>
      <c r="C28">
        <f ca="1"/>
        <v>44</v>
      </c>
      <c r="D28">
        <f ca="1"/>
        <v>44.616666666666667</v>
      </c>
      <c r="E28">
        <f ca="1"/>
        <v>45.233333333333334</v>
      </c>
      <c r="F28">
        <f ca="1"/>
        <v>45.85</v>
      </c>
      <c r="G28">
        <f ca="1"/>
        <v>46.466666666666669</v>
      </c>
      <c r="H28">
        <f ca="1"/>
        <v>47.083333333333336</v>
      </c>
      <c r="I28">
        <f ca="1"/>
        <v>47.7</v>
      </c>
      <c r="J28">
        <f ca="1"/>
        <v>48.316666666666663</v>
      </c>
      <c r="K28">
        <f ca="1"/>
        <v>48.93333333333333</v>
      </c>
      <c r="L28">
        <f ca="1"/>
        <v>49.55</v>
      </c>
      <c r="M28">
        <f ca="1"/>
        <v>50.166666666666664</v>
      </c>
      <c r="N28">
        <f ca="1"/>
        <v>50.783333333333331</v>
      </c>
      <c r="O28">
        <f ca="1"/>
        <v>51.4</v>
      </c>
      <c r="P28">
        <f ca="1"/>
        <v>52.068241185897435</v>
      </c>
      <c r="Q28">
        <f ca="1"/>
        <v>52.736482371794871</v>
      </c>
      <c r="R28">
        <f ca="1"/>
        <v>53.404723557692307</v>
      </c>
      <c r="S28">
        <f ca="1"/>
        <v>54.072964743589743</v>
      </c>
      <c r="T28">
        <f ca="1"/>
        <v>54.74120592948718</v>
      </c>
      <c r="U28">
        <f ca="1"/>
        <v>55.409447115384616</v>
      </c>
      <c r="V28">
        <f ca="1"/>
        <v>56.077688301282052</v>
      </c>
      <c r="W28">
        <f ca="1"/>
        <v>56.745929487179488</v>
      </c>
      <c r="X28">
        <f ca="1"/>
        <v>57.414170673076924</v>
      </c>
      <c r="Y28">
        <f ca="1"/>
        <v>58.082411858974361</v>
      </c>
      <c r="Z28">
        <f ca="1"/>
        <v>58.750653044871797</v>
      </c>
      <c r="AA28">
        <f ca="1"/>
        <v>59.418894230769233</v>
      </c>
      <c r="AB28">
        <f ca="1"/>
        <v>60.1642616801375</v>
      </c>
      <c r="AC28">
        <f ca="1"/>
        <v>60.90962912950576</v>
      </c>
      <c r="AD28">
        <f ca="1"/>
        <v>61.654996578874027</v>
      </c>
      <c r="AE28">
        <f ca="1"/>
        <v>62.400364028242286</v>
      </c>
      <c r="AF28">
        <f ca="1"/>
        <v>63.145731477610553</v>
      </c>
      <c r="AG28">
        <f ca="1"/>
        <v>63.891098926978813</v>
      </c>
      <c r="AH28">
        <f ca="1"/>
        <v>64.636466376347087</v>
      </c>
      <c r="AI28">
        <f ca="1"/>
        <v>65.381833825715347</v>
      </c>
      <c r="AJ28">
        <f ca="1"/>
        <v>66.127201275083607</v>
      </c>
      <c r="AK28">
        <f ca="1"/>
        <v>66.872568724451867</v>
      </c>
      <c r="AL28">
        <f ca="1"/>
        <v>67.617936173820141</v>
      </c>
      <c r="AM28">
        <f ca="1"/>
        <v>68.363303623188401</v>
      </c>
      <c r="AN28">
        <f ca="1"/>
        <v>69.137948781113764</v>
      </c>
      <c r="AO28">
        <f ca="1"/>
        <v>69.912593939039112</v>
      </c>
      <c r="AP28">
        <f ca="1"/>
        <v>70.687239096964475</v>
      </c>
      <c r="AQ28">
        <f ca="1"/>
        <v>71.461884254889839</v>
      </c>
      <c r="AR28">
        <f ca="1"/>
        <v>72.236529412815187</v>
      </c>
      <c r="AS28">
        <f ca="1"/>
        <v>73.01117457074055</v>
      </c>
      <c r="AT28">
        <f ca="1"/>
        <v>73.785819728665913</v>
      </c>
      <c r="AU28">
        <f ca="1"/>
        <v>74.560464886591262</v>
      </c>
      <c r="AV28">
        <f ca="1"/>
        <v>75.335110044516625</v>
      </c>
      <c r="AW28">
        <f ca="1"/>
        <v>76.109755202441988</v>
      </c>
      <c r="AX28">
        <f ca="1"/>
        <v>76.884400360367337</v>
      </c>
      <c r="AY28">
        <f ca="1"/>
        <v>77.6590455182927</v>
      </c>
      <c r="AZ28">
        <f ca="1"/>
        <v>78.467993909108245</v>
      </c>
      <c r="BA28">
        <f ca="1"/>
        <v>79.276942299923803</v>
      </c>
      <c r="BB28">
        <f ca="1"/>
        <v>80.085890690739348</v>
      </c>
      <c r="BC28">
        <f ca="1"/>
        <v>80.894839081554892</v>
      </c>
      <c r="BD28">
        <f ca="1"/>
        <v>81.70378747237045</v>
      </c>
      <c r="BE28">
        <f ca="1"/>
        <v>82.512735863185995</v>
      </c>
      <c r="BF28">
        <f ca="1"/>
        <v>83.321684254001539</v>
      </c>
      <c r="BG28">
        <f ca="1"/>
        <v>84.130632644817098</v>
      </c>
      <c r="BH28">
        <f ca="1"/>
        <v>84.939581035632642</v>
      </c>
      <c r="BI28">
        <f ca="1"/>
        <v>85.748529426448187</v>
      </c>
      <c r="BJ28">
        <f ca="1"/>
        <v>86.557477817263745</v>
      </c>
      <c r="BK28">
        <f ca="1"/>
        <v>87.366426208079289</v>
      </c>
      <c r="BL28">
        <f ca="1"/>
        <v>88.20368779257339</v>
      </c>
      <c r="BM28">
        <f ca="1"/>
        <v>89.040949377067477</v>
      </c>
      <c r="BN28">
        <f ca="1"/>
        <v>89.878210961561578</v>
      </c>
      <c r="BO28">
        <f ca="1"/>
        <v>90.715472546055665</v>
      </c>
      <c r="BP28">
        <f ca="1"/>
        <v>91.552734130549766</v>
      </c>
      <c r="BQ28">
        <f ca="1"/>
        <v>92.389995715043852</v>
      </c>
      <c r="BR28">
        <f ca="1"/>
        <v>93.227257299537953</v>
      </c>
      <c r="BS28">
        <f ca="1"/>
        <v>94.064518884032054</v>
      </c>
      <c r="BT28">
        <f ca="1"/>
        <v>94.901780468526141</v>
      </c>
      <c r="BU28">
        <f ca="1"/>
        <v>95.739042053020242</v>
      </c>
      <c r="BV28">
        <f ca="1"/>
        <v>96.576303637514329</v>
      </c>
      <c r="BW28">
        <f ca="1"/>
        <v>97.41356522200843</v>
      </c>
      <c r="BX28">
        <f ca="1"/>
        <v>98.265933917701005</v>
      </c>
      <c r="BY28">
        <f ca="1"/>
        <v>99.118302613393581</v>
      </c>
      <c r="BZ28">
        <f ca="1"/>
        <v>99.970671309086157</v>
      </c>
      <c r="CA28">
        <f ca="1"/>
        <v>100.82304000477872</v>
      </c>
      <c r="CB28">
        <f ca="1"/>
        <v>101.67540870047129</v>
      </c>
      <c r="CC28">
        <f ca="1"/>
        <v>102.52777739616387</v>
      </c>
      <c r="CD28">
        <f ca="1"/>
        <v>103.38014609185645</v>
      </c>
      <c r="CE28">
        <f ca="1"/>
        <v>104.23251478754902</v>
      </c>
      <c r="CF28">
        <f ca="1"/>
        <v>105.08488348324158</v>
      </c>
      <c r="CG28">
        <f ca="1"/>
        <v>105.93725217893416</v>
      </c>
      <c r="CH28">
        <f ca="1"/>
        <v>106.78962087462673</v>
      </c>
      <c r="CI28">
        <f ca="1"/>
        <v>107.64198957031931</v>
      </c>
      <c r="CJ28">
        <f ca="1"/>
        <v>108.53900615007197</v>
      </c>
      <c r="CK28">
        <f ca="1"/>
        <v>109.43602272982463</v>
      </c>
      <c r="CL28">
        <f ca="1"/>
        <v>110.3330393095773</v>
      </c>
      <c r="CM28">
        <f ca="1"/>
        <v>111.23005588932996</v>
      </c>
      <c r="CN28">
        <f ca="1"/>
        <v>112.12707246908262</v>
      </c>
      <c r="CO28">
        <f ca="1"/>
        <v>113.02408904883529</v>
      </c>
      <c r="CP28">
        <f ca="1"/>
        <v>113.92110562858795</v>
      </c>
      <c r="CQ28">
        <f ca="1"/>
        <v>114.81812220834061</v>
      </c>
      <c r="CR28">
        <f ca="1"/>
        <v>115.71513878809327</v>
      </c>
      <c r="CS28">
        <f ca="1"/>
        <v>116.61215536784593</v>
      </c>
      <c r="CT28">
        <f ca="1"/>
        <v>117.5091719475986</v>
      </c>
      <c r="CU28">
        <f ca="1"/>
        <v>118.40618852735126</v>
      </c>
      <c r="CV28">
        <f ca="1"/>
        <v>119.39290676507919</v>
      </c>
      <c r="CW28">
        <f ca="1"/>
        <v>120.37962500280712</v>
      </c>
      <c r="CX28">
        <f ca="1"/>
        <v>121.36634324053504</v>
      </c>
      <c r="CY28">
        <f ca="1"/>
        <v>122.35306147826297</v>
      </c>
      <c r="CZ28">
        <f ca="1"/>
        <v>123.3397797159909</v>
      </c>
      <c r="DA28">
        <f ca="1"/>
        <v>124.32649795371884</v>
      </c>
      <c r="DB28">
        <f ca="1"/>
        <v>125.31321619144677</v>
      </c>
      <c r="DC28">
        <f ca="1"/>
        <v>126.2999344291747</v>
      </c>
      <c r="DD28">
        <f ca="1"/>
        <v>127.28665266690263</v>
      </c>
      <c r="DE28">
        <f ca="1"/>
        <v>128.27337090463055</v>
      </c>
      <c r="DF28">
        <f ca="1"/>
        <v>129.26008914235848</v>
      </c>
      <c r="DG28">
        <f ca="1"/>
        <v>130.24680738008641</v>
      </c>
      <c r="DH28">
        <f ca="1"/>
        <v>131.22365843543705</v>
      </c>
      <c r="DI28">
        <f ca="1"/>
        <v>132.20050949078771</v>
      </c>
      <c r="DJ28">
        <f ca="1"/>
        <v>133.17736054613835</v>
      </c>
      <c r="DK28">
        <f ca="1"/>
        <v>134.15421160148901</v>
      </c>
      <c r="DL28">
        <f ca="1"/>
        <v>135.13106265683965</v>
      </c>
      <c r="DM28">
        <f ca="1"/>
        <v>136.10791371219028</v>
      </c>
      <c r="DN28">
        <f ca="1"/>
        <v>137.08476476754095</v>
      </c>
      <c r="DO28">
        <f ca="1"/>
        <v>138.06161582289158</v>
      </c>
      <c r="DP28">
        <f ca="1"/>
        <v>139.03846687824225</v>
      </c>
      <c r="DQ28">
        <f ca="1"/>
        <v>140.01531793359288</v>
      </c>
      <c r="DR28">
        <f ca="1"/>
        <v>140.99216898894355</v>
      </c>
      <c r="DS28">
        <f ca="1"/>
        <v>141.96902004429418</v>
      </c>
      <c r="DT28">
        <f ca="1"/>
        <v>143.0337876946264</v>
      </c>
      <c r="DU28">
        <f ca="1"/>
        <v>144.09855534495858</v>
      </c>
      <c r="DV28">
        <f ca="1"/>
        <v>145.1633229952908</v>
      </c>
      <c r="DW28">
        <f ca="1"/>
        <v>146.22809064562301</v>
      </c>
      <c r="DX28">
        <f ca="1"/>
        <v>147.29285829595523</v>
      </c>
      <c r="DY28">
        <f ca="1"/>
        <v>148.35762594628744</v>
      </c>
      <c r="DZ28">
        <f ca="1"/>
        <v>149.42239359661963</v>
      </c>
      <c r="EA28">
        <f ca="1"/>
        <v>150.48716124695184</v>
      </c>
      <c r="EB28">
        <f ca="1"/>
        <v>151.55192889728406</v>
      </c>
      <c r="EC28">
        <f ca="1"/>
        <v>152.61669654761624</v>
      </c>
      <c r="ED28">
        <f ca="1"/>
        <v>153.68146419794846</v>
      </c>
      <c r="EE28">
        <f ca="1"/>
        <v>154.74623184828067</v>
      </c>
      <c r="EF28">
        <f ca="1"/>
        <v>155.77787339393586</v>
      </c>
      <c r="EG28">
        <f ca="1"/>
        <v>156.80951493959108</v>
      </c>
      <c r="EH28">
        <f ca="1"/>
        <v>157.8411564852463</v>
      </c>
      <c r="EI28">
        <f ca="1"/>
        <v>158.87279803090149</v>
      </c>
      <c r="EJ28">
        <f ca="1"/>
        <v>159.90443957655668</v>
      </c>
      <c r="EK28">
        <f ca="1"/>
        <v>160.9360811222119</v>
      </c>
      <c r="EL28">
        <f ca="1"/>
        <v>161.96772266786712</v>
      </c>
      <c r="EM28">
        <f ca="1"/>
        <v>162.99936421352231</v>
      </c>
      <c r="EN28">
        <f ca="1"/>
        <v>164.0310057591775</v>
      </c>
      <c r="EO28">
        <f ca="1"/>
        <v>165.06264730483272</v>
      </c>
      <c r="EP28">
        <f ca="1"/>
        <v>166.09428885048794</v>
      </c>
      <c r="EQ28">
        <f ca="1"/>
        <v>167.12593039614313</v>
      </c>
      <c r="ER28">
        <f ca="1"/>
        <v>168.24010326545076</v>
      </c>
      <c r="ES28">
        <f ca="1"/>
        <v>169.35427613475838</v>
      </c>
      <c r="ET28">
        <f ca="1"/>
        <v>170.468449004066</v>
      </c>
      <c r="EU28">
        <f ca="1"/>
        <v>171.58262187337363</v>
      </c>
      <c r="EV28">
        <f ca="1"/>
        <v>172.69679474268125</v>
      </c>
      <c r="EW28">
        <f ca="1"/>
        <v>173.81096761198887</v>
      </c>
      <c r="EX28">
        <f ca="1"/>
        <v>174.92514048129649</v>
      </c>
      <c r="EY28">
        <f ca="1"/>
        <v>176.03931335060412</v>
      </c>
      <c r="EZ28">
        <f ca="1"/>
        <v>177.15348621991174</v>
      </c>
      <c r="FA28">
        <f ca="1"/>
        <v>178.26765908921936</v>
      </c>
      <c r="FB28">
        <f ca="1"/>
        <v>179.38183195852699</v>
      </c>
      <c r="FC28">
        <f ca="1"/>
        <v>180.49600482783461</v>
      </c>
      <c r="FD28">
        <f ca="1"/>
        <v>181.69931152668684</v>
      </c>
      <c r="FE28">
        <f ca="1"/>
        <v>182.90261822553907</v>
      </c>
      <c r="FF28">
        <f ca="1"/>
        <v>184.1059249243913</v>
      </c>
      <c r="FG28">
        <f ca="1"/>
        <v>185.30923162324353</v>
      </c>
      <c r="FH28">
        <f ca="1"/>
        <v>186.51253832209576</v>
      </c>
      <c r="FI28">
        <f ca="1"/>
        <v>187.715845020948</v>
      </c>
      <c r="FJ28">
        <f ca="1"/>
        <v>188.91915171980025</v>
      </c>
      <c r="FK28">
        <f ca="1"/>
        <v>190.12245841865249</v>
      </c>
      <c r="FL28">
        <f ca="1"/>
        <v>191.32576511750472</v>
      </c>
      <c r="FM28">
        <f ca="1"/>
        <v>192.52907181635695</v>
      </c>
      <c r="FN28">
        <f ca="1"/>
        <v>193.73237851520918</v>
      </c>
      <c r="FO28">
        <f ca="1"/>
        <v>194.93568521406141</v>
      </c>
      <c r="FP28">
        <f ca="1"/>
        <v>196.23525644882181</v>
      </c>
      <c r="FQ28">
        <f ca="1"/>
        <v>197.53482768358222</v>
      </c>
      <c r="FR28">
        <f ca="1"/>
        <v>198.83439891834263</v>
      </c>
      <c r="FS28">
        <f ca="1"/>
        <v>200.13397015310304</v>
      </c>
      <c r="FT28">
        <f ca="1"/>
        <v>201.43354138786344</v>
      </c>
      <c r="FU28">
        <f ca="1"/>
        <v>202.73311262262388</v>
      </c>
      <c r="FV28">
        <f ca="1"/>
        <v>204.03268385738428</v>
      </c>
      <c r="FW28">
        <f ca="1"/>
        <v>205.33225509214469</v>
      </c>
      <c r="FX28">
        <f ca="1"/>
        <v>206.6318263269051</v>
      </c>
      <c r="FY28">
        <f ca="1"/>
        <v>207.93139756166551</v>
      </c>
      <c r="FZ28">
        <f ca="1"/>
        <v>209.23096879642591</v>
      </c>
      <c r="GA28">
        <f ca="1"/>
        <v>210.53054003118632</v>
      </c>
      <c r="GB28">
        <f ca="1"/>
        <v>211.93407696472755</v>
      </c>
      <c r="GC28">
        <f ca="1"/>
        <v>213.33761389826881</v>
      </c>
      <c r="GD28">
        <f ca="1"/>
        <v>214.74115083181005</v>
      </c>
      <c r="GE28">
        <f ca="1"/>
        <v>216.14468776535128</v>
      </c>
      <c r="GF28">
        <f ca="1"/>
        <v>217.54822469889254</v>
      </c>
      <c r="GG28">
        <f ca="1"/>
        <v>218.95176163243377</v>
      </c>
      <c r="GH28">
        <f ca="1"/>
        <v>220.355298565975</v>
      </c>
      <c r="GI28">
        <f ca="1"/>
        <v>221.75883549951627</v>
      </c>
      <c r="GJ28">
        <f ca="1"/>
        <v>223.1623724330575</v>
      </c>
      <c r="GK28">
        <f ca="1"/>
        <v>224.56590936659873</v>
      </c>
      <c r="GL28">
        <f ca="1"/>
        <v>225.96944630013999</v>
      </c>
      <c r="GM28">
        <f ca="1"/>
        <v>227.37298323368123</v>
      </c>
      <c r="GN28">
        <f ca="1"/>
        <v>228.88880312190577</v>
      </c>
      <c r="GO28">
        <f ca="1"/>
        <v>230.40462301013031</v>
      </c>
      <c r="GP28">
        <f ca="1"/>
        <v>231.92044289835485</v>
      </c>
      <c r="GQ28">
        <f ca="1"/>
        <v>233.43626278657939</v>
      </c>
      <c r="GR28">
        <f ca="1"/>
        <v>234.95208267480393</v>
      </c>
      <c r="GS28">
        <f ca="1"/>
        <v>236.46790256302847</v>
      </c>
      <c r="GT28">
        <f ca="1"/>
        <v>237.98372245125304</v>
      </c>
      <c r="GU28">
        <f ca="1"/>
        <v>239.49954233947759</v>
      </c>
      <c r="GV28">
        <f ca="1"/>
        <v>241.01536222770213</v>
      </c>
      <c r="GW28">
        <f ca="1"/>
        <v>242.53118211592667</v>
      </c>
      <c r="GX28">
        <f ca="1"/>
        <v>244.04700200415121</v>
      </c>
      <c r="GY28">
        <f ca="1"/>
        <v>245.56282189237575</v>
      </c>
      <c r="GZ28">
        <f ca="1"/>
        <v>247.19990737165827</v>
      </c>
      <c r="HA28">
        <f ca="1"/>
        <v>248.83699285094076</v>
      </c>
      <c r="HB28">
        <f ca="1"/>
        <v>250.47407833022328</v>
      </c>
      <c r="HC28">
        <f ca="1"/>
        <v>252.11116380950577</v>
      </c>
      <c r="HD28">
        <f ca="1"/>
        <v>253.74824928878829</v>
      </c>
      <c r="HE28">
        <f ca="1"/>
        <v>255.38533476807078</v>
      </c>
      <c r="HF28">
        <f ca="1"/>
        <v>257.0224202473533</v>
      </c>
      <c r="HG28">
        <f ca="1"/>
        <v>258.65950572663581</v>
      </c>
      <c r="HH28">
        <f ca="1"/>
        <v>260.29659120591833</v>
      </c>
      <c r="HI28">
        <f ca="1"/>
        <v>261.93367668520079</v>
      </c>
      <c r="HJ28">
        <f ca="1"/>
        <v>263.57076216448331</v>
      </c>
      <c r="HK28">
        <f ca="1"/>
        <v>265.20784764376583</v>
      </c>
      <c r="HL28">
        <f ca="1"/>
        <v>266.97589996139095</v>
      </c>
      <c r="HM28">
        <f ca="1"/>
        <v>268.74395227901607</v>
      </c>
      <c r="HN28">
        <f ca="1"/>
        <v>270.51200459664113</v>
      </c>
      <c r="HO28">
        <f ca="1"/>
        <v>272.28005691426625</v>
      </c>
      <c r="HP28">
        <f ca="1"/>
        <v>274.04810923189137</v>
      </c>
      <c r="HQ28">
        <f ca="1"/>
        <v>275.81616154951644</v>
      </c>
      <c r="HR28">
        <f ca="1"/>
        <v>277.58421386714156</v>
      </c>
      <c r="HS28">
        <f ca="1"/>
        <v>279.35226618476668</v>
      </c>
      <c r="HT28">
        <f ca="1"/>
        <v>281.1203185023918</v>
      </c>
      <c r="HU28">
        <f ca="1"/>
        <v>282.88837082001692</v>
      </c>
      <c r="HV28">
        <f ca="1"/>
        <v>284.65642313764198</v>
      </c>
      <c r="HW28">
        <f ca="1"/>
        <v>286.4244754552671</v>
      </c>
      <c r="HX28">
        <f ca="1"/>
        <v>288.33397195830224</v>
      </c>
      <c r="HY28">
        <f ca="1"/>
        <v>290.24346846133733</v>
      </c>
      <c r="HZ28">
        <f ca="1"/>
        <v>292.15296496437247</v>
      </c>
      <c r="IA28">
        <f ca="1"/>
        <v>294.06246146740756</v>
      </c>
      <c r="IB28">
        <f ca="1"/>
        <v>295.9719579704427</v>
      </c>
      <c r="IC28">
        <f ca="1"/>
        <v>297.88145447347779</v>
      </c>
      <c r="ID28">
        <f ca="1"/>
        <v>299.79095097651293</v>
      </c>
      <c r="IE28">
        <f ca="1"/>
        <v>301.70044747954807</v>
      </c>
      <c r="IF28">
        <f ca="1"/>
        <v>303.60994398258316</v>
      </c>
      <c r="IG28">
        <f ca="1"/>
        <v>305.5194404856183</v>
      </c>
      <c r="IH28">
        <f ca="1"/>
        <v>307.42893698865339</v>
      </c>
      <c r="II28">
        <f ca="1"/>
        <v>309.33843349168853</v>
      </c>
      <c r="IJ28">
        <f ca="1"/>
        <v>311.40068971496646</v>
      </c>
      <c r="IK28">
        <f ca="1"/>
        <v>313.46294593824439</v>
      </c>
      <c r="IL28">
        <f ca="1"/>
        <v>315.52520216152232</v>
      </c>
      <c r="IM28">
        <f ca="1"/>
        <v>317.58745838480024</v>
      </c>
      <c r="IN28">
        <f ca="1"/>
        <v>319.64971460807817</v>
      </c>
      <c r="IO28">
        <f ca="1"/>
        <v>321.7119708313561</v>
      </c>
      <c r="IP28">
        <f ca="1"/>
        <v>323.77422705463403</v>
      </c>
      <c r="IQ28">
        <f ca="1"/>
        <v>325.83648327791195</v>
      </c>
      <c r="IR28">
        <f ca="1"/>
        <v>327.89873950118988</v>
      </c>
      <c r="IS28">
        <f ca="1"/>
        <v>329.96099572446781</v>
      </c>
      <c r="IT28">
        <f ca="1"/>
        <v>332.02325194774573</v>
      </c>
      <c r="IU28">
        <f ca="1"/>
        <v>334.08550817102366</v>
      </c>
      <c r="IV28">
        <f ca="1"/>
        <v>336.31274489216383</v>
      </c>
      <c r="IW28">
        <f ca="1"/>
        <v>338.53998161330401</v>
      </c>
      <c r="IX28">
        <f ca="1"/>
        <v>340.76721833444412</v>
      </c>
      <c r="IY28">
        <f ca="1"/>
        <v>342.9944550555843</v>
      </c>
      <c r="IZ28">
        <f ca="1"/>
        <v>345.22169177672447</v>
      </c>
      <c r="JA28">
        <f ca="1"/>
        <v>347.44892849786459</v>
      </c>
      <c r="JB28">
        <f ca="1"/>
        <v>349.67616521900476</v>
      </c>
      <c r="JC28">
        <f ca="1"/>
        <v>351.90340194014493</v>
      </c>
      <c r="JD28">
        <f ca="1"/>
        <v>354.1306386612851</v>
      </c>
      <c r="JE28">
        <f ca="1"/>
        <v>356.35787538242528</v>
      </c>
      <c r="JF28">
        <f ca="1"/>
        <v>358.58511210356539</v>
      </c>
      <c r="JG28">
        <f ca="1"/>
        <v>360.81234882470557</v>
      </c>
      <c r="JH28">
        <f ca="1"/>
        <v>363.21776448353694</v>
      </c>
      <c r="JI28">
        <f ca="1"/>
        <v>365.62318014236831</v>
      </c>
      <c r="JJ28">
        <f ca="1"/>
        <v>368.02859580119969</v>
      </c>
      <c r="JK28">
        <f ca="1"/>
        <v>370.43401146003106</v>
      </c>
      <c r="JL28">
        <f ca="1"/>
        <v>372.83942711886243</v>
      </c>
      <c r="JM28">
        <f ca="1"/>
        <v>375.2448427776938</v>
      </c>
      <c r="JN28">
        <f ca="1"/>
        <v>377.65025843652518</v>
      </c>
      <c r="JO28">
        <f ca="1"/>
        <v>380.05567409535655</v>
      </c>
      <c r="JP28">
        <f ca="1"/>
        <v>382.46108975418792</v>
      </c>
      <c r="JQ28">
        <f ca="1"/>
        <v>384.8665054130193</v>
      </c>
      <c r="JR28">
        <f ca="1"/>
        <v>387.27192107185067</v>
      </c>
      <c r="JS28">
        <f ca="1"/>
        <v>389.67733673068204</v>
      </c>
      <c r="JT28">
        <f ca="1"/>
        <v>392.27518564221992</v>
      </c>
      <c r="JU28">
        <f ca="1"/>
        <v>394.8730345537578</v>
      </c>
      <c r="JV28">
        <f ca="1"/>
        <v>397.47088346529569</v>
      </c>
      <c r="JW28">
        <f ca="1"/>
        <v>400.06873237683357</v>
      </c>
      <c r="JX28">
        <f ca="1"/>
        <v>402.66658128837145</v>
      </c>
      <c r="JY28">
        <f ca="1"/>
        <v>405.26443019990938</v>
      </c>
      <c r="JZ28">
        <f ca="1"/>
        <v>407.86227911144726</v>
      </c>
      <c r="KA28">
        <f ca="1"/>
        <v>410.46012802298515</v>
      </c>
      <c r="KB28">
        <f ca="1"/>
        <v>413.05797693452303</v>
      </c>
      <c r="KC28">
        <f ca="1"/>
        <v>415.65582584606091</v>
      </c>
      <c r="KD28">
        <f ca="1"/>
        <v>418.25367475759879</v>
      </c>
      <c r="KE28">
        <f ca="1"/>
        <v>420.85152366913667</v>
      </c>
      <c r="KF28">
        <f ca="1"/>
        <v>423.6572004935976</v>
      </c>
      <c r="KG28">
        <f ca="1"/>
        <v>426.46287731805847</v>
      </c>
      <c r="KH28">
        <f ca="1"/>
        <v>429.26855414251941</v>
      </c>
      <c r="KI28">
        <f ca="1"/>
        <v>432.07423096698034</v>
      </c>
      <c r="KJ28">
        <f ca="1"/>
        <v>434.87990779144121</v>
      </c>
      <c r="KK28">
        <f ca="1"/>
        <v>437.68558461590214</v>
      </c>
      <c r="KL28">
        <f ca="1"/>
        <v>440.49126144036308</v>
      </c>
      <c r="KM28">
        <f ca="1"/>
        <v>443.29693826482395</v>
      </c>
      <c r="KN28">
        <f ca="1"/>
        <v>446.10261508928488</v>
      </c>
      <c r="KO28">
        <f ca="1"/>
        <v>448.90829191374581</v>
      </c>
      <c r="KP28">
        <f ca="1"/>
        <v>451.71396873820669</v>
      </c>
      <c r="KQ28">
        <f ca="1"/>
        <v>454.51964556266762</v>
      </c>
      <c r="KR28">
        <f ca="1"/>
        <v>457.54977653308538</v>
      </c>
      <c r="KS28">
        <f ca="1"/>
        <v>460.57990750350319</v>
      </c>
      <c r="KT28">
        <f ca="1"/>
        <v>463.61003847392101</v>
      </c>
      <c r="KU28">
        <f ca="1"/>
        <v>466.64016944433877</v>
      </c>
      <c r="KV28">
        <f ca="1"/>
        <v>469.67030041475653</v>
      </c>
      <c r="KW28">
        <f ca="1"/>
        <v>472.70043138517434</v>
      </c>
      <c r="KX28">
        <f ca="1"/>
        <v>475.73056235559216</v>
      </c>
      <c r="KY28">
        <f ca="1"/>
        <v>478.76069332600991</v>
      </c>
      <c r="KZ28">
        <f ca="1"/>
        <v>481.79082429642767</v>
      </c>
      <c r="LA28">
        <f ca="1"/>
        <v>484.82095526684549</v>
      </c>
      <c r="LB28">
        <f ca="1"/>
        <v>487.8510862372633</v>
      </c>
      <c r="LC28">
        <f ca="1"/>
        <v>490.88121720768106</v>
      </c>
      <c r="LD28">
        <f ca="1"/>
        <v>494.15375865573225</v>
      </c>
      <c r="LE28">
        <f ca="1"/>
        <v>497.42630010378349</v>
      </c>
      <c r="LF28">
        <f ca="1"/>
        <v>500.69884155183468</v>
      </c>
      <c r="LG28">
        <f ca="1"/>
        <v>503.97138299988586</v>
      </c>
      <c r="LH28">
        <f ca="1"/>
        <v>507.2439244479371</v>
      </c>
      <c r="LI28">
        <f ca="1"/>
        <v>510.51646589598829</v>
      </c>
      <c r="LJ28">
        <f ca="1"/>
        <v>513.78900734403953</v>
      </c>
      <c r="LK28">
        <f ca="1"/>
        <v>517.06154879209066</v>
      </c>
      <c r="LL28">
        <f ca="1"/>
        <v>520.3340902401419</v>
      </c>
      <c r="LM28">
        <f ca="1"/>
        <v>523.60663168819315</v>
      </c>
      <c r="LN28">
        <f ca="1"/>
        <v>526.87917313624428</v>
      </c>
      <c r="LO28">
        <f ca="1"/>
        <v>530.15171458429552</v>
      </c>
      <c r="LP28">
        <f ca="1"/>
        <v>533.68605934819084</v>
      </c>
      <c r="LQ28">
        <f ca="1"/>
        <v>537.22040411208616</v>
      </c>
      <c r="LR28">
        <f ca="1"/>
        <v>540.75474887598148</v>
      </c>
      <c r="LS28">
        <f ca="1"/>
        <v>544.2890936398768</v>
      </c>
      <c r="LT28">
        <f ca="1"/>
        <v>547.82343840377212</v>
      </c>
      <c r="LU28">
        <f ca="1"/>
        <v>551.35778316766732</v>
      </c>
      <c r="LV28">
        <f ca="1"/>
        <v>554.89212793156264</v>
      </c>
      <c r="LW28">
        <f ca="1"/>
        <v>558.42647269545796</v>
      </c>
      <c r="LX28">
        <f ca="1"/>
        <v>561.96081745935328</v>
      </c>
      <c r="LY28">
        <f ca="1"/>
        <v>565.4951622232486</v>
      </c>
      <c r="LZ28">
        <f ca="1"/>
        <v>569.02950698714392</v>
      </c>
      <c r="MA28">
        <f ca="1"/>
        <v>572.56385175103924</v>
      </c>
      <c r="MB28">
        <f ca="1"/>
        <v>576.38094409604616</v>
      </c>
      <c r="MC28">
        <f ca="1"/>
        <v>580.19803644105309</v>
      </c>
      <c r="MD28">
        <f ca="1"/>
        <v>584.01512878606002</v>
      </c>
      <c r="ME28">
        <f ca="1"/>
        <v>587.83222113106694</v>
      </c>
      <c r="MF28">
        <f ca="1"/>
        <v>591.64931347607387</v>
      </c>
      <c r="MG28">
        <f ca="1"/>
        <v>595.4664058210808</v>
      </c>
      <c r="MH28">
        <f ca="1"/>
        <v>599.28349816608772</v>
      </c>
      <c r="MI28">
        <f ca="1"/>
        <v>603.10059051109465</v>
      </c>
      <c r="MJ28">
        <f ca="1"/>
        <v>606.91768285610158</v>
      </c>
      <c r="MK28">
        <f ca="1"/>
        <v>610.7347752011085</v>
      </c>
      <c r="ML28">
        <f ca="1"/>
        <v>614.55186754611543</v>
      </c>
      <c r="MM28">
        <f ca="1"/>
        <v>618.36895989112236</v>
      </c>
      <c r="MN28">
        <f ca="1"/>
        <v>622.49141962372983</v>
      </c>
      <c r="MO28">
        <f ca="1"/>
        <v>626.61387935633729</v>
      </c>
      <c r="MP28">
        <f ca="1"/>
        <v>630.73633908894487</v>
      </c>
      <c r="MQ28">
        <f ca="1"/>
        <v>634.85879882155234</v>
      </c>
      <c r="MR28">
        <f ca="1"/>
        <v>638.98125855415981</v>
      </c>
      <c r="MS28">
        <f ca="1"/>
        <v>643.10371828676739</v>
      </c>
      <c r="MT28">
        <f ca="1"/>
        <v>647.22617801937486</v>
      </c>
      <c r="MU28">
        <f ca="1"/>
        <v>651.34863775198232</v>
      </c>
      <c r="MV28">
        <f ca="1"/>
        <v>655.47109748458979</v>
      </c>
      <c r="MW28">
        <f ca="1"/>
        <v>659.59355721719726</v>
      </c>
      <c r="MX28">
        <f ca="1"/>
        <v>663.71601694980484</v>
      </c>
      <c r="MY28">
        <f ca="1"/>
        <v>667.83847668241231</v>
      </c>
      <c r="MZ28">
        <f ca="1"/>
        <v>672.2907331936284</v>
      </c>
      <c r="NA28">
        <f ca="1"/>
        <v>676.74298970484449</v>
      </c>
      <c r="NB28">
        <f ca="1"/>
        <v>681.19524621606058</v>
      </c>
      <c r="NC28">
        <f ca="1"/>
        <v>685.64750272727667</v>
      </c>
      <c r="ND28">
        <f ca="1"/>
        <v>690.09975923849277</v>
      </c>
      <c r="NE28">
        <f ca="1"/>
        <v>694.55201574970886</v>
      </c>
      <c r="NF28">
        <f ca="1"/>
        <v>699.00427226092495</v>
      </c>
      <c r="NG28">
        <f ca="1"/>
        <v>703.45652877214104</v>
      </c>
      <c r="NH28">
        <f ca="1"/>
        <v>707.90878528335713</v>
      </c>
      <c r="NI28">
        <f ca="1"/>
        <v>712.36104179457323</v>
      </c>
      <c r="NJ28">
        <f ca="1"/>
        <v>716.81329830578932</v>
      </c>
      <c r="NK28">
        <f ca="1"/>
        <v>721.26555481700541</v>
      </c>
      <c r="NL28">
        <f ca="1"/>
        <v>726.07399184911878</v>
      </c>
      <c r="NM28">
        <f ca="1"/>
        <v>730.88242888123216</v>
      </c>
      <c r="NN28">
        <f ca="1"/>
        <v>735.69086591334553</v>
      </c>
      <c r="NO28">
        <f ca="1"/>
        <v>740.49930294545891</v>
      </c>
      <c r="NP28">
        <f ca="1"/>
        <v>745.30773997757228</v>
      </c>
      <c r="NQ28">
        <f ca="1"/>
        <v>750.11617700968566</v>
      </c>
      <c r="NR28">
        <f ca="1"/>
        <v>754.92461404179903</v>
      </c>
      <c r="NS28">
        <f ca="1"/>
        <v>759.73305107391241</v>
      </c>
      <c r="NT28">
        <f ca="1"/>
        <v>764.54148810602578</v>
      </c>
      <c r="NU28">
        <f ca="1"/>
        <v>769.34992513813916</v>
      </c>
      <c r="NV28">
        <f ca="1"/>
        <v>774.15836217025253</v>
      </c>
      <c r="NW28">
        <f ca="1"/>
        <v>778.96679920236591</v>
      </c>
      <c r="NX28">
        <f ca="1"/>
        <v>784.15991119704836</v>
      </c>
      <c r="NY28">
        <f ca="1"/>
        <v>789.35302319173081</v>
      </c>
      <c r="NZ28">
        <f ca="1"/>
        <v>794.54613518641327</v>
      </c>
      <c r="OA28">
        <f ca="1"/>
        <v>799.73924718109572</v>
      </c>
      <c r="OB28">
        <f ca="1"/>
        <v>804.93235917577817</v>
      </c>
      <c r="OC28">
        <f ca="1"/>
        <v>810.12547117046051</v>
      </c>
      <c r="OD28">
        <f ca="1"/>
        <v>815.31858316514297</v>
      </c>
      <c r="OE28">
        <f ca="1"/>
        <v>820.51169515982542</v>
      </c>
      <c r="OF28">
        <f ca="1"/>
        <v>825.70480715450788</v>
      </c>
      <c r="OG28">
        <f ca="1"/>
        <v>830.89791914919033</v>
      </c>
      <c r="OH28">
        <f ca="1"/>
        <v>836.09103114387278</v>
      </c>
      <c r="OI28">
        <f ca="1"/>
        <v>841.28414313855524</v>
      </c>
      <c r="OJ28">
        <f ca="1"/>
        <v>846.89270409281232</v>
      </c>
      <c r="OK28">
        <f ca="1"/>
        <v>852.5012650470693</v>
      </c>
      <c r="OL28">
        <f ca="1"/>
        <v>858.10982600132638</v>
      </c>
      <c r="OM28">
        <f ca="1"/>
        <v>863.71838695558336</v>
      </c>
      <c r="ON28">
        <f ca="1"/>
        <v>869.32694790984044</v>
      </c>
      <c r="OO28">
        <f ca="1"/>
        <v>874.93550886409753</v>
      </c>
      <c r="OP28">
        <f ca="1"/>
        <v>880.5440698183545</v>
      </c>
      <c r="OQ28">
        <f ca="1"/>
        <v>886.15263077261159</v>
      </c>
      <c r="OR28">
        <f ca="1"/>
        <v>891.76119172686856</v>
      </c>
      <c r="OS28">
        <f ca="1"/>
        <v>897.36975268112565</v>
      </c>
      <c r="OT28">
        <f ca="1"/>
        <v>902.97831363538262</v>
      </c>
      <c r="OU28">
        <f ca="1"/>
        <v>908.58687458963971</v>
      </c>
      <c r="OV28">
        <f ca="1"/>
        <v>914.6441204202373</v>
      </c>
      <c r="OW28">
        <f ca="1"/>
        <v>920.70136625083489</v>
      </c>
      <c r="OX28">
        <f ca="1"/>
        <v>926.75861208143249</v>
      </c>
      <c r="OY28">
        <f ca="1"/>
        <v>932.81585791203008</v>
      </c>
      <c r="OZ28">
        <f ca="1"/>
        <v>938.87310374262768</v>
      </c>
      <c r="PA28">
        <f ca="1"/>
        <v>944.93034957322539</v>
      </c>
      <c r="PB28">
        <f ca="1"/>
        <v>950.98759540382298</v>
      </c>
      <c r="PC28">
        <f ca="1"/>
        <v>957.04484123442057</v>
      </c>
      <c r="PD28">
        <f ca="1"/>
        <v>963.10208706501817</v>
      </c>
      <c r="PE28">
        <f ca="1"/>
        <v>969.15933289561576</v>
      </c>
      <c r="PF28">
        <f ca="1"/>
        <v>975.21657872621336</v>
      </c>
      <c r="PG28">
        <f ca="1"/>
        <v>981.27382455681095</v>
      </c>
      <c r="PH28">
        <f ca="1"/>
        <v>987.81565005385642</v>
      </c>
      <c r="PI28">
        <f ca="1"/>
        <v>994.35747555090177</v>
      </c>
      <c r="PJ28">
        <f ca="1"/>
        <v>1000.8993010479471</v>
      </c>
      <c r="PK28">
        <f ca="1"/>
        <v>1007.4411265449926</v>
      </c>
      <c r="PL28">
        <f ca="1"/>
        <v>1013.9829520420381</v>
      </c>
      <c r="PM28">
        <f ca="1"/>
        <v>1020.5247775390834</v>
      </c>
      <c r="PN28">
        <f ca="1"/>
        <v>1027.0666030361288</v>
      </c>
      <c r="PO28">
        <f ca="1"/>
        <v>1033.6084285331742</v>
      </c>
      <c r="PP28">
        <f ca="1"/>
        <v>1040.1502540302197</v>
      </c>
      <c r="PQ28">
        <f ca="1"/>
        <v>1046.6920795272649</v>
      </c>
      <c r="PR28">
        <f ca="1"/>
        <v>1053.2339050243104</v>
      </c>
      <c r="PS28">
        <f ca="1"/>
        <v>1059.7757305213559</v>
      </c>
      <c r="PT28">
        <f ca="1"/>
        <v>1066.8409020581648</v>
      </c>
      <c r="PU28">
        <f ca="1"/>
        <v>1073.906073594974</v>
      </c>
      <c r="PV28">
        <f ca="1"/>
        <v>1080.971245131783</v>
      </c>
      <c r="PW28">
        <f ca="1"/>
        <v>1088.036416668592</v>
      </c>
      <c r="PX28">
        <f ca="1"/>
        <v>1095.1015882054012</v>
      </c>
      <c r="PY28">
        <f ca="1"/>
        <v>1102.1667597422102</v>
      </c>
      <c r="PZ28">
        <f ca="1"/>
        <v>1109.2319312790191</v>
      </c>
      <c r="QA28">
        <f ca="1"/>
        <v>1116.2971028158283</v>
      </c>
      <c r="QB28">
        <f ca="1"/>
        <v>1123.3622743526373</v>
      </c>
      <c r="QC28">
        <f ca="1"/>
        <v>1130.4274458894463</v>
      </c>
      <c r="QD28">
        <f ca="1"/>
        <v>1137.4926174262555</v>
      </c>
      <c r="QE28">
        <f ca="1"/>
        <v>1144.5577889630645</v>
      </c>
      <c r="QF28">
        <f ca="1"/>
        <v>1152.1881742228181</v>
      </c>
      <c r="QG28">
        <f ca="1"/>
        <v>1159.818559482572</v>
      </c>
      <c r="QH28">
        <f ca="1"/>
        <v>1167.4489447423257</v>
      </c>
      <c r="QI28">
        <f ca="1"/>
        <v>1175.0793300020796</v>
      </c>
      <c r="QJ28">
        <f ca="1"/>
        <v>1182.7097152618333</v>
      </c>
      <c r="QK28">
        <f ca="1"/>
        <v>1190.3401005215869</v>
      </c>
      <c r="QL28">
        <f ca="1"/>
        <v>1197.9704857813408</v>
      </c>
      <c r="QM28">
        <f ca="1"/>
        <v>1205.6008710410945</v>
      </c>
      <c r="QN28">
        <f ca="1"/>
        <v>1213.2312563008484</v>
      </c>
      <c r="QO28">
        <f ca="1"/>
        <v>1220.861641560602</v>
      </c>
      <c r="QP28">
        <f ca="1"/>
        <v>1228.4920268203559</v>
      </c>
      <c r="QQ28">
        <f ca="1"/>
        <v>1236.1224120801096</v>
      </c>
      <c r="QR28">
        <f ca="1"/>
        <v>1244.3632281606438</v>
      </c>
      <c r="QS28">
        <f ca="1"/>
        <v>1252.6040442411777</v>
      </c>
      <c r="QT28">
        <f ca="1"/>
        <v>1260.8448603217118</v>
      </c>
      <c r="QU28">
        <f ca="1"/>
        <v>1269.0856764022458</v>
      </c>
      <c r="QV28">
        <f ca="1"/>
        <v>1277.3264924827799</v>
      </c>
      <c r="QW28">
        <f ca="1"/>
        <v>1285.5673085633139</v>
      </c>
      <c r="QX28">
        <f ca="1"/>
        <v>1293.808124643848</v>
      </c>
      <c r="QY28">
        <f ca="1"/>
        <v>1302.0489407243822</v>
      </c>
      <c r="QZ28">
        <f ca="1"/>
        <v>1310.2897568049161</v>
      </c>
      <c r="RA28">
        <f ca="1"/>
        <v>1318.5305728854503</v>
      </c>
      <c r="RB28">
        <f ca="1"/>
        <v>1326.7713889659842</v>
      </c>
      <c r="RC28">
        <f ca="1"/>
        <v>1335.0122050465184</v>
      </c>
      <c r="RD28">
        <f ca="1"/>
        <v>1343.9122864134952</v>
      </c>
      <c r="RE28">
        <f ca="1"/>
        <v>1352.812367780472</v>
      </c>
      <c r="RF28">
        <f ca="1"/>
        <v>1361.7124491474488</v>
      </c>
      <c r="RG28">
        <f ca="1"/>
        <v>1370.6125305144255</v>
      </c>
      <c r="RH28">
        <f ca="1"/>
        <v>1379.5126118814023</v>
      </c>
      <c r="RI28">
        <f ca="1"/>
        <v>1388.4126932483791</v>
      </c>
      <c r="RJ28">
        <f ca="1"/>
        <v>1397.3127746153559</v>
      </c>
      <c r="RK28">
        <f ca="1"/>
        <v>1406.2128559823327</v>
      </c>
      <c r="RL28">
        <f ca="1"/>
        <v>1415.1129373493095</v>
      </c>
      <c r="RM28">
        <f ca="1"/>
        <v>1424.0130187162863</v>
      </c>
      <c r="RN28">
        <f ca="1"/>
        <v>1432.9131000832631</v>
      </c>
      <c r="RO28">
        <f ca="1"/>
        <v>1441.8131814502399</v>
      </c>
      <c r="RP28">
        <f ca="1"/>
        <v>1451.4252693265748</v>
      </c>
      <c r="RQ28">
        <f ca="1"/>
        <v>1461.0373572029098</v>
      </c>
      <c r="RR28">
        <f ca="1"/>
        <v>1470.6494450792447</v>
      </c>
      <c r="RS28">
        <f ca="1"/>
        <v>1480.2615329555797</v>
      </c>
      <c r="RT28">
        <f ca="1"/>
        <v>1489.8736208319146</v>
      </c>
      <c r="RU28">
        <f ca="1"/>
        <v>1499.4857087082496</v>
      </c>
      <c r="RV28">
        <f ca="1"/>
        <v>1509.0977965845843</v>
      </c>
      <c r="RW28">
        <f ca="1"/>
        <v>1518.7098844609193</v>
      </c>
      <c r="RX28">
        <f ca="1"/>
        <v>1528.3219723372542</v>
      </c>
      <c r="RY28">
        <f ca="1"/>
        <v>1537.9340602135892</v>
      </c>
      <c r="RZ28">
        <f ca="1"/>
        <v>1547.5461480899241</v>
      </c>
    </row>
    <row r="29" spans="1:495" x14ac:dyDescent="0.3">
      <c r="A29" s="8" t="s">
        <v>501</v>
      </c>
      <c r="B29" cm="1">
        <f t="array" aca="1" ref="B29:RZ29" ca="1">_xlfn.ANCHORARRAY(B24) + (_xlfn.ANCHORARRAY(B25)-_xlfn.ANCHORARRAY(B24))*(_xlfn.ANCHORARRAY(B26)-(12-_xlfn.ANCHORARRAY(B27)))/_xlfn.ANCHORARRAY(B27)</f>
        <v>44</v>
      </c>
      <c r="C29">
        <f ca="1"/>
        <v>44.616666666666667</v>
      </c>
      <c r="D29">
        <f ca="1"/>
        <v>45.233333333333334</v>
      </c>
      <c r="E29">
        <f ca="1"/>
        <v>45.85</v>
      </c>
      <c r="F29">
        <f ca="1"/>
        <v>46.466666666666669</v>
      </c>
      <c r="G29">
        <f ca="1"/>
        <v>47.083333333333336</v>
      </c>
      <c r="H29">
        <f ca="1"/>
        <v>47.7</v>
      </c>
      <c r="I29">
        <f ca="1"/>
        <v>48.316666666666663</v>
      </c>
      <c r="J29">
        <f ca="1"/>
        <v>48.93333333333333</v>
      </c>
      <c r="K29">
        <f ca="1"/>
        <v>49.55</v>
      </c>
      <c r="L29">
        <f ca="1"/>
        <v>50.166666666666664</v>
      </c>
      <c r="M29">
        <f ca="1"/>
        <v>50.783333333333331</v>
      </c>
      <c r="N29">
        <f ca="1"/>
        <v>51.4</v>
      </c>
      <c r="O29">
        <f ca="1"/>
        <v>52.068241185897435</v>
      </c>
      <c r="P29">
        <f ca="1"/>
        <v>52.736482371794871</v>
      </c>
      <c r="Q29">
        <f ca="1"/>
        <v>53.404723557692307</v>
      </c>
      <c r="R29">
        <f ca="1"/>
        <v>54.072964743589743</v>
      </c>
      <c r="S29">
        <f ca="1"/>
        <v>54.74120592948718</v>
      </c>
      <c r="T29">
        <f ca="1"/>
        <v>55.409447115384616</v>
      </c>
      <c r="U29">
        <f ca="1"/>
        <v>56.077688301282052</v>
      </c>
      <c r="V29">
        <f ca="1"/>
        <v>56.745929487179488</v>
      </c>
      <c r="W29">
        <f ca="1"/>
        <v>57.414170673076924</v>
      </c>
      <c r="X29">
        <f ca="1"/>
        <v>58.082411858974361</v>
      </c>
      <c r="Y29">
        <f ca="1"/>
        <v>58.750653044871797</v>
      </c>
      <c r="Z29">
        <f ca="1"/>
        <v>59.418894230769233</v>
      </c>
      <c r="AA29">
        <f ca="1"/>
        <v>60.1642616801375</v>
      </c>
      <c r="AB29">
        <f ca="1"/>
        <v>60.90962912950576</v>
      </c>
      <c r="AC29">
        <f ca="1"/>
        <v>61.654996578874027</v>
      </c>
      <c r="AD29">
        <f ca="1"/>
        <v>62.400364028242286</v>
      </c>
      <c r="AE29">
        <f ca="1"/>
        <v>63.145731477610553</v>
      </c>
      <c r="AF29">
        <f ca="1"/>
        <v>63.891098926978813</v>
      </c>
      <c r="AG29">
        <f ca="1"/>
        <v>64.636466376347087</v>
      </c>
      <c r="AH29">
        <f ca="1"/>
        <v>65.381833825715347</v>
      </c>
      <c r="AI29">
        <f ca="1"/>
        <v>66.127201275083607</v>
      </c>
      <c r="AJ29">
        <f ca="1"/>
        <v>66.872568724451867</v>
      </c>
      <c r="AK29">
        <f ca="1"/>
        <v>67.617936173820141</v>
      </c>
      <c r="AL29">
        <f ca="1"/>
        <v>68.363303623188401</v>
      </c>
      <c r="AM29">
        <f ca="1"/>
        <v>69.137948781113764</v>
      </c>
      <c r="AN29">
        <f ca="1"/>
        <v>69.912593939039112</v>
      </c>
      <c r="AO29">
        <f ca="1"/>
        <v>70.687239096964475</v>
      </c>
      <c r="AP29">
        <f ca="1"/>
        <v>71.461884254889839</v>
      </c>
      <c r="AQ29">
        <f ca="1"/>
        <v>72.236529412815187</v>
      </c>
      <c r="AR29">
        <f ca="1"/>
        <v>73.01117457074055</v>
      </c>
      <c r="AS29">
        <f ca="1"/>
        <v>73.785819728665913</v>
      </c>
      <c r="AT29">
        <f ca="1"/>
        <v>74.560464886591262</v>
      </c>
      <c r="AU29">
        <f ca="1"/>
        <v>75.335110044516625</v>
      </c>
      <c r="AV29">
        <f ca="1"/>
        <v>76.109755202441988</v>
      </c>
      <c r="AW29">
        <f ca="1"/>
        <v>76.884400360367337</v>
      </c>
      <c r="AX29">
        <f ca="1"/>
        <v>77.6590455182927</v>
      </c>
      <c r="AY29">
        <f ca="1"/>
        <v>78.467993909108245</v>
      </c>
      <c r="AZ29">
        <f ca="1"/>
        <v>79.276942299923803</v>
      </c>
      <c r="BA29">
        <f ca="1"/>
        <v>80.085890690739348</v>
      </c>
      <c r="BB29">
        <f ca="1"/>
        <v>80.894839081554892</v>
      </c>
      <c r="BC29">
        <f ca="1"/>
        <v>81.70378747237045</v>
      </c>
      <c r="BD29">
        <f ca="1"/>
        <v>82.512735863185995</v>
      </c>
      <c r="BE29">
        <f ca="1"/>
        <v>83.321684254001539</v>
      </c>
      <c r="BF29">
        <f ca="1"/>
        <v>84.130632644817098</v>
      </c>
      <c r="BG29">
        <f ca="1"/>
        <v>84.939581035632642</v>
      </c>
      <c r="BH29">
        <f ca="1"/>
        <v>85.748529426448187</v>
      </c>
      <c r="BI29">
        <f ca="1"/>
        <v>86.557477817263745</v>
      </c>
      <c r="BJ29">
        <f ca="1"/>
        <v>87.366426208079289</v>
      </c>
      <c r="BK29">
        <f ca="1"/>
        <v>88.20368779257339</v>
      </c>
      <c r="BL29">
        <f ca="1"/>
        <v>89.040949377067477</v>
      </c>
      <c r="BM29">
        <f ca="1"/>
        <v>89.878210961561578</v>
      </c>
      <c r="BN29">
        <f ca="1"/>
        <v>90.715472546055665</v>
      </c>
      <c r="BO29">
        <f ca="1"/>
        <v>91.552734130549766</v>
      </c>
      <c r="BP29">
        <f ca="1"/>
        <v>92.389995715043852</v>
      </c>
      <c r="BQ29">
        <f ca="1"/>
        <v>93.227257299537953</v>
      </c>
      <c r="BR29">
        <f ca="1"/>
        <v>94.064518884032054</v>
      </c>
      <c r="BS29">
        <f ca="1"/>
        <v>94.901780468526141</v>
      </c>
      <c r="BT29">
        <f ca="1"/>
        <v>95.739042053020242</v>
      </c>
      <c r="BU29">
        <f ca="1"/>
        <v>96.576303637514329</v>
      </c>
      <c r="BV29">
        <f ca="1"/>
        <v>97.41356522200843</v>
      </c>
      <c r="BW29">
        <f ca="1"/>
        <v>98.265933917701005</v>
      </c>
      <c r="BX29">
        <f ca="1"/>
        <v>99.118302613393581</v>
      </c>
      <c r="BY29">
        <f ca="1"/>
        <v>99.970671309086157</v>
      </c>
      <c r="BZ29">
        <f ca="1"/>
        <v>100.82304000477872</v>
      </c>
      <c r="CA29">
        <f ca="1"/>
        <v>101.67540870047129</v>
      </c>
      <c r="CB29">
        <f ca="1"/>
        <v>102.52777739616387</v>
      </c>
      <c r="CC29">
        <f ca="1"/>
        <v>103.38014609185645</v>
      </c>
      <c r="CD29">
        <f ca="1"/>
        <v>104.23251478754902</v>
      </c>
      <c r="CE29">
        <f ca="1"/>
        <v>105.08488348324158</v>
      </c>
      <c r="CF29">
        <f ca="1"/>
        <v>105.93725217893416</v>
      </c>
      <c r="CG29">
        <f ca="1"/>
        <v>106.78962087462673</v>
      </c>
      <c r="CH29">
        <f ca="1"/>
        <v>107.64198957031931</v>
      </c>
      <c r="CI29">
        <f ca="1"/>
        <v>108.53900615007197</v>
      </c>
      <c r="CJ29">
        <f ca="1"/>
        <v>109.43602272982463</v>
      </c>
      <c r="CK29">
        <f ca="1"/>
        <v>110.3330393095773</v>
      </c>
      <c r="CL29">
        <f ca="1"/>
        <v>111.23005588932996</v>
      </c>
      <c r="CM29">
        <f ca="1"/>
        <v>112.12707246908262</v>
      </c>
      <c r="CN29">
        <f ca="1"/>
        <v>113.02408904883529</v>
      </c>
      <c r="CO29">
        <f ca="1"/>
        <v>113.92110562858795</v>
      </c>
      <c r="CP29">
        <f ca="1"/>
        <v>114.81812220834061</v>
      </c>
      <c r="CQ29">
        <f ca="1"/>
        <v>115.71513878809327</v>
      </c>
      <c r="CR29">
        <f ca="1"/>
        <v>116.61215536784593</v>
      </c>
      <c r="CS29">
        <f ca="1"/>
        <v>117.5091719475986</v>
      </c>
      <c r="CT29">
        <f ca="1"/>
        <v>118.40618852735126</v>
      </c>
      <c r="CU29">
        <f ca="1"/>
        <v>119.39290676507919</v>
      </c>
      <c r="CV29">
        <f ca="1"/>
        <v>120.37962500280712</v>
      </c>
      <c r="CW29">
        <f ca="1"/>
        <v>121.36634324053504</v>
      </c>
      <c r="CX29">
        <f ca="1"/>
        <v>122.35306147826297</v>
      </c>
      <c r="CY29">
        <f ca="1"/>
        <v>123.3397797159909</v>
      </c>
      <c r="CZ29">
        <f ca="1"/>
        <v>124.32649795371884</v>
      </c>
      <c r="DA29">
        <f ca="1"/>
        <v>125.31321619144677</v>
      </c>
      <c r="DB29">
        <f ca="1"/>
        <v>126.2999344291747</v>
      </c>
      <c r="DC29">
        <f ca="1"/>
        <v>127.28665266690263</v>
      </c>
      <c r="DD29">
        <f ca="1"/>
        <v>128.27337090463055</v>
      </c>
      <c r="DE29">
        <f ca="1"/>
        <v>129.26008914235848</v>
      </c>
      <c r="DF29">
        <f ca="1"/>
        <v>130.24680738008641</v>
      </c>
      <c r="DG29">
        <f ca="1"/>
        <v>131.22365843543705</v>
      </c>
      <c r="DH29">
        <f ca="1"/>
        <v>132.20050949078771</v>
      </c>
      <c r="DI29">
        <f ca="1"/>
        <v>133.17736054613835</v>
      </c>
      <c r="DJ29">
        <f ca="1"/>
        <v>134.15421160148901</v>
      </c>
      <c r="DK29">
        <f ca="1"/>
        <v>135.13106265683965</v>
      </c>
      <c r="DL29">
        <f ca="1"/>
        <v>136.10791371219028</v>
      </c>
      <c r="DM29">
        <f ca="1"/>
        <v>137.08476476754095</v>
      </c>
      <c r="DN29">
        <f ca="1"/>
        <v>138.06161582289158</v>
      </c>
      <c r="DO29">
        <f ca="1"/>
        <v>139.03846687824225</v>
      </c>
      <c r="DP29">
        <f ca="1"/>
        <v>140.01531793359288</v>
      </c>
      <c r="DQ29">
        <f ca="1"/>
        <v>140.99216898894355</v>
      </c>
      <c r="DR29">
        <f ca="1"/>
        <v>141.96902004429418</v>
      </c>
      <c r="DS29">
        <f ca="1"/>
        <v>143.0337876946264</v>
      </c>
      <c r="DT29">
        <f ca="1"/>
        <v>144.09855534495858</v>
      </c>
      <c r="DU29">
        <f ca="1"/>
        <v>145.1633229952908</v>
      </c>
      <c r="DV29">
        <f ca="1"/>
        <v>146.22809064562301</v>
      </c>
      <c r="DW29">
        <f ca="1"/>
        <v>147.29285829595523</v>
      </c>
      <c r="DX29">
        <f ca="1"/>
        <v>148.35762594628744</v>
      </c>
      <c r="DY29">
        <f ca="1"/>
        <v>149.42239359661963</v>
      </c>
      <c r="DZ29">
        <f ca="1"/>
        <v>150.48716124695184</v>
      </c>
      <c r="EA29">
        <f ca="1"/>
        <v>151.55192889728406</v>
      </c>
      <c r="EB29">
        <f ca="1"/>
        <v>152.61669654761624</v>
      </c>
      <c r="EC29">
        <f ca="1"/>
        <v>153.68146419794846</v>
      </c>
      <c r="ED29">
        <f ca="1"/>
        <v>154.74623184828067</v>
      </c>
      <c r="EE29">
        <f ca="1"/>
        <v>155.77787339393586</v>
      </c>
      <c r="EF29">
        <f ca="1"/>
        <v>156.80951493959108</v>
      </c>
      <c r="EG29">
        <f ca="1"/>
        <v>157.8411564852463</v>
      </c>
      <c r="EH29">
        <f ca="1"/>
        <v>158.87279803090149</v>
      </c>
      <c r="EI29">
        <f ca="1"/>
        <v>159.90443957655668</v>
      </c>
      <c r="EJ29">
        <f ca="1"/>
        <v>160.9360811222119</v>
      </c>
      <c r="EK29">
        <f ca="1"/>
        <v>161.96772266786712</v>
      </c>
      <c r="EL29">
        <f ca="1"/>
        <v>162.99936421352231</v>
      </c>
      <c r="EM29">
        <f ca="1"/>
        <v>164.0310057591775</v>
      </c>
      <c r="EN29">
        <f ca="1"/>
        <v>165.06264730483272</v>
      </c>
      <c r="EO29">
        <f ca="1"/>
        <v>166.09428885048794</v>
      </c>
      <c r="EP29">
        <f ca="1"/>
        <v>167.12593039614313</v>
      </c>
      <c r="EQ29">
        <f ca="1"/>
        <v>168.24010326545076</v>
      </c>
      <c r="ER29">
        <f ca="1"/>
        <v>169.35427613475838</v>
      </c>
      <c r="ES29">
        <f ca="1"/>
        <v>170.468449004066</v>
      </c>
      <c r="ET29">
        <f ca="1"/>
        <v>171.58262187337363</v>
      </c>
      <c r="EU29">
        <f ca="1"/>
        <v>172.69679474268125</v>
      </c>
      <c r="EV29">
        <f ca="1"/>
        <v>173.81096761198887</v>
      </c>
      <c r="EW29">
        <f ca="1"/>
        <v>174.92514048129649</v>
      </c>
      <c r="EX29">
        <f ca="1"/>
        <v>176.03931335060412</v>
      </c>
      <c r="EY29">
        <f ca="1"/>
        <v>177.15348621991174</v>
      </c>
      <c r="EZ29">
        <f ca="1"/>
        <v>178.26765908921936</v>
      </c>
      <c r="FA29">
        <f ca="1"/>
        <v>179.38183195852699</v>
      </c>
      <c r="FB29">
        <f ca="1"/>
        <v>180.49600482783461</v>
      </c>
      <c r="FC29">
        <f ca="1"/>
        <v>181.69931152668684</v>
      </c>
      <c r="FD29">
        <f ca="1"/>
        <v>182.90261822553907</v>
      </c>
      <c r="FE29">
        <f ca="1"/>
        <v>184.1059249243913</v>
      </c>
      <c r="FF29">
        <f ca="1"/>
        <v>185.30923162324353</v>
      </c>
      <c r="FG29">
        <f ca="1"/>
        <v>186.51253832209576</v>
      </c>
      <c r="FH29">
        <f ca="1"/>
        <v>187.715845020948</v>
      </c>
      <c r="FI29">
        <f ca="1"/>
        <v>188.91915171980025</v>
      </c>
      <c r="FJ29">
        <f ca="1"/>
        <v>190.12245841865249</v>
      </c>
      <c r="FK29">
        <f ca="1"/>
        <v>191.32576511750472</v>
      </c>
      <c r="FL29">
        <f ca="1"/>
        <v>192.52907181635695</v>
      </c>
      <c r="FM29">
        <f ca="1"/>
        <v>193.73237851520918</v>
      </c>
      <c r="FN29">
        <f ca="1"/>
        <v>194.93568521406141</v>
      </c>
      <c r="FO29">
        <f ca="1"/>
        <v>196.23525644882181</v>
      </c>
      <c r="FP29">
        <f ca="1"/>
        <v>197.53482768358222</v>
      </c>
      <c r="FQ29">
        <f ca="1"/>
        <v>198.83439891834263</v>
      </c>
      <c r="FR29">
        <f ca="1"/>
        <v>200.13397015310304</v>
      </c>
      <c r="FS29">
        <f ca="1"/>
        <v>201.43354138786344</v>
      </c>
      <c r="FT29">
        <f ca="1"/>
        <v>202.73311262262388</v>
      </c>
      <c r="FU29">
        <f ca="1"/>
        <v>204.03268385738428</v>
      </c>
      <c r="FV29">
        <f ca="1"/>
        <v>205.33225509214469</v>
      </c>
      <c r="FW29">
        <f ca="1"/>
        <v>206.6318263269051</v>
      </c>
      <c r="FX29">
        <f ca="1"/>
        <v>207.93139756166551</v>
      </c>
      <c r="FY29">
        <f ca="1"/>
        <v>209.23096879642591</v>
      </c>
      <c r="FZ29">
        <f ca="1"/>
        <v>210.53054003118632</v>
      </c>
      <c r="GA29">
        <f ca="1"/>
        <v>211.93407696472755</v>
      </c>
      <c r="GB29">
        <f ca="1"/>
        <v>213.33761389826881</v>
      </c>
      <c r="GC29">
        <f ca="1"/>
        <v>214.74115083181005</v>
      </c>
      <c r="GD29">
        <f ca="1"/>
        <v>216.14468776535128</v>
      </c>
      <c r="GE29">
        <f ca="1"/>
        <v>217.54822469889254</v>
      </c>
      <c r="GF29">
        <f ca="1"/>
        <v>218.95176163243377</v>
      </c>
      <c r="GG29">
        <f ca="1"/>
        <v>220.355298565975</v>
      </c>
      <c r="GH29">
        <f ca="1"/>
        <v>221.75883549951627</v>
      </c>
      <c r="GI29">
        <f ca="1"/>
        <v>223.1623724330575</v>
      </c>
      <c r="GJ29">
        <f ca="1"/>
        <v>224.56590936659873</v>
      </c>
      <c r="GK29">
        <f ca="1"/>
        <v>225.96944630013999</v>
      </c>
      <c r="GL29">
        <f ca="1"/>
        <v>227.37298323368123</v>
      </c>
      <c r="GM29">
        <f ca="1"/>
        <v>228.88880312190577</v>
      </c>
      <c r="GN29">
        <f ca="1"/>
        <v>230.40462301013031</v>
      </c>
      <c r="GO29">
        <f ca="1"/>
        <v>231.92044289835485</v>
      </c>
      <c r="GP29">
        <f ca="1"/>
        <v>233.43626278657939</v>
      </c>
      <c r="GQ29">
        <f ca="1"/>
        <v>234.95208267480393</v>
      </c>
      <c r="GR29">
        <f ca="1"/>
        <v>236.46790256302847</v>
      </c>
      <c r="GS29">
        <f ca="1"/>
        <v>237.98372245125304</v>
      </c>
      <c r="GT29">
        <f ca="1"/>
        <v>239.49954233947759</v>
      </c>
      <c r="GU29">
        <f ca="1"/>
        <v>241.01536222770213</v>
      </c>
      <c r="GV29">
        <f ca="1"/>
        <v>242.53118211592667</v>
      </c>
      <c r="GW29">
        <f ca="1"/>
        <v>244.04700200415121</v>
      </c>
      <c r="GX29">
        <f ca="1"/>
        <v>245.56282189237575</v>
      </c>
      <c r="GY29">
        <f ca="1"/>
        <v>247.19990737165827</v>
      </c>
      <c r="GZ29">
        <f ca="1"/>
        <v>248.83699285094076</v>
      </c>
      <c r="HA29">
        <f ca="1"/>
        <v>250.47407833022328</v>
      </c>
      <c r="HB29">
        <f ca="1"/>
        <v>252.11116380950577</v>
      </c>
      <c r="HC29">
        <f ca="1"/>
        <v>253.74824928878829</v>
      </c>
      <c r="HD29">
        <f ca="1"/>
        <v>255.38533476807078</v>
      </c>
      <c r="HE29">
        <f ca="1"/>
        <v>257.0224202473533</v>
      </c>
      <c r="HF29">
        <f ca="1"/>
        <v>258.65950572663581</v>
      </c>
      <c r="HG29">
        <f ca="1"/>
        <v>260.29659120591833</v>
      </c>
      <c r="HH29">
        <f ca="1"/>
        <v>261.93367668520079</v>
      </c>
      <c r="HI29">
        <f ca="1"/>
        <v>263.57076216448331</v>
      </c>
      <c r="HJ29">
        <f ca="1"/>
        <v>265.20784764376583</v>
      </c>
      <c r="HK29">
        <f ca="1"/>
        <v>266.97589996139095</v>
      </c>
      <c r="HL29">
        <f ca="1"/>
        <v>268.74395227901607</v>
      </c>
      <c r="HM29">
        <f ca="1"/>
        <v>270.51200459664113</v>
      </c>
      <c r="HN29">
        <f ca="1"/>
        <v>272.28005691426625</v>
      </c>
      <c r="HO29">
        <f ca="1"/>
        <v>274.04810923189137</v>
      </c>
      <c r="HP29">
        <f ca="1"/>
        <v>275.81616154951644</v>
      </c>
      <c r="HQ29">
        <f ca="1"/>
        <v>277.58421386714156</v>
      </c>
      <c r="HR29">
        <f ca="1"/>
        <v>279.35226618476668</v>
      </c>
      <c r="HS29">
        <f ca="1"/>
        <v>281.1203185023918</v>
      </c>
      <c r="HT29">
        <f ca="1"/>
        <v>282.88837082001692</v>
      </c>
      <c r="HU29">
        <f ca="1"/>
        <v>284.65642313764198</v>
      </c>
      <c r="HV29">
        <f ca="1"/>
        <v>286.4244754552671</v>
      </c>
      <c r="HW29">
        <f ca="1"/>
        <v>288.33397195830224</v>
      </c>
      <c r="HX29">
        <f ca="1"/>
        <v>290.24346846133733</v>
      </c>
      <c r="HY29">
        <f ca="1"/>
        <v>292.15296496437247</v>
      </c>
      <c r="HZ29">
        <f ca="1"/>
        <v>294.06246146740756</v>
      </c>
      <c r="IA29">
        <f ca="1"/>
        <v>295.9719579704427</v>
      </c>
      <c r="IB29">
        <f ca="1"/>
        <v>297.88145447347779</v>
      </c>
      <c r="IC29">
        <f ca="1"/>
        <v>299.79095097651293</v>
      </c>
      <c r="ID29">
        <f ca="1"/>
        <v>301.70044747954807</v>
      </c>
      <c r="IE29">
        <f ca="1"/>
        <v>303.60994398258316</v>
      </c>
      <c r="IF29">
        <f ca="1"/>
        <v>305.5194404856183</v>
      </c>
      <c r="IG29">
        <f ca="1"/>
        <v>307.42893698865339</v>
      </c>
      <c r="IH29">
        <f ca="1"/>
        <v>309.33843349168853</v>
      </c>
      <c r="II29">
        <f ca="1"/>
        <v>311.40068971496646</v>
      </c>
      <c r="IJ29">
        <f ca="1"/>
        <v>313.46294593824439</v>
      </c>
      <c r="IK29">
        <f ca="1"/>
        <v>315.52520216152232</v>
      </c>
      <c r="IL29">
        <f ca="1"/>
        <v>317.58745838480024</v>
      </c>
      <c r="IM29">
        <f ca="1"/>
        <v>319.64971460807817</v>
      </c>
      <c r="IN29">
        <f ca="1"/>
        <v>321.7119708313561</v>
      </c>
      <c r="IO29">
        <f ca="1"/>
        <v>323.77422705463403</v>
      </c>
      <c r="IP29">
        <f ca="1"/>
        <v>325.83648327791195</v>
      </c>
      <c r="IQ29">
        <f ca="1"/>
        <v>327.89873950118988</v>
      </c>
      <c r="IR29">
        <f ca="1"/>
        <v>329.96099572446781</v>
      </c>
      <c r="IS29">
        <f ca="1"/>
        <v>332.02325194774573</v>
      </c>
      <c r="IT29">
        <f ca="1"/>
        <v>334.08550817102366</v>
      </c>
      <c r="IU29">
        <f ca="1"/>
        <v>336.31274489216383</v>
      </c>
      <c r="IV29">
        <f ca="1"/>
        <v>338.53998161330401</v>
      </c>
      <c r="IW29">
        <f ca="1"/>
        <v>340.76721833444412</v>
      </c>
      <c r="IX29">
        <f ca="1"/>
        <v>342.9944550555843</v>
      </c>
      <c r="IY29">
        <f ca="1"/>
        <v>345.22169177672447</v>
      </c>
      <c r="IZ29">
        <f ca="1"/>
        <v>347.44892849786459</v>
      </c>
      <c r="JA29">
        <f ca="1"/>
        <v>349.67616521900476</v>
      </c>
      <c r="JB29">
        <f ca="1"/>
        <v>351.90340194014493</v>
      </c>
      <c r="JC29">
        <f ca="1"/>
        <v>354.1306386612851</v>
      </c>
      <c r="JD29">
        <f ca="1"/>
        <v>356.35787538242528</v>
      </c>
      <c r="JE29">
        <f ca="1"/>
        <v>358.58511210356539</v>
      </c>
      <c r="JF29">
        <f ca="1"/>
        <v>360.81234882470557</v>
      </c>
      <c r="JG29">
        <f ca="1"/>
        <v>363.21776448353694</v>
      </c>
      <c r="JH29">
        <f ca="1"/>
        <v>365.62318014236831</v>
      </c>
      <c r="JI29">
        <f ca="1"/>
        <v>368.02859580119969</v>
      </c>
      <c r="JJ29">
        <f ca="1"/>
        <v>370.43401146003106</v>
      </c>
      <c r="JK29">
        <f ca="1"/>
        <v>372.83942711886243</v>
      </c>
      <c r="JL29">
        <f ca="1"/>
        <v>375.2448427776938</v>
      </c>
      <c r="JM29">
        <f ca="1"/>
        <v>377.65025843652518</v>
      </c>
      <c r="JN29">
        <f ca="1"/>
        <v>380.05567409535655</v>
      </c>
      <c r="JO29">
        <f ca="1"/>
        <v>382.46108975418792</v>
      </c>
      <c r="JP29">
        <f ca="1"/>
        <v>384.8665054130193</v>
      </c>
      <c r="JQ29">
        <f ca="1"/>
        <v>387.27192107185067</v>
      </c>
      <c r="JR29">
        <f ca="1"/>
        <v>389.67733673068204</v>
      </c>
      <c r="JS29">
        <f ca="1"/>
        <v>392.27518564221992</v>
      </c>
      <c r="JT29">
        <f ca="1"/>
        <v>394.8730345537578</v>
      </c>
      <c r="JU29">
        <f ca="1"/>
        <v>397.47088346529569</v>
      </c>
      <c r="JV29">
        <f ca="1"/>
        <v>400.06873237683357</v>
      </c>
      <c r="JW29">
        <f ca="1"/>
        <v>402.66658128837145</v>
      </c>
      <c r="JX29">
        <f ca="1"/>
        <v>405.26443019990938</v>
      </c>
      <c r="JY29">
        <f ca="1"/>
        <v>407.86227911144726</v>
      </c>
      <c r="JZ29">
        <f ca="1"/>
        <v>410.46012802298515</v>
      </c>
      <c r="KA29">
        <f ca="1"/>
        <v>413.05797693452303</v>
      </c>
      <c r="KB29">
        <f ca="1"/>
        <v>415.65582584606091</v>
      </c>
      <c r="KC29">
        <f ca="1"/>
        <v>418.25367475759879</v>
      </c>
      <c r="KD29">
        <f ca="1"/>
        <v>420.85152366913667</v>
      </c>
      <c r="KE29">
        <f ca="1"/>
        <v>423.6572004935976</v>
      </c>
      <c r="KF29">
        <f ca="1"/>
        <v>426.46287731805847</v>
      </c>
      <c r="KG29">
        <f ca="1"/>
        <v>429.26855414251941</v>
      </c>
      <c r="KH29">
        <f ca="1"/>
        <v>432.07423096698034</v>
      </c>
      <c r="KI29">
        <f ca="1"/>
        <v>434.87990779144121</v>
      </c>
      <c r="KJ29">
        <f ca="1"/>
        <v>437.68558461590214</v>
      </c>
      <c r="KK29">
        <f ca="1"/>
        <v>440.49126144036308</v>
      </c>
      <c r="KL29">
        <f ca="1"/>
        <v>443.29693826482395</v>
      </c>
      <c r="KM29">
        <f ca="1"/>
        <v>446.10261508928488</v>
      </c>
      <c r="KN29">
        <f ca="1"/>
        <v>448.90829191374581</v>
      </c>
      <c r="KO29">
        <f ca="1"/>
        <v>451.71396873820669</v>
      </c>
      <c r="KP29">
        <f ca="1"/>
        <v>454.51964556266762</v>
      </c>
      <c r="KQ29">
        <f ca="1"/>
        <v>457.54977653308538</v>
      </c>
      <c r="KR29">
        <f ca="1"/>
        <v>460.57990750350319</v>
      </c>
      <c r="KS29">
        <f ca="1"/>
        <v>463.61003847392101</v>
      </c>
      <c r="KT29">
        <f ca="1"/>
        <v>466.64016944433877</v>
      </c>
      <c r="KU29">
        <f ca="1"/>
        <v>469.67030041475653</v>
      </c>
      <c r="KV29">
        <f ca="1"/>
        <v>472.70043138517434</v>
      </c>
      <c r="KW29">
        <f ca="1"/>
        <v>475.73056235559216</v>
      </c>
      <c r="KX29">
        <f ca="1"/>
        <v>478.76069332600991</v>
      </c>
      <c r="KY29">
        <f ca="1"/>
        <v>481.79082429642767</v>
      </c>
      <c r="KZ29">
        <f ca="1"/>
        <v>484.82095526684549</v>
      </c>
      <c r="LA29">
        <f ca="1"/>
        <v>487.8510862372633</v>
      </c>
      <c r="LB29">
        <f ca="1"/>
        <v>490.88121720768106</v>
      </c>
      <c r="LC29">
        <f ca="1"/>
        <v>494.15375865573225</v>
      </c>
      <c r="LD29">
        <f ca="1"/>
        <v>497.42630010378349</v>
      </c>
      <c r="LE29">
        <f ca="1"/>
        <v>500.69884155183468</v>
      </c>
      <c r="LF29">
        <f ca="1"/>
        <v>503.97138299988586</v>
      </c>
      <c r="LG29">
        <f ca="1"/>
        <v>507.2439244479371</v>
      </c>
      <c r="LH29">
        <f ca="1"/>
        <v>510.51646589598829</v>
      </c>
      <c r="LI29">
        <f ca="1"/>
        <v>513.78900734403953</v>
      </c>
      <c r="LJ29">
        <f ca="1"/>
        <v>517.06154879209066</v>
      </c>
      <c r="LK29">
        <f ca="1"/>
        <v>520.3340902401419</v>
      </c>
      <c r="LL29">
        <f ca="1"/>
        <v>523.60663168819315</v>
      </c>
      <c r="LM29">
        <f ca="1"/>
        <v>526.87917313624428</v>
      </c>
      <c r="LN29">
        <f ca="1"/>
        <v>530.15171458429552</v>
      </c>
      <c r="LO29">
        <f ca="1"/>
        <v>533.68605934819084</v>
      </c>
      <c r="LP29">
        <f ca="1"/>
        <v>537.22040411208616</v>
      </c>
      <c r="LQ29">
        <f ca="1"/>
        <v>540.75474887598148</v>
      </c>
      <c r="LR29">
        <f ca="1"/>
        <v>544.2890936398768</v>
      </c>
      <c r="LS29">
        <f ca="1"/>
        <v>547.82343840377212</v>
      </c>
      <c r="LT29">
        <f ca="1"/>
        <v>551.35778316766732</v>
      </c>
      <c r="LU29">
        <f ca="1"/>
        <v>554.89212793156264</v>
      </c>
      <c r="LV29">
        <f ca="1"/>
        <v>558.42647269545796</v>
      </c>
      <c r="LW29">
        <f ca="1"/>
        <v>561.96081745935328</v>
      </c>
      <c r="LX29">
        <f ca="1"/>
        <v>565.4951622232486</v>
      </c>
      <c r="LY29">
        <f ca="1"/>
        <v>569.02950698714392</v>
      </c>
      <c r="LZ29">
        <f ca="1"/>
        <v>572.56385175103924</v>
      </c>
      <c r="MA29">
        <f ca="1"/>
        <v>576.38094409604616</v>
      </c>
      <c r="MB29">
        <f ca="1"/>
        <v>580.19803644105309</v>
      </c>
      <c r="MC29">
        <f ca="1"/>
        <v>584.01512878606002</v>
      </c>
      <c r="MD29">
        <f ca="1"/>
        <v>587.83222113106694</v>
      </c>
      <c r="ME29">
        <f ca="1"/>
        <v>591.64931347607387</v>
      </c>
      <c r="MF29">
        <f ca="1"/>
        <v>595.4664058210808</v>
      </c>
      <c r="MG29">
        <f ca="1"/>
        <v>599.28349816608772</v>
      </c>
      <c r="MH29">
        <f ca="1"/>
        <v>603.10059051109465</v>
      </c>
      <c r="MI29">
        <f ca="1"/>
        <v>606.91768285610158</v>
      </c>
      <c r="MJ29">
        <f ca="1"/>
        <v>610.7347752011085</v>
      </c>
      <c r="MK29">
        <f ca="1"/>
        <v>614.55186754611543</v>
      </c>
      <c r="ML29">
        <f ca="1"/>
        <v>618.36895989112236</v>
      </c>
      <c r="MM29">
        <f ca="1"/>
        <v>622.49141962372983</v>
      </c>
      <c r="MN29">
        <f ca="1"/>
        <v>626.61387935633729</v>
      </c>
      <c r="MO29">
        <f ca="1"/>
        <v>630.73633908894487</v>
      </c>
      <c r="MP29">
        <f ca="1"/>
        <v>634.85879882155234</v>
      </c>
      <c r="MQ29">
        <f ca="1"/>
        <v>638.98125855415981</v>
      </c>
      <c r="MR29">
        <f ca="1"/>
        <v>643.10371828676739</v>
      </c>
      <c r="MS29">
        <f ca="1"/>
        <v>647.22617801937486</v>
      </c>
      <c r="MT29">
        <f ca="1"/>
        <v>651.34863775198232</v>
      </c>
      <c r="MU29">
        <f ca="1"/>
        <v>655.47109748458979</v>
      </c>
      <c r="MV29">
        <f ca="1"/>
        <v>659.59355721719726</v>
      </c>
      <c r="MW29">
        <f ca="1"/>
        <v>663.71601694980484</v>
      </c>
      <c r="MX29">
        <f ca="1"/>
        <v>667.83847668241231</v>
      </c>
      <c r="MY29">
        <f ca="1"/>
        <v>672.2907331936284</v>
      </c>
      <c r="MZ29">
        <f ca="1"/>
        <v>676.74298970484449</v>
      </c>
      <c r="NA29">
        <f ca="1"/>
        <v>681.19524621606058</v>
      </c>
      <c r="NB29">
        <f ca="1"/>
        <v>685.64750272727667</v>
      </c>
      <c r="NC29">
        <f ca="1"/>
        <v>690.09975923849277</v>
      </c>
      <c r="ND29">
        <f ca="1"/>
        <v>694.55201574970886</v>
      </c>
      <c r="NE29">
        <f ca="1"/>
        <v>699.00427226092495</v>
      </c>
      <c r="NF29">
        <f ca="1"/>
        <v>703.45652877214104</v>
      </c>
      <c r="NG29">
        <f ca="1"/>
        <v>707.90878528335713</v>
      </c>
      <c r="NH29">
        <f ca="1"/>
        <v>712.36104179457323</v>
      </c>
      <c r="NI29">
        <f ca="1"/>
        <v>716.81329830578932</v>
      </c>
      <c r="NJ29">
        <f ca="1"/>
        <v>721.26555481700541</v>
      </c>
      <c r="NK29">
        <f ca="1"/>
        <v>726.07399184911878</v>
      </c>
      <c r="NL29">
        <f ca="1"/>
        <v>730.88242888123216</v>
      </c>
      <c r="NM29">
        <f ca="1"/>
        <v>735.69086591334553</v>
      </c>
      <c r="NN29">
        <f ca="1"/>
        <v>740.49930294545891</v>
      </c>
      <c r="NO29">
        <f ca="1"/>
        <v>745.30773997757228</v>
      </c>
      <c r="NP29">
        <f ca="1"/>
        <v>750.11617700968566</v>
      </c>
      <c r="NQ29">
        <f ca="1"/>
        <v>754.92461404179903</v>
      </c>
      <c r="NR29">
        <f ca="1"/>
        <v>759.73305107391241</v>
      </c>
      <c r="NS29">
        <f ca="1"/>
        <v>764.54148810602578</v>
      </c>
      <c r="NT29">
        <f ca="1"/>
        <v>769.34992513813916</v>
      </c>
      <c r="NU29">
        <f ca="1"/>
        <v>774.15836217025253</v>
      </c>
      <c r="NV29">
        <f ca="1"/>
        <v>778.96679920236591</v>
      </c>
      <c r="NW29">
        <f ca="1"/>
        <v>784.15991119704836</v>
      </c>
      <c r="NX29">
        <f ca="1"/>
        <v>789.35302319173081</v>
      </c>
      <c r="NY29">
        <f ca="1"/>
        <v>794.54613518641327</v>
      </c>
      <c r="NZ29">
        <f ca="1"/>
        <v>799.73924718109572</v>
      </c>
      <c r="OA29">
        <f ca="1"/>
        <v>804.93235917577817</v>
      </c>
      <c r="OB29">
        <f ca="1"/>
        <v>810.12547117046051</v>
      </c>
      <c r="OC29">
        <f ca="1"/>
        <v>815.31858316514297</v>
      </c>
      <c r="OD29">
        <f ca="1"/>
        <v>820.51169515982542</v>
      </c>
      <c r="OE29">
        <f ca="1"/>
        <v>825.70480715450788</v>
      </c>
      <c r="OF29">
        <f ca="1"/>
        <v>830.89791914919033</v>
      </c>
      <c r="OG29">
        <f ca="1"/>
        <v>836.09103114387278</v>
      </c>
      <c r="OH29">
        <f ca="1"/>
        <v>841.28414313855524</v>
      </c>
      <c r="OI29">
        <f ca="1"/>
        <v>846.89270409281232</v>
      </c>
      <c r="OJ29">
        <f ca="1"/>
        <v>852.5012650470693</v>
      </c>
      <c r="OK29">
        <f ca="1"/>
        <v>858.10982600132638</v>
      </c>
      <c r="OL29">
        <f ca="1"/>
        <v>863.71838695558336</v>
      </c>
      <c r="OM29">
        <f ca="1"/>
        <v>869.32694790984044</v>
      </c>
      <c r="ON29">
        <f ca="1"/>
        <v>874.93550886409753</v>
      </c>
      <c r="OO29">
        <f ca="1"/>
        <v>880.5440698183545</v>
      </c>
      <c r="OP29">
        <f ca="1"/>
        <v>886.15263077261159</v>
      </c>
      <c r="OQ29">
        <f ca="1"/>
        <v>891.76119172686856</v>
      </c>
      <c r="OR29">
        <f ca="1"/>
        <v>897.36975268112565</v>
      </c>
      <c r="OS29">
        <f ca="1"/>
        <v>902.97831363538262</v>
      </c>
      <c r="OT29">
        <f ca="1"/>
        <v>908.58687458963971</v>
      </c>
      <c r="OU29">
        <f ca="1"/>
        <v>914.6441204202373</v>
      </c>
      <c r="OV29">
        <f ca="1"/>
        <v>920.70136625083489</v>
      </c>
      <c r="OW29">
        <f ca="1"/>
        <v>926.75861208143249</v>
      </c>
      <c r="OX29">
        <f ca="1"/>
        <v>932.81585791203008</v>
      </c>
      <c r="OY29">
        <f ca="1"/>
        <v>938.87310374262768</v>
      </c>
      <c r="OZ29">
        <f ca="1"/>
        <v>944.93034957322539</v>
      </c>
      <c r="PA29">
        <f ca="1"/>
        <v>950.98759540382298</v>
      </c>
      <c r="PB29">
        <f ca="1"/>
        <v>957.04484123442057</v>
      </c>
      <c r="PC29">
        <f ca="1"/>
        <v>963.10208706501817</v>
      </c>
      <c r="PD29">
        <f ca="1"/>
        <v>969.15933289561576</v>
      </c>
      <c r="PE29">
        <f ca="1"/>
        <v>975.21657872621336</v>
      </c>
      <c r="PF29">
        <f ca="1"/>
        <v>981.27382455681095</v>
      </c>
      <c r="PG29">
        <f ca="1"/>
        <v>987.81565005385642</v>
      </c>
      <c r="PH29">
        <f ca="1"/>
        <v>994.35747555090177</v>
      </c>
      <c r="PI29">
        <f ca="1"/>
        <v>1000.8993010479471</v>
      </c>
      <c r="PJ29">
        <f ca="1"/>
        <v>1007.4411265449926</v>
      </c>
      <c r="PK29">
        <f ca="1"/>
        <v>1013.9829520420381</v>
      </c>
      <c r="PL29">
        <f ca="1"/>
        <v>1020.5247775390834</v>
      </c>
      <c r="PM29">
        <f ca="1"/>
        <v>1027.0666030361288</v>
      </c>
      <c r="PN29">
        <f ca="1"/>
        <v>1033.6084285331742</v>
      </c>
      <c r="PO29">
        <f ca="1"/>
        <v>1040.1502540302197</v>
      </c>
      <c r="PP29">
        <f ca="1"/>
        <v>1046.6920795272649</v>
      </c>
      <c r="PQ29">
        <f ca="1"/>
        <v>1053.2339050243104</v>
      </c>
      <c r="PR29">
        <f ca="1"/>
        <v>1059.7757305213559</v>
      </c>
      <c r="PS29">
        <f ca="1"/>
        <v>1066.8409020581648</v>
      </c>
      <c r="PT29">
        <f ca="1"/>
        <v>1073.906073594974</v>
      </c>
      <c r="PU29">
        <f ca="1"/>
        <v>1080.971245131783</v>
      </c>
      <c r="PV29">
        <f ca="1"/>
        <v>1088.036416668592</v>
      </c>
      <c r="PW29">
        <f ca="1"/>
        <v>1095.1015882054012</v>
      </c>
      <c r="PX29">
        <f ca="1"/>
        <v>1102.1667597422102</v>
      </c>
      <c r="PY29">
        <f ca="1"/>
        <v>1109.2319312790191</v>
      </c>
      <c r="PZ29">
        <f ca="1"/>
        <v>1116.2971028158283</v>
      </c>
      <c r="QA29">
        <f ca="1"/>
        <v>1123.3622743526373</v>
      </c>
      <c r="QB29">
        <f ca="1"/>
        <v>1130.4274458894463</v>
      </c>
      <c r="QC29">
        <f ca="1"/>
        <v>1137.4926174262555</v>
      </c>
      <c r="QD29">
        <f ca="1"/>
        <v>1144.5577889630645</v>
      </c>
      <c r="QE29">
        <f ca="1"/>
        <v>1152.1881742228181</v>
      </c>
      <c r="QF29">
        <f ca="1"/>
        <v>1159.818559482572</v>
      </c>
      <c r="QG29">
        <f ca="1"/>
        <v>1167.4489447423257</v>
      </c>
      <c r="QH29">
        <f ca="1"/>
        <v>1175.0793300020796</v>
      </c>
      <c r="QI29">
        <f ca="1"/>
        <v>1182.7097152618333</v>
      </c>
      <c r="QJ29">
        <f ca="1"/>
        <v>1190.3401005215869</v>
      </c>
      <c r="QK29">
        <f ca="1"/>
        <v>1197.9704857813408</v>
      </c>
      <c r="QL29">
        <f ca="1"/>
        <v>1205.6008710410945</v>
      </c>
      <c r="QM29">
        <f ca="1"/>
        <v>1213.2312563008484</v>
      </c>
      <c r="QN29">
        <f ca="1"/>
        <v>1220.861641560602</v>
      </c>
      <c r="QO29">
        <f ca="1"/>
        <v>1228.4920268203559</v>
      </c>
      <c r="QP29">
        <f ca="1"/>
        <v>1236.1224120801096</v>
      </c>
      <c r="QQ29">
        <f ca="1"/>
        <v>1244.3632281606438</v>
      </c>
      <c r="QR29">
        <f ca="1"/>
        <v>1252.6040442411777</v>
      </c>
      <c r="QS29">
        <f ca="1"/>
        <v>1260.8448603217118</v>
      </c>
      <c r="QT29">
        <f ca="1"/>
        <v>1269.0856764022458</v>
      </c>
      <c r="QU29">
        <f ca="1"/>
        <v>1277.3264924827799</v>
      </c>
      <c r="QV29">
        <f ca="1"/>
        <v>1285.5673085633139</v>
      </c>
      <c r="QW29">
        <f ca="1"/>
        <v>1293.808124643848</v>
      </c>
      <c r="QX29">
        <f ca="1"/>
        <v>1302.0489407243822</v>
      </c>
      <c r="QY29">
        <f ca="1"/>
        <v>1310.2897568049161</v>
      </c>
      <c r="QZ29">
        <f ca="1"/>
        <v>1318.5305728854503</v>
      </c>
      <c r="RA29">
        <f ca="1"/>
        <v>1326.7713889659842</v>
      </c>
      <c r="RB29">
        <f ca="1"/>
        <v>1335.0122050465184</v>
      </c>
      <c r="RC29">
        <f ca="1"/>
        <v>1343.9122864134952</v>
      </c>
      <c r="RD29">
        <f ca="1"/>
        <v>1352.812367780472</v>
      </c>
      <c r="RE29">
        <f ca="1"/>
        <v>1361.7124491474488</v>
      </c>
      <c r="RF29">
        <f ca="1"/>
        <v>1370.6125305144255</v>
      </c>
      <c r="RG29">
        <f ca="1"/>
        <v>1379.5126118814023</v>
      </c>
      <c r="RH29">
        <f ca="1"/>
        <v>1388.4126932483791</v>
      </c>
      <c r="RI29">
        <f ca="1"/>
        <v>1397.3127746153559</v>
      </c>
      <c r="RJ29">
        <f ca="1"/>
        <v>1406.2128559823327</v>
      </c>
      <c r="RK29">
        <f ca="1"/>
        <v>1415.1129373493095</v>
      </c>
      <c r="RL29">
        <f ca="1"/>
        <v>1424.0130187162863</v>
      </c>
      <c r="RM29">
        <f ca="1"/>
        <v>1432.9131000832631</v>
      </c>
      <c r="RN29">
        <f ca="1"/>
        <v>1441.8131814502399</v>
      </c>
      <c r="RO29">
        <f ca="1"/>
        <v>1451.4252693265748</v>
      </c>
      <c r="RP29">
        <f ca="1"/>
        <v>1461.0373572029098</v>
      </c>
      <c r="RQ29">
        <f ca="1"/>
        <v>1470.6494450792447</v>
      </c>
      <c r="RR29">
        <f ca="1"/>
        <v>1480.2615329555797</v>
      </c>
      <c r="RS29">
        <f ca="1"/>
        <v>1489.8736208319146</v>
      </c>
      <c r="RT29">
        <f ca="1"/>
        <v>1499.4857087082496</v>
      </c>
      <c r="RU29">
        <f ca="1"/>
        <v>1509.0977965845843</v>
      </c>
      <c r="RV29">
        <f ca="1"/>
        <v>1518.7098844609193</v>
      </c>
      <c r="RW29">
        <f ca="1"/>
        <v>1528.3219723372542</v>
      </c>
      <c r="RX29">
        <f ca="1"/>
        <v>1537.9340602135892</v>
      </c>
      <c r="RY29">
        <f ca="1"/>
        <v>1547.5461480899241</v>
      </c>
      <c r="RZ29">
        <f ca="1"/>
        <v>1557.1582359662591</v>
      </c>
    </row>
    <row r="30" spans="1:495" x14ac:dyDescent="0.3">
      <c r="A30" s="8" t="s">
        <v>502</v>
      </c>
      <c r="B30" cm="1">
        <f t="array" aca="1" ref="B30:RZ30" ca="1">(_xlfn.ANCHORARRAY(B28)+_xlfn.ANCHORARRAY(B29))/2</f>
        <v>43.2104</v>
      </c>
      <c r="C30">
        <f ca="1"/>
        <v>44.308333333333337</v>
      </c>
      <c r="D30">
        <f ca="1"/>
        <v>44.924999999999997</v>
      </c>
      <c r="E30">
        <f ca="1"/>
        <v>45.541666666666671</v>
      </c>
      <c r="F30">
        <f ca="1"/>
        <v>46.158333333333331</v>
      </c>
      <c r="G30">
        <f ca="1"/>
        <v>46.775000000000006</v>
      </c>
      <c r="H30">
        <f ca="1"/>
        <v>47.391666666666666</v>
      </c>
      <c r="I30">
        <f ca="1"/>
        <v>48.008333333333333</v>
      </c>
      <c r="J30">
        <f ca="1"/>
        <v>48.625</v>
      </c>
      <c r="K30">
        <f ca="1"/>
        <v>49.24166666666666</v>
      </c>
      <c r="L30">
        <f ca="1"/>
        <v>49.858333333333334</v>
      </c>
      <c r="M30">
        <f ca="1"/>
        <v>50.474999999999994</v>
      </c>
      <c r="N30">
        <f ca="1"/>
        <v>51.091666666666669</v>
      </c>
      <c r="O30">
        <f ca="1"/>
        <v>51.734120592948713</v>
      </c>
      <c r="P30">
        <f ca="1"/>
        <v>52.402361778846156</v>
      </c>
      <c r="Q30">
        <f ca="1"/>
        <v>53.070602964743586</v>
      </c>
      <c r="R30">
        <f ca="1"/>
        <v>53.738844150641029</v>
      </c>
      <c r="S30">
        <f ca="1"/>
        <v>54.407085336538458</v>
      </c>
      <c r="T30">
        <f ca="1"/>
        <v>55.075326522435901</v>
      </c>
      <c r="U30">
        <f ca="1"/>
        <v>55.74356770833333</v>
      </c>
      <c r="V30">
        <f ca="1"/>
        <v>56.411808894230774</v>
      </c>
      <c r="W30">
        <f ca="1"/>
        <v>57.080050080128203</v>
      </c>
      <c r="X30">
        <f ca="1"/>
        <v>57.748291266025646</v>
      </c>
      <c r="Y30">
        <f ca="1"/>
        <v>58.416532451923075</v>
      </c>
      <c r="Z30">
        <f ca="1"/>
        <v>59.084773637820518</v>
      </c>
      <c r="AA30">
        <f ca="1"/>
        <v>59.791577955453363</v>
      </c>
      <c r="AB30">
        <f ca="1"/>
        <v>60.53694540482163</v>
      </c>
      <c r="AC30">
        <f ca="1"/>
        <v>61.282312854189897</v>
      </c>
      <c r="AD30">
        <f ca="1"/>
        <v>62.027680303558157</v>
      </c>
      <c r="AE30">
        <f ca="1"/>
        <v>62.773047752926416</v>
      </c>
      <c r="AF30">
        <f ca="1"/>
        <v>63.518415202294683</v>
      </c>
      <c r="AG30">
        <f ca="1"/>
        <v>64.26378265166295</v>
      </c>
      <c r="AH30">
        <f ca="1"/>
        <v>65.009150101031224</v>
      </c>
      <c r="AI30">
        <f ca="1"/>
        <v>65.75451755039947</v>
      </c>
      <c r="AJ30">
        <f ca="1"/>
        <v>66.499884999767744</v>
      </c>
      <c r="AK30">
        <f ca="1"/>
        <v>67.245252449136004</v>
      </c>
      <c r="AL30">
        <f ca="1"/>
        <v>67.990619898504264</v>
      </c>
      <c r="AM30">
        <f ca="1"/>
        <v>68.750626202151082</v>
      </c>
      <c r="AN30">
        <f ca="1"/>
        <v>69.525271360076431</v>
      </c>
      <c r="AO30">
        <f ca="1"/>
        <v>70.299916518001794</v>
      </c>
      <c r="AP30">
        <f ca="1"/>
        <v>71.074561675927157</v>
      </c>
      <c r="AQ30">
        <f ca="1"/>
        <v>71.84920683385252</v>
      </c>
      <c r="AR30">
        <f ca="1"/>
        <v>72.623851991777869</v>
      </c>
      <c r="AS30">
        <f ca="1"/>
        <v>73.398497149703232</v>
      </c>
      <c r="AT30">
        <f ca="1"/>
        <v>74.173142307628581</v>
      </c>
      <c r="AU30">
        <f ca="1"/>
        <v>74.947787465553944</v>
      </c>
      <c r="AV30">
        <f ca="1"/>
        <v>75.722432623479307</v>
      </c>
      <c r="AW30">
        <f ca="1"/>
        <v>76.49707778140467</v>
      </c>
      <c r="AX30">
        <f ca="1"/>
        <v>77.271722939330019</v>
      </c>
      <c r="AY30">
        <f ca="1"/>
        <v>78.063519713700472</v>
      </c>
      <c r="AZ30">
        <f ca="1"/>
        <v>78.872468104516031</v>
      </c>
      <c r="BA30">
        <f ca="1"/>
        <v>79.681416495331575</v>
      </c>
      <c r="BB30">
        <f ca="1"/>
        <v>80.49036488614712</v>
      </c>
      <c r="BC30">
        <f ca="1"/>
        <v>81.299313276962664</v>
      </c>
      <c r="BD30">
        <f ca="1"/>
        <v>82.108261667778223</v>
      </c>
      <c r="BE30">
        <f ca="1"/>
        <v>82.917210058593767</v>
      </c>
      <c r="BF30">
        <f ca="1"/>
        <v>83.726158449409326</v>
      </c>
      <c r="BG30">
        <f ca="1"/>
        <v>84.53510684022487</v>
      </c>
      <c r="BH30">
        <f ca="1"/>
        <v>85.344055231040414</v>
      </c>
      <c r="BI30">
        <f ca="1"/>
        <v>86.153003621855959</v>
      </c>
      <c r="BJ30">
        <f ca="1"/>
        <v>86.961952012671517</v>
      </c>
      <c r="BK30">
        <f ca="1"/>
        <v>87.785057000326333</v>
      </c>
      <c r="BL30">
        <f ca="1"/>
        <v>88.622318584820434</v>
      </c>
      <c r="BM30">
        <f ca="1"/>
        <v>89.459580169314535</v>
      </c>
      <c r="BN30">
        <f ca="1"/>
        <v>90.296841753808621</v>
      </c>
      <c r="BO30">
        <f ca="1"/>
        <v>91.134103338302708</v>
      </c>
      <c r="BP30">
        <f ca="1"/>
        <v>91.971364922796809</v>
      </c>
      <c r="BQ30">
        <f ca="1"/>
        <v>92.80862650729091</v>
      </c>
      <c r="BR30">
        <f ca="1"/>
        <v>93.645888091784997</v>
      </c>
      <c r="BS30">
        <f ca="1"/>
        <v>94.483149676279098</v>
      </c>
      <c r="BT30">
        <f ca="1"/>
        <v>95.320411260773199</v>
      </c>
      <c r="BU30">
        <f ca="1"/>
        <v>96.157672845267285</v>
      </c>
      <c r="BV30">
        <f ca="1"/>
        <v>96.994934429761372</v>
      </c>
      <c r="BW30">
        <f ca="1"/>
        <v>97.839749569854717</v>
      </c>
      <c r="BX30">
        <f ca="1"/>
        <v>98.692118265547293</v>
      </c>
      <c r="BY30">
        <f ca="1"/>
        <v>99.544486961239869</v>
      </c>
      <c r="BZ30">
        <f ca="1"/>
        <v>100.39685565693244</v>
      </c>
      <c r="CA30">
        <f ca="1"/>
        <v>101.24922435262501</v>
      </c>
      <c r="CB30">
        <f ca="1"/>
        <v>102.10159304831758</v>
      </c>
      <c r="CC30">
        <f ca="1"/>
        <v>102.95396174401016</v>
      </c>
      <c r="CD30">
        <f ca="1"/>
        <v>103.80633043970273</v>
      </c>
      <c r="CE30">
        <f ca="1"/>
        <v>104.6586991353953</v>
      </c>
      <c r="CF30">
        <f ca="1"/>
        <v>105.51106783108787</v>
      </c>
      <c r="CG30">
        <f ca="1"/>
        <v>106.36343652678045</v>
      </c>
      <c r="CH30">
        <f ca="1"/>
        <v>107.21580522247302</v>
      </c>
      <c r="CI30">
        <f ca="1"/>
        <v>108.09049786019564</v>
      </c>
      <c r="CJ30">
        <f ca="1"/>
        <v>108.9875144399483</v>
      </c>
      <c r="CK30">
        <f ca="1"/>
        <v>109.88453101970097</v>
      </c>
      <c r="CL30">
        <f ca="1"/>
        <v>110.78154759945363</v>
      </c>
      <c r="CM30">
        <f ca="1"/>
        <v>111.67856417920629</v>
      </c>
      <c r="CN30">
        <f ca="1"/>
        <v>112.57558075895895</v>
      </c>
      <c r="CO30">
        <f ca="1"/>
        <v>113.47259733871162</v>
      </c>
      <c r="CP30">
        <f ca="1"/>
        <v>114.36961391846428</v>
      </c>
      <c r="CQ30">
        <f ca="1"/>
        <v>115.26663049821694</v>
      </c>
      <c r="CR30">
        <f ca="1"/>
        <v>116.1636470779696</v>
      </c>
      <c r="CS30">
        <f ca="1"/>
        <v>117.06066365772227</v>
      </c>
      <c r="CT30">
        <f ca="1"/>
        <v>117.95768023747493</v>
      </c>
      <c r="CU30">
        <f ca="1"/>
        <v>118.89954764621523</v>
      </c>
      <c r="CV30">
        <f ca="1"/>
        <v>119.88626588394315</v>
      </c>
      <c r="CW30">
        <f ca="1"/>
        <v>120.87298412167108</v>
      </c>
      <c r="CX30">
        <f ca="1"/>
        <v>121.85970235939901</v>
      </c>
      <c r="CY30">
        <f ca="1"/>
        <v>122.84642059712694</v>
      </c>
      <c r="CZ30">
        <f ca="1"/>
        <v>123.83313883485488</v>
      </c>
      <c r="DA30">
        <f ca="1"/>
        <v>124.81985707258281</v>
      </c>
      <c r="DB30">
        <f ca="1"/>
        <v>125.80657531031073</v>
      </c>
      <c r="DC30">
        <f ca="1"/>
        <v>126.79329354803866</v>
      </c>
      <c r="DD30">
        <f ca="1"/>
        <v>127.78001178576659</v>
      </c>
      <c r="DE30">
        <f ca="1"/>
        <v>128.76673002349452</v>
      </c>
      <c r="DF30">
        <f ca="1"/>
        <v>129.75344826122245</v>
      </c>
      <c r="DG30">
        <f ca="1"/>
        <v>130.73523290776171</v>
      </c>
      <c r="DH30">
        <f ca="1"/>
        <v>131.71208396311238</v>
      </c>
      <c r="DI30">
        <f ca="1"/>
        <v>132.68893501846304</v>
      </c>
      <c r="DJ30">
        <f ca="1"/>
        <v>133.66578607381368</v>
      </c>
      <c r="DK30">
        <f ca="1"/>
        <v>134.64263712916431</v>
      </c>
      <c r="DL30">
        <f ca="1"/>
        <v>135.61948818451498</v>
      </c>
      <c r="DM30">
        <f ca="1"/>
        <v>136.59633923986561</v>
      </c>
      <c r="DN30">
        <f ca="1"/>
        <v>137.57319029521625</v>
      </c>
      <c r="DO30">
        <f ca="1"/>
        <v>138.55004135056691</v>
      </c>
      <c r="DP30">
        <f ca="1"/>
        <v>139.52689240591758</v>
      </c>
      <c r="DQ30">
        <f ca="1"/>
        <v>140.50374346126821</v>
      </c>
      <c r="DR30">
        <f ca="1"/>
        <v>141.48059451661885</v>
      </c>
      <c r="DS30">
        <f ca="1"/>
        <v>142.50140386946029</v>
      </c>
      <c r="DT30">
        <f ca="1"/>
        <v>143.56617151979248</v>
      </c>
      <c r="DU30">
        <f ca="1"/>
        <v>144.63093917012469</v>
      </c>
      <c r="DV30">
        <f ca="1"/>
        <v>145.69570682045691</v>
      </c>
      <c r="DW30">
        <f ca="1"/>
        <v>146.76047447078912</v>
      </c>
      <c r="DX30">
        <f ca="1"/>
        <v>147.82524212112133</v>
      </c>
      <c r="DY30">
        <f ca="1"/>
        <v>148.89000977145355</v>
      </c>
      <c r="DZ30">
        <f ca="1"/>
        <v>149.95477742178574</v>
      </c>
      <c r="EA30">
        <f ca="1"/>
        <v>151.01954507211795</v>
      </c>
      <c r="EB30">
        <f ca="1"/>
        <v>152.08431272245014</v>
      </c>
      <c r="EC30">
        <f ca="1"/>
        <v>153.14908037278235</v>
      </c>
      <c r="ED30">
        <f ca="1"/>
        <v>154.21384802311456</v>
      </c>
      <c r="EE30">
        <f ca="1"/>
        <v>155.26205262110827</v>
      </c>
      <c r="EF30">
        <f ca="1"/>
        <v>156.29369416676349</v>
      </c>
      <c r="EG30">
        <f ca="1"/>
        <v>157.32533571241868</v>
      </c>
      <c r="EH30">
        <f ca="1"/>
        <v>158.3569772580739</v>
      </c>
      <c r="EI30">
        <f ca="1"/>
        <v>159.38861880372909</v>
      </c>
      <c r="EJ30">
        <f ca="1"/>
        <v>160.42026034938431</v>
      </c>
      <c r="EK30">
        <f ca="1"/>
        <v>161.4519018950395</v>
      </c>
      <c r="EL30">
        <f ca="1"/>
        <v>162.48354344069472</v>
      </c>
      <c r="EM30">
        <f ca="1"/>
        <v>163.51518498634991</v>
      </c>
      <c r="EN30">
        <f ca="1"/>
        <v>164.54682653200513</v>
      </c>
      <c r="EO30">
        <f ca="1"/>
        <v>165.57846807766032</v>
      </c>
      <c r="EP30">
        <f ca="1"/>
        <v>166.61010962331554</v>
      </c>
      <c r="EQ30">
        <f ca="1"/>
        <v>167.68301683079693</v>
      </c>
      <c r="ER30">
        <f ca="1"/>
        <v>168.79718970010458</v>
      </c>
      <c r="ES30">
        <f ca="1"/>
        <v>169.91136256941218</v>
      </c>
      <c r="ET30">
        <f ca="1"/>
        <v>171.02553543871983</v>
      </c>
      <c r="EU30">
        <f ca="1"/>
        <v>172.13970830802742</v>
      </c>
      <c r="EV30">
        <f ca="1"/>
        <v>173.25388117733507</v>
      </c>
      <c r="EW30">
        <f ca="1"/>
        <v>174.36805404664267</v>
      </c>
      <c r="EX30">
        <f ca="1"/>
        <v>175.48222691595032</v>
      </c>
      <c r="EY30">
        <f ca="1"/>
        <v>176.59639978525792</v>
      </c>
      <c r="EZ30">
        <f ca="1"/>
        <v>177.71057265456557</v>
      </c>
      <c r="FA30">
        <f ca="1"/>
        <v>178.82474552387316</v>
      </c>
      <c r="FB30">
        <f ca="1"/>
        <v>179.93891839318081</v>
      </c>
      <c r="FC30">
        <f ca="1"/>
        <v>181.09765817726071</v>
      </c>
      <c r="FD30">
        <f ca="1"/>
        <v>182.30096487611297</v>
      </c>
      <c r="FE30">
        <f ca="1"/>
        <v>183.50427157496517</v>
      </c>
      <c r="FF30">
        <f ca="1"/>
        <v>184.70757827381743</v>
      </c>
      <c r="FG30">
        <f ca="1"/>
        <v>185.91088497266963</v>
      </c>
      <c r="FH30">
        <f ca="1"/>
        <v>187.11419167152189</v>
      </c>
      <c r="FI30">
        <f ca="1"/>
        <v>188.31749837037412</v>
      </c>
      <c r="FJ30">
        <f ca="1"/>
        <v>189.52080506922636</v>
      </c>
      <c r="FK30">
        <f ca="1"/>
        <v>190.72411176807861</v>
      </c>
      <c r="FL30">
        <f ca="1"/>
        <v>191.92741846693082</v>
      </c>
      <c r="FM30">
        <f ca="1"/>
        <v>193.13072516578308</v>
      </c>
      <c r="FN30">
        <f ca="1"/>
        <v>194.33403186463528</v>
      </c>
      <c r="FO30">
        <f ca="1"/>
        <v>195.58547083144163</v>
      </c>
      <c r="FP30">
        <f ca="1"/>
        <v>196.885042066202</v>
      </c>
      <c r="FQ30">
        <f ca="1"/>
        <v>198.18461330096244</v>
      </c>
      <c r="FR30">
        <f ca="1"/>
        <v>199.48418453572282</v>
      </c>
      <c r="FS30">
        <f ca="1"/>
        <v>200.78375577048325</v>
      </c>
      <c r="FT30">
        <f ca="1"/>
        <v>202.08332700524366</v>
      </c>
      <c r="FU30">
        <f ca="1"/>
        <v>203.38289824000407</v>
      </c>
      <c r="FV30">
        <f ca="1"/>
        <v>204.6824694747645</v>
      </c>
      <c r="FW30">
        <f ca="1"/>
        <v>205.98204070952488</v>
      </c>
      <c r="FX30">
        <f ca="1"/>
        <v>207.28161194428532</v>
      </c>
      <c r="FY30">
        <f ca="1"/>
        <v>208.58118317904569</v>
      </c>
      <c r="FZ30">
        <f ca="1"/>
        <v>209.88075441380613</v>
      </c>
      <c r="GA30">
        <f ca="1"/>
        <v>211.23230849795692</v>
      </c>
      <c r="GB30">
        <f ca="1"/>
        <v>212.63584543149818</v>
      </c>
      <c r="GC30">
        <f ca="1"/>
        <v>214.03938236503944</v>
      </c>
      <c r="GD30">
        <f ca="1"/>
        <v>215.44291929858065</v>
      </c>
      <c r="GE30">
        <f ca="1"/>
        <v>216.84645623212191</v>
      </c>
      <c r="GF30">
        <f ca="1"/>
        <v>218.24999316566317</v>
      </c>
      <c r="GG30">
        <f ca="1"/>
        <v>219.65353009920437</v>
      </c>
      <c r="GH30">
        <f ca="1"/>
        <v>221.05706703274564</v>
      </c>
      <c r="GI30">
        <f ca="1"/>
        <v>222.4606039662869</v>
      </c>
      <c r="GJ30">
        <f ca="1"/>
        <v>223.8641408998281</v>
      </c>
      <c r="GK30">
        <f ca="1"/>
        <v>225.26767783336936</v>
      </c>
      <c r="GL30">
        <f ca="1"/>
        <v>226.67121476691062</v>
      </c>
      <c r="GM30">
        <f ca="1"/>
        <v>228.1308931777935</v>
      </c>
      <c r="GN30">
        <f ca="1"/>
        <v>229.64671306601804</v>
      </c>
      <c r="GO30">
        <f ca="1"/>
        <v>231.16253295424258</v>
      </c>
      <c r="GP30">
        <f ca="1"/>
        <v>232.67835284246712</v>
      </c>
      <c r="GQ30">
        <f ca="1"/>
        <v>234.19417273069166</v>
      </c>
      <c r="GR30">
        <f ca="1"/>
        <v>235.7099926189162</v>
      </c>
      <c r="GS30">
        <f ca="1"/>
        <v>237.22581250714074</v>
      </c>
      <c r="GT30">
        <f ca="1"/>
        <v>238.74163239536531</v>
      </c>
      <c r="GU30">
        <f ca="1"/>
        <v>240.25745228358986</v>
      </c>
      <c r="GV30">
        <f ca="1"/>
        <v>241.7732721718144</v>
      </c>
      <c r="GW30">
        <f ca="1"/>
        <v>243.28909206003894</v>
      </c>
      <c r="GX30">
        <f ca="1"/>
        <v>244.80491194826348</v>
      </c>
      <c r="GY30">
        <f ca="1"/>
        <v>246.38136463201701</v>
      </c>
      <c r="GZ30">
        <f ca="1"/>
        <v>248.0184501112995</v>
      </c>
      <c r="HA30">
        <f ca="1"/>
        <v>249.65553559058202</v>
      </c>
      <c r="HB30">
        <f ca="1"/>
        <v>251.29262106986454</v>
      </c>
      <c r="HC30">
        <f ca="1"/>
        <v>252.92970654914703</v>
      </c>
      <c r="HD30">
        <f ca="1"/>
        <v>254.56679202842952</v>
      </c>
      <c r="HE30">
        <f ca="1"/>
        <v>256.20387750771204</v>
      </c>
      <c r="HF30">
        <f ca="1"/>
        <v>257.84096298699455</v>
      </c>
      <c r="HG30">
        <f ca="1"/>
        <v>259.47804846627707</v>
      </c>
      <c r="HH30">
        <f ca="1"/>
        <v>261.11513394555959</v>
      </c>
      <c r="HI30">
        <f ca="1"/>
        <v>262.75221942484205</v>
      </c>
      <c r="HJ30">
        <f ca="1"/>
        <v>264.38930490412457</v>
      </c>
      <c r="HK30">
        <f ca="1"/>
        <v>266.09187380257839</v>
      </c>
      <c r="HL30">
        <f ca="1"/>
        <v>267.85992612020351</v>
      </c>
      <c r="HM30">
        <f ca="1"/>
        <v>269.62797843782857</v>
      </c>
      <c r="HN30">
        <f ca="1"/>
        <v>271.39603075545369</v>
      </c>
      <c r="HO30">
        <f ca="1"/>
        <v>273.16408307307881</v>
      </c>
      <c r="HP30">
        <f ca="1"/>
        <v>274.93213539070393</v>
      </c>
      <c r="HQ30">
        <f ca="1"/>
        <v>276.700187708329</v>
      </c>
      <c r="HR30">
        <f ca="1"/>
        <v>278.46824002595412</v>
      </c>
      <c r="HS30">
        <f ca="1"/>
        <v>280.23629234357924</v>
      </c>
      <c r="HT30">
        <f ca="1"/>
        <v>282.00434466120436</v>
      </c>
      <c r="HU30">
        <f ca="1"/>
        <v>283.77239697882942</v>
      </c>
      <c r="HV30">
        <f ca="1"/>
        <v>285.54044929645454</v>
      </c>
      <c r="HW30">
        <f ca="1"/>
        <v>287.37922370678467</v>
      </c>
      <c r="HX30">
        <f ca="1"/>
        <v>289.28872020981976</v>
      </c>
      <c r="HY30">
        <f ca="1"/>
        <v>291.1982167128549</v>
      </c>
      <c r="HZ30">
        <f ca="1"/>
        <v>293.10771321589004</v>
      </c>
      <c r="IA30">
        <f ca="1"/>
        <v>295.01720971892513</v>
      </c>
      <c r="IB30">
        <f ca="1"/>
        <v>296.92670622196022</v>
      </c>
      <c r="IC30">
        <f ca="1"/>
        <v>298.83620272499536</v>
      </c>
      <c r="ID30">
        <f ca="1"/>
        <v>300.7456992280305</v>
      </c>
      <c r="IE30">
        <f ca="1"/>
        <v>302.65519573106565</v>
      </c>
      <c r="IF30">
        <f ca="1"/>
        <v>304.56469223410073</v>
      </c>
      <c r="IG30">
        <f ca="1"/>
        <v>306.47418873713582</v>
      </c>
      <c r="IH30">
        <f ca="1"/>
        <v>308.38368524017096</v>
      </c>
      <c r="II30">
        <f ca="1"/>
        <v>310.3695616033275</v>
      </c>
      <c r="IJ30">
        <f ca="1"/>
        <v>312.43181782660542</v>
      </c>
      <c r="IK30">
        <f ca="1"/>
        <v>314.49407404988335</v>
      </c>
      <c r="IL30">
        <f ca="1"/>
        <v>316.55633027316128</v>
      </c>
      <c r="IM30">
        <f ca="1"/>
        <v>318.61858649643921</v>
      </c>
      <c r="IN30">
        <f ca="1"/>
        <v>320.68084271971713</v>
      </c>
      <c r="IO30">
        <f ca="1"/>
        <v>322.74309894299506</v>
      </c>
      <c r="IP30">
        <f ca="1"/>
        <v>324.80535516627299</v>
      </c>
      <c r="IQ30">
        <f ca="1"/>
        <v>326.86761138955092</v>
      </c>
      <c r="IR30">
        <f ca="1"/>
        <v>328.92986761282884</v>
      </c>
      <c r="IS30">
        <f ca="1"/>
        <v>330.99212383610677</v>
      </c>
      <c r="IT30">
        <f ca="1"/>
        <v>333.0543800593847</v>
      </c>
      <c r="IU30">
        <f ca="1"/>
        <v>335.19912653159372</v>
      </c>
      <c r="IV30">
        <f ca="1"/>
        <v>337.42636325273395</v>
      </c>
      <c r="IW30">
        <f ca="1"/>
        <v>339.65359997387407</v>
      </c>
      <c r="IX30">
        <f ca="1"/>
        <v>341.88083669501418</v>
      </c>
      <c r="IY30">
        <f ca="1"/>
        <v>344.10807341615441</v>
      </c>
      <c r="IZ30">
        <f ca="1"/>
        <v>346.33531013729453</v>
      </c>
      <c r="JA30">
        <f ca="1"/>
        <v>348.56254685843464</v>
      </c>
      <c r="JB30">
        <f ca="1"/>
        <v>350.78978357957487</v>
      </c>
      <c r="JC30">
        <f ca="1"/>
        <v>353.01702030071499</v>
      </c>
      <c r="JD30">
        <f ca="1"/>
        <v>355.24425702185522</v>
      </c>
      <c r="JE30">
        <f ca="1"/>
        <v>357.47149374299534</v>
      </c>
      <c r="JF30">
        <f ca="1"/>
        <v>359.69873046413545</v>
      </c>
      <c r="JG30">
        <f ca="1"/>
        <v>362.01505665412128</v>
      </c>
      <c r="JH30">
        <f ca="1"/>
        <v>364.4204723129526</v>
      </c>
      <c r="JI30">
        <f ca="1"/>
        <v>366.82588797178403</v>
      </c>
      <c r="JJ30">
        <f ca="1"/>
        <v>369.23130363061534</v>
      </c>
      <c r="JK30">
        <f ca="1"/>
        <v>371.63671928944677</v>
      </c>
      <c r="JL30">
        <f ca="1"/>
        <v>374.04213494827809</v>
      </c>
      <c r="JM30">
        <f ca="1"/>
        <v>376.44755060710952</v>
      </c>
      <c r="JN30">
        <f ca="1"/>
        <v>378.85296626594084</v>
      </c>
      <c r="JO30">
        <f ca="1"/>
        <v>381.25838192477227</v>
      </c>
      <c r="JP30">
        <f ca="1"/>
        <v>383.66379758360358</v>
      </c>
      <c r="JQ30">
        <f ca="1"/>
        <v>386.06921324243501</v>
      </c>
      <c r="JR30">
        <f ca="1"/>
        <v>388.47462890126633</v>
      </c>
      <c r="JS30">
        <f ca="1"/>
        <v>390.97626118645098</v>
      </c>
      <c r="JT30">
        <f ca="1"/>
        <v>393.57411009798886</v>
      </c>
      <c r="JU30">
        <f ca="1"/>
        <v>396.17195900952674</v>
      </c>
      <c r="JV30">
        <f ca="1"/>
        <v>398.76980792106463</v>
      </c>
      <c r="JW30">
        <f ca="1"/>
        <v>401.36765683260251</v>
      </c>
      <c r="JX30">
        <f ca="1"/>
        <v>403.96550574414039</v>
      </c>
      <c r="JY30">
        <f ca="1"/>
        <v>406.56335465567832</v>
      </c>
      <c r="JZ30">
        <f ca="1"/>
        <v>409.16120356721621</v>
      </c>
      <c r="KA30">
        <f ca="1"/>
        <v>411.75905247875409</v>
      </c>
      <c r="KB30">
        <f ca="1"/>
        <v>414.35690139029197</v>
      </c>
      <c r="KC30">
        <f ca="1"/>
        <v>416.95475030182985</v>
      </c>
      <c r="KD30">
        <f ca="1"/>
        <v>419.55259921336773</v>
      </c>
      <c r="KE30">
        <f ca="1"/>
        <v>422.25436208136716</v>
      </c>
      <c r="KF30">
        <f ca="1"/>
        <v>425.06003890582804</v>
      </c>
      <c r="KG30">
        <f ca="1"/>
        <v>427.86571573028891</v>
      </c>
      <c r="KH30">
        <f ca="1"/>
        <v>430.6713925547499</v>
      </c>
      <c r="KI30">
        <f ca="1"/>
        <v>433.47706937921077</v>
      </c>
      <c r="KJ30">
        <f ca="1"/>
        <v>436.28274620367165</v>
      </c>
      <c r="KK30">
        <f ca="1"/>
        <v>439.08842302813264</v>
      </c>
      <c r="KL30">
        <f ca="1"/>
        <v>441.89409985259351</v>
      </c>
      <c r="KM30">
        <f ca="1"/>
        <v>444.69977667705439</v>
      </c>
      <c r="KN30">
        <f ca="1"/>
        <v>447.50545350151538</v>
      </c>
      <c r="KO30">
        <f ca="1"/>
        <v>450.31113032597625</v>
      </c>
      <c r="KP30">
        <f ca="1"/>
        <v>453.11680715043713</v>
      </c>
      <c r="KQ30">
        <f ca="1"/>
        <v>456.0347110478765</v>
      </c>
      <c r="KR30">
        <f ca="1"/>
        <v>459.06484201829426</v>
      </c>
      <c r="KS30">
        <f ca="1"/>
        <v>462.09497298871213</v>
      </c>
      <c r="KT30">
        <f ca="1"/>
        <v>465.12510395912989</v>
      </c>
      <c r="KU30">
        <f ca="1"/>
        <v>468.15523492954765</v>
      </c>
      <c r="KV30">
        <f ca="1"/>
        <v>471.1853658999654</v>
      </c>
      <c r="KW30">
        <f ca="1"/>
        <v>474.21549687038328</v>
      </c>
      <c r="KX30">
        <f ca="1"/>
        <v>477.24562784080103</v>
      </c>
      <c r="KY30">
        <f ca="1"/>
        <v>480.27575881121879</v>
      </c>
      <c r="KZ30">
        <f ca="1"/>
        <v>483.30588978163655</v>
      </c>
      <c r="LA30">
        <f ca="1"/>
        <v>486.33602075205442</v>
      </c>
      <c r="LB30">
        <f ca="1"/>
        <v>489.36615172247218</v>
      </c>
      <c r="LC30">
        <f ca="1"/>
        <v>492.51748793170668</v>
      </c>
      <c r="LD30">
        <f ca="1"/>
        <v>495.79002937975787</v>
      </c>
      <c r="LE30">
        <f ca="1"/>
        <v>499.06257082780905</v>
      </c>
      <c r="LF30">
        <f ca="1"/>
        <v>502.3351122758603</v>
      </c>
      <c r="LG30">
        <f ca="1"/>
        <v>505.60765372391148</v>
      </c>
      <c r="LH30">
        <f ca="1"/>
        <v>508.88019517196267</v>
      </c>
      <c r="LI30">
        <f ca="1"/>
        <v>512.15273662001391</v>
      </c>
      <c r="LJ30">
        <f ca="1"/>
        <v>515.42527806806515</v>
      </c>
      <c r="LK30">
        <f ca="1"/>
        <v>518.69781951611628</v>
      </c>
      <c r="LL30">
        <f ca="1"/>
        <v>521.97036096416753</v>
      </c>
      <c r="LM30">
        <f ca="1"/>
        <v>525.24290241221865</v>
      </c>
      <c r="LN30">
        <f ca="1"/>
        <v>528.5154438602699</v>
      </c>
      <c r="LO30">
        <f ca="1"/>
        <v>531.91888696624324</v>
      </c>
      <c r="LP30">
        <f ca="1"/>
        <v>535.45323173013844</v>
      </c>
      <c r="LQ30">
        <f ca="1"/>
        <v>538.98757649403387</v>
      </c>
      <c r="LR30">
        <f ca="1"/>
        <v>542.52192125792908</v>
      </c>
      <c r="LS30">
        <f ca="1"/>
        <v>546.05626602182451</v>
      </c>
      <c r="LT30">
        <f ca="1"/>
        <v>549.59061078571972</v>
      </c>
      <c r="LU30">
        <f ca="1"/>
        <v>553.12495554961492</v>
      </c>
      <c r="LV30">
        <f ca="1"/>
        <v>556.65930031351036</v>
      </c>
      <c r="LW30">
        <f ca="1"/>
        <v>560.19364507740556</v>
      </c>
      <c r="LX30">
        <f ca="1"/>
        <v>563.727989841301</v>
      </c>
      <c r="LY30">
        <f ca="1"/>
        <v>567.2623346051962</v>
      </c>
      <c r="LZ30">
        <f ca="1"/>
        <v>570.79667936909163</v>
      </c>
      <c r="MA30">
        <f ca="1"/>
        <v>574.47239792354276</v>
      </c>
      <c r="MB30">
        <f ca="1"/>
        <v>578.28949026854957</v>
      </c>
      <c r="MC30">
        <f ca="1"/>
        <v>582.10658261355661</v>
      </c>
      <c r="MD30">
        <f ca="1"/>
        <v>585.92367495856342</v>
      </c>
      <c r="ME30">
        <f ca="1"/>
        <v>589.74076730357046</v>
      </c>
      <c r="MF30">
        <f ca="1"/>
        <v>593.55785964857728</v>
      </c>
      <c r="MG30">
        <f ca="1"/>
        <v>597.37495199358432</v>
      </c>
      <c r="MH30">
        <f ca="1"/>
        <v>601.19204433859113</v>
      </c>
      <c r="MI30">
        <f ca="1"/>
        <v>605.00913668359817</v>
      </c>
      <c r="MJ30">
        <f ca="1"/>
        <v>608.82622902860498</v>
      </c>
      <c r="MK30">
        <f ca="1"/>
        <v>612.64332137361203</v>
      </c>
      <c r="ML30">
        <f ca="1"/>
        <v>616.46041371861884</v>
      </c>
      <c r="MM30">
        <f ca="1"/>
        <v>620.43018975742609</v>
      </c>
      <c r="MN30">
        <f ca="1"/>
        <v>624.55264949003356</v>
      </c>
      <c r="MO30">
        <f ca="1"/>
        <v>628.67510922264114</v>
      </c>
      <c r="MP30">
        <f ca="1"/>
        <v>632.79756895524861</v>
      </c>
      <c r="MQ30">
        <f ca="1"/>
        <v>636.92002868785607</v>
      </c>
      <c r="MR30">
        <f ca="1"/>
        <v>641.04248842046354</v>
      </c>
      <c r="MS30">
        <f ca="1"/>
        <v>645.16494815307112</v>
      </c>
      <c r="MT30">
        <f ca="1"/>
        <v>649.28740788567859</v>
      </c>
      <c r="MU30">
        <f ca="1"/>
        <v>653.40986761828606</v>
      </c>
      <c r="MV30">
        <f ca="1"/>
        <v>657.53232735089352</v>
      </c>
      <c r="MW30">
        <f ca="1"/>
        <v>661.65478708350111</v>
      </c>
      <c r="MX30">
        <f ca="1"/>
        <v>665.77724681610857</v>
      </c>
      <c r="MY30">
        <f ca="1"/>
        <v>670.06460493802035</v>
      </c>
      <c r="MZ30">
        <f ca="1"/>
        <v>674.51686144923644</v>
      </c>
      <c r="NA30">
        <f ca="1"/>
        <v>678.96911796045254</v>
      </c>
      <c r="NB30">
        <f ca="1"/>
        <v>683.42137447166863</v>
      </c>
      <c r="NC30">
        <f ca="1"/>
        <v>687.87363098288472</v>
      </c>
      <c r="ND30">
        <f ca="1"/>
        <v>692.32588749410081</v>
      </c>
      <c r="NE30">
        <f ca="1"/>
        <v>696.7781440053169</v>
      </c>
      <c r="NF30">
        <f ca="1"/>
        <v>701.230400516533</v>
      </c>
      <c r="NG30">
        <f ca="1"/>
        <v>705.68265702774909</v>
      </c>
      <c r="NH30">
        <f ca="1"/>
        <v>710.13491353896518</v>
      </c>
      <c r="NI30">
        <f ca="1"/>
        <v>714.58717005018127</v>
      </c>
      <c r="NJ30">
        <f ca="1"/>
        <v>719.03942656139736</v>
      </c>
      <c r="NK30">
        <f ca="1"/>
        <v>723.66977333306204</v>
      </c>
      <c r="NL30">
        <f ca="1"/>
        <v>728.47821036517553</v>
      </c>
      <c r="NM30">
        <f ca="1"/>
        <v>733.28664739728879</v>
      </c>
      <c r="NN30">
        <f ca="1"/>
        <v>738.09508442940228</v>
      </c>
      <c r="NO30">
        <f ca="1"/>
        <v>742.90352146151554</v>
      </c>
      <c r="NP30">
        <f ca="1"/>
        <v>747.71195849362903</v>
      </c>
      <c r="NQ30">
        <f ca="1"/>
        <v>752.52039552574229</v>
      </c>
      <c r="NR30">
        <f ca="1"/>
        <v>757.32883255785578</v>
      </c>
      <c r="NS30">
        <f ca="1"/>
        <v>762.13726958996904</v>
      </c>
      <c r="NT30">
        <f ca="1"/>
        <v>766.94570662208253</v>
      </c>
      <c r="NU30">
        <f ca="1"/>
        <v>771.75414365419579</v>
      </c>
      <c r="NV30">
        <f ca="1"/>
        <v>776.56258068630927</v>
      </c>
      <c r="NW30">
        <f ca="1"/>
        <v>781.56335519970708</v>
      </c>
      <c r="NX30">
        <f ca="1"/>
        <v>786.75646719438964</v>
      </c>
      <c r="NY30">
        <f ca="1"/>
        <v>791.94957918907198</v>
      </c>
      <c r="NZ30">
        <f ca="1"/>
        <v>797.14269118375455</v>
      </c>
      <c r="OA30">
        <f ca="1"/>
        <v>802.33580317843689</v>
      </c>
      <c r="OB30">
        <f ca="1"/>
        <v>807.52891517311934</v>
      </c>
      <c r="OC30">
        <f ca="1"/>
        <v>812.7220271678018</v>
      </c>
      <c r="OD30">
        <f ca="1"/>
        <v>817.91513916248414</v>
      </c>
      <c r="OE30">
        <f ca="1"/>
        <v>823.10825115716671</v>
      </c>
      <c r="OF30">
        <f ca="1"/>
        <v>828.30136315184905</v>
      </c>
      <c r="OG30">
        <f ca="1"/>
        <v>833.49447514653161</v>
      </c>
      <c r="OH30">
        <f ca="1"/>
        <v>838.68758714121395</v>
      </c>
      <c r="OI30">
        <f ca="1"/>
        <v>844.08842361568372</v>
      </c>
      <c r="OJ30">
        <f ca="1"/>
        <v>849.69698456994081</v>
      </c>
      <c r="OK30">
        <f ca="1"/>
        <v>855.3055455241979</v>
      </c>
      <c r="OL30">
        <f ca="1"/>
        <v>860.91410647845487</v>
      </c>
      <c r="OM30">
        <f ca="1"/>
        <v>866.52266743271184</v>
      </c>
      <c r="ON30">
        <f ca="1"/>
        <v>872.13122838696904</v>
      </c>
      <c r="OO30">
        <f ca="1"/>
        <v>877.73978934122601</v>
      </c>
      <c r="OP30">
        <f ca="1"/>
        <v>883.34835029548299</v>
      </c>
      <c r="OQ30">
        <f ca="1"/>
        <v>888.95691124974007</v>
      </c>
      <c r="OR30">
        <f ca="1"/>
        <v>894.56547220399716</v>
      </c>
      <c r="OS30">
        <f ca="1"/>
        <v>900.17403315825413</v>
      </c>
      <c r="OT30">
        <f ca="1"/>
        <v>905.78259411251111</v>
      </c>
      <c r="OU30">
        <f ca="1"/>
        <v>911.6154975049385</v>
      </c>
      <c r="OV30">
        <f ca="1"/>
        <v>917.6727433355361</v>
      </c>
      <c r="OW30">
        <f ca="1"/>
        <v>923.72998916613369</v>
      </c>
      <c r="OX30">
        <f ca="1"/>
        <v>929.78723499673129</v>
      </c>
      <c r="OY30">
        <f ca="1"/>
        <v>935.84448082732888</v>
      </c>
      <c r="OZ30">
        <f ca="1"/>
        <v>941.90172665792647</v>
      </c>
      <c r="PA30">
        <f ca="1"/>
        <v>947.95897248852418</v>
      </c>
      <c r="PB30">
        <f ca="1"/>
        <v>954.01621831912178</v>
      </c>
      <c r="PC30">
        <f ca="1"/>
        <v>960.07346414971937</v>
      </c>
      <c r="PD30">
        <f ca="1"/>
        <v>966.13070998031696</v>
      </c>
      <c r="PE30">
        <f ca="1"/>
        <v>972.18795581091456</v>
      </c>
      <c r="PF30">
        <f ca="1"/>
        <v>978.24520164151215</v>
      </c>
      <c r="PG30">
        <f ca="1"/>
        <v>984.54473730533368</v>
      </c>
      <c r="PH30">
        <f ca="1"/>
        <v>991.08656280237915</v>
      </c>
      <c r="PI30">
        <f ca="1"/>
        <v>997.62838829942439</v>
      </c>
      <c r="PJ30">
        <f ca="1"/>
        <v>1004.1702137964699</v>
      </c>
      <c r="PK30">
        <f ca="1"/>
        <v>1010.7120392935153</v>
      </c>
      <c r="PL30">
        <f ca="1"/>
        <v>1017.2538647905608</v>
      </c>
      <c r="PM30">
        <f ca="1"/>
        <v>1023.795690287606</v>
      </c>
      <c r="PN30">
        <f ca="1"/>
        <v>1030.3375157846515</v>
      </c>
      <c r="PO30">
        <f ca="1"/>
        <v>1036.879341281697</v>
      </c>
      <c r="PP30">
        <f ca="1"/>
        <v>1043.4211667787422</v>
      </c>
      <c r="PQ30">
        <f ca="1"/>
        <v>1049.9629922757877</v>
      </c>
      <c r="PR30">
        <f ca="1"/>
        <v>1056.5048177728331</v>
      </c>
      <c r="PS30">
        <f ca="1"/>
        <v>1063.3083162897603</v>
      </c>
      <c r="PT30">
        <f ca="1"/>
        <v>1070.3734878265695</v>
      </c>
      <c r="PU30">
        <f ca="1"/>
        <v>1077.4386593633785</v>
      </c>
      <c r="PV30">
        <f ca="1"/>
        <v>1084.5038309001875</v>
      </c>
      <c r="PW30">
        <f ca="1"/>
        <v>1091.5690024369965</v>
      </c>
      <c r="PX30">
        <f ca="1"/>
        <v>1098.6341739738057</v>
      </c>
      <c r="PY30">
        <f ca="1"/>
        <v>1105.6993455106146</v>
      </c>
      <c r="PZ30">
        <f ca="1"/>
        <v>1112.7645170474239</v>
      </c>
      <c r="QA30">
        <f ca="1"/>
        <v>1119.8296885842328</v>
      </c>
      <c r="QB30">
        <f ca="1"/>
        <v>1126.8948601210418</v>
      </c>
      <c r="QC30">
        <f ca="1"/>
        <v>1133.9600316578508</v>
      </c>
      <c r="QD30">
        <f ca="1"/>
        <v>1141.02520319466</v>
      </c>
      <c r="QE30">
        <f ca="1"/>
        <v>1148.3729815929414</v>
      </c>
      <c r="QF30">
        <f ca="1"/>
        <v>1156.0033668526951</v>
      </c>
      <c r="QG30">
        <f ca="1"/>
        <v>1163.6337521124487</v>
      </c>
      <c r="QH30">
        <f ca="1"/>
        <v>1171.2641373722026</v>
      </c>
      <c r="QI30">
        <f ca="1"/>
        <v>1178.8945226319565</v>
      </c>
      <c r="QJ30">
        <f ca="1"/>
        <v>1186.52490789171</v>
      </c>
      <c r="QK30">
        <f ca="1"/>
        <v>1194.1552931514639</v>
      </c>
      <c r="QL30">
        <f ca="1"/>
        <v>1201.7856784112178</v>
      </c>
      <c r="QM30">
        <f ca="1"/>
        <v>1209.4160636709714</v>
      </c>
      <c r="QN30">
        <f ca="1"/>
        <v>1217.0464489307251</v>
      </c>
      <c r="QO30">
        <f ca="1"/>
        <v>1224.676834190479</v>
      </c>
      <c r="QP30">
        <f ca="1"/>
        <v>1232.3072194502329</v>
      </c>
      <c r="QQ30">
        <f ca="1"/>
        <v>1240.2428201203766</v>
      </c>
      <c r="QR30">
        <f ca="1"/>
        <v>1248.4836362009107</v>
      </c>
      <c r="QS30">
        <f ca="1"/>
        <v>1256.7244522814449</v>
      </c>
      <c r="QT30">
        <f ca="1"/>
        <v>1264.9652683619788</v>
      </c>
      <c r="QU30">
        <f ca="1"/>
        <v>1273.2060844425127</v>
      </c>
      <c r="QV30">
        <f ca="1"/>
        <v>1281.4469005230469</v>
      </c>
      <c r="QW30">
        <f ca="1"/>
        <v>1289.6877166035811</v>
      </c>
      <c r="QX30">
        <f ca="1"/>
        <v>1297.928532684115</v>
      </c>
      <c r="QY30">
        <f ca="1"/>
        <v>1306.1693487646492</v>
      </c>
      <c r="QZ30">
        <f ca="1"/>
        <v>1314.4101648451833</v>
      </c>
      <c r="RA30">
        <f ca="1"/>
        <v>1322.6509809257172</v>
      </c>
      <c r="RB30">
        <f ca="1"/>
        <v>1330.8917970062512</v>
      </c>
      <c r="RC30">
        <f ca="1"/>
        <v>1339.4622457300068</v>
      </c>
      <c r="RD30">
        <f ca="1"/>
        <v>1348.3623270969836</v>
      </c>
      <c r="RE30">
        <f ca="1"/>
        <v>1357.2624084639604</v>
      </c>
      <c r="RF30">
        <f ca="1"/>
        <v>1366.1624898309371</v>
      </c>
      <c r="RG30">
        <f ca="1"/>
        <v>1375.0625711979139</v>
      </c>
      <c r="RH30">
        <f ca="1"/>
        <v>1383.9626525648907</v>
      </c>
      <c r="RI30">
        <f ca="1"/>
        <v>1392.8627339318675</v>
      </c>
      <c r="RJ30">
        <f ca="1"/>
        <v>1401.7628152988443</v>
      </c>
      <c r="RK30">
        <f ca="1"/>
        <v>1410.6628966658211</v>
      </c>
      <c r="RL30">
        <f ca="1"/>
        <v>1419.5629780327979</v>
      </c>
      <c r="RM30">
        <f ca="1"/>
        <v>1428.4630593997747</v>
      </c>
      <c r="RN30">
        <f ca="1"/>
        <v>1437.3631407667515</v>
      </c>
      <c r="RO30">
        <f ca="1"/>
        <v>1446.6192253884074</v>
      </c>
      <c r="RP30">
        <f ca="1"/>
        <v>1456.2313132647423</v>
      </c>
      <c r="RQ30">
        <f ca="1"/>
        <v>1465.8434011410773</v>
      </c>
      <c r="RR30">
        <f ca="1"/>
        <v>1475.4554890174122</v>
      </c>
      <c r="RS30">
        <f ca="1"/>
        <v>1485.0675768937472</v>
      </c>
      <c r="RT30">
        <f ca="1"/>
        <v>1494.6796647700821</v>
      </c>
      <c r="RU30">
        <f ca="1"/>
        <v>1504.2917526464171</v>
      </c>
      <c r="RV30">
        <f ca="1"/>
        <v>1513.9038405227518</v>
      </c>
      <c r="RW30">
        <f ca="1"/>
        <v>1523.5159283990868</v>
      </c>
      <c r="RX30">
        <f ca="1"/>
        <v>1533.1280162754217</v>
      </c>
      <c r="RY30">
        <f ca="1"/>
        <v>1542.7401041517567</v>
      </c>
      <c r="RZ30">
        <f ca="1"/>
        <v>1552.3521920280916</v>
      </c>
    </row>
    <row r="33" spans="1:494" x14ac:dyDescent="0.3">
      <c r="A33" s="304" t="e" vm="2">
        <v>#VALUE!</v>
      </c>
      <c r="B33" s="303" cm="1">
        <f t="array" aca="1" ref="B33" ca="1">_FV(A33,"Price")</f>
        <v>49.254800000000003</v>
      </c>
    </row>
    <row r="34" spans="1:494" x14ac:dyDescent="0.3">
      <c r="A34" t="s">
        <v>498</v>
      </c>
      <c r="B34" s="8">
        <f ca="1">TODAY()</f>
        <v>45993</v>
      </c>
    </row>
    <row r="35" spans="1:494" x14ac:dyDescent="0.3">
      <c r="A35" t="s">
        <v>499</v>
      </c>
      <c r="B35" s="8">
        <f>DATE((MAX(_xlfn.ANCHORARRAY(C1))),12,31)</f>
        <v>60997</v>
      </c>
    </row>
    <row r="36" spans="1:494" x14ac:dyDescent="0.3">
      <c r="A36" s="8" t="s">
        <v>492</v>
      </c>
      <c r="B36" s="8" cm="1">
        <f t="array" aca="1" ref="B36:RZ36" ca="1">EDATE(EOMONTH(B34,-1)+1,_xlfn.SEQUENCE(1,((YEAR(B35)-YEAR(B34))*12+(MONTH(B35)-MONTH(B34))+1),0))</f>
        <v>45992</v>
      </c>
      <c r="C36" s="8">
        <f ca="1"/>
        <v>46023</v>
      </c>
      <c r="D36" s="8">
        <f ca="1"/>
        <v>46054</v>
      </c>
      <c r="E36" s="8">
        <f ca="1"/>
        <v>46082</v>
      </c>
      <c r="F36" s="8">
        <f ca="1"/>
        <v>46113</v>
      </c>
      <c r="G36" s="8">
        <f ca="1"/>
        <v>46143</v>
      </c>
      <c r="H36" s="8">
        <f ca="1"/>
        <v>46174</v>
      </c>
      <c r="I36" s="8">
        <f ca="1"/>
        <v>46204</v>
      </c>
      <c r="J36" s="8">
        <f ca="1"/>
        <v>46235</v>
      </c>
      <c r="K36" s="8">
        <f ca="1"/>
        <v>46266</v>
      </c>
      <c r="L36" s="8">
        <f ca="1"/>
        <v>46296</v>
      </c>
      <c r="M36" s="8">
        <f ca="1"/>
        <v>46327</v>
      </c>
      <c r="N36" s="8">
        <f ca="1"/>
        <v>46357</v>
      </c>
      <c r="O36" s="8">
        <f ca="1"/>
        <v>46388</v>
      </c>
      <c r="P36" s="8">
        <f ca="1"/>
        <v>46419</v>
      </c>
      <c r="Q36" s="8">
        <f ca="1"/>
        <v>46447</v>
      </c>
      <c r="R36" s="8">
        <f ca="1"/>
        <v>46478</v>
      </c>
      <c r="S36" s="8">
        <f ca="1"/>
        <v>46508</v>
      </c>
      <c r="T36" s="8">
        <f ca="1"/>
        <v>46539</v>
      </c>
      <c r="U36" s="8">
        <f ca="1"/>
        <v>46569</v>
      </c>
      <c r="V36" s="8">
        <f ca="1"/>
        <v>46600</v>
      </c>
      <c r="W36" s="8">
        <f ca="1"/>
        <v>46631</v>
      </c>
      <c r="X36" s="8">
        <f ca="1"/>
        <v>46661</v>
      </c>
      <c r="Y36" s="8">
        <f ca="1"/>
        <v>46692</v>
      </c>
      <c r="Z36" s="8">
        <f ca="1"/>
        <v>46722</v>
      </c>
      <c r="AA36" s="8">
        <f ca="1"/>
        <v>46753</v>
      </c>
      <c r="AB36" s="8">
        <f ca="1"/>
        <v>46784</v>
      </c>
      <c r="AC36" s="8">
        <f ca="1"/>
        <v>46813</v>
      </c>
      <c r="AD36" s="8">
        <f ca="1"/>
        <v>46844</v>
      </c>
      <c r="AE36" s="8">
        <f ca="1"/>
        <v>46874</v>
      </c>
      <c r="AF36" s="8">
        <f ca="1"/>
        <v>46905</v>
      </c>
      <c r="AG36" s="8">
        <f ca="1"/>
        <v>46935</v>
      </c>
      <c r="AH36" s="8">
        <f ca="1"/>
        <v>46966</v>
      </c>
      <c r="AI36" s="8">
        <f ca="1"/>
        <v>46997</v>
      </c>
      <c r="AJ36" s="8">
        <f ca="1"/>
        <v>47027</v>
      </c>
      <c r="AK36" s="8">
        <f ca="1"/>
        <v>47058</v>
      </c>
      <c r="AL36" s="8">
        <f ca="1"/>
        <v>47088</v>
      </c>
      <c r="AM36" s="8">
        <f ca="1"/>
        <v>47119</v>
      </c>
      <c r="AN36" s="8">
        <f ca="1"/>
        <v>47150</v>
      </c>
      <c r="AO36" s="8">
        <f ca="1"/>
        <v>47178</v>
      </c>
      <c r="AP36" s="8">
        <f ca="1"/>
        <v>47209</v>
      </c>
      <c r="AQ36" s="8">
        <f ca="1"/>
        <v>47239</v>
      </c>
      <c r="AR36" s="8">
        <f ca="1"/>
        <v>47270</v>
      </c>
      <c r="AS36" s="8">
        <f ca="1"/>
        <v>47300</v>
      </c>
      <c r="AT36" s="8">
        <f ca="1"/>
        <v>47331</v>
      </c>
      <c r="AU36" s="8">
        <f ca="1"/>
        <v>47362</v>
      </c>
      <c r="AV36" s="8">
        <f ca="1"/>
        <v>47392</v>
      </c>
      <c r="AW36" s="8">
        <f ca="1"/>
        <v>47423</v>
      </c>
      <c r="AX36" s="8">
        <f ca="1"/>
        <v>47453</v>
      </c>
      <c r="AY36" s="8">
        <f ca="1"/>
        <v>47484</v>
      </c>
      <c r="AZ36" s="8">
        <f ca="1"/>
        <v>47515</v>
      </c>
      <c r="BA36" s="8">
        <f ca="1"/>
        <v>47543</v>
      </c>
      <c r="BB36" s="8">
        <f ca="1"/>
        <v>47574</v>
      </c>
      <c r="BC36" s="8">
        <f ca="1"/>
        <v>47604</v>
      </c>
      <c r="BD36" s="8">
        <f ca="1"/>
        <v>47635</v>
      </c>
      <c r="BE36" s="8">
        <f ca="1"/>
        <v>47665</v>
      </c>
      <c r="BF36" s="8">
        <f ca="1"/>
        <v>47696</v>
      </c>
      <c r="BG36" s="8">
        <f ca="1"/>
        <v>47727</v>
      </c>
      <c r="BH36" s="8">
        <f ca="1"/>
        <v>47757</v>
      </c>
      <c r="BI36" s="8">
        <f ca="1"/>
        <v>47788</v>
      </c>
      <c r="BJ36" s="8">
        <f ca="1"/>
        <v>47818</v>
      </c>
      <c r="BK36" s="8">
        <f ca="1"/>
        <v>47849</v>
      </c>
      <c r="BL36" s="8">
        <f ca="1"/>
        <v>47880</v>
      </c>
      <c r="BM36" s="8">
        <f ca="1"/>
        <v>47908</v>
      </c>
      <c r="BN36" s="8">
        <f ca="1"/>
        <v>47939</v>
      </c>
      <c r="BO36" s="8">
        <f ca="1"/>
        <v>47969</v>
      </c>
      <c r="BP36" s="8">
        <f ca="1"/>
        <v>48000</v>
      </c>
      <c r="BQ36" s="8">
        <f ca="1"/>
        <v>48030</v>
      </c>
      <c r="BR36" s="8">
        <f ca="1"/>
        <v>48061</v>
      </c>
      <c r="BS36" s="8">
        <f ca="1"/>
        <v>48092</v>
      </c>
      <c r="BT36" s="8">
        <f ca="1"/>
        <v>48122</v>
      </c>
      <c r="BU36" s="8">
        <f ca="1"/>
        <v>48153</v>
      </c>
      <c r="BV36" s="8">
        <f ca="1"/>
        <v>48183</v>
      </c>
      <c r="BW36" s="8">
        <f ca="1"/>
        <v>48214</v>
      </c>
      <c r="BX36" s="8">
        <f ca="1"/>
        <v>48245</v>
      </c>
      <c r="BY36" s="8">
        <f ca="1"/>
        <v>48274</v>
      </c>
      <c r="BZ36" s="8">
        <f ca="1"/>
        <v>48305</v>
      </c>
      <c r="CA36" s="8">
        <f ca="1"/>
        <v>48335</v>
      </c>
      <c r="CB36" s="8">
        <f ca="1"/>
        <v>48366</v>
      </c>
      <c r="CC36" s="8">
        <f ca="1"/>
        <v>48396</v>
      </c>
      <c r="CD36" s="8">
        <f ca="1"/>
        <v>48427</v>
      </c>
      <c r="CE36" s="8">
        <f ca="1"/>
        <v>48458</v>
      </c>
      <c r="CF36" s="8">
        <f ca="1"/>
        <v>48488</v>
      </c>
      <c r="CG36" s="8">
        <f ca="1"/>
        <v>48519</v>
      </c>
      <c r="CH36" s="8">
        <f ca="1"/>
        <v>48549</v>
      </c>
      <c r="CI36" s="8">
        <f ca="1"/>
        <v>48580</v>
      </c>
      <c r="CJ36" s="8">
        <f ca="1"/>
        <v>48611</v>
      </c>
      <c r="CK36" s="8">
        <f ca="1"/>
        <v>48639</v>
      </c>
      <c r="CL36" s="8">
        <f ca="1"/>
        <v>48670</v>
      </c>
      <c r="CM36" s="8">
        <f ca="1"/>
        <v>48700</v>
      </c>
      <c r="CN36" s="8">
        <f ca="1"/>
        <v>48731</v>
      </c>
      <c r="CO36" s="8">
        <f ca="1"/>
        <v>48761</v>
      </c>
      <c r="CP36" s="8">
        <f ca="1"/>
        <v>48792</v>
      </c>
      <c r="CQ36" s="8">
        <f ca="1"/>
        <v>48823</v>
      </c>
      <c r="CR36" s="8">
        <f ca="1"/>
        <v>48853</v>
      </c>
      <c r="CS36" s="8">
        <f ca="1"/>
        <v>48884</v>
      </c>
      <c r="CT36" s="8">
        <f ca="1"/>
        <v>48914</v>
      </c>
      <c r="CU36" s="8">
        <f ca="1"/>
        <v>48945</v>
      </c>
      <c r="CV36" s="8">
        <f ca="1"/>
        <v>48976</v>
      </c>
      <c r="CW36" s="8">
        <f ca="1"/>
        <v>49004</v>
      </c>
      <c r="CX36" s="8">
        <f ca="1"/>
        <v>49035</v>
      </c>
      <c r="CY36" s="8">
        <f ca="1"/>
        <v>49065</v>
      </c>
      <c r="CZ36" s="8">
        <f ca="1"/>
        <v>49096</v>
      </c>
      <c r="DA36" s="8">
        <f ca="1"/>
        <v>49126</v>
      </c>
      <c r="DB36" s="8">
        <f ca="1"/>
        <v>49157</v>
      </c>
      <c r="DC36" s="8">
        <f ca="1"/>
        <v>49188</v>
      </c>
      <c r="DD36" s="8">
        <f ca="1"/>
        <v>49218</v>
      </c>
      <c r="DE36" s="8">
        <f ca="1"/>
        <v>49249</v>
      </c>
      <c r="DF36" s="8">
        <f ca="1"/>
        <v>49279</v>
      </c>
      <c r="DG36" s="8">
        <f ca="1"/>
        <v>49310</v>
      </c>
      <c r="DH36" s="8">
        <f ca="1"/>
        <v>49341</v>
      </c>
      <c r="DI36" s="8">
        <f ca="1"/>
        <v>49369</v>
      </c>
      <c r="DJ36" s="8">
        <f ca="1"/>
        <v>49400</v>
      </c>
      <c r="DK36" s="8">
        <f ca="1"/>
        <v>49430</v>
      </c>
      <c r="DL36" s="8">
        <f ca="1"/>
        <v>49461</v>
      </c>
      <c r="DM36" s="8">
        <f ca="1"/>
        <v>49491</v>
      </c>
      <c r="DN36" s="8">
        <f ca="1"/>
        <v>49522</v>
      </c>
      <c r="DO36" s="8">
        <f ca="1"/>
        <v>49553</v>
      </c>
      <c r="DP36" s="8">
        <f ca="1"/>
        <v>49583</v>
      </c>
      <c r="DQ36" s="8">
        <f ca="1"/>
        <v>49614</v>
      </c>
      <c r="DR36" s="8">
        <f ca="1"/>
        <v>49644</v>
      </c>
      <c r="DS36" s="8">
        <f ca="1"/>
        <v>49675</v>
      </c>
      <c r="DT36" s="8">
        <f ca="1"/>
        <v>49706</v>
      </c>
      <c r="DU36" s="8">
        <f ca="1"/>
        <v>49735</v>
      </c>
      <c r="DV36" s="8">
        <f ca="1"/>
        <v>49766</v>
      </c>
      <c r="DW36" s="8">
        <f ca="1"/>
        <v>49796</v>
      </c>
      <c r="DX36" s="8">
        <f ca="1"/>
        <v>49827</v>
      </c>
      <c r="DY36" s="8">
        <f ca="1"/>
        <v>49857</v>
      </c>
      <c r="DZ36" s="8">
        <f ca="1"/>
        <v>49888</v>
      </c>
      <c r="EA36" s="8">
        <f ca="1"/>
        <v>49919</v>
      </c>
      <c r="EB36" s="8">
        <f ca="1"/>
        <v>49949</v>
      </c>
      <c r="EC36" s="8">
        <f ca="1"/>
        <v>49980</v>
      </c>
      <c r="ED36" s="8">
        <f ca="1"/>
        <v>50010</v>
      </c>
      <c r="EE36" s="8">
        <f ca="1"/>
        <v>50041</v>
      </c>
      <c r="EF36" s="8">
        <f ca="1"/>
        <v>50072</v>
      </c>
      <c r="EG36" s="8">
        <f ca="1"/>
        <v>50100</v>
      </c>
      <c r="EH36" s="8">
        <f ca="1"/>
        <v>50131</v>
      </c>
      <c r="EI36" s="8">
        <f ca="1"/>
        <v>50161</v>
      </c>
      <c r="EJ36" s="8">
        <f ca="1"/>
        <v>50192</v>
      </c>
      <c r="EK36" s="8">
        <f ca="1"/>
        <v>50222</v>
      </c>
      <c r="EL36" s="8">
        <f ca="1"/>
        <v>50253</v>
      </c>
      <c r="EM36" s="8">
        <f ca="1"/>
        <v>50284</v>
      </c>
      <c r="EN36" s="8">
        <f ca="1"/>
        <v>50314</v>
      </c>
      <c r="EO36" s="8">
        <f ca="1"/>
        <v>50345</v>
      </c>
      <c r="EP36" s="8">
        <f ca="1"/>
        <v>50375</v>
      </c>
      <c r="EQ36" s="8">
        <f ca="1"/>
        <v>50406</v>
      </c>
      <c r="ER36" s="8">
        <f ca="1"/>
        <v>50437</v>
      </c>
      <c r="ES36" s="8">
        <f ca="1"/>
        <v>50465</v>
      </c>
      <c r="ET36" s="8">
        <f ca="1"/>
        <v>50496</v>
      </c>
      <c r="EU36" s="8">
        <f ca="1"/>
        <v>50526</v>
      </c>
      <c r="EV36" s="8">
        <f ca="1"/>
        <v>50557</v>
      </c>
      <c r="EW36" s="8">
        <f ca="1"/>
        <v>50587</v>
      </c>
      <c r="EX36" s="8">
        <f ca="1"/>
        <v>50618</v>
      </c>
      <c r="EY36" s="8">
        <f ca="1"/>
        <v>50649</v>
      </c>
      <c r="EZ36" s="8">
        <f ca="1"/>
        <v>50679</v>
      </c>
      <c r="FA36" s="8">
        <f ca="1"/>
        <v>50710</v>
      </c>
      <c r="FB36" s="8">
        <f ca="1"/>
        <v>50740</v>
      </c>
      <c r="FC36" s="8">
        <f ca="1"/>
        <v>50771</v>
      </c>
      <c r="FD36" s="8">
        <f ca="1"/>
        <v>50802</v>
      </c>
      <c r="FE36" s="8">
        <f ca="1"/>
        <v>50830</v>
      </c>
      <c r="FF36" s="8">
        <f ca="1"/>
        <v>50861</v>
      </c>
      <c r="FG36" s="8">
        <f ca="1"/>
        <v>50891</v>
      </c>
      <c r="FH36" s="8">
        <f ca="1"/>
        <v>50922</v>
      </c>
      <c r="FI36" s="8">
        <f ca="1"/>
        <v>50952</v>
      </c>
      <c r="FJ36" s="8">
        <f ca="1"/>
        <v>50983</v>
      </c>
      <c r="FK36" s="8">
        <f ca="1"/>
        <v>51014</v>
      </c>
      <c r="FL36" s="8">
        <f ca="1"/>
        <v>51044</v>
      </c>
      <c r="FM36" s="8">
        <f ca="1"/>
        <v>51075</v>
      </c>
      <c r="FN36" s="8">
        <f ca="1"/>
        <v>51105</v>
      </c>
      <c r="FO36" s="8">
        <f ca="1"/>
        <v>51136</v>
      </c>
      <c r="FP36" s="8">
        <f ca="1"/>
        <v>51167</v>
      </c>
      <c r="FQ36" s="8">
        <f ca="1"/>
        <v>51196</v>
      </c>
      <c r="FR36" s="8">
        <f ca="1"/>
        <v>51227</v>
      </c>
      <c r="FS36" s="8">
        <f ca="1"/>
        <v>51257</v>
      </c>
      <c r="FT36" s="8">
        <f ca="1"/>
        <v>51288</v>
      </c>
      <c r="FU36" s="8">
        <f ca="1"/>
        <v>51318</v>
      </c>
      <c r="FV36" s="8">
        <f ca="1"/>
        <v>51349</v>
      </c>
      <c r="FW36" s="8">
        <f ca="1"/>
        <v>51380</v>
      </c>
      <c r="FX36" s="8">
        <f ca="1"/>
        <v>51410</v>
      </c>
      <c r="FY36" s="8">
        <f ca="1"/>
        <v>51441</v>
      </c>
      <c r="FZ36" s="8">
        <f ca="1"/>
        <v>51471</v>
      </c>
      <c r="GA36" s="8">
        <f ca="1"/>
        <v>51502</v>
      </c>
      <c r="GB36" s="8">
        <f ca="1"/>
        <v>51533</v>
      </c>
      <c r="GC36" s="8">
        <f ca="1"/>
        <v>51561</v>
      </c>
      <c r="GD36" s="8">
        <f ca="1"/>
        <v>51592</v>
      </c>
      <c r="GE36" s="8">
        <f ca="1"/>
        <v>51622</v>
      </c>
      <c r="GF36" s="8">
        <f ca="1"/>
        <v>51653</v>
      </c>
      <c r="GG36" s="8">
        <f ca="1"/>
        <v>51683</v>
      </c>
      <c r="GH36" s="8">
        <f ca="1"/>
        <v>51714</v>
      </c>
      <c r="GI36" s="8">
        <f ca="1"/>
        <v>51745</v>
      </c>
      <c r="GJ36" s="8">
        <f ca="1"/>
        <v>51775</v>
      </c>
      <c r="GK36" s="8">
        <f ca="1"/>
        <v>51806</v>
      </c>
      <c r="GL36" s="8">
        <f ca="1"/>
        <v>51836</v>
      </c>
      <c r="GM36" s="8">
        <f ca="1"/>
        <v>51867</v>
      </c>
      <c r="GN36" s="8">
        <f ca="1"/>
        <v>51898</v>
      </c>
      <c r="GO36" s="8">
        <f ca="1"/>
        <v>51926</v>
      </c>
      <c r="GP36" s="8">
        <f ca="1"/>
        <v>51957</v>
      </c>
      <c r="GQ36" s="8">
        <f ca="1"/>
        <v>51987</v>
      </c>
      <c r="GR36" s="8">
        <f ca="1"/>
        <v>52018</v>
      </c>
      <c r="GS36" s="8">
        <f ca="1"/>
        <v>52048</v>
      </c>
      <c r="GT36" s="8">
        <f ca="1"/>
        <v>52079</v>
      </c>
      <c r="GU36" s="8">
        <f ca="1"/>
        <v>52110</v>
      </c>
      <c r="GV36" s="8">
        <f ca="1"/>
        <v>52140</v>
      </c>
      <c r="GW36" s="8">
        <f ca="1"/>
        <v>52171</v>
      </c>
      <c r="GX36" s="8">
        <f ca="1"/>
        <v>52201</v>
      </c>
      <c r="GY36" s="8">
        <f ca="1"/>
        <v>52232</v>
      </c>
      <c r="GZ36" s="8">
        <f ca="1"/>
        <v>52263</v>
      </c>
      <c r="HA36" s="8">
        <f ca="1"/>
        <v>52291</v>
      </c>
      <c r="HB36" s="8">
        <f ca="1"/>
        <v>52322</v>
      </c>
      <c r="HC36" s="8">
        <f ca="1"/>
        <v>52352</v>
      </c>
      <c r="HD36" s="8">
        <f ca="1"/>
        <v>52383</v>
      </c>
      <c r="HE36" s="8">
        <f ca="1"/>
        <v>52413</v>
      </c>
      <c r="HF36" s="8">
        <f ca="1"/>
        <v>52444</v>
      </c>
      <c r="HG36" s="8">
        <f ca="1"/>
        <v>52475</v>
      </c>
      <c r="HH36" s="8">
        <f ca="1"/>
        <v>52505</v>
      </c>
      <c r="HI36" s="8">
        <f ca="1"/>
        <v>52536</v>
      </c>
      <c r="HJ36" s="8">
        <f ca="1"/>
        <v>52566</v>
      </c>
      <c r="HK36" s="8">
        <f ca="1"/>
        <v>52597</v>
      </c>
      <c r="HL36" s="8">
        <f ca="1"/>
        <v>52628</v>
      </c>
      <c r="HM36" s="8">
        <f ca="1"/>
        <v>52657</v>
      </c>
      <c r="HN36" s="8">
        <f ca="1"/>
        <v>52688</v>
      </c>
      <c r="HO36" s="8">
        <f ca="1"/>
        <v>52718</v>
      </c>
      <c r="HP36" s="8">
        <f ca="1"/>
        <v>52749</v>
      </c>
      <c r="HQ36" s="8">
        <f ca="1"/>
        <v>52779</v>
      </c>
      <c r="HR36" s="8">
        <f ca="1"/>
        <v>52810</v>
      </c>
      <c r="HS36" s="8">
        <f ca="1"/>
        <v>52841</v>
      </c>
      <c r="HT36" s="8">
        <f ca="1"/>
        <v>52871</v>
      </c>
      <c r="HU36" s="8">
        <f ca="1"/>
        <v>52902</v>
      </c>
      <c r="HV36" s="8">
        <f ca="1"/>
        <v>52932</v>
      </c>
      <c r="HW36" s="8">
        <f ca="1"/>
        <v>52963</v>
      </c>
      <c r="HX36" s="8">
        <f ca="1"/>
        <v>52994</v>
      </c>
      <c r="HY36" s="8">
        <f ca="1"/>
        <v>53022</v>
      </c>
      <c r="HZ36" s="8">
        <f ca="1"/>
        <v>53053</v>
      </c>
      <c r="IA36" s="8">
        <f ca="1"/>
        <v>53083</v>
      </c>
      <c r="IB36" s="8">
        <f ca="1"/>
        <v>53114</v>
      </c>
      <c r="IC36" s="8">
        <f ca="1"/>
        <v>53144</v>
      </c>
      <c r="ID36" s="8">
        <f ca="1"/>
        <v>53175</v>
      </c>
      <c r="IE36" s="8">
        <f ca="1"/>
        <v>53206</v>
      </c>
      <c r="IF36" s="8">
        <f ca="1"/>
        <v>53236</v>
      </c>
      <c r="IG36" s="8">
        <f ca="1"/>
        <v>53267</v>
      </c>
      <c r="IH36" s="8">
        <f ca="1"/>
        <v>53297</v>
      </c>
      <c r="II36" s="8">
        <f ca="1"/>
        <v>53328</v>
      </c>
      <c r="IJ36" s="8">
        <f ca="1"/>
        <v>53359</v>
      </c>
      <c r="IK36" s="8">
        <f ca="1"/>
        <v>53387</v>
      </c>
      <c r="IL36" s="8">
        <f ca="1"/>
        <v>53418</v>
      </c>
      <c r="IM36" s="8">
        <f ca="1"/>
        <v>53448</v>
      </c>
      <c r="IN36" s="8">
        <f ca="1"/>
        <v>53479</v>
      </c>
      <c r="IO36" s="8">
        <f ca="1"/>
        <v>53509</v>
      </c>
      <c r="IP36" s="8">
        <f ca="1"/>
        <v>53540</v>
      </c>
      <c r="IQ36" s="8">
        <f ca="1"/>
        <v>53571</v>
      </c>
      <c r="IR36" s="8">
        <f ca="1"/>
        <v>53601</v>
      </c>
      <c r="IS36" s="8">
        <f ca="1"/>
        <v>53632</v>
      </c>
      <c r="IT36" s="8">
        <f ca="1"/>
        <v>53662</v>
      </c>
      <c r="IU36" s="8">
        <f ca="1"/>
        <v>53693</v>
      </c>
      <c r="IV36" s="8">
        <f ca="1"/>
        <v>53724</v>
      </c>
      <c r="IW36" s="8">
        <f ca="1"/>
        <v>53752</v>
      </c>
      <c r="IX36" s="8">
        <f ca="1"/>
        <v>53783</v>
      </c>
      <c r="IY36" s="8">
        <f ca="1"/>
        <v>53813</v>
      </c>
      <c r="IZ36" s="8">
        <f ca="1"/>
        <v>53844</v>
      </c>
      <c r="JA36" s="8">
        <f ca="1"/>
        <v>53874</v>
      </c>
      <c r="JB36" s="8">
        <f ca="1"/>
        <v>53905</v>
      </c>
      <c r="JC36" s="8">
        <f ca="1"/>
        <v>53936</v>
      </c>
      <c r="JD36" s="8">
        <f ca="1"/>
        <v>53966</v>
      </c>
      <c r="JE36" s="8">
        <f ca="1"/>
        <v>53997</v>
      </c>
      <c r="JF36" s="8">
        <f ca="1"/>
        <v>54027</v>
      </c>
      <c r="JG36" s="8">
        <f ca="1"/>
        <v>54058</v>
      </c>
      <c r="JH36" s="8">
        <f ca="1"/>
        <v>54089</v>
      </c>
      <c r="JI36" s="8">
        <f ca="1"/>
        <v>54118</v>
      </c>
      <c r="JJ36" s="8">
        <f ca="1"/>
        <v>54149</v>
      </c>
      <c r="JK36" s="8">
        <f ca="1"/>
        <v>54179</v>
      </c>
      <c r="JL36" s="8">
        <f ca="1"/>
        <v>54210</v>
      </c>
      <c r="JM36" s="8">
        <f ca="1"/>
        <v>54240</v>
      </c>
      <c r="JN36" s="8">
        <f ca="1"/>
        <v>54271</v>
      </c>
      <c r="JO36" s="8">
        <f ca="1"/>
        <v>54302</v>
      </c>
      <c r="JP36" s="8">
        <f ca="1"/>
        <v>54332</v>
      </c>
      <c r="JQ36" s="8">
        <f ca="1"/>
        <v>54363</v>
      </c>
      <c r="JR36" s="8">
        <f ca="1"/>
        <v>54393</v>
      </c>
      <c r="JS36" s="8">
        <f ca="1"/>
        <v>54424</v>
      </c>
      <c r="JT36" s="8">
        <f ca="1"/>
        <v>54455</v>
      </c>
      <c r="JU36" s="8">
        <f ca="1"/>
        <v>54483</v>
      </c>
      <c r="JV36" s="8">
        <f ca="1"/>
        <v>54514</v>
      </c>
      <c r="JW36" s="8">
        <f ca="1"/>
        <v>54544</v>
      </c>
      <c r="JX36" s="8">
        <f ca="1"/>
        <v>54575</v>
      </c>
      <c r="JY36" s="8">
        <f ca="1"/>
        <v>54605</v>
      </c>
      <c r="JZ36" s="8">
        <f ca="1"/>
        <v>54636</v>
      </c>
      <c r="KA36" s="8">
        <f ca="1"/>
        <v>54667</v>
      </c>
      <c r="KB36" s="8">
        <f ca="1"/>
        <v>54697</v>
      </c>
      <c r="KC36" s="8">
        <f ca="1"/>
        <v>54728</v>
      </c>
      <c r="KD36" s="8">
        <f ca="1"/>
        <v>54758</v>
      </c>
      <c r="KE36" s="8">
        <f ca="1"/>
        <v>54789</v>
      </c>
      <c r="KF36" s="8">
        <f ca="1"/>
        <v>54820</v>
      </c>
      <c r="KG36" s="8">
        <f ca="1"/>
        <v>54848</v>
      </c>
      <c r="KH36" s="8">
        <f ca="1"/>
        <v>54879</v>
      </c>
      <c r="KI36" s="8">
        <f ca="1"/>
        <v>54909</v>
      </c>
      <c r="KJ36" s="8">
        <f ca="1"/>
        <v>54940</v>
      </c>
      <c r="KK36" s="8">
        <f ca="1"/>
        <v>54970</v>
      </c>
      <c r="KL36" s="8">
        <f ca="1"/>
        <v>55001</v>
      </c>
      <c r="KM36" s="8">
        <f ca="1"/>
        <v>55032</v>
      </c>
      <c r="KN36" s="8">
        <f ca="1"/>
        <v>55062</v>
      </c>
      <c r="KO36" s="8">
        <f ca="1"/>
        <v>55093</v>
      </c>
      <c r="KP36" s="8">
        <f ca="1"/>
        <v>55123</v>
      </c>
      <c r="KQ36" s="8">
        <f ca="1"/>
        <v>55154</v>
      </c>
      <c r="KR36" s="8">
        <f ca="1"/>
        <v>55185</v>
      </c>
      <c r="KS36" s="8">
        <f ca="1"/>
        <v>55213</v>
      </c>
      <c r="KT36" s="8">
        <f ca="1"/>
        <v>55244</v>
      </c>
      <c r="KU36" s="8">
        <f ca="1"/>
        <v>55274</v>
      </c>
      <c r="KV36" s="8">
        <f ca="1"/>
        <v>55305</v>
      </c>
      <c r="KW36" s="8">
        <f ca="1"/>
        <v>55335</v>
      </c>
      <c r="KX36" s="8">
        <f ca="1"/>
        <v>55366</v>
      </c>
      <c r="KY36" s="8">
        <f ca="1"/>
        <v>55397</v>
      </c>
      <c r="KZ36" s="8">
        <f ca="1"/>
        <v>55427</v>
      </c>
      <c r="LA36" s="8">
        <f ca="1"/>
        <v>55458</v>
      </c>
      <c r="LB36" s="8">
        <f ca="1"/>
        <v>55488</v>
      </c>
      <c r="LC36" s="8">
        <f ca="1"/>
        <v>55519</v>
      </c>
      <c r="LD36" s="8">
        <f ca="1"/>
        <v>55550</v>
      </c>
      <c r="LE36" s="8">
        <f ca="1"/>
        <v>55579</v>
      </c>
      <c r="LF36" s="8">
        <f ca="1"/>
        <v>55610</v>
      </c>
      <c r="LG36" s="8">
        <f ca="1"/>
        <v>55640</v>
      </c>
      <c r="LH36" s="8">
        <f ca="1"/>
        <v>55671</v>
      </c>
      <c r="LI36" s="8">
        <f ca="1"/>
        <v>55701</v>
      </c>
      <c r="LJ36" s="8">
        <f ca="1"/>
        <v>55732</v>
      </c>
      <c r="LK36" s="8">
        <f ca="1"/>
        <v>55763</v>
      </c>
      <c r="LL36" s="8">
        <f ca="1"/>
        <v>55793</v>
      </c>
      <c r="LM36" s="8">
        <f ca="1"/>
        <v>55824</v>
      </c>
      <c r="LN36" s="8">
        <f ca="1"/>
        <v>55854</v>
      </c>
      <c r="LO36" s="8">
        <f ca="1"/>
        <v>55885</v>
      </c>
      <c r="LP36" s="8">
        <f ca="1"/>
        <v>55916</v>
      </c>
      <c r="LQ36" s="8">
        <f ca="1"/>
        <v>55944</v>
      </c>
      <c r="LR36" s="8">
        <f ca="1"/>
        <v>55975</v>
      </c>
      <c r="LS36" s="8">
        <f ca="1"/>
        <v>56005</v>
      </c>
      <c r="LT36" s="8">
        <f ca="1"/>
        <v>56036</v>
      </c>
      <c r="LU36" s="8">
        <f ca="1"/>
        <v>56066</v>
      </c>
      <c r="LV36" s="8">
        <f ca="1"/>
        <v>56097</v>
      </c>
      <c r="LW36" s="8">
        <f ca="1"/>
        <v>56128</v>
      </c>
      <c r="LX36" s="8">
        <f ca="1"/>
        <v>56158</v>
      </c>
      <c r="LY36" s="8">
        <f ca="1"/>
        <v>56189</v>
      </c>
      <c r="LZ36" s="8">
        <f ca="1"/>
        <v>56219</v>
      </c>
      <c r="MA36" s="8">
        <f ca="1"/>
        <v>56250</v>
      </c>
      <c r="MB36" s="8">
        <f ca="1"/>
        <v>56281</v>
      </c>
      <c r="MC36" s="8">
        <f ca="1"/>
        <v>56309</v>
      </c>
      <c r="MD36" s="8">
        <f ca="1"/>
        <v>56340</v>
      </c>
      <c r="ME36" s="8">
        <f ca="1"/>
        <v>56370</v>
      </c>
      <c r="MF36" s="8">
        <f ca="1"/>
        <v>56401</v>
      </c>
      <c r="MG36" s="8">
        <f ca="1"/>
        <v>56431</v>
      </c>
      <c r="MH36" s="8">
        <f ca="1"/>
        <v>56462</v>
      </c>
      <c r="MI36" s="8">
        <f ca="1"/>
        <v>56493</v>
      </c>
      <c r="MJ36" s="8">
        <f ca="1"/>
        <v>56523</v>
      </c>
      <c r="MK36" s="8">
        <f ca="1"/>
        <v>56554</v>
      </c>
      <c r="ML36" s="8">
        <f ca="1"/>
        <v>56584</v>
      </c>
      <c r="MM36" s="8">
        <f ca="1"/>
        <v>56615</v>
      </c>
      <c r="MN36" s="8">
        <f ca="1"/>
        <v>56646</v>
      </c>
      <c r="MO36" s="8">
        <f ca="1"/>
        <v>56674</v>
      </c>
      <c r="MP36" s="8">
        <f ca="1"/>
        <v>56705</v>
      </c>
      <c r="MQ36" s="8">
        <f ca="1"/>
        <v>56735</v>
      </c>
      <c r="MR36" s="8">
        <f ca="1"/>
        <v>56766</v>
      </c>
      <c r="MS36" s="8">
        <f ca="1"/>
        <v>56796</v>
      </c>
      <c r="MT36" s="8">
        <f ca="1"/>
        <v>56827</v>
      </c>
      <c r="MU36" s="8">
        <f ca="1"/>
        <v>56858</v>
      </c>
      <c r="MV36" s="8">
        <f ca="1"/>
        <v>56888</v>
      </c>
      <c r="MW36" s="8">
        <f ca="1"/>
        <v>56919</v>
      </c>
      <c r="MX36" s="8">
        <f ca="1"/>
        <v>56949</v>
      </c>
      <c r="MY36" s="8">
        <f ca="1"/>
        <v>56980</v>
      </c>
      <c r="MZ36" s="8">
        <f ca="1"/>
        <v>57011</v>
      </c>
      <c r="NA36" s="8">
        <f ca="1"/>
        <v>57040</v>
      </c>
      <c r="NB36" s="8">
        <f ca="1"/>
        <v>57071</v>
      </c>
      <c r="NC36" s="8">
        <f ca="1"/>
        <v>57101</v>
      </c>
      <c r="ND36" s="8">
        <f ca="1"/>
        <v>57132</v>
      </c>
      <c r="NE36" s="8">
        <f ca="1"/>
        <v>57162</v>
      </c>
      <c r="NF36" s="8">
        <f ca="1"/>
        <v>57193</v>
      </c>
      <c r="NG36" s="8">
        <f ca="1"/>
        <v>57224</v>
      </c>
      <c r="NH36" s="8">
        <f ca="1"/>
        <v>57254</v>
      </c>
      <c r="NI36" s="8">
        <f ca="1"/>
        <v>57285</v>
      </c>
      <c r="NJ36" s="8">
        <f ca="1"/>
        <v>57315</v>
      </c>
      <c r="NK36" s="8">
        <f ca="1"/>
        <v>57346</v>
      </c>
      <c r="NL36" s="8">
        <f ca="1"/>
        <v>57377</v>
      </c>
      <c r="NM36" s="8">
        <f ca="1"/>
        <v>57405</v>
      </c>
      <c r="NN36" s="8">
        <f ca="1"/>
        <v>57436</v>
      </c>
      <c r="NO36" s="8">
        <f ca="1"/>
        <v>57466</v>
      </c>
      <c r="NP36" s="8">
        <f ca="1"/>
        <v>57497</v>
      </c>
      <c r="NQ36" s="8">
        <f ca="1"/>
        <v>57527</v>
      </c>
      <c r="NR36" s="8">
        <f ca="1"/>
        <v>57558</v>
      </c>
      <c r="NS36" s="8">
        <f ca="1"/>
        <v>57589</v>
      </c>
      <c r="NT36" s="8">
        <f ca="1"/>
        <v>57619</v>
      </c>
      <c r="NU36" s="8">
        <f ca="1"/>
        <v>57650</v>
      </c>
      <c r="NV36" s="8">
        <f ca="1"/>
        <v>57680</v>
      </c>
      <c r="NW36" s="8">
        <f ca="1"/>
        <v>57711</v>
      </c>
      <c r="NX36" s="8">
        <f ca="1"/>
        <v>57742</v>
      </c>
      <c r="NY36" s="8">
        <f ca="1"/>
        <v>57770</v>
      </c>
      <c r="NZ36" s="8">
        <f ca="1"/>
        <v>57801</v>
      </c>
      <c r="OA36" s="8">
        <f ca="1"/>
        <v>57831</v>
      </c>
      <c r="OB36" s="8">
        <f ca="1"/>
        <v>57862</v>
      </c>
      <c r="OC36" s="8">
        <f ca="1"/>
        <v>57892</v>
      </c>
      <c r="OD36" s="8">
        <f ca="1"/>
        <v>57923</v>
      </c>
      <c r="OE36" s="8">
        <f ca="1"/>
        <v>57954</v>
      </c>
      <c r="OF36" s="8">
        <f ca="1"/>
        <v>57984</v>
      </c>
      <c r="OG36" s="8">
        <f ca="1"/>
        <v>58015</v>
      </c>
      <c r="OH36" s="8">
        <f ca="1"/>
        <v>58045</v>
      </c>
      <c r="OI36" s="8">
        <f ca="1"/>
        <v>58076</v>
      </c>
      <c r="OJ36" s="8">
        <f ca="1"/>
        <v>58107</v>
      </c>
      <c r="OK36" s="8">
        <f ca="1"/>
        <v>58135</v>
      </c>
      <c r="OL36" s="8">
        <f ca="1"/>
        <v>58166</v>
      </c>
      <c r="OM36" s="8">
        <f ca="1"/>
        <v>58196</v>
      </c>
      <c r="ON36" s="8">
        <f ca="1"/>
        <v>58227</v>
      </c>
      <c r="OO36" s="8">
        <f ca="1"/>
        <v>58257</v>
      </c>
      <c r="OP36" s="8">
        <f ca="1"/>
        <v>58288</v>
      </c>
      <c r="OQ36" s="8">
        <f ca="1"/>
        <v>58319</v>
      </c>
      <c r="OR36" s="8">
        <f ca="1"/>
        <v>58349</v>
      </c>
      <c r="OS36" s="8">
        <f ca="1"/>
        <v>58380</v>
      </c>
      <c r="OT36" s="8">
        <f ca="1"/>
        <v>58410</v>
      </c>
      <c r="OU36" s="8">
        <f ca="1"/>
        <v>58441</v>
      </c>
      <c r="OV36" s="8">
        <f ca="1"/>
        <v>58472</v>
      </c>
      <c r="OW36" s="8">
        <f ca="1"/>
        <v>58501</v>
      </c>
      <c r="OX36" s="8">
        <f ca="1"/>
        <v>58532</v>
      </c>
      <c r="OY36" s="8">
        <f ca="1"/>
        <v>58562</v>
      </c>
      <c r="OZ36" s="8">
        <f ca="1"/>
        <v>58593</v>
      </c>
      <c r="PA36" s="8">
        <f ca="1"/>
        <v>58623</v>
      </c>
      <c r="PB36" s="8">
        <f ca="1"/>
        <v>58654</v>
      </c>
      <c r="PC36" s="8">
        <f ca="1"/>
        <v>58685</v>
      </c>
      <c r="PD36" s="8">
        <f ca="1"/>
        <v>58715</v>
      </c>
      <c r="PE36" s="8">
        <f ca="1"/>
        <v>58746</v>
      </c>
      <c r="PF36" s="8">
        <f ca="1"/>
        <v>58776</v>
      </c>
      <c r="PG36" s="8">
        <f ca="1"/>
        <v>58807</v>
      </c>
      <c r="PH36" s="8">
        <f ca="1"/>
        <v>58838</v>
      </c>
      <c r="PI36" s="8">
        <f ca="1"/>
        <v>58866</v>
      </c>
      <c r="PJ36" s="8">
        <f ca="1"/>
        <v>58897</v>
      </c>
      <c r="PK36" s="8">
        <f ca="1"/>
        <v>58927</v>
      </c>
      <c r="PL36" s="8">
        <f ca="1"/>
        <v>58958</v>
      </c>
      <c r="PM36" s="8">
        <f ca="1"/>
        <v>58988</v>
      </c>
      <c r="PN36" s="8">
        <f ca="1"/>
        <v>59019</v>
      </c>
      <c r="PO36" s="8">
        <f ca="1"/>
        <v>59050</v>
      </c>
      <c r="PP36" s="8">
        <f ca="1"/>
        <v>59080</v>
      </c>
      <c r="PQ36" s="8">
        <f ca="1"/>
        <v>59111</v>
      </c>
      <c r="PR36" s="8">
        <f ca="1"/>
        <v>59141</v>
      </c>
      <c r="PS36" s="8">
        <f ca="1"/>
        <v>59172</v>
      </c>
      <c r="PT36" s="8">
        <f ca="1"/>
        <v>59203</v>
      </c>
      <c r="PU36" s="8">
        <f ca="1"/>
        <v>59231</v>
      </c>
      <c r="PV36" s="8">
        <f ca="1"/>
        <v>59262</v>
      </c>
      <c r="PW36" s="8">
        <f ca="1"/>
        <v>59292</v>
      </c>
      <c r="PX36" s="8">
        <f ca="1"/>
        <v>59323</v>
      </c>
      <c r="PY36" s="8">
        <f ca="1"/>
        <v>59353</v>
      </c>
      <c r="PZ36" s="8">
        <f ca="1"/>
        <v>59384</v>
      </c>
      <c r="QA36" s="8">
        <f ca="1"/>
        <v>59415</v>
      </c>
      <c r="QB36" s="8">
        <f ca="1"/>
        <v>59445</v>
      </c>
      <c r="QC36" s="8">
        <f ca="1"/>
        <v>59476</v>
      </c>
      <c r="QD36" s="8">
        <f ca="1"/>
        <v>59506</v>
      </c>
      <c r="QE36" s="8">
        <f ca="1"/>
        <v>59537</v>
      </c>
      <c r="QF36" s="8">
        <f ca="1"/>
        <v>59568</v>
      </c>
      <c r="QG36" s="8">
        <f ca="1"/>
        <v>59596</v>
      </c>
      <c r="QH36" s="8">
        <f ca="1"/>
        <v>59627</v>
      </c>
      <c r="QI36" s="8">
        <f ca="1"/>
        <v>59657</v>
      </c>
      <c r="QJ36" s="8">
        <f ca="1"/>
        <v>59688</v>
      </c>
      <c r="QK36" s="8">
        <f ca="1"/>
        <v>59718</v>
      </c>
      <c r="QL36" s="8">
        <f ca="1"/>
        <v>59749</v>
      </c>
      <c r="QM36" s="8">
        <f ca="1"/>
        <v>59780</v>
      </c>
      <c r="QN36" s="8">
        <f ca="1"/>
        <v>59810</v>
      </c>
      <c r="QO36" s="8">
        <f ca="1"/>
        <v>59841</v>
      </c>
      <c r="QP36" s="8">
        <f ca="1"/>
        <v>59871</v>
      </c>
      <c r="QQ36" s="8">
        <f ca="1"/>
        <v>59902</v>
      </c>
      <c r="QR36" s="8">
        <f ca="1"/>
        <v>59933</v>
      </c>
      <c r="QS36" s="8">
        <f ca="1"/>
        <v>59962</v>
      </c>
      <c r="QT36" s="8">
        <f ca="1"/>
        <v>59993</v>
      </c>
      <c r="QU36" s="8">
        <f ca="1"/>
        <v>60023</v>
      </c>
      <c r="QV36" s="8">
        <f ca="1"/>
        <v>60054</v>
      </c>
      <c r="QW36" s="8">
        <f ca="1"/>
        <v>60084</v>
      </c>
      <c r="QX36" s="8">
        <f ca="1"/>
        <v>60115</v>
      </c>
      <c r="QY36" s="8">
        <f ca="1"/>
        <v>60146</v>
      </c>
      <c r="QZ36" s="8">
        <f ca="1"/>
        <v>60176</v>
      </c>
      <c r="RA36" s="8">
        <f ca="1"/>
        <v>60207</v>
      </c>
      <c r="RB36" s="8">
        <f ca="1"/>
        <v>60237</v>
      </c>
      <c r="RC36" s="8">
        <f ca="1"/>
        <v>60268</v>
      </c>
      <c r="RD36" s="8">
        <f ca="1"/>
        <v>60299</v>
      </c>
      <c r="RE36" s="8">
        <f ca="1"/>
        <v>60327</v>
      </c>
      <c r="RF36" s="8">
        <f ca="1"/>
        <v>60358</v>
      </c>
      <c r="RG36" s="8">
        <f ca="1"/>
        <v>60388</v>
      </c>
      <c r="RH36" s="8">
        <f ca="1"/>
        <v>60419</v>
      </c>
      <c r="RI36" s="8">
        <f ca="1"/>
        <v>60449</v>
      </c>
      <c r="RJ36" s="8">
        <f ca="1"/>
        <v>60480</v>
      </c>
      <c r="RK36" s="8">
        <f ca="1"/>
        <v>60511</v>
      </c>
      <c r="RL36" s="8">
        <f ca="1"/>
        <v>60541</v>
      </c>
      <c r="RM36" s="8">
        <f ca="1"/>
        <v>60572</v>
      </c>
      <c r="RN36" s="8">
        <f ca="1"/>
        <v>60602</v>
      </c>
      <c r="RO36" s="8">
        <f ca="1"/>
        <v>60633</v>
      </c>
      <c r="RP36" s="8">
        <f ca="1"/>
        <v>60664</v>
      </c>
      <c r="RQ36" s="8">
        <f ca="1"/>
        <v>60692</v>
      </c>
      <c r="RR36" s="8">
        <f ca="1"/>
        <v>60723</v>
      </c>
      <c r="RS36" s="8">
        <f ca="1"/>
        <v>60753</v>
      </c>
      <c r="RT36" s="8">
        <f ca="1"/>
        <v>60784</v>
      </c>
      <c r="RU36" s="8">
        <f ca="1"/>
        <v>60814</v>
      </c>
      <c r="RV36" s="8">
        <f ca="1"/>
        <v>60845</v>
      </c>
      <c r="RW36" s="8">
        <f ca="1"/>
        <v>60876</v>
      </c>
      <c r="RX36" s="8">
        <f ca="1"/>
        <v>60906</v>
      </c>
      <c r="RY36" s="8">
        <f ca="1"/>
        <v>60937</v>
      </c>
      <c r="RZ36" s="8">
        <f ca="1"/>
        <v>60967</v>
      </c>
    </row>
    <row r="37" spans="1:494" x14ac:dyDescent="0.3">
      <c r="A37" t="s">
        <v>493</v>
      </c>
      <c r="B37" s="302" cm="1">
        <f t="array" aca="1" ref="B37:RZ37" ca="1">MATCH(YEAR(_xlfn.ANCHORARRAY(B36)),_xlfn.ANCHORARRAY($C$1))</f>
        <v>11</v>
      </c>
      <c r="C37" s="302">
        <f ca="1"/>
        <v>12</v>
      </c>
      <c r="D37" s="302">
        <f ca="1"/>
        <v>12</v>
      </c>
      <c r="E37" s="302">
        <f ca="1"/>
        <v>12</v>
      </c>
      <c r="F37" s="302">
        <f ca="1"/>
        <v>12</v>
      </c>
      <c r="G37" s="302">
        <f ca="1"/>
        <v>12</v>
      </c>
      <c r="H37" s="302">
        <f ca="1"/>
        <v>12</v>
      </c>
      <c r="I37" s="302">
        <f ca="1"/>
        <v>12</v>
      </c>
      <c r="J37" s="302">
        <f ca="1"/>
        <v>12</v>
      </c>
      <c r="K37" s="302">
        <f ca="1"/>
        <v>12</v>
      </c>
      <c r="L37" s="302">
        <f ca="1"/>
        <v>12</v>
      </c>
      <c r="M37" s="302">
        <f ca="1"/>
        <v>12</v>
      </c>
      <c r="N37" s="302">
        <f ca="1"/>
        <v>12</v>
      </c>
      <c r="O37" s="302">
        <f ca="1"/>
        <v>13</v>
      </c>
      <c r="P37" s="302">
        <f ca="1"/>
        <v>13</v>
      </c>
      <c r="Q37" s="302">
        <f ca="1"/>
        <v>13</v>
      </c>
      <c r="R37" s="302">
        <f ca="1"/>
        <v>13</v>
      </c>
      <c r="S37" s="302">
        <f ca="1"/>
        <v>13</v>
      </c>
      <c r="T37" s="302">
        <f ca="1"/>
        <v>13</v>
      </c>
      <c r="U37" s="302">
        <f ca="1"/>
        <v>13</v>
      </c>
      <c r="V37" s="302">
        <f ca="1"/>
        <v>13</v>
      </c>
      <c r="W37" s="302">
        <f ca="1"/>
        <v>13</v>
      </c>
      <c r="X37" s="302">
        <f ca="1"/>
        <v>13</v>
      </c>
      <c r="Y37" s="302">
        <f ca="1"/>
        <v>13</v>
      </c>
      <c r="Z37" s="302">
        <f ca="1"/>
        <v>13</v>
      </c>
      <c r="AA37" s="302">
        <f ca="1"/>
        <v>14</v>
      </c>
      <c r="AB37" s="302">
        <f ca="1"/>
        <v>14</v>
      </c>
      <c r="AC37" s="302">
        <f ca="1"/>
        <v>14</v>
      </c>
      <c r="AD37" s="302">
        <f ca="1"/>
        <v>14</v>
      </c>
      <c r="AE37" s="302">
        <f ca="1"/>
        <v>14</v>
      </c>
      <c r="AF37" s="302">
        <f ca="1"/>
        <v>14</v>
      </c>
      <c r="AG37" s="302">
        <f ca="1"/>
        <v>14</v>
      </c>
      <c r="AH37" s="302">
        <f ca="1"/>
        <v>14</v>
      </c>
      <c r="AI37" s="302">
        <f ca="1"/>
        <v>14</v>
      </c>
      <c r="AJ37" s="302">
        <f ca="1"/>
        <v>14</v>
      </c>
      <c r="AK37" s="302">
        <f ca="1"/>
        <v>14</v>
      </c>
      <c r="AL37" s="302">
        <f ca="1"/>
        <v>14</v>
      </c>
      <c r="AM37" s="302">
        <f ca="1"/>
        <v>15</v>
      </c>
      <c r="AN37" s="302">
        <f ca="1"/>
        <v>15</v>
      </c>
      <c r="AO37" s="302">
        <f ca="1"/>
        <v>15</v>
      </c>
      <c r="AP37" s="302">
        <f ca="1"/>
        <v>15</v>
      </c>
      <c r="AQ37" s="302">
        <f ca="1"/>
        <v>15</v>
      </c>
      <c r="AR37" s="302">
        <f ca="1"/>
        <v>15</v>
      </c>
      <c r="AS37" s="302">
        <f ca="1"/>
        <v>15</v>
      </c>
      <c r="AT37" s="302">
        <f ca="1"/>
        <v>15</v>
      </c>
      <c r="AU37" s="302">
        <f ca="1"/>
        <v>15</v>
      </c>
      <c r="AV37" s="302">
        <f ca="1"/>
        <v>15</v>
      </c>
      <c r="AW37" s="302">
        <f ca="1"/>
        <v>15</v>
      </c>
      <c r="AX37" s="302">
        <f ca="1"/>
        <v>15</v>
      </c>
      <c r="AY37" s="302">
        <f ca="1"/>
        <v>16</v>
      </c>
      <c r="AZ37" s="302">
        <f ca="1"/>
        <v>16</v>
      </c>
      <c r="BA37" s="302">
        <f ca="1"/>
        <v>16</v>
      </c>
      <c r="BB37" s="302">
        <f ca="1"/>
        <v>16</v>
      </c>
      <c r="BC37" s="302">
        <f ca="1"/>
        <v>16</v>
      </c>
      <c r="BD37" s="302">
        <f ca="1"/>
        <v>16</v>
      </c>
      <c r="BE37" s="302">
        <f ca="1"/>
        <v>16</v>
      </c>
      <c r="BF37" s="302">
        <f ca="1"/>
        <v>16</v>
      </c>
      <c r="BG37" s="302">
        <f ca="1"/>
        <v>16</v>
      </c>
      <c r="BH37" s="302">
        <f ca="1"/>
        <v>16</v>
      </c>
      <c r="BI37" s="302">
        <f ca="1"/>
        <v>16</v>
      </c>
      <c r="BJ37" s="302">
        <f ca="1"/>
        <v>16</v>
      </c>
      <c r="BK37" s="302">
        <f ca="1"/>
        <v>17</v>
      </c>
      <c r="BL37" s="302">
        <f ca="1"/>
        <v>17</v>
      </c>
      <c r="BM37" s="302">
        <f ca="1"/>
        <v>17</v>
      </c>
      <c r="BN37" s="302">
        <f ca="1"/>
        <v>17</v>
      </c>
      <c r="BO37" s="302">
        <f ca="1"/>
        <v>17</v>
      </c>
      <c r="BP37" s="302">
        <f ca="1"/>
        <v>17</v>
      </c>
      <c r="BQ37" s="302">
        <f ca="1"/>
        <v>17</v>
      </c>
      <c r="BR37" s="302">
        <f ca="1"/>
        <v>17</v>
      </c>
      <c r="BS37" s="302">
        <f ca="1"/>
        <v>17</v>
      </c>
      <c r="BT37" s="302">
        <f ca="1"/>
        <v>17</v>
      </c>
      <c r="BU37" s="302">
        <f ca="1"/>
        <v>17</v>
      </c>
      <c r="BV37" s="302">
        <f ca="1"/>
        <v>17</v>
      </c>
      <c r="BW37" s="302">
        <f ca="1"/>
        <v>18</v>
      </c>
      <c r="BX37" s="302">
        <f ca="1"/>
        <v>18</v>
      </c>
      <c r="BY37" s="302">
        <f ca="1"/>
        <v>18</v>
      </c>
      <c r="BZ37" s="302">
        <f ca="1"/>
        <v>18</v>
      </c>
      <c r="CA37" s="302">
        <f ca="1"/>
        <v>18</v>
      </c>
      <c r="CB37" s="302">
        <f ca="1"/>
        <v>18</v>
      </c>
      <c r="CC37" s="302">
        <f ca="1"/>
        <v>18</v>
      </c>
      <c r="CD37" s="302">
        <f ca="1"/>
        <v>18</v>
      </c>
      <c r="CE37" s="302">
        <f ca="1"/>
        <v>18</v>
      </c>
      <c r="CF37" s="302">
        <f ca="1"/>
        <v>18</v>
      </c>
      <c r="CG37" s="302">
        <f ca="1"/>
        <v>18</v>
      </c>
      <c r="CH37" s="302">
        <f ca="1"/>
        <v>18</v>
      </c>
      <c r="CI37" s="302">
        <f ca="1"/>
        <v>19</v>
      </c>
      <c r="CJ37" s="302">
        <f ca="1"/>
        <v>19</v>
      </c>
      <c r="CK37" s="302">
        <f ca="1"/>
        <v>19</v>
      </c>
      <c r="CL37" s="302">
        <f ca="1"/>
        <v>19</v>
      </c>
      <c r="CM37" s="302">
        <f ca="1"/>
        <v>19</v>
      </c>
      <c r="CN37" s="302">
        <f ca="1"/>
        <v>19</v>
      </c>
      <c r="CO37" s="302">
        <f ca="1"/>
        <v>19</v>
      </c>
      <c r="CP37" s="302">
        <f ca="1"/>
        <v>19</v>
      </c>
      <c r="CQ37" s="302">
        <f ca="1"/>
        <v>19</v>
      </c>
      <c r="CR37" s="302">
        <f ca="1"/>
        <v>19</v>
      </c>
      <c r="CS37" s="302">
        <f ca="1"/>
        <v>19</v>
      </c>
      <c r="CT37" s="302">
        <f ca="1"/>
        <v>19</v>
      </c>
      <c r="CU37" s="302">
        <f ca="1"/>
        <v>20</v>
      </c>
      <c r="CV37" s="302">
        <f ca="1"/>
        <v>20</v>
      </c>
      <c r="CW37" s="302">
        <f ca="1"/>
        <v>20</v>
      </c>
      <c r="CX37" s="302">
        <f ca="1"/>
        <v>20</v>
      </c>
      <c r="CY37" s="302">
        <f ca="1"/>
        <v>20</v>
      </c>
      <c r="CZ37" s="302">
        <f ca="1"/>
        <v>20</v>
      </c>
      <c r="DA37" s="302">
        <f ca="1"/>
        <v>20</v>
      </c>
      <c r="DB37" s="302">
        <f ca="1"/>
        <v>20</v>
      </c>
      <c r="DC37" s="302">
        <f ca="1"/>
        <v>20</v>
      </c>
      <c r="DD37" s="302">
        <f ca="1"/>
        <v>20</v>
      </c>
      <c r="DE37" s="302">
        <f ca="1"/>
        <v>20</v>
      </c>
      <c r="DF37" s="302">
        <f ca="1"/>
        <v>20</v>
      </c>
      <c r="DG37" s="302">
        <f ca="1"/>
        <v>21</v>
      </c>
      <c r="DH37" s="302">
        <f ca="1"/>
        <v>21</v>
      </c>
      <c r="DI37" s="302">
        <f ca="1"/>
        <v>21</v>
      </c>
      <c r="DJ37" s="302">
        <f ca="1"/>
        <v>21</v>
      </c>
      <c r="DK37" s="302">
        <f ca="1"/>
        <v>21</v>
      </c>
      <c r="DL37" s="302">
        <f ca="1"/>
        <v>21</v>
      </c>
      <c r="DM37" s="302">
        <f ca="1"/>
        <v>21</v>
      </c>
      <c r="DN37" s="302">
        <f ca="1"/>
        <v>21</v>
      </c>
      <c r="DO37" s="302">
        <f ca="1"/>
        <v>21</v>
      </c>
      <c r="DP37" s="302">
        <f ca="1"/>
        <v>21</v>
      </c>
      <c r="DQ37" s="302">
        <f ca="1"/>
        <v>21</v>
      </c>
      <c r="DR37" s="302">
        <f ca="1"/>
        <v>21</v>
      </c>
      <c r="DS37" s="302">
        <f ca="1"/>
        <v>22</v>
      </c>
      <c r="DT37" s="302">
        <f ca="1"/>
        <v>22</v>
      </c>
      <c r="DU37" s="302">
        <f ca="1"/>
        <v>22</v>
      </c>
      <c r="DV37" s="302">
        <f ca="1"/>
        <v>22</v>
      </c>
      <c r="DW37" s="302">
        <f ca="1"/>
        <v>22</v>
      </c>
      <c r="DX37" s="302">
        <f ca="1"/>
        <v>22</v>
      </c>
      <c r="DY37" s="302">
        <f ca="1"/>
        <v>22</v>
      </c>
      <c r="DZ37" s="302">
        <f ca="1"/>
        <v>22</v>
      </c>
      <c r="EA37" s="302">
        <f ca="1"/>
        <v>22</v>
      </c>
      <c r="EB37" s="302">
        <f ca="1"/>
        <v>22</v>
      </c>
      <c r="EC37" s="302">
        <f ca="1"/>
        <v>22</v>
      </c>
      <c r="ED37" s="302">
        <f ca="1"/>
        <v>22</v>
      </c>
      <c r="EE37" s="302">
        <f ca="1"/>
        <v>23</v>
      </c>
      <c r="EF37" s="302">
        <f ca="1"/>
        <v>23</v>
      </c>
      <c r="EG37" s="302">
        <f ca="1"/>
        <v>23</v>
      </c>
      <c r="EH37" s="302">
        <f ca="1"/>
        <v>23</v>
      </c>
      <c r="EI37" s="302">
        <f ca="1"/>
        <v>23</v>
      </c>
      <c r="EJ37" s="302">
        <f ca="1"/>
        <v>23</v>
      </c>
      <c r="EK37" s="302">
        <f ca="1"/>
        <v>23</v>
      </c>
      <c r="EL37" s="302">
        <f ca="1"/>
        <v>23</v>
      </c>
      <c r="EM37" s="302">
        <f ca="1"/>
        <v>23</v>
      </c>
      <c r="EN37" s="302">
        <f ca="1"/>
        <v>23</v>
      </c>
      <c r="EO37" s="302">
        <f ca="1"/>
        <v>23</v>
      </c>
      <c r="EP37" s="302">
        <f ca="1"/>
        <v>23</v>
      </c>
      <c r="EQ37" s="302">
        <f ca="1"/>
        <v>24</v>
      </c>
      <c r="ER37" s="302">
        <f ca="1"/>
        <v>24</v>
      </c>
      <c r="ES37" s="302">
        <f ca="1"/>
        <v>24</v>
      </c>
      <c r="ET37" s="302">
        <f ca="1"/>
        <v>24</v>
      </c>
      <c r="EU37" s="302">
        <f ca="1"/>
        <v>24</v>
      </c>
      <c r="EV37" s="302">
        <f ca="1"/>
        <v>24</v>
      </c>
      <c r="EW37" s="302">
        <f ca="1"/>
        <v>24</v>
      </c>
      <c r="EX37" s="302">
        <f ca="1"/>
        <v>24</v>
      </c>
      <c r="EY37" s="302">
        <f ca="1"/>
        <v>24</v>
      </c>
      <c r="EZ37" s="302">
        <f ca="1"/>
        <v>24</v>
      </c>
      <c r="FA37" s="302">
        <f ca="1"/>
        <v>24</v>
      </c>
      <c r="FB37" s="302">
        <f ca="1"/>
        <v>24</v>
      </c>
      <c r="FC37" s="302">
        <f ca="1"/>
        <v>25</v>
      </c>
      <c r="FD37" s="302">
        <f ca="1"/>
        <v>25</v>
      </c>
      <c r="FE37" s="302">
        <f ca="1"/>
        <v>25</v>
      </c>
      <c r="FF37" s="302">
        <f ca="1"/>
        <v>25</v>
      </c>
      <c r="FG37" s="302">
        <f ca="1"/>
        <v>25</v>
      </c>
      <c r="FH37" s="302">
        <f ca="1"/>
        <v>25</v>
      </c>
      <c r="FI37" s="302">
        <f ca="1"/>
        <v>25</v>
      </c>
      <c r="FJ37" s="302">
        <f ca="1"/>
        <v>25</v>
      </c>
      <c r="FK37" s="302">
        <f ca="1"/>
        <v>25</v>
      </c>
      <c r="FL37" s="302">
        <f ca="1"/>
        <v>25</v>
      </c>
      <c r="FM37" s="302">
        <f ca="1"/>
        <v>25</v>
      </c>
      <c r="FN37" s="302">
        <f ca="1"/>
        <v>25</v>
      </c>
      <c r="FO37" s="302">
        <f ca="1"/>
        <v>26</v>
      </c>
      <c r="FP37" s="302">
        <f ca="1"/>
        <v>26</v>
      </c>
      <c r="FQ37" s="302">
        <f ca="1"/>
        <v>26</v>
      </c>
      <c r="FR37" s="302">
        <f ca="1"/>
        <v>26</v>
      </c>
      <c r="FS37" s="302">
        <f ca="1"/>
        <v>26</v>
      </c>
      <c r="FT37" s="302">
        <f ca="1"/>
        <v>26</v>
      </c>
      <c r="FU37" s="302">
        <f ca="1"/>
        <v>26</v>
      </c>
      <c r="FV37" s="302">
        <f ca="1"/>
        <v>26</v>
      </c>
      <c r="FW37" s="302">
        <f ca="1"/>
        <v>26</v>
      </c>
      <c r="FX37" s="302">
        <f ca="1"/>
        <v>26</v>
      </c>
      <c r="FY37" s="302">
        <f ca="1"/>
        <v>26</v>
      </c>
      <c r="FZ37" s="302">
        <f ca="1"/>
        <v>26</v>
      </c>
      <c r="GA37" s="302">
        <f ca="1"/>
        <v>27</v>
      </c>
      <c r="GB37" s="302">
        <f ca="1"/>
        <v>27</v>
      </c>
      <c r="GC37" s="302">
        <f ca="1"/>
        <v>27</v>
      </c>
      <c r="GD37" s="302">
        <f ca="1"/>
        <v>27</v>
      </c>
      <c r="GE37" s="302">
        <f ca="1"/>
        <v>27</v>
      </c>
      <c r="GF37" s="302">
        <f ca="1"/>
        <v>27</v>
      </c>
      <c r="GG37" s="302">
        <f ca="1"/>
        <v>27</v>
      </c>
      <c r="GH37" s="302">
        <f ca="1"/>
        <v>27</v>
      </c>
      <c r="GI37" s="302">
        <f ca="1"/>
        <v>27</v>
      </c>
      <c r="GJ37" s="302">
        <f ca="1"/>
        <v>27</v>
      </c>
      <c r="GK37" s="302">
        <f ca="1"/>
        <v>27</v>
      </c>
      <c r="GL37" s="302">
        <f ca="1"/>
        <v>27</v>
      </c>
      <c r="GM37" s="302">
        <f ca="1"/>
        <v>28</v>
      </c>
      <c r="GN37" s="302">
        <f ca="1"/>
        <v>28</v>
      </c>
      <c r="GO37" s="302">
        <f ca="1"/>
        <v>28</v>
      </c>
      <c r="GP37" s="302">
        <f ca="1"/>
        <v>28</v>
      </c>
      <c r="GQ37" s="302">
        <f ca="1"/>
        <v>28</v>
      </c>
      <c r="GR37" s="302">
        <f ca="1"/>
        <v>28</v>
      </c>
      <c r="GS37" s="302">
        <f ca="1"/>
        <v>28</v>
      </c>
      <c r="GT37" s="302">
        <f ca="1"/>
        <v>28</v>
      </c>
      <c r="GU37" s="302">
        <f ca="1"/>
        <v>28</v>
      </c>
      <c r="GV37" s="302">
        <f ca="1"/>
        <v>28</v>
      </c>
      <c r="GW37" s="302">
        <f ca="1"/>
        <v>28</v>
      </c>
      <c r="GX37" s="302">
        <f ca="1"/>
        <v>28</v>
      </c>
      <c r="GY37" s="302">
        <f ca="1"/>
        <v>29</v>
      </c>
      <c r="GZ37" s="302">
        <f ca="1"/>
        <v>29</v>
      </c>
      <c r="HA37" s="302">
        <f ca="1"/>
        <v>29</v>
      </c>
      <c r="HB37" s="302">
        <f ca="1"/>
        <v>29</v>
      </c>
      <c r="HC37" s="302">
        <f ca="1"/>
        <v>29</v>
      </c>
      <c r="HD37" s="302">
        <f ca="1"/>
        <v>29</v>
      </c>
      <c r="HE37" s="302">
        <f ca="1"/>
        <v>29</v>
      </c>
      <c r="HF37" s="302">
        <f ca="1"/>
        <v>29</v>
      </c>
      <c r="HG37" s="302">
        <f ca="1"/>
        <v>29</v>
      </c>
      <c r="HH37" s="302">
        <f ca="1"/>
        <v>29</v>
      </c>
      <c r="HI37" s="302">
        <f ca="1"/>
        <v>29</v>
      </c>
      <c r="HJ37" s="302">
        <f ca="1"/>
        <v>29</v>
      </c>
      <c r="HK37" s="302">
        <f ca="1"/>
        <v>30</v>
      </c>
      <c r="HL37" s="302">
        <f ca="1"/>
        <v>30</v>
      </c>
      <c r="HM37" s="302">
        <f ca="1"/>
        <v>30</v>
      </c>
      <c r="HN37" s="302">
        <f ca="1"/>
        <v>30</v>
      </c>
      <c r="HO37" s="302">
        <f ca="1"/>
        <v>30</v>
      </c>
      <c r="HP37" s="302">
        <f ca="1"/>
        <v>30</v>
      </c>
      <c r="HQ37" s="302">
        <f ca="1"/>
        <v>30</v>
      </c>
      <c r="HR37" s="302">
        <f ca="1"/>
        <v>30</v>
      </c>
      <c r="HS37" s="302">
        <f ca="1"/>
        <v>30</v>
      </c>
      <c r="HT37" s="302">
        <f ca="1"/>
        <v>30</v>
      </c>
      <c r="HU37" s="302">
        <f ca="1"/>
        <v>30</v>
      </c>
      <c r="HV37" s="302">
        <f ca="1"/>
        <v>30</v>
      </c>
      <c r="HW37" s="302">
        <f ca="1"/>
        <v>31</v>
      </c>
      <c r="HX37" s="302">
        <f ca="1"/>
        <v>31</v>
      </c>
      <c r="HY37" s="302">
        <f ca="1"/>
        <v>31</v>
      </c>
      <c r="HZ37" s="302">
        <f ca="1"/>
        <v>31</v>
      </c>
      <c r="IA37" s="302">
        <f ca="1"/>
        <v>31</v>
      </c>
      <c r="IB37" s="302">
        <f ca="1"/>
        <v>31</v>
      </c>
      <c r="IC37" s="302">
        <f ca="1"/>
        <v>31</v>
      </c>
      <c r="ID37" s="302">
        <f ca="1"/>
        <v>31</v>
      </c>
      <c r="IE37" s="302">
        <f ca="1"/>
        <v>31</v>
      </c>
      <c r="IF37" s="302">
        <f ca="1"/>
        <v>31</v>
      </c>
      <c r="IG37" s="302">
        <f ca="1"/>
        <v>31</v>
      </c>
      <c r="IH37" s="302">
        <f ca="1"/>
        <v>31</v>
      </c>
      <c r="II37" s="302">
        <f ca="1"/>
        <v>32</v>
      </c>
      <c r="IJ37" s="302">
        <f ca="1"/>
        <v>32</v>
      </c>
      <c r="IK37" s="302">
        <f ca="1"/>
        <v>32</v>
      </c>
      <c r="IL37" s="302">
        <f ca="1"/>
        <v>32</v>
      </c>
      <c r="IM37" s="302">
        <f ca="1"/>
        <v>32</v>
      </c>
      <c r="IN37" s="302">
        <f ca="1"/>
        <v>32</v>
      </c>
      <c r="IO37" s="302">
        <f ca="1"/>
        <v>32</v>
      </c>
      <c r="IP37" s="302">
        <f ca="1"/>
        <v>32</v>
      </c>
      <c r="IQ37" s="302">
        <f ca="1"/>
        <v>32</v>
      </c>
      <c r="IR37" s="302">
        <f ca="1"/>
        <v>32</v>
      </c>
      <c r="IS37" s="302">
        <f ca="1"/>
        <v>32</v>
      </c>
      <c r="IT37" s="302">
        <f ca="1"/>
        <v>32</v>
      </c>
      <c r="IU37" s="302">
        <f ca="1"/>
        <v>33</v>
      </c>
      <c r="IV37" s="302">
        <f ca="1"/>
        <v>33</v>
      </c>
      <c r="IW37" s="302">
        <f ca="1"/>
        <v>33</v>
      </c>
      <c r="IX37" s="302">
        <f ca="1"/>
        <v>33</v>
      </c>
      <c r="IY37" s="302">
        <f ca="1"/>
        <v>33</v>
      </c>
      <c r="IZ37" s="302">
        <f ca="1"/>
        <v>33</v>
      </c>
      <c r="JA37" s="302">
        <f ca="1"/>
        <v>33</v>
      </c>
      <c r="JB37" s="302">
        <f ca="1"/>
        <v>33</v>
      </c>
      <c r="JC37" s="302">
        <f ca="1"/>
        <v>33</v>
      </c>
      <c r="JD37" s="302">
        <f ca="1"/>
        <v>33</v>
      </c>
      <c r="JE37" s="302">
        <f ca="1"/>
        <v>33</v>
      </c>
      <c r="JF37" s="302">
        <f ca="1"/>
        <v>33</v>
      </c>
      <c r="JG37" s="302">
        <f ca="1"/>
        <v>34</v>
      </c>
      <c r="JH37" s="302">
        <f ca="1"/>
        <v>34</v>
      </c>
      <c r="JI37" s="302">
        <f ca="1"/>
        <v>34</v>
      </c>
      <c r="JJ37" s="302">
        <f ca="1"/>
        <v>34</v>
      </c>
      <c r="JK37" s="302">
        <f ca="1"/>
        <v>34</v>
      </c>
      <c r="JL37" s="302">
        <f ca="1"/>
        <v>34</v>
      </c>
      <c r="JM37" s="302">
        <f ca="1"/>
        <v>34</v>
      </c>
      <c r="JN37" s="302">
        <f ca="1"/>
        <v>34</v>
      </c>
      <c r="JO37" s="302">
        <f ca="1"/>
        <v>34</v>
      </c>
      <c r="JP37" s="302">
        <f ca="1"/>
        <v>34</v>
      </c>
      <c r="JQ37" s="302">
        <f ca="1"/>
        <v>34</v>
      </c>
      <c r="JR37" s="302">
        <f ca="1"/>
        <v>34</v>
      </c>
      <c r="JS37" s="302">
        <f ca="1"/>
        <v>35</v>
      </c>
      <c r="JT37" s="302">
        <f ca="1"/>
        <v>35</v>
      </c>
      <c r="JU37" s="302">
        <f ca="1"/>
        <v>35</v>
      </c>
      <c r="JV37" s="302">
        <f ca="1"/>
        <v>35</v>
      </c>
      <c r="JW37" s="302">
        <f ca="1"/>
        <v>35</v>
      </c>
      <c r="JX37" s="302">
        <f ca="1"/>
        <v>35</v>
      </c>
      <c r="JY37" s="302">
        <f ca="1"/>
        <v>35</v>
      </c>
      <c r="JZ37" s="302">
        <f ca="1"/>
        <v>35</v>
      </c>
      <c r="KA37" s="302">
        <f ca="1"/>
        <v>35</v>
      </c>
      <c r="KB37" s="302">
        <f ca="1"/>
        <v>35</v>
      </c>
      <c r="KC37" s="302">
        <f ca="1"/>
        <v>35</v>
      </c>
      <c r="KD37" s="302">
        <f ca="1"/>
        <v>35</v>
      </c>
      <c r="KE37" s="302">
        <f ca="1"/>
        <v>36</v>
      </c>
      <c r="KF37" s="302">
        <f ca="1"/>
        <v>36</v>
      </c>
      <c r="KG37" s="302">
        <f ca="1"/>
        <v>36</v>
      </c>
      <c r="KH37" s="302">
        <f ca="1"/>
        <v>36</v>
      </c>
      <c r="KI37" s="302">
        <f ca="1"/>
        <v>36</v>
      </c>
      <c r="KJ37" s="302">
        <f ca="1"/>
        <v>36</v>
      </c>
      <c r="KK37" s="302">
        <f ca="1"/>
        <v>36</v>
      </c>
      <c r="KL37" s="302">
        <f ca="1"/>
        <v>36</v>
      </c>
      <c r="KM37" s="302">
        <f ca="1"/>
        <v>36</v>
      </c>
      <c r="KN37" s="302">
        <f ca="1"/>
        <v>36</v>
      </c>
      <c r="KO37" s="302">
        <f ca="1"/>
        <v>36</v>
      </c>
      <c r="KP37" s="302">
        <f ca="1"/>
        <v>36</v>
      </c>
      <c r="KQ37" s="302">
        <f ca="1"/>
        <v>37</v>
      </c>
      <c r="KR37" s="302">
        <f ca="1"/>
        <v>37</v>
      </c>
      <c r="KS37" s="302">
        <f ca="1"/>
        <v>37</v>
      </c>
      <c r="KT37" s="302">
        <f ca="1"/>
        <v>37</v>
      </c>
      <c r="KU37" s="302">
        <f ca="1"/>
        <v>37</v>
      </c>
      <c r="KV37" s="302">
        <f ca="1"/>
        <v>37</v>
      </c>
      <c r="KW37" s="302">
        <f ca="1"/>
        <v>37</v>
      </c>
      <c r="KX37" s="302">
        <f ca="1"/>
        <v>37</v>
      </c>
      <c r="KY37" s="302">
        <f ca="1"/>
        <v>37</v>
      </c>
      <c r="KZ37" s="302">
        <f ca="1"/>
        <v>37</v>
      </c>
      <c r="LA37" s="302">
        <f ca="1"/>
        <v>37</v>
      </c>
      <c r="LB37" s="302">
        <f ca="1"/>
        <v>37</v>
      </c>
      <c r="LC37" s="302">
        <f ca="1"/>
        <v>38</v>
      </c>
      <c r="LD37" s="302">
        <f ca="1"/>
        <v>38</v>
      </c>
      <c r="LE37" s="302">
        <f ca="1"/>
        <v>38</v>
      </c>
      <c r="LF37" s="302">
        <f ca="1"/>
        <v>38</v>
      </c>
      <c r="LG37" s="302">
        <f ca="1"/>
        <v>38</v>
      </c>
      <c r="LH37" s="302">
        <f ca="1"/>
        <v>38</v>
      </c>
      <c r="LI37" s="302">
        <f ca="1"/>
        <v>38</v>
      </c>
      <c r="LJ37" s="302">
        <f ca="1"/>
        <v>38</v>
      </c>
      <c r="LK37" s="302">
        <f ca="1"/>
        <v>38</v>
      </c>
      <c r="LL37" s="302">
        <f ca="1"/>
        <v>38</v>
      </c>
      <c r="LM37" s="302">
        <f ca="1"/>
        <v>38</v>
      </c>
      <c r="LN37" s="302">
        <f ca="1"/>
        <v>38</v>
      </c>
      <c r="LO37" s="302">
        <f ca="1"/>
        <v>39</v>
      </c>
      <c r="LP37" s="302">
        <f ca="1"/>
        <v>39</v>
      </c>
      <c r="LQ37" s="302">
        <f ca="1"/>
        <v>39</v>
      </c>
      <c r="LR37" s="302">
        <f ca="1"/>
        <v>39</v>
      </c>
      <c r="LS37" s="302">
        <f ca="1"/>
        <v>39</v>
      </c>
      <c r="LT37" s="302">
        <f ca="1"/>
        <v>39</v>
      </c>
      <c r="LU37" s="302">
        <f ca="1"/>
        <v>39</v>
      </c>
      <c r="LV37" s="302">
        <f ca="1"/>
        <v>39</v>
      </c>
      <c r="LW37" s="302">
        <f ca="1"/>
        <v>39</v>
      </c>
      <c r="LX37" s="302">
        <f ca="1"/>
        <v>39</v>
      </c>
      <c r="LY37" s="302">
        <f ca="1"/>
        <v>39</v>
      </c>
      <c r="LZ37" s="302">
        <f ca="1"/>
        <v>39</v>
      </c>
      <c r="MA37" s="302">
        <f ca="1"/>
        <v>40</v>
      </c>
      <c r="MB37" s="302">
        <f ca="1"/>
        <v>40</v>
      </c>
      <c r="MC37" s="302">
        <f ca="1"/>
        <v>40</v>
      </c>
      <c r="MD37" s="302">
        <f ca="1"/>
        <v>40</v>
      </c>
      <c r="ME37" s="302">
        <f ca="1"/>
        <v>40</v>
      </c>
      <c r="MF37" s="302">
        <f ca="1"/>
        <v>40</v>
      </c>
      <c r="MG37" s="302">
        <f ca="1"/>
        <v>40</v>
      </c>
      <c r="MH37" s="302">
        <f ca="1"/>
        <v>40</v>
      </c>
      <c r="MI37" s="302">
        <f ca="1"/>
        <v>40</v>
      </c>
      <c r="MJ37" s="302">
        <f ca="1"/>
        <v>40</v>
      </c>
      <c r="MK37" s="302">
        <f ca="1"/>
        <v>40</v>
      </c>
      <c r="ML37" s="302">
        <f ca="1"/>
        <v>40</v>
      </c>
      <c r="MM37" s="302">
        <f ca="1"/>
        <v>41</v>
      </c>
      <c r="MN37" s="302">
        <f ca="1"/>
        <v>41</v>
      </c>
      <c r="MO37" s="302">
        <f ca="1"/>
        <v>41</v>
      </c>
      <c r="MP37" s="302">
        <f ca="1"/>
        <v>41</v>
      </c>
      <c r="MQ37" s="302">
        <f ca="1"/>
        <v>41</v>
      </c>
      <c r="MR37" s="302">
        <f ca="1"/>
        <v>41</v>
      </c>
      <c r="MS37" s="302">
        <f ca="1"/>
        <v>41</v>
      </c>
      <c r="MT37" s="302">
        <f ca="1"/>
        <v>41</v>
      </c>
      <c r="MU37" s="302">
        <f ca="1"/>
        <v>41</v>
      </c>
      <c r="MV37" s="302">
        <f ca="1"/>
        <v>41</v>
      </c>
      <c r="MW37" s="302">
        <f ca="1"/>
        <v>41</v>
      </c>
      <c r="MX37" s="302">
        <f ca="1"/>
        <v>41</v>
      </c>
      <c r="MY37" s="302">
        <f ca="1"/>
        <v>42</v>
      </c>
      <c r="MZ37" s="302">
        <f ca="1"/>
        <v>42</v>
      </c>
      <c r="NA37" s="302">
        <f ca="1"/>
        <v>42</v>
      </c>
      <c r="NB37" s="302">
        <f ca="1"/>
        <v>42</v>
      </c>
      <c r="NC37" s="302">
        <f ca="1"/>
        <v>42</v>
      </c>
      <c r="ND37" s="302">
        <f ca="1"/>
        <v>42</v>
      </c>
      <c r="NE37" s="302">
        <f ca="1"/>
        <v>42</v>
      </c>
      <c r="NF37" s="302">
        <f ca="1"/>
        <v>42</v>
      </c>
      <c r="NG37" s="302">
        <f ca="1"/>
        <v>42</v>
      </c>
      <c r="NH37" s="302">
        <f ca="1"/>
        <v>42</v>
      </c>
      <c r="NI37" s="302">
        <f ca="1"/>
        <v>42</v>
      </c>
      <c r="NJ37" s="302">
        <f ca="1"/>
        <v>42</v>
      </c>
      <c r="NK37" s="302">
        <f ca="1"/>
        <v>43</v>
      </c>
      <c r="NL37" s="302">
        <f ca="1"/>
        <v>43</v>
      </c>
      <c r="NM37" s="302">
        <f ca="1"/>
        <v>43</v>
      </c>
      <c r="NN37" s="302">
        <f ca="1"/>
        <v>43</v>
      </c>
      <c r="NO37" s="302">
        <f ca="1"/>
        <v>43</v>
      </c>
      <c r="NP37" s="302">
        <f ca="1"/>
        <v>43</v>
      </c>
      <c r="NQ37" s="302">
        <f ca="1"/>
        <v>43</v>
      </c>
      <c r="NR37" s="302">
        <f ca="1"/>
        <v>43</v>
      </c>
      <c r="NS37" s="302">
        <f ca="1"/>
        <v>43</v>
      </c>
      <c r="NT37" s="302">
        <f ca="1"/>
        <v>43</v>
      </c>
      <c r="NU37" s="302">
        <f ca="1"/>
        <v>43</v>
      </c>
      <c r="NV37" s="302">
        <f ca="1"/>
        <v>43</v>
      </c>
      <c r="NW37" s="302">
        <f ca="1"/>
        <v>44</v>
      </c>
      <c r="NX37" s="302">
        <f ca="1"/>
        <v>44</v>
      </c>
      <c r="NY37" s="302">
        <f ca="1"/>
        <v>44</v>
      </c>
      <c r="NZ37" s="302">
        <f ca="1"/>
        <v>44</v>
      </c>
      <c r="OA37" s="302">
        <f ca="1"/>
        <v>44</v>
      </c>
      <c r="OB37" s="302">
        <f ca="1"/>
        <v>44</v>
      </c>
      <c r="OC37" s="302">
        <f ca="1"/>
        <v>44</v>
      </c>
      <c r="OD37" s="302">
        <f ca="1"/>
        <v>44</v>
      </c>
      <c r="OE37" s="302">
        <f ca="1"/>
        <v>44</v>
      </c>
      <c r="OF37" s="302">
        <f ca="1"/>
        <v>44</v>
      </c>
      <c r="OG37" s="302">
        <f ca="1"/>
        <v>44</v>
      </c>
      <c r="OH37" s="302">
        <f ca="1"/>
        <v>44</v>
      </c>
      <c r="OI37" s="302">
        <f ca="1"/>
        <v>45</v>
      </c>
      <c r="OJ37" s="302">
        <f ca="1"/>
        <v>45</v>
      </c>
      <c r="OK37" s="302">
        <f ca="1"/>
        <v>45</v>
      </c>
      <c r="OL37" s="302">
        <f ca="1"/>
        <v>45</v>
      </c>
      <c r="OM37" s="302">
        <f ca="1"/>
        <v>45</v>
      </c>
      <c r="ON37" s="302">
        <f ca="1"/>
        <v>45</v>
      </c>
      <c r="OO37" s="302">
        <f ca="1"/>
        <v>45</v>
      </c>
      <c r="OP37" s="302">
        <f ca="1"/>
        <v>45</v>
      </c>
      <c r="OQ37" s="302">
        <f ca="1"/>
        <v>45</v>
      </c>
      <c r="OR37" s="302">
        <f ca="1"/>
        <v>45</v>
      </c>
      <c r="OS37" s="302">
        <f ca="1"/>
        <v>45</v>
      </c>
      <c r="OT37" s="302">
        <f ca="1"/>
        <v>45</v>
      </c>
      <c r="OU37" s="302">
        <f ca="1"/>
        <v>46</v>
      </c>
      <c r="OV37" s="302">
        <f ca="1"/>
        <v>46</v>
      </c>
      <c r="OW37" s="302">
        <f ca="1"/>
        <v>46</v>
      </c>
      <c r="OX37" s="302">
        <f ca="1"/>
        <v>46</v>
      </c>
      <c r="OY37" s="302">
        <f ca="1"/>
        <v>46</v>
      </c>
      <c r="OZ37" s="302">
        <f ca="1"/>
        <v>46</v>
      </c>
      <c r="PA37" s="302">
        <f ca="1"/>
        <v>46</v>
      </c>
      <c r="PB37" s="302">
        <f ca="1"/>
        <v>46</v>
      </c>
      <c r="PC37" s="302">
        <f ca="1"/>
        <v>46</v>
      </c>
      <c r="PD37" s="302">
        <f ca="1"/>
        <v>46</v>
      </c>
      <c r="PE37" s="302">
        <f ca="1"/>
        <v>46</v>
      </c>
      <c r="PF37" s="302">
        <f ca="1"/>
        <v>46</v>
      </c>
      <c r="PG37" s="302">
        <f ca="1"/>
        <v>47</v>
      </c>
      <c r="PH37" s="302">
        <f ca="1"/>
        <v>47</v>
      </c>
      <c r="PI37" s="302">
        <f ca="1"/>
        <v>47</v>
      </c>
      <c r="PJ37" s="302">
        <f ca="1"/>
        <v>47</v>
      </c>
      <c r="PK37" s="302">
        <f ca="1"/>
        <v>47</v>
      </c>
      <c r="PL37" s="302">
        <f ca="1"/>
        <v>47</v>
      </c>
      <c r="PM37" s="302">
        <f ca="1"/>
        <v>47</v>
      </c>
      <c r="PN37" s="302">
        <f ca="1"/>
        <v>47</v>
      </c>
      <c r="PO37" s="302">
        <f ca="1"/>
        <v>47</v>
      </c>
      <c r="PP37" s="302">
        <f ca="1"/>
        <v>47</v>
      </c>
      <c r="PQ37" s="302">
        <f ca="1"/>
        <v>47</v>
      </c>
      <c r="PR37" s="302">
        <f ca="1"/>
        <v>47</v>
      </c>
      <c r="PS37" s="302">
        <f ca="1"/>
        <v>48</v>
      </c>
      <c r="PT37" s="302">
        <f ca="1"/>
        <v>48</v>
      </c>
      <c r="PU37" s="302">
        <f ca="1"/>
        <v>48</v>
      </c>
      <c r="PV37" s="302">
        <f ca="1"/>
        <v>48</v>
      </c>
      <c r="PW37" s="302">
        <f ca="1"/>
        <v>48</v>
      </c>
      <c r="PX37" s="302">
        <f ca="1"/>
        <v>48</v>
      </c>
      <c r="PY37" s="302">
        <f ca="1"/>
        <v>48</v>
      </c>
      <c r="PZ37" s="302">
        <f ca="1"/>
        <v>48</v>
      </c>
      <c r="QA37" s="302">
        <f ca="1"/>
        <v>48</v>
      </c>
      <c r="QB37" s="302">
        <f ca="1"/>
        <v>48</v>
      </c>
      <c r="QC37" s="302">
        <f ca="1"/>
        <v>48</v>
      </c>
      <c r="QD37" s="302">
        <f ca="1"/>
        <v>48</v>
      </c>
      <c r="QE37" s="302">
        <f ca="1"/>
        <v>49</v>
      </c>
      <c r="QF37" s="302">
        <f ca="1"/>
        <v>49</v>
      </c>
      <c r="QG37" s="302">
        <f ca="1"/>
        <v>49</v>
      </c>
      <c r="QH37" s="302">
        <f ca="1"/>
        <v>49</v>
      </c>
      <c r="QI37" s="302">
        <f ca="1"/>
        <v>49</v>
      </c>
      <c r="QJ37" s="302">
        <f ca="1"/>
        <v>49</v>
      </c>
      <c r="QK37" s="302">
        <f ca="1"/>
        <v>49</v>
      </c>
      <c r="QL37" s="302">
        <f ca="1"/>
        <v>49</v>
      </c>
      <c r="QM37" s="302">
        <f ca="1"/>
        <v>49</v>
      </c>
      <c r="QN37" s="302">
        <f ca="1"/>
        <v>49</v>
      </c>
      <c r="QO37" s="302">
        <f ca="1"/>
        <v>49</v>
      </c>
      <c r="QP37" s="302">
        <f ca="1"/>
        <v>49</v>
      </c>
      <c r="QQ37" s="302">
        <f ca="1"/>
        <v>50</v>
      </c>
      <c r="QR37" s="302">
        <f ca="1"/>
        <v>50</v>
      </c>
      <c r="QS37" s="302">
        <f ca="1"/>
        <v>50</v>
      </c>
      <c r="QT37" s="302">
        <f ca="1"/>
        <v>50</v>
      </c>
      <c r="QU37" s="302">
        <f ca="1"/>
        <v>50</v>
      </c>
      <c r="QV37" s="302">
        <f ca="1"/>
        <v>50</v>
      </c>
      <c r="QW37" s="302">
        <f ca="1"/>
        <v>50</v>
      </c>
      <c r="QX37" s="302">
        <f ca="1"/>
        <v>50</v>
      </c>
      <c r="QY37" s="302">
        <f ca="1"/>
        <v>50</v>
      </c>
      <c r="QZ37" s="302">
        <f ca="1"/>
        <v>50</v>
      </c>
      <c r="RA37" s="302">
        <f ca="1"/>
        <v>50</v>
      </c>
      <c r="RB37" s="302">
        <f ca="1"/>
        <v>50</v>
      </c>
      <c r="RC37" s="302">
        <f ca="1"/>
        <v>51</v>
      </c>
      <c r="RD37" s="302">
        <f ca="1"/>
        <v>51</v>
      </c>
      <c r="RE37" s="302">
        <f ca="1"/>
        <v>51</v>
      </c>
      <c r="RF37" s="302">
        <f ca="1"/>
        <v>51</v>
      </c>
      <c r="RG37" s="302">
        <f ca="1"/>
        <v>51</v>
      </c>
      <c r="RH37" s="302">
        <f ca="1"/>
        <v>51</v>
      </c>
      <c r="RI37" s="302">
        <f ca="1"/>
        <v>51</v>
      </c>
      <c r="RJ37" s="302">
        <f ca="1"/>
        <v>51</v>
      </c>
      <c r="RK37" s="302">
        <f ca="1"/>
        <v>51</v>
      </c>
      <c r="RL37" s="302">
        <f ca="1"/>
        <v>51</v>
      </c>
      <c r="RM37" s="302">
        <f ca="1"/>
        <v>51</v>
      </c>
      <c r="RN37" s="302">
        <f ca="1"/>
        <v>51</v>
      </c>
      <c r="RO37" s="302">
        <f ca="1"/>
        <v>52</v>
      </c>
      <c r="RP37" s="302">
        <f ca="1"/>
        <v>52</v>
      </c>
      <c r="RQ37" s="302">
        <f ca="1"/>
        <v>52</v>
      </c>
      <c r="RR37" s="302">
        <f ca="1"/>
        <v>52</v>
      </c>
      <c r="RS37" s="302">
        <f ca="1"/>
        <v>52</v>
      </c>
      <c r="RT37" s="302">
        <f ca="1"/>
        <v>52</v>
      </c>
      <c r="RU37" s="302">
        <f ca="1"/>
        <v>52</v>
      </c>
      <c r="RV37" s="302">
        <f ca="1"/>
        <v>52</v>
      </c>
      <c r="RW37" s="302">
        <f ca="1"/>
        <v>52</v>
      </c>
      <c r="RX37" s="302">
        <f ca="1"/>
        <v>52</v>
      </c>
      <c r="RY37" s="302">
        <f ca="1"/>
        <v>52</v>
      </c>
      <c r="RZ37" s="302">
        <f ca="1"/>
        <v>52</v>
      </c>
    </row>
    <row r="38" spans="1:494" x14ac:dyDescent="0.3">
      <c r="A38" t="s">
        <v>494</v>
      </c>
      <c r="B38" cm="1">
        <f t="array" aca="1" ref="B38:RZ38" ca="1">IF(  YEAR(_xlfn.ANCHORARRAY(B36))=YEAR(TODAY()),B33,INDEX($C$11:$BB$11,_xlfn.ANCHORARRAY( B37)-1))</f>
        <v>49.254800000000003</v>
      </c>
      <c r="C38">
        <f ca="1"/>
        <v>49.28</v>
      </c>
      <c r="D38">
        <f ca="1"/>
        <v>49.28</v>
      </c>
      <c r="E38">
        <f ca="1"/>
        <v>49.28</v>
      </c>
      <c r="F38">
        <f ca="1"/>
        <v>49.28</v>
      </c>
      <c r="G38">
        <f ca="1"/>
        <v>49.28</v>
      </c>
      <c r="H38">
        <f ca="1"/>
        <v>49.28</v>
      </c>
      <c r="I38">
        <f ca="1"/>
        <v>49.28</v>
      </c>
      <c r="J38">
        <f ca="1"/>
        <v>49.28</v>
      </c>
      <c r="K38">
        <f ca="1"/>
        <v>49.28</v>
      </c>
      <c r="L38">
        <f ca="1"/>
        <v>49.28</v>
      </c>
      <c r="M38">
        <f ca="1"/>
        <v>49.28</v>
      </c>
      <c r="N38">
        <f ca="1"/>
        <v>49.28</v>
      </c>
      <c r="O38">
        <f ca="1"/>
        <v>56.540000000000006</v>
      </c>
      <c r="P38">
        <f ca="1"/>
        <v>56.540000000000006</v>
      </c>
      <c r="Q38">
        <f ca="1"/>
        <v>56.540000000000006</v>
      </c>
      <c r="R38">
        <f ca="1"/>
        <v>56.540000000000006</v>
      </c>
      <c r="S38">
        <f ca="1"/>
        <v>56.540000000000006</v>
      </c>
      <c r="T38">
        <f ca="1"/>
        <v>56.540000000000006</v>
      </c>
      <c r="U38">
        <f ca="1"/>
        <v>56.540000000000006</v>
      </c>
      <c r="V38">
        <f ca="1"/>
        <v>56.540000000000006</v>
      </c>
      <c r="W38">
        <f ca="1"/>
        <v>56.540000000000006</v>
      </c>
      <c r="X38">
        <f ca="1"/>
        <v>56.540000000000006</v>
      </c>
      <c r="Y38">
        <f ca="1"/>
        <v>56.540000000000006</v>
      </c>
      <c r="Z38">
        <f ca="1"/>
        <v>56.540000000000006</v>
      </c>
      <c r="AA38">
        <f ca="1"/>
        <v>64.172405769230778</v>
      </c>
      <c r="AB38">
        <f ca="1"/>
        <v>64.172405769230778</v>
      </c>
      <c r="AC38">
        <f ca="1"/>
        <v>64.172405769230778</v>
      </c>
      <c r="AD38">
        <f ca="1"/>
        <v>64.172405769230778</v>
      </c>
      <c r="AE38">
        <f ca="1"/>
        <v>64.172405769230778</v>
      </c>
      <c r="AF38">
        <f ca="1"/>
        <v>64.172405769230778</v>
      </c>
      <c r="AG38">
        <f ca="1"/>
        <v>64.172405769230778</v>
      </c>
      <c r="AH38">
        <f ca="1"/>
        <v>64.172405769230778</v>
      </c>
      <c r="AI38">
        <f ca="1"/>
        <v>64.172405769230778</v>
      </c>
      <c r="AJ38">
        <f ca="1"/>
        <v>64.172405769230778</v>
      </c>
      <c r="AK38">
        <f ca="1"/>
        <v>64.172405769230778</v>
      </c>
      <c r="AL38">
        <f ca="1"/>
        <v>64.172405769230778</v>
      </c>
      <c r="AM38">
        <f ca="1"/>
        <v>73.148734876811588</v>
      </c>
      <c r="AN38">
        <f ca="1"/>
        <v>73.148734876811588</v>
      </c>
      <c r="AO38">
        <f ca="1"/>
        <v>73.148734876811588</v>
      </c>
      <c r="AP38">
        <f ca="1"/>
        <v>73.148734876811588</v>
      </c>
      <c r="AQ38">
        <f ca="1"/>
        <v>73.148734876811588</v>
      </c>
      <c r="AR38">
        <f ca="1"/>
        <v>73.148734876811588</v>
      </c>
      <c r="AS38">
        <f ca="1"/>
        <v>73.148734876811588</v>
      </c>
      <c r="AT38">
        <f ca="1"/>
        <v>73.148734876811588</v>
      </c>
      <c r="AU38">
        <f ca="1"/>
        <v>73.148734876811588</v>
      </c>
      <c r="AV38">
        <f ca="1"/>
        <v>73.148734876811588</v>
      </c>
      <c r="AW38">
        <f ca="1"/>
        <v>73.148734876811588</v>
      </c>
      <c r="AX38">
        <f ca="1"/>
        <v>73.148734876811588</v>
      </c>
      <c r="AY38">
        <f ca="1"/>
        <v>81.541997794207333</v>
      </c>
      <c r="AZ38">
        <f ca="1"/>
        <v>81.541997794207333</v>
      </c>
      <c r="BA38">
        <f ca="1"/>
        <v>81.541997794207333</v>
      </c>
      <c r="BB38">
        <f ca="1"/>
        <v>81.541997794207333</v>
      </c>
      <c r="BC38">
        <f ca="1"/>
        <v>81.541997794207333</v>
      </c>
      <c r="BD38">
        <f ca="1"/>
        <v>81.541997794207333</v>
      </c>
      <c r="BE38">
        <f ca="1"/>
        <v>81.541997794207333</v>
      </c>
      <c r="BF38">
        <f ca="1"/>
        <v>81.541997794207333</v>
      </c>
      <c r="BG38">
        <f ca="1"/>
        <v>81.541997794207333</v>
      </c>
      <c r="BH38">
        <f ca="1"/>
        <v>81.541997794207333</v>
      </c>
      <c r="BI38">
        <f ca="1"/>
        <v>81.541997794207333</v>
      </c>
      <c r="BJ38">
        <f ca="1"/>
        <v>81.541997794207333</v>
      </c>
      <c r="BK38">
        <f ca="1"/>
        <v>91.73474751848326</v>
      </c>
      <c r="BL38">
        <f ca="1"/>
        <v>91.73474751848326</v>
      </c>
      <c r="BM38">
        <f ca="1"/>
        <v>91.73474751848326</v>
      </c>
      <c r="BN38">
        <f ca="1"/>
        <v>91.73474751848326</v>
      </c>
      <c r="BO38">
        <f ca="1"/>
        <v>91.73474751848326</v>
      </c>
      <c r="BP38">
        <f ca="1"/>
        <v>91.73474751848326</v>
      </c>
      <c r="BQ38">
        <f ca="1"/>
        <v>91.73474751848326</v>
      </c>
      <c r="BR38">
        <f ca="1"/>
        <v>91.73474751848326</v>
      </c>
      <c r="BS38">
        <f ca="1"/>
        <v>91.73474751848326</v>
      </c>
      <c r="BT38">
        <f ca="1"/>
        <v>91.73474751848326</v>
      </c>
      <c r="BU38">
        <f ca="1"/>
        <v>91.73474751848326</v>
      </c>
      <c r="BV38">
        <f ca="1"/>
        <v>91.73474751848326</v>
      </c>
      <c r="BW38">
        <f ca="1"/>
        <v>102.28424348310885</v>
      </c>
      <c r="BX38">
        <f ca="1"/>
        <v>102.28424348310885</v>
      </c>
      <c r="BY38">
        <f ca="1"/>
        <v>102.28424348310885</v>
      </c>
      <c r="BZ38">
        <f ca="1"/>
        <v>102.28424348310885</v>
      </c>
      <c r="CA38">
        <f ca="1"/>
        <v>102.28424348310885</v>
      </c>
      <c r="CB38">
        <f ca="1"/>
        <v>102.28424348310885</v>
      </c>
      <c r="CC38">
        <f ca="1"/>
        <v>102.28424348310885</v>
      </c>
      <c r="CD38">
        <f ca="1"/>
        <v>102.28424348310885</v>
      </c>
      <c r="CE38">
        <f ca="1"/>
        <v>102.28424348310885</v>
      </c>
      <c r="CF38">
        <f ca="1"/>
        <v>102.28424348310885</v>
      </c>
      <c r="CG38">
        <f ca="1"/>
        <v>102.28424348310885</v>
      </c>
      <c r="CH38">
        <f ca="1"/>
        <v>102.28424348310885</v>
      </c>
      <c r="CI38">
        <f ca="1"/>
        <v>113.02408904883528</v>
      </c>
      <c r="CJ38">
        <f ca="1"/>
        <v>113.02408904883528</v>
      </c>
      <c r="CK38">
        <f ca="1"/>
        <v>113.02408904883528</v>
      </c>
      <c r="CL38">
        <f ca="1"/>
        <v>113.02408904883528</v>
      </c>
      <c r="CM38">
        <f ca="1"/>
        <v>113.02408904883528</v>
      </c>
      <c r="CN38">
        <f ca="1"/>
        <v>113.02408904883528</v>
      </c>
      <c r="CO38">
        <f ca="1"/>
        <v>113.02408904883528</v>
      </c>
      <c r="CP38">
        <f ca="1"/>
        <v>113.02408904883528</v>
      </c>
      <c r="CQ38">
        <f ca="1"/>
        <v>113.02408904883528</v>
      </c>
      <c r="CR38">
        <f ca="1"/>
        <v>113.02408904883528</v>
      </c>
      <c r="CS38">
        <f ca="1"/>
        <v>113.02408904883528</v>
      </c>
      <c r="CT38">
        <f ca="1"/>
        <v>113.02408904883528</v>
      </c>
      <c r="CU38">
        <f ca="1"/>
        <v>124.32649795371883</v>
      </c>
      <c r="CV38">
        <f ca="1"/>
        <v>124.32649795371883</v>
      </c>
      <c r="CW38">
        <f ca="1"/>
        <v>124.32649795371883</v>
      </c>
      <c r="CX38">
        <f ca="1"/>
        <v>124.32649795371883</v>
      </c>
      <c r="CY38">
        <f ca="1"/>
        <v>124.32649795371883</v>
      </c>
      <c r="CZ38">
        <f ca="1"/>
        <v>124.32649795371883</v>
      </c>
      <c r="DA38">
        <f ca="1"/>
        <v>124.32649795371883</v>
      </c>
      <c r="DB38">
        <f ca="1"/>
        <v>124.32649795371883</v>
      </c>
      <c r="DC38">
        <f ca="1"/>
        <v>124.32649795371883</v>
      </c>
      <c r="DD38">
        <f ca="1"/>
        <v>124.32649795371883</v>
      </c>
      <c r="DE38">
        <f ca="1"/>
        <v>124.32649795371883</v>
      </c>
      <c r="DF38">
        <f ca="1"/>
        <v>124.32649795371883</v>
      </c>
      <c r="DG38">
        <f ca="1"/>
        <v>136.75914774909074</v>
      </c>
      <c r="DH38">
        <f ca="1"/>
        <v>136.75914774909074</v>
      </c>
      <c r="DI38">
        <f ca="1"/>
        <v>136.75914774909074</v>
      </c>
      <c r="DJ38">
        <f ca="1"/>
        <v>136.75914774909074</v>
      </c>
      <c r="DK38">
        <f ca="1"/>
        <v>136.75914774909074</v>
      </c>
      <c r="DL38">
        <f ca="1"/>
        <v>136.75914774909074</v>
      </c>
      <c r="DM38">
        <f ca="1"/>
        <v>136.75914774909074</v>
      </c>
      <c r="DN38">
        <f ca="1"/>
        <v>136.75914774909074</v>
      </c>
      <c r="DO38">
        <f ca="1"/>
        <v>136.75914774909074</v>
      </c>
      <c r="DP38">
        <f ca="1"/>
        <v>136.75914774909074</v>
      </c>
      <c r="DQ38">
        <f ca="1"/>
        <v>136.75914774909074</v>
      </c>
      <c r="DR38">
        <f ca="1"/>
        <v>136.75914774909074</v>
      </c>
      <c r="DS38">
        <f ca="1"/>
        <v>149.0674710465089</v>
      </c>
      <c r="DT38">
        <f ca="1"/>
        <v>149.0674710465089</v>
      </c>
      <c r="DU38">
        <f ca="1"/>
        <v>149.0674710465089</v>
      </c>
      <c r="DV38">
        <f ca="1"/>
        <v>149.0674710465089</v>
      </c>
      <c r="DW38">
        <f ca="1"/>
        <v>149.0674710465089</v>
      </c>
      <c r="DX38">
        <f ca="1"/>
        <v>149.0674710465089</v>
      </c>
      <c r="DY38">
        <f ca="1"/>
        <v>149.0674710465089</v>
      </c>
      <c r="DZ38">
        <f ca="1"/>
        <v>149.0674710465089</v>
      </c>
      <c r="EA38">
        <f ca="1"/>
        <v>149.0674710465089</v>
      </c>
      <c r="EB38">
        <f ca="1"/>
        <v>149.0674710465089</v>
      </c>
      <c r="EC38">
        <f ca="1"/>
        <v>149.0674710465089</v>
      </c>
      <c r="ED38">
        <f ca="1"/>
        <v>149.0674710465089</v>
      </c>
      <c r="EE38">
        <f ca="1"/>
        <v>162.48354344069472</v>
      </c>
      <c r="EF38">
        <f ca="1"/>
        <v>162.48354344069472</v>
      </c>
      <c r="EG38">
        <f ca="1"/>
        <v>162.48354344069472</v>
      </c>
      <c r="EH38">
        <f ca="1"/>
        <v>162.48354344069472</v>
      </c>
      <c r="EI38">
        <f ca="1"/>
        <v>162.48354344069472</v>
      </c>
      <c r="EJ38">
        <f ca="1"/>
        <v>162.48354344069472</v>
      </c>
      <c r="EK38">
        <f ca="1"/>
        <v>162.48354344069472</v>
      </c>
      <c r="EL38">
        <f ca="1"/>
        <v>162.48354344069472</v>
      </c>
      <c r="EM38">
        <f ca="1"/>
        <v>162.48354344069472</v>
      </c>
      <c r="EN38">
        <f ca="1"/>
        <v>162.48354344069472</v>
      </c>
      <c r="EO38">
        <f ca="1"/>
        <v>162.48354344069472</v>
      </c>
      <c r="EP38">
        <f ca="1"/>
        <v>162.48354344069472</v>
      </c>
      <c r="EQ38">
        <f ca="1"/>
        <v>175.48222691595029</v>
      </c>
      <c r="ER38">
        <f ca="1"/>
        <v>175.48222691595029</v>
      </c>
      <c r="ES38">
        <f ca="1"/>
        <v>175.48222691595029</v>
      </c>
      <c r="ET38">
        <f ca="1"/>
        <v>175.48222691595029</v>
      </c>
      <c r="EU38">
        <f ca="1"/>
        <v>175.48222691595029</v>
      </c>
      <c r="EV38">
        <f ca="1"/>
        <v>175.48222691595029</v>
      </c>
      <c r="EW38">
        <f ca="1"/>
        <v>175.48222691595029</v>
      </c>
      <c r="EX38">
        <f ca="1"/>
        <v>175.48222691595029</v>
      </c>
      <c r="EY38">
        <f ca="1"/>
        <v>175.48222691595029</v>
      </c>
      <c r="EZ38">
        <f ca="1"/>
        <v>175.48222691595029</v>
      </c>
      <c r="FA38">
        <f ca="1"/>
        <v>175.48222691595029</v>
      </c>
      <c r="FB38">
        <f ca="1"/>
        <v>175.48222691595029</v>
      </c>
      <c r="FC38">
        <f ca="1"/>
        <v>189.52080506922636</v>
      </c>
      <c r="FD38">
        <f ca="1"/>
        <v>189.52080506922636</v>
      </c>
      <c r="FE38">
        <f ca="1"/>
        <v>189.52080506922636</v>
      </c>
      <c r="FF38">
        <f ca="1"/>
        <v>189.52080506922636</v>
      </c>
      <c r="FG38">
        <f ca="1"/>
        <v>189.52080506922636</v>
      </c>
      <c r="FH38">
        <f ca="1"/>
        <v>189.52080506922636</v>
      </c>
      <c r="FI38">
        <f ca="1"/>
        <v>189.52080506922636</v>
      </c>
      <c r="FJ38">
        <f ca="1"/>
        <v>189.52080506922636</v>
      </c>
      <c r="FK38">
        <f ca="1"/>
        <v>189.52080506922636</v>
      </c>
      <c r="FL38">
        <f ca="1"/>
        <v>189.52080506922636</v>
      </c>
      <c r="FM38">
        <f ca="1"/>
        <v>189.52080506922636</v>
      </c>
      <c r="FN38">
        <f ca="1"/>
        <v>189.52080506922636</v>
      </c>
      <c r="FO38">
        <f ca="1"/>
        <v>204.68246947476447</v>
      </c>
      <c r="FP38">
        <f ca="1"/>
        <v>204.68246947476447</v>
      </c>
      <c r="FQ38">
        <f ca="1"/>
        <v>204.68246947476447</v>
      </c>
      <c r="FR38">
        <f ca="1"/>
        <v>204.68246947476447</v>
      </c>
      <c r="FS38">
        <f ca="1"/>
        <v>204.68246947476447</v>
      </c>
      <c r="FT38">
        <f ca="1"/>
        <v>204.68246947476447</v>
      </c>
      <c r="FU38">
        <f ca="1"/>
        <v>204.68246947476447</v>
      </c>
      <c r="FV38">
        <f ca="1"/>
        <v>204.68246947476447</v>
      </c>
      <c r="FW38">
        <f ca="1"/>
        <v>204.68246947476447</v>
      </c>
      <c r="FX38">
        <f ca="1"/>
        <v>204.68246947476447</v>
      </c>
      <c r="FY38">
        <f ca="1"/>
        <v>204.68246947476447</v>
      </c>
      <c r="FZ38">
        <f ca="1"/>
        <v>204.68246947476447</v>
      </c>
      <c r="GA38">
        <f ca="1"/>
        <v>221.05706703274564</v>
      </c>
      <c r="GB38">
        <f ca="1"/>
        <v>221.05706703274564</v>
      </c>
      <c r="GC38">
        <f ca="1"/>
        <v>221.05706703274564</v>
      </c>
      <c r="GD38">
        <f ca="1"/>
        <v>221.05706703274564</v>
      </c>
      <c r="GE38">
        <f ca="1"/>
        <v>221.05706703274564</v>
      </c>
      <c r="GF38">
        <f ca="1"/>
        <v>221.05706703274564</v>
      </c>
      <c r="GG38">
        <f ca="1"/>
        <v>221.05706703274564</v>
      </c>
      <c r="GH38">
        <f ca="1"/>
        <v>221.05706703274564</v>
      </c>
      <c r="GI38">
        <f ca="1"/>
        <v>221.05706703274564</v>
      </c>
      <c r="GJ38">
        <f ca="1"/>
        <v>221.05706703274564</v>
      </c>
      <c r="GK38">
        <f ca="1"/>
        <v>221.05706703274564</v>
      </c>
      <c r="GL38">
        <f ca="1"/>
        <v>221.05706703274564</v>
      </c>
      <c r="GM38">
        <f ca="1"/>
        <v>238.74163239536529</v>
      </c>
      <c r="GN38">
        <f ca="1"/>
        <v>238.74163239536529</v>
      </c>
      <c r="GO38">
        <f ca="1"/>
        <v>238.74163239536529</v>
      </c>
      <c r="GP38">
        <f ca="1"/>
        <v>238.74163239536529</v>
      </c>
      <c r="GQ38">
        <f ca="1"/>
        <v>238.74163239536529</v>
      </c>
      <c r="GR38">
        <f ca="1"/>
        <v>238.74163239536529</v>
      </c>
      <c r="GS38">
        <f ca="1"/>
        <v>238.74163239536529</v>
      </c>
      <c r="GT38">
        <f ca="1"/>
        <v>238.74163239536529</v>
      </c>
      <c r="GU38">
        <f ca="1"/>
        <v>238.74163239536529</v>
      </c>
      <c r="GV38">
        <f ca="1"/>
        <v>238.74163239536529</v>
      </c>
      <c r="GW38">
        <f ca="1"/>
        <v>238.74163239536529</v>
      </c>
      <c r="GX38">
        <f ca="1"/>
        <v>238.74163239536529</v>
      </c>
      <c r="GY38">
        <f ca="1"/>
        <v>257.84096298699455</v>
      </c>
      <c r="GZ38">
        <f ca="1"/>
        <v>257.84096298699455</v>
      </c>
      <c r="HA38">
        <f ca="1"/>
        <v>257.84096298699455</v>
      </c>
      <c r="HB38">
        <f ca="1"/>
        <v>257.84096298699455</v>
      </c>
      <c r="HC38">
        <f ca="1"/>
        <v>257.84096298699455</v>
      </c>
      <c r="HD38">
        <f ca="1"/>
        <v>257.84096298699455</v>
      </c>
      <c r="HE38">
        <f ca="1"/>
        <v>257.84096298699455</v>
      </c>
      <c r="HF38">
        <f ca="1"/>
        <v>257.84096298699455</v>
      </c>
      <c r="HG38">
        <f ca="1"/>
        <v>257.84096298699455</v>
      </c>
      <c r="HH38">
        <f ca="1"/>
        <v>257.84096298699455</v>
      </c>
      <c r="HI38">
        <f ca="1"/>
        <v>257.84096298699455</v>
      </c>
      <c r="HJ38">
        <f ca="1"/>
        <v>257.84096298699455</v>
      </c>
      <c r="HK38">
        <f ca="1"/>
        <v>278.46824002595412</v>
      </c>
      <c r="HL38">
        <f ca="1"/>
        <v>278.46824002595412</v>
      </c>
      <c r="HM38">
        <f ca="1"/>
        <v>278.46824002595412</v>
      </c>
      <c r="HN38">
        <f ca="1"/>
        <v>278.46824002595412</v>
      </c>
      <c r="HO38">
        <f ca="1"/>
        <v>278.46824002595412</v>
      </c>
      <c r="HP38">
        <f ca="1"/>
        <v>278.46824002595412</v>
      </c>
      <c r="HQ38">
        <f ca="1"/>
        <v>278.46824002595412</v>
      </c>
      <c r="HR38">
        <f ca="1"/>
        <v>278.46824002595412</v>
      </c>
      <c r="HS38">
        <f ca="1"/>
        <v>278.46824002595412</v>
      </c>
      <c r="HT38">
        <f ca="1"/>
        <v>278.46824002595412</v>
      </c>
      <c r="HU38">
        <f ca="1"/>
        <v>278.46824002595412</v>
      </c>
      <c r="HV38">
        <f ca="1"/>
        <v>278.46824002595412</v>
      </c>
      <c r="HW38">
        <f ca="1"/>
        <v>300.74569922803045</v>
      </c>
      <c r="HX38">
        <f ca="1"/>
        <v>300.74569922803045</v>
      </c>
      <c r="HY38">
        <f ca="1"/>
        <v>300.74569922803045</v>
      </c>
      <c r="HZ38">
        <f ca="1"/>
        <v>300.74569922803045</v>
      </c>
      <c r="IA38">
        <f ca="1"/>
        <v>300.74569922803045</v>
      </c>
      <c r="IB38">
        <f ca="1"/>
        <v>300.74569922803045</v>
      </c>
      <c r="IC38">
        <f ca="1"/>
        <v>300.74569922803045</v>
      </c>
      <c r="ID38">
        <f ca="1"/>
        <v>300.74569922803045</v>
      </c>
      <c r="IE38">
        <f ca="1"/>
        <v>300.74569922803045</v>
      </c>
      <c r="IF38">
        <f ca="1"/>
        <v>300.74569922803045</v>
      </c>
      <c r="IG38">
        <f ca="1"/>
        <v>300.74569922803045</v>
      </c>
      <c r="IH38">
        <f ca="1"/>
        <v>300.74569922803045</v>
      </c>
      <c r="II38">
        <f ca="1"/>
        <v>324.80535516627299</v>
      </c>
      <c r="IJ38">
        <f ca="1"/>
        <v>324.80535516627299</v>
      </c>
      <c r="IK38">
        <f ca="1"/>
        <v>324.80535516627299</v>
      </c>
      <c r="IL38">
        <f ca="1"/>
        <v>324.80535516627299</v>
      </c>
      <c r="IM38">
        <f ca="1"/>
        <v>324.80535516627299</v>
      </c>
      <c r="IN38">
        <f ca="1"/>
        <v>324.80535516627299</v>
      </c>
      <c r="IO38">
        <f ca="1"/>
        <v>324.80535516627299</v>
      </c>
      <c r="IP38">
        <f ca="1"/>
        <v>324.80535516627299</v>
      </c>
      <c r="IQ38">
        <f ca="1"/>
        <v>324.80535516627299</v>
      </c>
      <c r="IR38">
        <f ca="1"/>
        <v>324.80535516627299</v>
      </c>
      <c r="IS38">
        <f ca="1"/>
        <v>324.80535516627299</v>
      </c>
      <c r="IT38">
        <f ca="1"/>
        <v>324.80535516627299</v>
      </c>
      <c r="IU38">
        <f ca="1"/>
        <v>350.78978357957487</v>
      </c>
      <c r="IV38">
        <f ca="1"/>
        <v>350.78978357957487</v>
      </c>
      <c r="IW38">
        <f ca="1"/>
        <v>350.78978357957487</v>
      </c>
      <c r="IX38">
        <f ca="1"/>
        <v>350.78978357957487</v>
      </c>
      <c r="IY38">
        <f ca="1"/>
        <v>350.78978357957487</v>
      </c>
      <c r="IZ38">
        <f ca="1"/>
        <v>350.78978357957487</v>
      </c>
      <c r="JA38">
        <f ca="1"/>
        <v>350.78978357957487</v>
      </c>
      <c r="JB38">
        <f ca="1"/>
        <v>350.78978357957487</v>
      </c>
      <c r="JC38">
        <f ca="1"/>
        <v>350.78978357957487</v>
      </c>
      <c r="JD38">
        <f ca="1"/>
        <v>350.78978357957487</v>
      </c>
      <c r="JE38">
        <f ca="1"/>
        <v>350.78978357957487</v>
      </c>
      <c r="JF38">
        <f ca="1"/>
        <v>350.78978357957487</v>
      </c>
      <c r="JG38">
        <f ca="1"/>
        <v>378.85296626594084</v>
      </c>
      <c r="JH38">
        <f ca="1"/>
        <v>378.85296626594084</v>
      </c>
      <c r="JI38">
        <f ca="1"/>
        <v>378.85296626594084</v>
      </c>
      <c r="JJ38">
        <f ca="1"/>
        <v>378.85296626594084</v>
      </c>
      <c r="JK38">
        <f ca="1"/>
        <v>378.85296626594084</v>
      </c>
      <c r="JL38">
        <f ca="1"/>
        <v>378.85296626594084</v>
      </c>
      <c r="JM38">
        <f ca="1"/>
        <v>378.85296626594084</v>
      </c>
      <c r="JN38">
        <f ca="1"/>
        <v>378.85296626594084</v>
      </c>
      <c r="JO38">
        <f ca="1"/>
        <v>378.85296626594084</v>
      </c>
      <c r="JP38">
        <f ca="1"/>
        <v>378.85296626594084</v>
      </c>
      <c r="JQ38">
        <f ca="1"/>
        <v>378.85296626594084</v>
      </c>
      <c r="JR38">
        <f ca="1"/>
        <v>378.85296626594084</v>
      </c>
      <c r="JS38">
        <f ca="1"/>
        <v>409.16120356721615</v>
      </c>
      <c r="JT38">
        <f ca="1"/>
        <v>409.16120356721615</v>
      </c>
      <c r="JU38">
        <f ca="1"/>
        <v>409.16120356721615</v>
      </c>
      <c r="JV38">
        <f ca="1"/>
        <v>409.16120356721615</v>
      </c>
      <c r="JW38">
        <f ca="1"/>
        <v>409.16120356721615</v>
      </c>
      <c r="JX38">
        <f ca="1"/>
        <v>409.16120356721615</v>
      </c>
      <c r="JY38">
        <f ca="1"/>
        <v>409.16120356721615</v>
      </c>
      <c r="JZ38">
        <f ca="1"/>
        <v>409.16120356721615</v>
      </c>
      <c r="KA38">
        <f ca="1"/>
        <v>409.16120356721615</v>
      </c>
      <c r="KB38">
        <f ca="1"/>
        <v>409.16120356721615</v>
      </c>
      <c r="KC38">
        <f ca="1"/>
        <v>409.16120356721615</v>
      </c>
      <c r="KD38">
        <f ca="1"/>
        <v>409.16120356721615</v>
      </c>
      <c r="KE38">
        <f ca="1"/>
        <v>441.89409985259351</v>
      </c>
      <c r="KF38">
        <f ca="1"/>
        <v>441.89409985259351</v>
      </c>
      <c r="KG38">
        <f ca="1"/>
        <v>441.89409985259351</v>
      </c>
      <c r="KH38">
        <f ca="1"/>
        <v>441.89409985259351</v>
      </c>
      <c r="KI38">
        <f ca="1"/>
        <v>441.89409985259351</v>
      </c>
      <c r="KJ38">
        <f ca="1"/>
        <v>441.89409985259351</v>
      </c>
      <c r="KK38">
        <f ca="1"/>
        <v>441.89409985259351</v>
      </c>
      <c r="KL38">
        <f ca="1"/>
        <v>441.89409985259351</v>
      </c>
      <c r="KM38">
        <f ca="1"/>
        <v>441.89409985259351</v>
      </c>
      <c r="KN38">
        <f ca="1"/>
        <v>441.89409985259351</v>
      </c>
      <c r="KO38">
        <f ca="1"/>
        <v>441.89409985259351</v>
      </c>
      <c r="KP38">
        <f ca="1"/>
        <v>441.89409985259351</v>
      </c>
      <c r="KQ38">
        <f ca="1"/>
        <v>477.24562784080103</v>
      </c>
      <c r="KR38">
        <f ca="1"/>
        <v>477.24562784080103</v>
      </c>
      <c r="KS38">
        <f ca="1"/>
        <v>477.24562784080103</v>
      </c>
      <c r="KT38">
        <f ca="1"/>
        <v>477.24562784080103</v>
      </c>
      <c r="KU38">
        <f ca="1"/>
        <v>477.24562784080103</v>
      </c>
      <c r="KV38">
        <f ca="1"/>
        <v>477.24562784080103</v>
      </c>
      <c r="KW38">
        <f ca="1"/>
        <v>477.24562784080103</v>
      </c>
      <c r="KX38">
        <f ca="1"/>
        <v>477.24562784080103</v>
      </c>
      <c r="KY38">
        <f ca="1"/>
        <v>477.24562784080103</v>
      </c>
      <c r="KZ38">
        <f ca="1"/>
        <v>477.24562784080103</v>
      </c>
      <c r="LA38">
        <f ca="1"/>
        <v>477.24562784080103</v>
      </c>
      <c r="LB38">
        <f ca="1"/>
        <v>477.24562784080103</v>
      </c>
      <c r="LC38">
        <f ca="1"/>
        <v>515.42527806806515</v>
      </c>
      <c r="LD38">
        <f ca="1"/>
        <v>515.42527806806515</v>
      </c>
      <c r="LE38">
        <f ca="1"/>
        <v>515.42527806806515</v>
      </c>
      <c r="LF38">
        <f ca="1"/>
        <v>515.42527806806515</v>
      </c>
      <c r="LG38">
        <f ca="1"/>
        <v>515.42527806806515</v>
      </c>
      <c r="LH38">
        <f ca="1"/>
        <v>515.42527806806515</v>
      </c>
      <c r="LI38">
        <f ca="1"/>
        <v>515.42527806806515</v>
      </c>
      <c r="LJ38">
        <f ca="1"/>
        <v>515.42527806806515</v>
      </c>
      <c r="LK38">
        <f ca="1"/>
        <v>515.42527806806515</v>
      </c>
      <c r="LL38">
        <f ca="1"/>
        <v>515.42527806806515</v>
      </c>
      <c r="LM38">
        <f ca="1"/>
        <v>515.42527806806515</v>
      </c>
      <c r="LN38">
        <f ca="1"/>
        <v>515.42527806806515</v>
      </c>
      <c r="LO38">
        <f ca="1"/>
        <v>556.65930031351036</v>
      </c>
      <c r="LP38">
        <f ca="1"/>
        <v>556.65930031351036</v>
      </c>
      <c r="LQ38">
        <f ca="1"/>
        <v>556.65930031351036</v>
      </c>
      <c r="LR38">
        <f ca="1"/>
        <v>556.65930031351036</v>
      </c>
      <c r="LS38">
        <f ca="1"/>
        <v>556.65930031351036</v>
      </c>
      <c r="LT38">
        <f ca="1"/>
        <v>556.65930031351036</v>
      </c>
      <c r="LU38">
        <f ca="1"/>
        <v>556.65930031351036</v>
      </c>
      <c r="LV38">
        <f ca="1"/>
        <v>556.65930031351036</v>
      </c>
      <c r="LW38">
        <f ca="1"/>
        <v>556.65930031351036</v>
      </c>
      <c r="LX38">
        <f ca="1"/>
        <v>556.65930031351036</v>
      </c>
      <c r="LY38">
        <f ca="1"/>
        <v>556.65930031351036</v>
      </c>
      <c r="LZ38">
        <f ca="1"/>
        <v>556.65930031351036</v>
      </c>
      <c r="MA38">
        <f ca="1"/>
        <v>601.19204433859124</v>
      </c>
      <c r="MB38">
        <f ca="1"/>
        <v>601.19204433859124</v>
      </c>
      <c r="MC38">
        <f ca="1"/>
        <v>601.19204433859124</v>
      </c>
      <c r="MD38">
        <f ca="1"/>
        <v>601.19204433859124</v>
      </c>
      <c r="ME38">
        <f ca="1"/>
        <v>601.19204433859124</v>
      </c>
      <c r="MF38">
        <f ca="1"/>
        <v>601.19204433859124</v>
      </c>
      <c r="MG38">
        <f ca="1"/>
        <v>601.19204433859124</v>
      </c>
      <c r="MH38">
        <f ca="1"/>
        <v>601.19204433859124</v>
      </c>
      <c r="MI38">
        <f ca="1"/>
        <v>601.19204433859124</v>
      </c>
      <c r="MJ38">
        <f ca="1"/>
        <v>601.19204433859124</v>
      </c>
      <c r="MK38">
        <f ca="1"/>
        <v>601.19204433859124</v>
      </c>
      <c r="ML38">
        <f ca="1"/>
        <v>601.19204433859124</v>
      </c>
      <c r="MM38">
        <f ca="1"/>
        <v>649.28740788567848</v>
      </c>
      <c r="MN38">
        <f ca="1"/>
        <v>649.28740788567848</v>
      </c>
      <c r="MO38">
        <f ca="1"/>
        <v>649.28740788567848</v>
      </c>
      <c r="MP38">
        <f ca="1"/>
        <v>649.28740788567848</v>
      </c>
      <c r="MQ38">
        <f ca="1"/>
        <v>649.28740788567848</v>
      </c>
      <c r="MR38">
        <f ca="1"/>
        <v>649.28740788567848</v>
      </c>
      <c r="MS38">
        <f ca="1"/>
        <v>649.28740788567848</v>
      </c>
      <c r="MT38">
        <f ca="1"/>
        <v>649.28740788567848</v>
      </c>
      <c r="MU38">
        <f ca="1"/>
        <v>649.28740788567848</v>
      </c>
      <c r="MV38">
        <f ca="1"/>
        <v>649.28740788567848</v>
      </c>
      <c r="MW38">
        <f ca="1"/>
        <v>649.28740788567848</v>
      </c>
      <c r="MX38">
        <f ca="1"/>
        <v>649.28740788567848</v>
      </c>
      <c r="MY38">
        <f ca="1"/>
        <v>701.230400516533</v>
      </c>
      <c r="MZ38">
        <f ca="1"/>
        <v>701.230400516533</v>
      </c>
      <c r="NA38">
        <f ca="1"/>
        <v>701.230400516533</v>
      </c>
      <c r="NB38">
        <f ca="1"/>
        <v>701.230400516533</v>
      </c>
      <c r="NC38">
        <f ca="1"/>
        <v>701.230400516533</v>
      </c>
      <c r="ND38">
        <f ca="1"/>
        <v>701.230400516533</v>
      </c>
      <c r="NE38">
        <f ca="1"/>
        <v>701.230400516533</v>
      </c>
      <c r="NF38">
        <f ca="1"/>
        <v>701.230400516533</v>
      </c>
      <c r="NG38">
        <f ca="1"/>
        <v>701.230400516533</v>
      </c>
      <c r="NH38">
        <f ca="1"/>
        <v>701.230400516533</v>
      </c>
      <c r="NI38">
        <f ca="1"/>
        <v>701.230400516533</v>
      </c>
      <c r="NJ38">
        <f ca="1"/>
        <v>701.230400516533</v>
      </c>
      <c r="NK38">
        <f ca="1"/>
        <v>757.32883255785566</v>
      </c>
      <c r="NL38">
        <f ca="1"/>
        <v>757.32883255785566</v>
      </c>
      <c r="NM38">
        <f ca="1"/>
        <v>757.32883255785566</v>
      </c>
      <c r="NN38">
        <f ca="1"/>
        <v>757.32883255785566</v>
      </c>
      <c r="NO38">
        <f ca="1"/>
        <v>757.32883255785566</v>
      </c>
      <c r="NP38">
        <f ca="1"/>
        <v>757.32883255785566</v>
      </c>
      <c r="NQ38">
        <f ca="1"/>
        <v>757.32883255785566</v>
      </c>
      <c r="NR38">
        <f ca="1"/>
        <v>757.32883255785566</v>
      </c>
      <c r="NS38">
        <f ca="1"/>
        <v>757.32883255785566</v>
      </c>
      <c r="NT38">
        <f ca="1"/>
        <v>757.32883255785566</v>
      </c>
      <c r="NU38">
        <f ca="1"/>
        <v>757.32883255785566</v>
      </c>
      <c r="NV38">
        <f ca="1"/>
        <v>757.32883255785566</v>
      </c>
      <c r="NW38">
        <f ca="1"/>
        <v>817.91513916248425</v>
      </c>
      <c r="NX38">
        <f ca="1"/>
        <v>817.91513916248425</v>
      </c>
      <c r="NY38">
        <f ca="1"/>
        <v>817.91513916248425</v>
      </c>
      <c r="NZ38">
        <f ca="1"/>
        <v>817.91513916248425</v>
      </c>
      <c r="OA38">
        <f ca="1"/>
        <v>817.91513916248425</v>
      </c>
      <c r="OB38">
        <f ca="1"/>
        <v>817.91513916248425</v>
      </c>
      <c r="OC38">
        <f ca="1"/>
        <v>817.91513916248425</v>
      </c>
      <c r="OD38">
        <f ca="1"/>
        <v>817.91513916248425</v>
      </c>
      <c r="OE38">
        <f ca="1"/>
        <v>817.91513916248425</v>
      </c>
      <c r="OF38">
        <f ca="1"/>
        <v>817.91513916248425</v>
      </c>
      <c r="OG38">
        <f ca="1"/>
        <v>817.91513916248425</v>
      </c>
      <c r="OH38">
        <f ca="1"/>
        <v>817.91513916248425</v>
      </c>
      <c r="OI38">
        <f ca="1"/>
        <v>883.34835029548299</v>
      </c>
      <c r="OJ38">
        <f ca="1"/>
        <v>883.34835029548299</v>
      </c>
      <c r="OK38">
        <f ca="1"/>
        <v>883.34835029548299</v>
      </c>
      <c r="OL38">
        <f ca="1"/>
        <v>883.34835029548299</v>
      </c>
      <c r="OM38">
        <f ca="1"/>
        <v>883.34835029548299</v>
      </c>
      <c r="ON38">
        <f ca="1"/>
        <v>883.34835029548299</v>
      </c>
      <c r="OO38">
        <f ca="1"/>
        <v>883.34835029548299</v>
      </c>
      <c r="OP38">
        <f ca="1"/>
        <v>883.34835029548299</v>
      </c>
      <c r="OQ38">
        <f ca="1"/>
        <v>883.34835029548299</v>
      </c>
      <c r="OR38">
        <f ca="1"/>
        <v>883.34835029548299</v>
      </c>
      <c r="OS38">
        <f ca="1"/>
        <v>883.34835029548299</v>
      </c>
      <c r="OT38">
        <f ca="1"/>
        <v>883.34835029548299</v>
      </c>
      <c r="OU38">
        <f ca="1"/>
        <v>954.01621831912178</v>
      </c>
      <c r="OV38">
        <f ca="1"/>
        <v>954.01621831912178</v>
      </c>
      <c r="OW38">
        <f ca="1"/>
        <v>954.01621831912178</v>
      </c>
      <c r="OX38">
        <f ca="1"/>
        <v>954.01621831912178</v>
      </c>
      <c r="OY38">
        <f ca="1"/>
        <v>954.01621831912178</v>
      </c>
      <c r="OZ38">
        <f ca="1"/>
        <v>954.01621831912178</v>
      </c>
      <c r="PA38">
        <f ca="1"/>
        <v>954.01621831912178</v>
      </c>
      <c r="PB38">
        <f ca="1"/>
        <v>954.01621831912178</v>
      </c>
      <c r="PC38">
        <f ca="1"/>
        <v>954.01621831912178</v>
      </c>
      <c r="PD38">
        <f ca="1"/>
        <v>954.01621831912178</v>
      </c>
      <c r="PE38">
        <f ca="1"/>
        <v>954.01621831912178</v>
      </c>
      <c r="PF38">
        <f ca="1"/>
        <v>954.01621831912178</v>
      </c>
      <c r="PG38">
        <f ca="1"/>
        <v>1030.3375157846515</v>
      </c>
      <c r="PH38">
        <f ca="1"/>
        <v>1030.3375157846515</v>
      </c>
      <c r="PI38">
        <f ca="1"/>
        <v>1030.3375157846515</v>
      </c>
      <c r="PJ38">
        <f ca="1"/>
        <v>1030.3375157846515</v>
      </c>
      <c r="PK38">
        <f ca="1"/>
        <v>1030.3375157846515</v>
      </c>
      <c r="PL38">
        <f ca="1"/>
        <v>1030.3375157846515</v>
      </c>
      <c r="PM38">
        <f ca="1"/>
        <v>1030.3375157846515</v>
      </c>
      <c r="PN38">
        <f ca="1"/>
        <v>1030.3375157846515</v>
      </c>
      <c r="PO38">
        <f ca="1"/>
        <v>1030.3375157846515</v>
      </c>
      <c r="PP38">
        <f ca="1"/>
        <v>1030.3375157846515</v>
      </c>
      <c r="PQ38">
        <f ca="1"/>
        <v>1030.3375157846515</v>
      </c>
      <c r="PR38">
        <f ca="1"/>
        <v>1030.3375157846515</v>
      </c>
      <c r="PS38">
        <f ca="1"/>
        <v>1112.7645170474236</v>
      </c>
      <c r="PT38">
        <f ca="1"/>
        <v>1112.7645170474236</v>
      </c>
      <c r="PU38">
        <f ca="1"/>
        <v>1112.7645170474236</v>
      </c>
      <c r="PV38">
        <f ca="1"/>
        <v>1112.7645170474236</v>
      </c>
      <c r="PW38">
        <f ca="1"/>
        <v>1112.7645170474236</v>
      </c>
      <c r="PX38">
        <f ca="1"/>
        <v>1112.7645170474236</v>
      </c>
      <c r="PY38">
        <f ca="1"/>
        <v>1112.7645170474236</v>
      </c>
      <c r="PZ38">
        <f ca="1"/>
        <v>1112.7645170474236</v>
      </c>
      <c r="QA38">
        <f ca="1"/>
        <v>1112.7645170474236</v>
      </c>
      <c r="QB38">
        <f ca="1"/>
        <v>1112.7645170474236</v>
      </c>
      <c r="QC38">
        <f ca="1"/>
        <v>1112.7645170474236</v>
      </c>
      <c r="QD38">
        <f ca="1"/>
        <v>1112.7645170474236</v>
      </c>
      <c r="QE38">
        <f ca="1"/>
        <v>1201.7856784112178</v>
      </c>
      <c r="QF38">
        <f ca="1"/>
        <v>1201.7856784112178</v>
      </c>
      <c r="QG38">
        <f ca="1"/>
        <v>1201.7856784112178</v>
      </c>
      <c r="QH38">
        <f ca="1"/>
        <v>1201.7856784112178</v>
      </c>
      <c r="QI38">
        <f ca="1"/>
        <v>1201.7856784112178</v>
      </c>
      <c r="QJ38">
        <f ca="1"/>
        <v>1201.7856784112178</v>
      </c>
      <c r="QK38">
        <f ca="1"/>
        <v>1201.7856784112178</v>
      </c>
      <c r="QL38">
        <f ca="1"/>
        <v>1201.7856784112178</v>
      </c>
      <c r="QM38">
        <f ca="1"/>
        <v>1201.7856784112178</v>
      </c>
      <c r="QN38">
        <f ca="1"/>
        <v>1201.7856784112178</v>
      </c>
      <c r="QO38">
        <f ca="1"/>
        <v>1201.7856784112178</v>
      </c>
      <c r="QP38">
        <f ca="1"/>
        <v>1201.7856784112178</v>
      </c>
      <c r="QQ38">
        <f ca="1"/>
        <v>1297.9285326841152</v>
      </c>
      <c r="QR38">
        <f ca="1"/>
        <v>1297.9285326841152</v>
      </c>
      <c r="QS38">
        <f ca="1"/>
        <v>1297.9285326841152</v>
      </c>
      <c r="QT38">
        <f ca="1"/>
        <v>1297.9285326841152</v>
      </c>
      <c r="QU38">
        <f ca="1"/>
        <v>1297.9285326841152</v>
      </c>
      <c r="QV38">
        <f ca="1"/>
        <v>1297.9285326841152</v>
      </c>
      <c r="QW38">
        <f ca="1"/>
        <v>1297.9285326841152</v>
      </c>
      <c r="QX38">
        <f ca="1"/>
        <v>1297.9285326841152</v>
      </c>
      <c r="QY38">
        <f ca="1"/>
        <v>1297.9285326841152</v>
      </c>
      <c r="QZ38">
        <f ca="1"/>
        <v>1297.9285326841152</v>
      </c>
      <c r="RA38">
        <f ca="1"/>
        <v>1297.9285326841152</v>
      </c>
      <c r="RB38">
        <f ca="1"/>
        <v>1297.9285326841152</v>
      </c>
      <c r="RC38">
        <f ca="1"/>
        <v>1401.7628152988443</v>
      </c>
      <c r="RD38">
        <f ca="1"/>
        <v>1401.7628152988443</v>
      </c>
      <c r="RE38">
        <f ca="1"/>
        <v>1401.7628152988443</v>
      </c>
      <c r="RF38">
        <f ca="1"/>
        <v>1401.7628152988443</v>
      </c>
      <c r="RG38">
        <f ca="1"/>
        <v>1401.7628152988443</v>
      </c>
      <c r="RH38">
        <f ca="1"/>
        <v>1401.7628152988443</v>
      </c>
      <c r="RI38">
        <f ca="1"/>
        <v>1401.7628152988443</v>
      </c>
      <c r="RJ38">
        <f ca="1"/>
        <v>1401.7628152988443</v>
      </c>
      <c r="RK38">
        <f ca="1"/>
        <v>1401.7628152988443</v>
      </c>
      <c r="RL38">
        <f ca="1"/>
        <v>1401.7628152988443</v>
      </c>
      <c r="RM38">
        <f ca="1"/>
        <v>1401.7628152988443</v>
      </c>
      <c r="RN38">
        <f ca="1"/>
        <v>1401.7628152988443</v>
      </c>
      <c r="RO38">
        <f ca="1"/>
        <v>1513.903840522752</v>
      </c>
      <c r="RP38">
        <f ca="1"/>
        <v>1513.903840522752</v>
      </c>
      <c r="RQ38">
        <f ca="1"/>
        <v>1513.903840522752</v>
      </c>
      <c r="RR38">
        <f ca="1"/>
        <v>1513.903840522752</v>
      </c>
      <c r="RS38">
        <f ca="1"/>
        <v>1513.903840522752</v>
      </c>
      <c r="RT38">
        <f ca="1"/>
        <v>1513.903840522752</v>
      </c>
      <c r="RU38">
        <f ca="1"/>
        <v>1513.903840522752</v>
      </c>
      <c r="RV38">
        <f ca="1"/>
        <v>1513.903840522752</v>
      </c>
      <c r="RW38">
        <f ca="1"/>
        <v>1513.903840522752</v>
      </c>
      <c r="RX38">
        <f ca="1"/>
        <v>1513.903840522752</v>
      </c>
      <c r="RY38">
        <f ca="1"/>
        <v>1513.903840522752</v>
      </c>
      <c r="RZ38">
        <f ca="1"/>
        <v>1513.903840522752</v>
      </c>
    </row>
    <row r="39" spans="1:494" x14ac:dyDescent="0.3">
      <c r="A39" s="8" t="s">
        <v>495</v>
      </c>
      <c r="B39" cm="1">
        <f t="array" aca="1" ref="B39:RZ39" ca="1">INDEX($C$11:$BB$11,_xlfn.ANCHORARRAY( B37))</f>
        <v>49.28</v>
      </c>
      <c r="C39">
        <f ca="1"/>
        <v>56.540000000000006</v>
      </c>
      <c r="D39">
        <f ca="1"/>
        <v>56.540000000000006</v>
      </c>
      <c r="E39">
        <f ca="1"/>
        <v>56.540000000000006</v>
      </c>
      <c r="F39">
        <f ca="1"/>
        <v>56.540000000000006</v>
      </c>
      <c r="G39">
        <f ca="1"/>
        <v>56.540000000000006</v>
      </c>
      <c r="H39">
        <f ca="1"/>
        <v>56.540000000000006</v>
      </c>
      <c r="I39">
        <f ca="1"/>
        <v>56.540000000000006</v>
      </c>
      <c r="J39">
        <f ca="1"/>
        <v>56.540000000000006</v>
      </c>
      <c r="K39">
        <f ca="1"/>
        <v>56.540000000000006</v>
      </c>
      <c r="L39">
        <f ca="1"/>
        <v>56.540000000000006</v>
      </c>
      <c r="M39">
        <f ca="1"/>
        <v>56.540000000000006</v>
      </c>
      <c r="N39">
        <f ca="1"/>
        <v>56.540000000000006</v>
      </c>
      <c r="O39">
        <f ca="1"/>
        <v>64.172405769230778</v>
      </c>
      <c r="P39">
        <f ca="1"/>
        <v>64.172405769230778</v>
      </c>
      <c r="Q39">
        <f ca="1"/>
        <v>64.172405769230778</v>
      </c>
      <c r="R39">
        <f ca="1"/>
        <v>64.172405769230778</v>
      </c>
      <c r="S39">
        <f ca="1"/>
        <v>64.172405769230778</v>
      </c>
      <c r="T39">
        <f ca="1"/>
        <v>64.172405769230778</v>
      </c>
      <c r="U39">
        <f ca="1"/>
        <v>64.172405769230778</v>
      </c>
      <c r="V39">
        <f ca="1"/>
        <v>64.172405769230778</v>
      </c>
      <c r="W39">
        <f ca="1"/>
        <v>64.172405769230778</v>
      </c>
      <c r="X39">
        <f ca="1"/>
        <v>64.172405769230778</v>
      </c>
      <c r="Y39">
        <f ca="1"/>
        <v>64.172405769230778</v>
      </c>
      <c r="Z39">
        <f ca="1"/>
        <v>64.172405769230778</v>
      </c>
      <c r="AA39">
        <f ca="1"/>
        <v>73.148734876811588</v>
      </c>
      <c r="AB39">
        <f ca="1"/>
        <v>73.148734876811588</v>
      </c>
      <c r="AC39">
        <f ca="1"/>
        <v>73.148734876811588</v>
      </c>
      <c r="AD39">
        <f ca="1"/>
        <v>73.148734876811588</v>
      </c>
      <c r="AE39">
        <f ca="1"/>
        <v>73.148734876811588</v>
      </c>
      <c r="AF39">
        <f ca="1"/>
        <v>73.148734876811588</v>
      </c>
      <c r="AG39">
        <f ca="1"/>
        <v>73.148734876811588</v>
      </c>
      <c r="AH39">
        <f ca="1"/>
        <v>73.148734876811588</v>
      </c>
      <c r="AI39">
        <f ca="1"/>
        <v>73.148734876811588</v>
      </c>
      <c r="AJ39">
        <f ca="1"/>
        <v>73.148734876811588</v>
      </c>
      <c r="AK39">
        <f ca="1"/>
        <v>73.148734876811588</v>
      </c>
      <c r="AL39">
        <f ca="1"/>
        <v>73.148734876811588</v>
      </c>
      <c r="AM39">
        <f ca="1"/>
        <v>81.541997794207333</v>
      </c>
      <c r="AN39">
        <f ca="1"/>
        <v>81.541997794207333</v>
      </c>
      <c r="AO39">
        <f ca="1"/>
        <v>81.541997794207333</v>
      </c>
      <c r="AP39">
        <f ca="1"/>
        <v>81.541997794207333</v>
      </c>
      <c r="AQ39">
        <f ca="1"/>
        <v>81.541997794207333</v>
      </c>
      <c r="AR39">
        <f ca="1"/>
        <v>81.541997794207333</v>
      </c>
      <c r="AS39">
        <f ca="1"/>
        <v>81.541997794207333</v>
      </c>
      <c r="AT39">
        <f ca="1"/>
        <v>81.541997794207333</v>
      </c>
      <c r="AU39">
        <f ca="1"/>
        <v>81.541997794207333</v>
      </c>
      <c r="AV39">
        <f ca="1"/>
        <v>81.541997794207333</v>
      </c>
      <c r="AW39">
        <f ca="1"/>
        <v>81.541997794207333</v>
      </c>
      <c r="AX39">
        <f ca="1"/>
        <v>81.541997794207333</v>
      </c>
      <c r="AY39">
        <f ca="1"/>
        <v>91.73474751848326</v>
      </c>
      <c r="AZ39">
        <f ca="1"/>
        <v>91.73474751848326</v>
      </c>
      <c r="BA39">
        <f ca="1"/>
        <v>91.73474751848326</v>
      </c>
      <c r="BB39">
        <f ca="1"/>
        <v>91.73474751848326</v>
      </c>
      <c r="BC39">
        <f ca="1"/>
        <v>91.73474751848326</v>
      </c>
      <c r="BD39">
        <f ca="1"/>
        <v>91.73474751848326</v>
      </c>
      <c r="BE39">
        <f ca="1"/>
        <v>91.73474751848326</v>
      </c>
      <c r="BF39">
        <f ca="1"/>
        <v>91.73474751848326</v>
      </c>
      <c r="BG39">
        <f ca="1"/>
        <v>91.73474751848326</v>
      </c>
      <c r="BH39">
        <f ca="1"/>
        <v>91.73474751848326</v>
      </c>
      <c r="BI39">
        <f ca="1"/>
        <v>91.73474751848326</v>
      </c>
      <c r="BJ39">
        <f ca="1"/>
        <v>91.73474751848326</v>
      </c>
      <c r="BK39">
        <f ca="1"/>
        <v>102.28424348310885</v>
      </c>
      <c r="BL39">
        <f ca="1"/>
        <v>102.28424348310885</v>
      </c>
      <c r="BM39">
        <f ca="1"/>
        <v>102.28424348310885</v>
      </c>
      <c r="BN39">
        <f ca="1"/>
        <v>102.28424348310885</v>
      </c>
      <c r="BO39">
        <f ca="1"/>
        <v>102.28424348310885</v>
      </c>
      <c r="BP39">
        <f ca="1"/>
        <v>102.28424348310885</v>
      </c>
      <c r="BQ39">
        <f ca="1"/>
        <v>102.28424348310885</v>
      </c>
      <c r="BR39">
        <f ca="1"/>
        <v>102.28424348310885</v>
      </c>
      <c r="BS39">
        <f ca="1"/>
        <v>102.28424348310885</v>
      </c>
      <c r="BT39">
        <f ca="1"/>
        <v>102.28424348310885</v>
      </c>
      <c r="BU39">
        <f ca="1"/>
        <v>102.28424348310885</v>
      </c>
      <c r="BV39">
        <f ca="1"/>
        <v>102.28424348310885</v>
      </c>
      <c r="BW39">
        <f ca="1"/>
        <v>113.02408904883528</v>
      </c>
      <c r="BX39">
        <f ca="1"/>
        <v>113.02408904883528</v>
      </c>
      <c r="BY39">
        <f ca="1"/>
        <v>113.02408904883528</v>
      </c>
      <c r="BZ39">
        <f ca="1"/>
        <v>113.02408904883528</v>
      </c>
      <c r="CA39">
        <f ca="1"/>
        <v>113.02408904883528</v>
      </c>
      <c r="CB39">
        <f ca="1"/>
        <v>113.02408904883528</v>
      </c>
      <c r="CC39">
        <f ca="1"/>
        <v>113.02408904883528</v>
      </c>
      <c r="CD39">
        <f ca="1"/>
        <v>113.02408904883528</v>
      </c>
      <c r="CE39">
        <f ca="1"/>
        <v>113.02408904883528</v>
      </c>
      <c r="CF39">
        <f ca="1"/>
        <v>113.02408904883528</v>
      </c>
      <c r="CG39">
        <f ca="1"/>
        <v>113.02408904883528</v>
      </c>
      <c r="CH39">
        <f ca="1"/>
        <v>113.02408904883528</v>
      </c>
      <c r="CI39">
        <f ca="1"/>
        <v>124.32649795371883</v>
      </c>
      <c r="CJ39">
        <f ca="1"/>
        <v>124.32649795371883</v>
      </c>
      <c r="CK39">
        <f ca="1"/>
        <v>124.32649795371883</v>
      </c>
      <c r="CL39">
        <f ca="1"/>
        <v>124.32649795371883</v>
      </c>
      <c r="CM39">
        <f ca="1"/>
        <v>124.32649795371883</v>
      </c>
      <c r="CN39">
        <f ca="1"/>
        <v>124.32649795371883</v>
      </c>
      <c r="CO39">
        <f ca="1"/>
        <v>124.32649795371883</v>
      </c>
      <c r="CP39">
        <f ca="1"/>
        <v>124.32649795371883</v>
      </c>
      <c r="CQ39">
        <f ca="1"/>
        <v>124.32649795371883</v>
      </c>
      <c r="CR39">
        <f ca="1"/>
        <v>124.32649795371883</v>
      </c>
      <c r="CS39">
        <f ca="1"/>
        <v>124.32649795371883</v>
      </c>
      <c r="CT39">
        <f ca="1"/>
        <v>124.32649795371883</v>
      </c>
      <c r="CU39">
        <f ca="1"/>
        <v>136.75914774909074</v>
      </c>
      <c r="CV39">
        <f ca="1"/>
        <v>136.75914774909074</v>
      </c>
      <c r="CW39">
        <f ca="1"/>
        <v>136.75914774909074</v>
      </c>
      <c r="CX39">
        <f ca="1"/>
        <v>136.75914774909074</v>
      </c>
      <c r="CY39">
        <f ca="1"/>
        <v>136.75914774909074</v>
      </c>
      <c r="CZ39">
        <f ca="1"/>
        <v>136.75914774909074</v>
      </c>
      <c r="DA39">
        <f ca="1"/>
        <v>136.75914774909074</v>
      </c>
      <c r="DB39">
        <f ca="1"/>
        <v>136.75914774909074</v>
      </c>
      <c r="DC39">
        <f ca="1"/>
        <v>136.75914774909074</v>
      </c>
      <c r="DD39">
        <f ca="1"/>
        <v>136.75914774909074</v>
      </c>
      <c r="DE39">
        <f ca="1"/>
        <v>136.75914774909074</v>
      </c>
      <c r="DF39">
        <f ca="1"/>
        <v>136.75914774909074</v>
      </c>
      <c r="DG39">
        <f ca="1"/>
        <v>149.0674710465089</v>
      </c>
      <c r="DH39">
        <f ca="1"/>
        <v>149.0674710465089</v>
      </c>
      <c r="DI39">
        <f ca="1"/>
        <v>149.0674710465089</v>
      </c>
      <c r="DJ39">
        <f ca="1"/>
        <v>149.0674710465089</v>
      </c>
      <c r="DK39">
        <f ca="1"/>
        <v>149.0674710465089</v>
      </c>
      <c r="DL39">
        <f ca="1"/>
        <v>149.0674710465089</v>
      </c>
      <c r="DM39">
        <f ca="1"/>
        <v>149.0674710465089</v>
      </c>
      <c r="DN39">
        <f ca="1"/>
        <v>149.0674710465089</v>
      </c>
      <c r="DO39">
        <f ca="1"/>
        <v>149.0674710465089</v>
      </c>
      <c r="DP39">
        <f ca="1"/>
        <v>149.0674710465089</v>
      </c>
      <c r="DQ39">
        <f ca="1"/>
        <v>149.0674710465089</v>
      </c>
      <c r="DR39">
        <f ca="1"/>
        <v>149.0674710465089</v>
      </c>
      <c r="DS39">
        <f ca="1"/>
        <v>162.48354344069472</v>
      </c>
      <c r="DT39">
        <f ca="1"/>
        <v>162.48354344069472</v>
      </c>
      <c r="DU39">
        <f ca="1"/>
        <v>162.48354344069472</v>
      </c>
      <c r="DV39">
        <f ca="1"/>
        <v>162.48354344069472</v>
      </c>
      <c r="DW39">
        <f ca="1"/>
        <v>162.48354344069472</v>
      </c>
      <c r="DX39">
        <f ca="1"/>
        <v>162.48354344069472</v>
      </c>
      <c r="DY39">
        <f ca="1"/>
        <v>162.48354344069472</v>
      </c>
      <c r="DZ39">
        <f ca="1"/>
        <v>162.48354344069472</v>
      </c>
      <c r="EA39">
        <f ca="1"/>
        <v>162.48354344069472</v>
      </c>
      <c r="EB39">
        <f ca="1"/>
        <v>162.48354344069472</v>
      </c>
      <c r="EC39">
        <f ca="1"/>
        <v>162.48354344069472</v>
      </c>
      <c r="ED39">
        <f ca="1"/>
        <v>162.48354344069472</v>
      </c>
      <c r="EE39">
        <f ca="1"/>
        <v>175.48222691595029</v>
      </c>
      <c r="EF39">
        <f ca="1"/>
        <v>175.48222691595029</v>
      </c>
      <c r="EG39">
        <f ca="1"/>
        <v>175.48222691595029</v>
      </c>
      <c r="EH39">
        <f ca="1"/>
        <v>175.48222691595029</v>
      </c>
      <c r="EI39">
        <f ca="1"/>
        <v>175.48222691595029</v>
      </c>
      <c r="EJ39">
        <f ca="1"/>
        <v>175.48222691595029</v>
      </c>
      <c r="EK39">
        <f ca="1"/>
        <v>175.48222691595029</v>
      </c>
      <c r="EL39">
        <f ca="1"/>
        <v>175.48222691595029</v>
      </c>
      <c r="EM39">
        <f ca="1"/>
        <v>175.48222691595029</v>
      </c>
      <c r="EN39">
        <f ca="1"/>
        <v>175.48222691595029</v>
      </c>
      <c r="EO39">
        <f ca="1"/>
        <v>175.48222691595029</v>
      </c>
      <c r="EP39">
        <f ca="1"/>
        <v>175.48222691595029</v>
      </c>
      <c r="EQ39">
        <f ca="1"/>
        <v>189.52080506922636</v>
      </c>
      <c r="ER39">
        <f ca="1"/>
        <v>189.52080506922636</v>
      </c>
      <c r="ES39">
        <f ca="1"/>
        <v>189.52080506922636</v>
      </c>
      <c r="ET39">
        <f ca="1"/>
        <v>189.52080506922636</v>
      </c>
      <c r="EU39">
        <f ca="1"/>
        <v>189.52080506922636</v>
      </c>
      <c r="EV39">
        <f ca="1"/>
        <v>189.52080506922636</v>
      </c>
      <c r="EW39">
        <f ca="1"/>
        <v>189.52080506922636</v>
      </c>
      <c r="EX39">
        <f ca="1"/>
        <v>189.52080506922636</v>
      </c>
      <c r="EY39">
        <f ca="1"/>
        <v>189.52080506922636</v>
      </c>
      <c r="EZ39">
        <f ca="1"/>
        <v>189.52080506922636</v>
      </c>
      <c r="FA39">
        <f ca="1"/>
        <v>189.52080506922636</v>
      </c>
      <c r="FB39">
        <f ca="1"/>
        <v>189.52080506922636</v>
      </c>
      <c r="FC39">
        <f ca="1"/>
        <v>204.68246947476447</v>
      </c>
      <c r="FD39">
        <f ca="1"/>
        <v>204.68246947476447</v>
      </c>
      <c r="FE39">
        <f ca="1"/>
        <v>204.68246947476447</v>
      </c>
      <c r="FF39">
        <f ca="1"/>
        <v>204.68246947476447</v>
      </c>
      <c r="FG39">
        <f ca="1"/>
        <v>204.68246947476447</v>
      </c>
      <c r="FH39">
        <f ca="1"/>
        <v>204.68246947476447</v>
      </c>
      <c r="FI39">
        <f ca="1"/>
        <v>204.68246947476447</v>
      </c>
      <c r="FJ39">
        <f ca="1"/>
        <v>204.68246947476447</v>
      </c>
      <c r="FK39">
        <f ca="1"/>
        <v>204.68246947476447</v>
      </c>
      <c r="FL39">
        <f ca="1"/>
        <v>204.68246947476447</v>
      </c>
      <c r="FM39">
        <f ca="1"/>
        <v>204.68246947476447</v>
      </c>
      <c r="FN39">
        <f ca="1"/>
        <v>204.68246947476447</v>
      </c>
      <c r="FO39">
        <f ca="1"/>
        <v>221.05706703274564</v>
      </c>
      <c r="FP39">
        <f ca="1"/>
        <v>221.05706703274564</v>
      </c>
      <c r="FQ39">
        <f ca="1"/>
        <v>221.05706703274564</v>
      </c>
      <c r="FR39">
        <f ca="1"/>
        <v>221.05706703274564</v>
      </c>
      <c r="FS39">
        <f ca="1"/>
        <v>221.05706703274564</v>
      </c>
      <c r="FT39">
        <f ca="1"/>
        <v>221.05706703274564</v>
      </c>
      <c r="FU39">
        <f ca="1"/>
        <v>221.05706703274564</v>
      </c>
      <c r="FV39">
        <f ca="1"/>
        <v>221.05706703274564</v>
      </c>
      <c r="FW39">
        <f ca="1"/>
        <v>221.05706703274564</v>
      </c>
      <c r="FX39">
        <f ca="1"/>
        <v>221.05706703274564</v>
      </c>
      <c r="FY39">
        <f ca="1"/>
        <v>221.05706703274564</v>
      </c>
      <c r="FZ39">
        <f ca="1"/>
        <v>221.05706703274564</v>
      </c>
      <c r="GA39">
        <f ca="1"/>
        <v>238.74163239536529</v>
      </c>
      <c r="GB39">
        <f ca="1"/>
        <v>238.74163239536529</v>
      </c>
      <c r="GC39">
        <f ca="1"/>
        <v>238.74163239536529</v>
      </c>
      <c r="GD39">
        <f ca="1"/>
        <v>238.74163239536529</v>
      </c>
      <c r="GE39">
        <f ca="1"/>
        <v>238.74163239536529</v>
      </c>
      <c r="GF39">
        <f ca="1"/>
        <v>238.74163239536529</v>
      </c>
      <c r="GG39">
        <f ca="1"/>
        <v>238.74163239536529</v>
      </c>
      <c r="GH39">
        <f ca="1"/>
        <v>238.74163239536529</v>
      </c>
      <c r="GI39">
        <f ca="1"/>
        <v>238.74163239536529</v>
      </c>
      <c r="GJ39">
        <f ca="1"/>
        <v>238.74163239536529</v>
      </c>
      <c r="GK39">
        <f ca="1"/>
        <v>238.74163239536529</v>
      </c>
      <c r="GL39">
        <f ca="1"/>
        <v>238.74163239536529</v>
      </c>
      <c r="GM39">
        <f ca="1"/>
        <v>257.84096298699455</v>
      </c>
      <c r="GN39">
        <f ca="1"/>
        <v>257.84096298699455</v>
      </c>
      <c r="GO39">
        <f ca="1"/>
        <v>257.84096298699455</v>
      </c>
      <c r="GP39">
        <f ca="1"/>
        <v>257.84096298699455</v>
      </c>
      <c r="GQ39">
        <f ca="1"/>
        <v>257.84096298699455</v>
      </c>
      <c r="GR39">
        <f ca="1"/>
        <v>257.84096298699455</v>
      </c>
      <c r="GS39">
        <f ca="1"/>
        <v>257.84096298699455</v>
      </c>
      <c r="GT39">
        <f ca="1"/>
        <v>257.84096298699455</v>
      </c>
      <c r="GU39">
        <f ca="1"/>
        <v>257.84096298699455</v>
      </c>
      <c r="GV39">
        <f ca="1"/>
        <v>257.84096298699455</v>
      </c>
      <c r="GW39">
        <f ca="1"/>
        <v>257.84096298699455</v>
      </c>
      <c r="GX39">
        <f ca="1"/>
        <v>257.84096298699455</v>
      </c>
      <c r="GY39">
        <f ca="1"/>
        <v>278.46824002595412</v>
      </c>
      <c r="GZ39">
        <f ca="1"/>
        <v>278.46824002595412</v>
      </c>
      <c r="HA39">
        <f ca="1"/>
        <v>278.46824002595412</v>
      </c>
      <c r="HB39">
        <f ca="1"/>
        <v>278.46824002595412</v>
      </c>
      <c r="HC39">
        <f ca="1"/>
        <v>278.46824002595412</v>
      </c>
      <c r="HD39">
        <f ca="1"/>
        <v>278.46824002595412</v>
      </c>
      <c r="HE39">
        <f ca="1"/>
        <v>278.46824002595412</v>
      </c>
      <c r="HF39">
        <f ca="1"/>
        <v>278.46824002595412</v>
      </c>
      <c r="HG39">
        <f ca="1"/>
        <v>278.46824002595412</v>
      </c>
      <c r="HH39">
        <f ca="1"/>
        <v>278.46824002595412</v>
      </c>
      <c r="HI39">
        <f ca="1"/>
        <v>278.46824002595412</v>
      </c>
      <c r="HJ39">
        <f ca="1"/>
        <v>278.46824002595412</v>
      </c>
      <c r="HK39">
        <f ca="1"/>
        <v>300.74569922803045</v>
      </c>
      <c r="HL39">
        <f ca="1"/>
        <v>300.74569922803045</v>
      </c>
      <c r="HM39">
        <f ca="1"/>
        <v>300.74569922803045</v>
      </c>
      <c r="HN39">
        <f ca="1"/>
        <v>300.74569922803045</v>
      </c>
      <c r="HO39">
        <f ca="1"/>
        <v>300.74569922803045</v>
      </c>
      <c r="HP39">
        <f ca="1"/>
        <v>300.74569922803045</v>
      </c>
      <c r="HQ39">
        <f ca="1"/>
        <v>300.74569922803045</v>
      </c>
      <c r="HR39">
        <f ca="1"/>
        <v>300.74569922803045</v>
      </c>
      <c r="HS39">
        <f ca="1"/>
        <v>300.74569922803045</v>
      </c>
      <c r="HT39">
        <f ca="1"/>
        <v>300.74569922803045</v>
      </c>
      <c r="HU39">
        <f ca="1"/>
        <v>300.74569922803045</v>
      </c>
      <c r="HV39">
        <f ca="1"/>
        <v>300.74569922803045</v>
      </c>
      <c r="HW39">
        <f ca="1"/>
        <v>324.80535516627299</v>
      </c>
      <c r="HX39">
        <f ca="1"/>
        <v>324.80535516627299</v>
      </c>
      <c r="HY39">
        <f ca="1"/>
        <v>324.80535516627299</v>
      </c>
      <c r="HZ39">
        <f ca="1"/>
        <v>324.80535516627299</v>
      </c>
      <c r="IA39">
        <f ca="1"/>
        <v>324.80535516627299</v>
      </c>
      <c r="IB39">
        <f ca="1"/>
        <v>324.80535516627299</v>
      </c>
      <c r="IC39">
        <f ca="1"/>
        <v>324.80535516627299</v>
      </c>
      <c r="ID39">
        <f ca="1"/>
        <v>324.80535516627299</v>
      </c>
      <c r="IE39">
        <f ca="1"/>
        <v>324.80535516627299</v>
      </c>
      <c r="IF39">
        <f ca="1"/>
        <v>324.80535516627299</v>
      </c>
      <c r="IG39">
        <f ca="1"/>
        <v>324.80535516627299</v>
      </c>
      <c r="IH39">
        <f ca="1"/>
        <v>324.80535516627299</v>
      </c>
      <c r="II39">
        <f ca="1"/>
        <v>350.78978357957487</v>
      </c>
      <c r="IJ39">
        <f ca="1"/>
        <v>350.78978357957487</v>
      </c>
      <c r="IK39">
        <f ca="1"/>
        <v>350.78978357957487</v>
      </c>
      <c r="IL39">
        <f ca="1"/>
        <v>350.78978357957487</v>
      </c>
      <c r="IM39">
        <f ca="1"/>
        <v>350.78978357957487</v>
      </c>
      <c r="IN39">
        <f ca="1"/>
        <v>350.78978357957487</v>
      </c>
      <c r="IO39">
        <f ca="1"/>
        <v>350.78978357957487</v>
      </c>
      <c r="IP39">
        <f ca="1"/>
        <v>350.78978357957487</v>
      </c>
      <c r="IQ39">
        <f ca="1"/>
        <v>350.78978357957487</v>
      </c>
      <c r="IR39">
        <f ca="1"/>
        <v>350.78978357957487</v>
      </c>
      <c r="IS39">
        <f ca="1"/>
        <v>350.78978357957487</v>
      </c>
      <c r="IT39">
        <f ca="1"/>
        <v>350.78978357957487</v>
      </c>
      <c r="IU39">
        <f ca="1"/>
        <v>378.85296626594084</v>
      </c>
      <c r="IV39">
        <f ca="1"/>
        <v>378.85296626594084</v>
      </c>
      <c r="IW39">
        <f ca="1"/>
        <v>378.85296626594084</v>
      </c>
      <c r="IX39">
        <f ca="1"/>
        <v>378.85296626594084</v>
      </c>
      <c r="IY39">
        <f ca="1"/>
        <v>378.85296626594084</v>
      </c>
      <c r="IZ39">
        <f ca="1"/>
        <v>378.85296626594084</v>
      </c>
      <c r="JA39">
        <f ca="1"/>
        <v>378.85296626594084</v>
      </c>
      <c r="JB39">
        <f ca="1"/>
        <v>378.85296626594084</v>
      </c>
      <c r="JC39">
        <f ca="1"/>
        <v>378.85296626594084</v>
      </c>
      <c r="JD39">
        <f ca="1"/>
        <v>378.85296626594084</v>
      </c>
      <c r="JE39">
        <f ca="1"/>
        <v>378.85296626594084</v>
      </c>
      <c r="JF39">
        <f ca="1"/>
        <v>378.85296626594084</v>
      </c>
      <c r="JG39">
        <f ca="1"/>
        <v>409.16120356721615</v>
      </c>
      <c r="JH39">
        <f ca="1"/>
        <v>409.16120356721615</v>
      </c>
      <c r="JI39">
        <f ca="1"/>
        <v>409.16120356721615</v>
      </c>
      <c r="JJ39">
        <f ca="1"/>
        <v>409.16120356721615</v>
      </c>
      <c r="JK39">
        <f ca="1"/>
        <v>409.16120356721615</v>
      </c>
      <c r="JL39">
        <f ca="1"/>
        <v>409.16120356721615</v>
      </c>
      <c r="JM39">
        <f ca="1"/>
        <v>409.16120356721615</v>
      </c>
      <c r="JN39">
        <f ca="1"/>
        <v>409.16120356721615</v>
      </c>
      <c r="JO39">
        <f ca="1"/>
        <v>409.16120356721615</v>
      </c>
      <c r="JP39">
        <f ca="1"/>
        <v>409.16120356721615</v>
      </c>
      <c r="JQ39">
        <f ca="1"/>
        <v>409.16120356721615</v>
      </c>
      <c r="JR39">
        <f ca="1"/>
        <v>409.16120356721615</v>
      </c>
      <c r="JS39">
        <f ca="1"/>
        <v>441.89409985259351</v>
      </c>
      <c r="JT39">
        <f ca="1"/>
        <v>441.89409985259351</v>
      </c>
      <c r="JU39">
        <f ca="1"/>
        <v>441.89409985259351</v>
      </c>
      <c r="JV39">
        <f ca="1"/>
        <v>441.89409985259351</v>
      </c>
      <c r="JW39">
        <f ca="1"/>
        <v>441.89409985259351</v>
      </c>
      <c r="JX39">
        <f ca="1"/>
        <v>441.89409985259351</v>
      </c>
      <c r="JY39">
        <f ca="1"/>
        <v>441.89409985259351</v>
      </c>
      <c r="JZ39">
        <f ca="1"/>
        <v>441.89409985259351</v>
      </c>
      <c r="KA39">
        <f ca="1"/>
        <v>441.89409985259351</v>
      </c>
      <c r="KB39">
        <f ca="1"/>
        <v>441.89409985259351</v>
      </c>
      <c r="KC39">
        <f ca="1"/>
        <v>441.89409985259351</v>
      </c>
      <c r="KD39">
        <f ca="1"/>
        <v>441.89409985259351</v>
      </c>
      <c r="KE39">
        <f ca="1"/>
        <v>477.24562784080103</v>
      </c>
      <c r="KF39">
        <f ca="1"/>
        <v>477.24562784080103</v>
      </c>
      <c r="KG39">
        <f ca="1"/>
        <v>477.24562784080103</v>
      </c>
      <c r="KH39">
        <f ca="1"/>
        <v>477.24562784080103</v>
      </c>
      <c r="KI39">
        <f ca="1"/>
        <v>477.24562784080103</v>
      </c>
      <c r="KJ39">
        <f ca="1"/>
        <v>477.24562784080103</v>
      </c>
      <c r="KK39">
        <f ca="1"/>
        <v>477.24562784080103</v>
      </c>
      <c r="KL39">
        <f ca="1"/>
        <v>477.24562784080103</v>
      </c>
      <c r="KM39">
        <f ca="1"/>
        <v>477.24562784080103</v>
      </c>
      <c r="KN39">
        <f ca="1"/>
        <v>477.24562784080103</v>
      </c>
      <c r="KO39">
        <f ca="1"/>
        <v>477.24562784080103</v>
      </c>
      <c r="KP39">
        <f ca="1"/>
        <v>477.24562784080103</v>
      </c>
      <c r="KQ39">
        <f ca="1"/>
        <v>515.42527806806515</v>
      </c>
      <c r="KR39">
        <f ca="1"/>
        <v>515.42527806806515</v>
      </c>
      <c r="KS39">
        <f ca="1"/>
        <v>515.42527806806515</v>
      </c>
      <c r="KT39">
        <f ca="1"/>
        <v>515.42527806806515</v>
      </c>
      <c r="KU39">
        <f ca="1"/>
        <v>515.42527806806515</v>
      </c>
      <c r="KV39">
        <f ca="1"/>
        <v>515.42527806806515</v>
      </c>
      <c r="KW39">
        <f ca="1"/>
        <v>515.42527806806515</v>
      </c>
      <c r="KX39">
        <f ca="1"/>
        <v>515.42527806806515</v>
      </c>
      <c r="KY39">
        <f ca="1"/>
        <v>515.42527806806515</v>
      </c>
      <c r="KZ39">
        <f ca="1"/>
        <v>515.42527806806515</v>
      </c>
      <c r="LA39">
        <f ca="1"/>
        <v>515.42527806806515</v>
      </c>
      <c r="LB39">
        <f ca="1"/>
        <v>515.42527806806515</v>
      </c>
      <c r="LC39">
        <f ca="1"/>
        <v>556.65930031351036</v>
      </c>
      <c r="LD39">
        <f ca="1"/>
        <v>556.65930031351036</v>
      </c>
      <c r="LE39">
        <f ca="1"/>
        <v>556.65930031351036</v>
      </c>
      <c r="LF39">
        <f ca="1"/>
        <v>556.65930031351036</v>
      </c>
      <c r="LG39">
        <f ca="1"/>
        <v>556.65930031351036</v>
      </c>
      <c r="LH39">
        <f ca="1"/>
        <v>556.65930031351036</v>
      </c>
      <c r="LI39">
        <f ca="1"/>
        <v>556.65930031351036</v>
      </c>
      <c r="LJ39">
        <f ca="1"/>
        <v>556.65930031351036</v>
      </c>
      <c r="LK39">
        <f ca="1"/>
        <v>556.65930031351036</v>
      </c>
      <c r="LL39">
        <f ca="1"/>
        <v>556.65930031351036</v>
      </c>
      <c r="LM39">
        <f ca="1"/>
        <v>556.65930031351036</v>
      </c>
      <c r="LN39">
        <f ca="1"/>
        <v>556.65930031351036</v>
      </c>
      <c r="LO39">
        <f ca="1"/>
        <v>601.19204433859124</v>
      </c>
      <c r="LP39">
        <f ca="1"/>
        <v>601.19204433859124</v>
      </c>
      <c r="LQ39">
        <f ca="1"/>
        <v>601.19204433859124</v>
      </c>
      <c r="LR39">
        <f ca="1"/>
        <v>601.19204433859124</v>
      </c>
      <c r="LS39">
        <f ca="1"/>
        <v>601.19204433859124</v>
      </c>
      <c r="LT39">
        <f ca="1"/>
        <v>601.19204433859124</v>
      </c>
      <c r="LU39">
        <f ca="1"/>
        <v>601.19204433859124</v>
      </c>
      <c r="LV39">
        <f ca="1"/>
        <v>601.19204433859124</v>
      </c>
      <c r="LW39">
        <f ca="1"/>
        <v>601.19204433859124</v>
      </c>
      <c r="LX39">
        <f ca="1"/>
        <v>601.19204433859124</v>
      </c>
      <c r="LY39">
        <f ca="1"/>
        <v>601.19204433859124</v>
      </c>
      <c r="LZ39">
        <f ca="1"/>
        <v>601.19204433859124</v>
      </c>
      <c r="MA39">
        <f ca="1"/>
        <v>649.28740788567848</v>
      </c>
      <c r="MB39">
        <f ca="1"/>
        <v>649.28740788567848</v>
      </c>
      <c r="MC39">
        <f ca="1"/>
        <v>649.28740788567848</v>
      </c>
      <c r="MD39">
        <f ca="1"/>
        <v>649.28740788567848</v>
      </c>
      <c r="ME39">
        <f ca="1"/>
        <v>649.28740788567848</v>
      </c>
      <c r="MF39">
        <f ca="1"/>
        <v>649.28740788567848</v>
      </c>
      <c r="MG39">
        <f ca="1"/>
        <v>649.28740788567848</v>
      </c>
      <c r="MH39">
        <f ca="1"/>
        <v>649.28740788567848</v>
      </c>
      <c r="MI39">
        <f ca="1"/>
        <v>649.28740788567848</v>
      </c>
      <c r="MJ39">
        <f ca="1"/>
        <v>649.28740788567848</v>
      </c>
      <c r="MK39">
        <f ca="1"/>
        <v>649.28740788567848</v>
      </c>
      <c r="ML39">
        <f ca="1"/>
        <v>649.28740788567848</v>
      </c>
      <c r="MM39">
        <f ca="1"/>
        <v>701.230400516533</v>
      </c>
      <c r="MN39">
        <f ca="1"/>
        <v>701.230400516533</v>
      </c>
      <c r="MO39">
        <f ca="1"/>
        <v>701.230400516533</v>
      </c>
      <c r="MP39">
        <f ca="1"/>
        <v>701.230400516533</v>
      </c>
      <c r="MQ39">
        <f ca="1"/>
        <v>701.230400516533</v>
      </c>
      <c r="MR39">
        <f ca="1"/>
        <v>701.230400516533</v>
      </c>
      <c r="MS39">
        <f ca="1"/>
        <v>701.230400516533</v>
      </c>
      <c r="MT39">
        <f ca="1"/>
        <v>701.230400516533</v>
      </c>
      <c r="MU39">
        <f ca="1"/>
        <v>701.230400516533</v>
      </c>
      <c r="MV39">
        <f ca="1"/>
        <v>701.230400516533</v>
      </c>
      <c r="MW39">
        <f ca="1"/>
        <v>701.230400516533</v>
      </c>
      <c r="MX39">
        <f ca="1"/>
        <v>701.230400516533</v>
      </c>
      <c r="MY39">
        <f ca="1"/>
        <v>757.32883255785566</v>
      </c>
      <c r="MZ39">
        <f ca="1"/>
        <v>757.32883255785566</v>
      </c>
      <c r="NA39">
        <f ca="1"/>
        <v>757.32883255785566</v>
      </c>
      <c r="NB39">
        <f ca="1"/>
        <v>757.32883255785566</v>
      </c>
      <c r="NC39">
        <f ca="1"/>
        <v>757.32883255785566</v>
      </c>
      <c r="ND39">
        <f ca="1"/>
        <v>757.32883255785566</v>
      </c>
      <c r="NE39">
        <f ca="1"/>
        <v>757.32883255785566</v>
      </c>
      <c r="NF39">
        <f ca="1"/>
        <v>757.32883255785566</v>
      </c>
      <c r="NG39">
        <f ca="1"/>
        <v>757.32883255785566</v>
      </c>
      <c r="NH39">
        <f ca="1"/>
        <v>757.32883255785566</v>
      </c>
      <c r="NI39">
        <f ca="1"/>
        <v>757.32883255785566</v>
      </c>
      <c r="NJ39">
        <f ca="1"/>
        <v>757.32883255785566</v>
      </c>
      <c r="NK39">
        <f ca="1"/>
        <v>817.91513916248425</v>
      </c>
      <c r="NL39">
        <f ca="1"/>
        <v>817.91513916248425</v>
      </c>
      <c r="NM39">
        <f ca="1"/>
        <v>817.91513916248425</v>
      </c>
      <c r="NN39">
        <f ca="1"/>
        <v>817.91513916248425</v>
      </c>
      <c r="NO39">
        <f ca="1"/>
        <v>817.91513916248425</v>
      </c>
      <c r="NP39">
        <f ca="1"/>
        <v>817.91513916248425</v>
      </c>
      <c r="NQ39">
        <f ca="1"/>
        <v>817.91513916248425</v>
      </c>
      <c r="NR39">
        <f ca="1"/>
        <v>817.91513916248425</v>
      </c>
      <c r="NS39">
        <f ca="1"/>
        <v>817.91513916248425</v>
      </c>
      <c r="NT39">
        <f ca="1"/>
        <v>817.91513916248425</v>
      </c>
      <c r="NU39">
        <f ca="1"/>
        <v>817.91513916248425</v>
      </c>
      <c r="NV39">
        <f ca="1"/>
        <v>817.91513916248425</v>
      </c>
      <c r="NW39">
        <f ca="1"/>
        <v>883.34835029548299</v>
      </c>
      <c r="NX39">
        <f ca="1"/>
        <v>883.34835029548299</v>
      </c>
      <c r="NY39">
        <f ca="1"/>
        <v>883.34835029548299</v>
      </c>
      <c r="NZ39">
        <f ca="1"/>
        <v>883.34835029548299</v>
      </c>
      <c r="OA39">
        <f ca="1"/>
        <v>883.34835029548299</v>
      </c>
      <c r="OB39">
        <f ca="1"/>
        <v>883.34835029548299</v>
      </c>
      <c r="OC39">
        <f ca="1"/>
        <v>883.34835029548299</v>
      </c>
      <c r="OD39">
        <f ca="1"/>
        <v>883.34835029548299</v>
      </c>
      <c r="OE39">
        <f ca="1"/>
        <v>883.34835029548299</v>
      </c>
      <c r="OF39">
        <f ca="1"/>
        <v>883.34835029548299</v>
      </c>
      <c r="OG39">
        <f ca="1"/>
        <v>883.34835029548299</v>
      </c>
      <c r="OH39">
        <f ca="1"/>
        <v>883.34835029548299</v>
      </c>
      <c r="OI39">
        <f ca="1"/>
        <v>954.01621831912178</v>
      </c>
      <c r="OJ39">
        <f ca="1"/>
        <v>954.01621831912178</v>
      </c>
      <c r="OK39">
        <f ca="1"/>
        <v>954.01621831912178</v>
      </c>
      <c r="OL39">
        <f ca="1"/>
        <v>954.01621831912178</v>
      </c>
      <c r="OM39">
        <f ca="1"/>
        <v>954.01621831912178</v>
      </c>
      <c r="ON39">
        <f ca="1"/>
        <v>954.01621831912178</v>
      </c>
      <c r="OO39">
        <f ca="1"/>
        <v>954.01621831912178</v>
      </c>
      <c r="OP39">
        <f ca="1"/>
        <v>954.01621831912178</v>
      </c>
      <c r="OQ39">
        <f ca="1"/>
        <v>954.01621831912178</v>
      </c>
      <c r="OR39">
        <f ca="1"/>
        <v>954.01621831912178</v>
      </c>
      <c r="OS39">
        <f ca="1"/>
        <v>954.01621831912178</v>
      </c>
      <c r="OT39">
        <f ca="1"/>
        <v>954.01621831912178</v>
      </c>
      <c r="OU39">
        <f ca="1"/>
        <v>1030.3375157846515</v>
      </c>
      <c r="OV39">
        <f ca="1"/>
        <v>1030.3375157846515</v>
      </c>
      <c r="OW39">
        <f ca="1"/>
        <v>1030.3375157846515</v>
      </c>
      <c r="OX39">
        <f ca="1"/>
        <v>1030.3375157846515</v>
      </c>
      <c r="OY39">
        <f ca="1"/>
        <v>1030.3375157846515</v>
      </c>
      <c r="OZ39">
        <f ca="1"/>
        <v>1030.3375157846515</v>
      </c>
      <c r="PA39">
        <f ca="1"/>
        <v>1030.3375157846515</v>
      </c>
      <c r="PB39">
        <f ca="1"/>
        <v>1030.3375157846515</v>
      </c>
      <c r="PC39">
        <f ca="1"/>
        <v>1030.3375157846515</v>
      </c>
      <c r="PD39">
        <f ca="1"/>
        <v>1030.3375157846515</v>
      </c>
      <c r="PE39">
        <f ca="1"/>
        <v>1030.3375157846515</v>
      </c>
      <c r="PF39">
        <f ca="1"/>
        <v>1030.3375157846515</v>
      </c>
      <c r="PG39">
        <f ca="1"/>
        <v>1112.7645170474236</v>
      </c>
      <c r="PH39">
        <f ca="1"/>
        <v>1112.7645170474236</v>
      </c>
      <c r="PI39">
        <f ca="1"/>
        <v>1112.7645170474236</v>
      </c>
      <c r="PJ39">
        <f ca="1"/>
        <v>1112.7645170474236</v>
      </c>
      <c r="PK39">
        <f ca="1"/>
        <v>1112.7645170474236</v>
      </c>
      <c r="PL39">
        <f ca="1"/>
        <v>1112.7645170474236</v>
      </c>
      <c r="PM39">
        <f ca="1"/>
        <v>1112.7645170474236</v>
      </c>
      <c r="PN39">
        <f ca="1"/>
        <v>1112.7645170474236</v>
      </c>
      <c r="PO39">
        <f ca="1"/>
        <v>1112.7645170474236</v>
      </c>
      <c r="PP39">
        <f ca="1"/>
        <v>1112.7645170474236</v>
      </c>
      <c r="PQ39">
        <f ca="1"/>
        <v>1112.7645170474236</v>
      </c>
      <c r="PR39">
        <f ca="1"/>
        <v>1112.7645170474236</v>
      </c>
      <c r="PS39">
        <f ca="1"/>
        <v>1201.7856784112178</v>
      </c>
      <c r="PT39">
        <f ca="1"/>
        <v>1201.7856784112178</v>
      </c>
      <c r="PU39">
        <f ca="1"/>
        <v>1201.7856784112178</v>
      </c>
      <c r="PV39">
        <f ca="1"/>
        <v>1201.7856784112178</v>
      </c>
      <c r="PW39">
        <f ca="1"/>
        <v>1201.7856784112178</v>
      </c>
      <c r="PX39">
        <f ca="1"/>
        <v>1201.7856784112178</v>
      </c>
      <c r="PY39">
        <f ca="1"/>
        <v>1201.7856784112178</v>
      </c>
      <c r="PZ39">
        <f ca="1"/>
        <v>1201.7856784112178</v>
      </c>
      <c r="QA39">
        <f ca="1"/>
        <v>1201.7856784112178</v>
      </c>
      <c r="QB39">
        <f ca="1"/>
        <v>1201.7856784112178</v>
      </c>
      <c r="QC39">
        <f ca="1"/>
        <v>1201.7856784112178</v>
      </c>
      <c r="QD39">
        <f ca="1"/>
        <v>1201.7856784112178</v>
      </c>
      <c r="QE39">
        <f ca="1"/>
        <v>1297.9285326841152</v>
      </c>
      <c r="QF39">
        <f ca="1"/>
        <v>1297.9285326841152</v>
      </c>
      <c r="QG39">
        <f ca="1"/>
        <v>1297.9285326841152</v>
      </c>
      <c r="QH39">
        <f ca="1"/>
        <v>1297.9285326841152</v>
      </c>
      <c r="QI39">
        <f ca="1"/>
        <v>1297.9285326841152</v>
      </c>
      <c r="QJ39">
        <f ca="1"/>
        <v>1297.9285326841152</v>
      </c>
      <c r="QK39">
        <f ca="1"/>
        <v>1297.9285326841152</v>
      </c>
      <c r="QL39">
        <f ca="1"/>
        <v>1297.9285326841152</v>
      </c>
      <c r="QM39">
        <f ca="1"/>
        <v>1297.9285326841152</v>
      </c>
      <c r="QN39">
        <f ca="1"/>
        <v>1297.9285326841152</v>
      </c>
      <c r="QO39">
        <f ca="1"/>
        <v>1297.9285326841152</v>
      </c>
      <c r="QP39">
        <f ca="1"/>
        <v>1297.9285326841152</v>
      </c>
      <c r="QQ39">
        <f ca="1"/>
        <v>1401.7628152988443</v>
      </c>
      <c r="QR39">
        <f ca="1"/>
        <v>1401.7628152988443</v>
      </c>
      <c r="QS39">
        <f ca="1"/>
        <v>1401.7628152988443</v>
      </c>
      <c r="QT39">
        <f ca="1"/>
        <v>1401.7628152988443</v>
      </c>
      <c r="QU39">
        <f ca="1"/>
        <v>1401.7628152988443</v>
      </c>
      <c r="QV39">
        <f ca="1"/>
        <v>1401.7628152988443</v>
      </c>
      <c r="QW39">
        <f ca="1"/>
        <v>1401.7628152988443</v>
      </c>
      <c r="QX39">
        <f ca="1"/>
        <v>1401.7628152988443</v>
      </c>
      <c r="QY39">
        <f ca="1"/>
        <v>1401.7628152988443</v>
      </c>
      <c r="QZ39">
        <f ca="1"/>
        <v>1401.7628152988443</v>
      </c>
      <c r="RA39">
        <f ca="1"/>
        <v>1401.7628152988443</v>
      </c>
      <c r="RB39">
        <f ca="1"/>
        <v>1401.7628152988443</v>
      </c>
      <c r="RC39">
        <f ca="1"/>
        <v>1513.903840522752</v>
      </c>
      <c r="RD39">
        <f ca="1"/>
        <v>1513.903840522752</v>
      </c>
      <c r="RE39">
        <f ca="1"/>
        <v>1513.903840522752</v>
      </c>
      <c r="RF39">
        <f ca="1"/>
        <v>1513.903840522752</v>
      </c>
      <c r="RG39">
        <f ca="1"/>
        <v>1513.903840522752</v>
      </c>
      <c r="RH39">
        <f ca="1"/>
        <v>1513.903840522752</v>
      </c>
      <c r="RI39">
        <f ca="1"/>
        <v>1513.903840522752</v>
      </c>
      <c r="RJ39">
        <f ca="1"/>
        <v>1513.903840522752</v>
      </c>
      <c r="RK39">
        <f ca="1"/>
        <v>1513.903840522752</v>
      </c>
      <c r="RL39">
        <f ca="1"/>
        <v>1513.903840522752</v>
      </c>
      <c r="RM39">
        <f ca="1"/>
        <v>1513.903840522752</v>
      </c>
      <c r="RN39">
        <f ca="1"/>
        <v>1513.903840522752</v>
      </c>
      <c r="RO39">
        <f ca="1"/>
        <v>1635.0161477645722</v>
      </c>
      <c r="RP39">
        <f ca="1"/>
        <v>1635.0161477645722</v>
      </c>
      <c r="RQ39">
        <f ca="1"/>
        <v>1635.0161477645722</v>
      </c>
      <c r="RR39">
        <f ca="1"/>
        <v>1635.0161477645722</v>
      </c>
      <c r="RS39">
        <f ca="1"/>
        <v>1635.0161477645722</v>
      </c>
      <c r="RT39">
        <f ca="1"/>
        <v>1635.0161477645722</v>
      </c>
      <c r="RU39">
        <f ca="1"/>
        <v>1635.0161477645722</v>
      </c>
      <c r="RV39">
        <f ca="1"/>
        <v>1635.0161477645722</v>
      </c>
      <c r="RW39">
        <f ca="1"/>
        <v>1635.0161477645722</v>
      </c>
      <c r="RX39">
        <f ca="1"/>
        <v>1635.0161477645722</v>
      </c>
      <c r="RY39">
        <f ca="1"/>
        <v>1635.0161477645722</v>
      </c>
      <c r="RZ39">
        <f ca="1"/>
        <v>1635.0161477645722</v>
      </c>
    </row>
    <row r="40" spans="1:494" x14ac:dyDescent="0.3">
      <c r="A40" s="8" t="s">
        <v>496</v>
      </c>
      <c r="B40" s="302" cm="1">
        <f t="array" aca="1" ref="B40:RZ40" ca="1">MONTH(_xlfn.ANCHORARRAY(B36))</f>
        <v>12</v>
      </c>
      <c r="C40" s="302">
        <f ca="1"/>
        <v>1</v>
      </c>
      <c r="D40" s="302">
        <f ca="1"/>
        <v>2</v>
      </c>
      <c r="E40" s="302">
        <f ca="1"/>
        <v>3</v>
      </c>
      <c r="F40" s="302">
        <f ca="1"/>
        <v>4</v>
      </c>
      <c r="G40" s="302">
        <f ca="1"/>
        <v>5</v>
      </c>
      <c r="H40" s="302">
        <f ca="1"/>
        <v>6</v>
      </c>
      <c r="I40" s="302">
        <f ca="1"/>
        <v>7</v>
      </c>
      <c r="J40" s="302">
        <f ca="1"/>
        <v>8</v>
      </c>
      <c r="K40" s="302">
        <f ca="1"/>
        <v>9</v>
      </c>
      <c r="L40" s="302">
        <f ca="1"/>
        <v>10</v>
      </c>
      <c r="M40" s="302">
        <f ca="1"/>
        <v>11</v>
      </c>
      <c r="N40" s="302">
        <f ca="1"/>
        <v>12</v>
      </c>
      <c r="O40" s="302">
        <f ca="1"/>
        <v>1</v>
      </c>
      <c r="P40" s="302">
        <f ca="1"/>
        <v>2</v>
      </c>
      <c r="Q40" s="302">
        <f ca="1"/>
        <v>3</v>
      </c>
      <c r="R40" s="302">
        <f ca="1"/>
        <v>4</v>
      </c>
      <c r="S40" s="302">
        <f ca="1"/>
        <v>5</v>
      </c>
      <c r="T40" s="302">
        <f ca="1"/>
        <v>6</v>
      </c>
      <c r="U40" s="302">
        <f ca="1"/>
        <v>7</v>
      </c>
      <c r="V40" s="302">
        <f ca="1"/>
        <v>8</v>
      </c>
      <c r="W40" s="302">
        <f ca="1"/>
        <v>9</v>
      </c>
      <c r="X40" s="302">
        <f ca="1"/>
        <v>10</v>
      </c>
      <c r="Y40" s="302">
        <f ca="1"/>
        <v>11</v>
      </c>
      <c r="Z40" s="302">
        <f ca="1"/>
        <v>12</v>
      </c>
      <c r="AA40" s="302">
        <f ca="1"/>
        <v>1</v>
      </c>
      <c r="AB40" s="302">
        <f ca="1"/>
        <v>2</v>
      </c>
      <c r="AC40" s="302">
        <f ca="1"/>
        <v>3</v>
      </c>
      <c r="AD40" s="302">
        <f ca="1"/>
        <v>4</v>
      </c>
      <c r="AE40" s="302">
        <f ca="1"/>
        <v>5</v>
      </c>
      <c r="AF40" s="302">
        <f ca="1"/>
        <v>6</v>
      </c>
      <c r="AG40" s="302">
        <f ca="1"/>
        <v>7</v>
      </c>
      <c r="AH40" s="302">
        <f ca="1"/>
        <v>8</v>
      </c>
      <c r="AI40" s="302">
        <f ca="1"/>
        <v>9</v>
      </c>
      <c r="AJ40" s="302">
        <f ca="1"/>
        <v>10</v>
      </c>
      <c r="AK40" s="302">
        <f ca="1"/>
        <v>11</v>
      </c>
      <c r="AL40" s="302">
        <f ca="1"/>
        <v>12</v>
      </c>
      <c r="AM40" s="302">
        <f ca="1"/>
        <v>1</v>
      </c>
      <c r="AN40" s="302">
        <f ca="1"/>
        <v>2</v>
      </c>
      <c r="AO40" s="302">
        <f ca="1"/>
        <v>3</v>
      </c>
      <c r="AP40" s="302">
        <f ca="1"/>
        <v>4</v>
      </c>
      <c r="AQ40" s="302">
        <f ca="1"/>
        <v>5</v>
      </c>
      <c r="AR40" s="302">
        <f ca="1"/>
        <v>6</v>
      </c>
      <c r="AS40" s="302">
        <f ca="1"/>
        <v>7</v>
      </c>
      <c r="AT40" s="302">
        <f ca="1"/>
        <v>8</v>
      </c>
      <c r="AU40" s="302">
        <f ca="1"/>
        <v>9</v>
      </c>
      <c r="AV40" s="302">
        <f ca="1"/>
        <v>10</v>
      </c>
      <c r="AW40" s="302">
        <f ca="1"/>
        <v>11</v>
      </c>
      <c r="AX40" s="302">
        <f ca="1"/>
        <v>12</v>
      </c>
      <c r="AY40" s="302">
        <f ca="1"/>
        <v>1</v>
      </c>
      <c r="AZ40" s="302">
        <f ca="1"/>
        <v>2</v>
      </c>
      <c r="BA40" s="302">
        <f ca="1"/>
        <v>3</v>
      </c>
      <c r="BB40" s="302">
        <f ca="1"/>
        <v>4</v>
      </c>
      <c r="BC40" s="302">
        <f ca="1"/>
        <v>5</v>
      </c>
      <c r="BD40" s="302">
        <f ca="1"/>
        <v>6</v>
      </c>
      <c r="BE40" s="302">
        <f ca="1"/>
        <v>7</v>
      </c>
      <c r="BF40" s="302">
        <f ca="1"/>
        <v>8</v>
      </c>
      <c r="BG40" s="302">
        <f ca="1"/>
        <v>9</v>
      </c>
      <c r="BH40" s="302">
        <f ca="1"/>
        <v>10</v>
      </c>
      <c r="BI40" s="302">
        <f ca="1"/>
        <v>11</v>
      </c>
      <c r="BJ40" s="302">
        <f ca="1"/>
        <v>12</v>
      </c>
      <c r="BK40" s="302">
        <f ca="1"/>
        <v>1</v>
      </c>
      <c r="BL40" s="302">
        <f ca="1"/>
        <v>2</v>
      </c>
      <c r="BM40" s="302">
        <f ca="1"/>
        <v>3</v>
      </c>
      <c r="BN40" s="302">
        <f ca="1"/>
        <v>4</v>
      </c>
      <c r="BO40" s="302">
        <f ca="1"/>
        <v>5</v>
      </c>
      <c r="BP40" s="302">
        <f ca="1"/>
        <v>6</v>
      </c>
      <c r="BQ40" s="302">
        <f ca="1"/>
        <v>7</v>
      </c>
      <c r="BR40" s="302">
        <f ca="1"/>
        <v>8</v>
      </c>
      <c r="BS40" s="302">
        <f ca="1"/>
        <v>9</v>
      </c>
      <c r="BT40" s="302">
        <f ca="1"/>
        <v>10</v>
      </c>
      <c r="BU40" s="302">
        <f ca="1"/>
        <v>11</v>
      </c>
      <c r="BV40" s="302">
        <f ca="1"/>
        <v>12</v>
      </c>
      <c r="BW40" s="302">
        <f ca="1"/>
        <v>1</v>
      </c>
      <c r="BX40" s="302">
        <f ca="1"/>
        <v>2</v>
      </c>
      <c r="BY40" s="302">
        <f ca="1"/>
        <v>3</v>
      </c>
      <c r="BZ40" s="302">
        <f ca="1"/>
        <v>4</v>
      </c>
      <c r="CA40" s="302">
        <f ca="1"/>
        <v>5</v>
      </c>
      <c r="CB40" s="302">
        <f ca="1"/>
        <v>6</v>
      </c>
      <c r="CC40" s="302">
        <f ca="1"/>
        <v>7</v>
      </c>
      <c r="CD40" s="302">
        <f ca="1"/>
        <v>8</v>
      </c>
      <c r="CE40" s="302">
        <f ca="1"/>
        <v>9</v>
      </c>
      <c r="CF40" s="302">
        <f ca="1"/>
        <v>10</v>
      </c>
      <c r="CG40" s="302">
        <f ca="1"/>
        <v>11</v>
      </c>
      <c r="CH40" s="302">
        <f ca="1"/>
        <v>12</v>
      </c>
      <c r="CI40" s="302">
        <f ca="1"/>
        <v>1</v>
      </c>
      <c r="CJ40" s="302">
        <f ca="1"/>
        <v>2</v>
      </c>
      <c r="CK40" s="302">
        <f ca="1"/>
        <v>3</v>
      </c>
      <c r="CL40" s="302">
        <f ca="1"/>
        <v>4</v>
      </c>
      <c r="CM40" s="302">
        <f ca="1"/>
        <v>5</v>
      </c>
      <c r="CN40" s="302">
        <f ca="1"/>
        <v>6</v>
      </c>
      <c r="CO40" s="302">
        <f ca="1"/>
        <v>7</v>
      </c>
      <c r="CP40" s="302">
        <f ca="1"/>
        <v>8</v>
      </c>
      <c r="CQ40" s="302">
        <f ca="1"/>
        <v>9</v>
      </c>
      <c r="CR40" s="302">
        <f ca="1"/>
        <v>10</v>
      </c>
      <c r="CS40" s="302">
        <f ca="1"/>
        <v>11</v>
      </c>
      <c r="CT40" s="302">
        <f ca="1"/>
        <v>12</v>
      </c>
      <c r="CU40" s="302">
        <f ca="1"/>
        <v>1</v>
      </c>
      <c r="CV40" s="302">
        <f ca="1"/>
        <v>2</v>
      </c>
      <c r="CW40" s="302">
        <f ca="1"/>
        <v>3</v>
      </c>
      <c r="CX40" s="302">
        <f ca="1"/>
        <v>4</v>
      </c>
      <c r="CY40" s="302">
        <f ca="1"/>
        <v>5</v>
      </c>
      <c r="CZ40" s="302">
        <f ca="1"/>
        <v>6</v>
      </c>
      <c r="DA40" s="302">
        <f ca="1"/>
        <v>7</v>
      </c>
      <c r="DB40" s="302">
        <f ca="1"/>
        <v>8</v>
      </c>
      <c r="DC40" s="302">
        <f ca="1"/>
        <v>9</v>
      </c>
      <c r="DD40" s="302">
        <f ca="1"/>
        <v>10</v>
      </c>
      <c r="DE40" s="302">
        <f ca="1"/>
        <v>11</v>
      </c>
      <c r="DF40" s="302">
        <f ca="1"/>
        <v>12</v>
      </c>
      <c r="DG40" s="302">
        <f ca="1"/>
        <v>1</v>
      </c>
      <c r="DH40" s="302">
        <f ca="1"/>
        <v>2</v>
      </c>
      <c r="DI40" s="302">
        <f ca="1"/>
        <v>3</v>
      </c>
      <c r="DJ40" s="302">
        <f ca="1"/>
        <v>4</v>
      </c>
      <c r="DK40" s="302">
        <f ca="1"/>
        <v>5</v>
      </c>
      <c r="DL40" s="302">
        <f ca="1"/>
        <v>6</v>
      </c>
      <c r="DM40" s="302">
        <f ca="1"/>
        <v>7</v>
      </c>
      <c r="DN40" s="302">
        <f ca="1"/>
        <v>8</v>
      </c>
      <c r="DO40" s="302">
        <f ca="1"/>
        <v>9</v>
      </c>
      <c r="DP40" s="302">
        <f ca="1"/>
        <v>10</v>
      </c>
      <c r="DQ40" s="302">
        <f ca="1"/>
        <v>11</v>
      </c>
      <c r="DR40" s="302">
        <f ca="1"/>
        <v>12</v>
      </c>
      <c r="DS40" s="302">
        <f ca="1"/>
        <v>1</v>
      </c>
      <c r="DT40" s="302">
        <f ca="1"/>
        <v>2</v>
      </c>
      <c r="DU40" s="302">
        <f ca="1"/>
        <v>3</v>
      </c>
      <c r="DV40" s="302">
        <f ca="1"/>
        <v>4</v>
      </c>
      <c r="DW40" s="302">
        <f ca="1"/>
        <v>5</v>
      </c>
      <c r="DX40" s="302">
        <f ca="1"/>
        <v>6</v>
      </c>
      <c r="DY40" s="302">
        <f ca="1"/>
        <v>7</v>
      </c>
      <c r="DZ40" s="302">
        <f ca="1"/>
        <v>8</v>
      </c>
      <c r="EA40" s="302">
        <f ca="1"/>
        <v>9</v>
      </c>
      <c r="EB40" s="302">
        <f ca="1"/>
        <v>10</v>
      </c>
      <c r="EC40" s="302">
        <f ca="1"/>
        <v>11</v>
      </c>
      <c r="ED40" s="302">
        <f ca="1"/>
        <v>12</v>
      </c>
      <c r="EE40" s="302">
        <f ca="1"/>
        <v>1</v>
      </c>
      <c r="EF40" s="302">
        <f ca="1"/>
        <v>2</v>
      </c>
      <c r="EG40" s="302">
        <f ca="1"/>
        <v>3</v>
      </c>
      <c r="EH40" s="302">
        <f ca="1"/>
        <v>4</v>
      </c>
      <c r="EI40" s="302">
        <f ca="1"/>
        <v>5</v>
      </c>
      <c r="EJ40" s="302">
        <f ca="1"/>
        <v>6</v>
      </c>
      <c r="EK40" s="302">
        <f ca="1"/>
        <v>7</v>
      </c>
      <c r="EL40" s="302">
        <f ca="1"/>
        <v>8</v>
      </c>
      <c r="EM40" s="302">
        <f ca="1"/>
        <v>9</v>
      </c>
      <c r="EN40" s="302">
        <f ca="1"/>
        <v>10</v>
      </c>
      <c r="EO40" s="302">
        <f ca="1"/>
        <v>11</v>
      </c>
      <c r="EP40" s="302">
        <f ca="1"/>
        <v>12</v>
      </c>
      <c r="EQ40" s="302">
        <f ca="1"/>
        <v>1</v>
      </c>
      <c r="ER40" s="302">
        <f ca="1"/>
        <v>2</v>
      </c>
      <c r="ES40" s="302">
        <f ca="1"/>
        <v>3</v>
      </c>
      <c r="ET40" s="302">
        <f ca="1"/>
        <v>4</v>
      </c>
      <c r="EU40" s="302">
        <f ca="1"/>
        <v>5</v>
      </c>
      <c r="EV40" s="302">
        <f ca="1"/>
        <v>6</v>
      </c>
      <c r="EW40" s="302">
        <f ca="1"/>
        <v>7</v>
      </c>
      <c r="EX40" s="302">
        <f ca="1"/>
        <v>8</v>
      </c>
      <c r="EY40" s="302">
        <f ca="1"/>
        <v>9</v>
      </c>
      <c r="EZ40" s="302">
        <f ca="1"/>
        <v>10</v>
      </c>
      <c r="FA40" s="302">
        <f ca="1"/>
        <v>11</v>
      </c>
      <c r="FB40" s="302">
        <f ca="1"/>
        <v>12</v>
      </c>
      <c r="FC40" s="302">
        <f ca="1"/>
        <v>1</v>
      </c>
      <c r="FD40" s="302">
        <f ca="1"/>
        <v>2</v>
      </c>
      <c r="FE40" s="302">
        <f ca="1"/>
        <v>3</v>
      </c>
      <c r="FF40" s="302">
        <f ca="1"/>
        <v>4</v>
      </c>
      <c r="FG40" s="302">
        <f ca="1"/>
        <v>5</v>
      </c>
      <c r="FH40" s="302">
        <f ca="1"/>
        <v>6</v>
      </c>
      <c r="FI40" s="302">
        <f ca="1"/>
        <v>7</v>
      </c>
      <c r="FJ40" s="302">
        <f ca="1"/>
        <v>8</v>
      </c>
      <c r="FK40" s="302">
        <f ca="1"/>
        <v>9</v>
      </c>
      <c r="FL40" s="302">
        <f ca="1"/>
        <v>10</v>
      </c>
      <c r="FM40" s="302">
        <f ca="1"/>
        <v>11</v>
      </c>
      <c r="FN40" s="302">
        <f ca="1"/>
        <v>12</v>
      </c>
      <c r="FO40" s="302">
        <f ca="1"/>
        <v>1</v>
      </c>
      <c r="FP40" s="302">
        <f ca="1"/>
        <v>2</v>
      </c>
      <c r="FQ40" s="302">
        <f ca="1"/>
        <v>3</v>
      </c>
      <c r="FR40" s="302">
        <f ca="1"/>
        <v>4</v>
      </c>
      <c r="FS40" s="302">
        <f ca="1"/>
        <v>5</v>
      </c>
      <c r="FT40" s="302">
        <f ca="1"/>
        <v>6</v>
      </c>
      <c r="FU40" s="302">
        <f ca="1"/>
        <v>7</v>
      </c>
      <c r="FV40" s="302">
        <f ca="1"/>
        <v>8</v>
      </c>
      <c r="FW40" s="302">
        <f ca="1"/>
        <v>9</v>
      </c>
      <c r="FX40" s="302">
        <f ca="1"/>
        <v>10</v>
      </c>
      <c r="FY40" s="302">
        <f ca="1"/>
        <v>11</v>
      </c>
      <c r="FZ40" s="302">
        <f ca="1"/>
        <v>12</v>
      </c>
      <c r="GA40" s="302">
        <f ca="1"/>
        <v>1</v>
      </c>
      <c r="GB40" s="302">
        <f ca="1"/>
        <v>2</v>
      </c>
      <c r="GC40" s="302">
        <f ca="1"/>
        <v>3</v>
      </c>
      <c r="GD40" s="302">
        <f ca="1"/>
        <v>4</v>
      </c>
      <c r="GE40" s="302">
        <f ca="1"/>
        <v>5</v>
      </c>
      <c r="GF40" s="302">
        <f ca="1"/>
        <v>6</v>
      </c>
      <c r="GG40" s="302">
        <f ca="1"/>
        <v>7</v>
      </c>
      <c r="GH40" s="302">
        <f ca="1"/>
        <v>8</v>
      </c>
      <c r="GI40" s="302">
        <f ca="1"/>
        <v>9</v>
      </c>
      <c r="GJ40" s="302">
        <f ca="1"/>
        <v>10</v>
      </c>
      <c r="GK40" s="302">
        <f ca="1"/>
        <v>11</v>
      </c>
      <c r="GL40" s="302">
        <f ca="1"/>
        <v>12</v>
      </c>
      <c r="GM40" s="302">
        <f ca="1"/>
        <v>1</v>
      </c>
      <c r="GN40" s="302">
        <f ca="1"/>
        <v>2</v>
      </c>
      <c r="GO40" s="302">
        <f ca="1"/>
        <v>3</v>
      </c>
      <c r="GP40" s="302">
        <f ca="1"/>
        <v>4</v>
      </c>
      <c r="GQ40" s="302">
        <f ca="1"/>
        <v>5</v>
      </c>
      <c r="GR40" s="302">
        <f ca="1"/>
        <v>6</v>
      </c>
      <c r="GS40" s="302">
        <f ca="1"/>
        <v>7</v>
      </c>
      <c r="GT40" s="302">
        <f ca="1"/>
        <v>8</v>
      </c>
      <c r="GU40" s="302">
        <f ca="1"/>
        <v>9</v>
      </c>
      <c r="GV40" s="302">
        <f ca="1"/>
        <v>10</v>
      </c>
      <c r="GW40" s="302">
        <f ca="1"/>
        <v>11</v>
      </c>
      <c r="GX40" s="302">
        <f ca="1"/>
        <v>12</v>
      </c>
      <c r="GY40" s="302">
        <f ca="1"/>
        <v>1</v>
      </c>
      <c r="GZ40" s="302">
        <f ca="1"/>
        <v>2</v>
      </c>
      <c r="HA40" s="302">
        <f ca="1"/>
        <v>3</v>
      </c>
      <c r="HB40" s="302">
        <f ca="1"/>
        <v>4</v>
      </c>
      <c r="HC40" s="302">
        <f ca="1"/>
        <v>5</v>
      </c>
      <c r="HD40" s="302">
        <f ca="1"/>
        <v>6</v>
      </c>
      <c r="HE40" s="302">
        <f ca="1"/>
        <v>7</v>
      </c>
      <c r="HF40" s="302">
        <f ca="1"/>
        <v>8</v>
      </c>
      <c r="HG40" s="302">
        <f ca="1"/>
        <v>9</v>
      </c>
      <c r="HH40" s="302">
        <f ca="1"/>
        <v>10</v>
      </c>
      <c r="HI40" s="302">
        <f ca="1"/>
        <v>11</v>
      </c>
      <c r="HJ40" s="302">
        <f ca="1"/>
        <v>12</v>
      </c>
      <c r="HK40" s="302">
        <f ca="1"/>
        <v>1</v>
      </c>
      <c r="HL40" s="302">
        <f ca="1"/>
        <v>2</v>
      </c>
      <c r="HM40" s="302">
        <f ca="1"/>
        <v>3</v>
      </c>
      <c r="HN40" s="302">
        <f ca="1"/>
        <v>4</v>
      </c>
      <c r="HO40" s="302">
        <f ca="1"/>
        <v>5</v>
      </c>
      <c r="HP40" s="302">
        <f ca="1"/>
        <v>6</v>
      </c>
      <c r="HQ40" s="302">
        <f ca="1"/>
        <v>7</v>
      </c>
      <c r="HR40" s="302">
        <f ca="1"/>
        <v>8</v>
      </c>
      <c r="HS40" s="302">
        <f ca="1"/>
        <v>9</v>
      </c>
      <c r="HT40" s="302">
        <f ca="1"/>
        <v>10</v>
      </c>
      <c r="HU40" s="302">
        <f ca="1"/>
        <v>11</v>
      </c>
      <c r="HV40" s="302">
        <f ca="1"/>
        <v>12</v>
      </c>
      <c r="HW40" s="302">
        <f ca="1"/>
        <v>1</v>
      </c>
      <c r="HX40" s="302">
        <f ca="1"/>
        <v>2</v>
      </c>
      <c r="HY40" s="302">
        <f ca="1"/>
        <v>3</v>
      </c>
      <c r="HZ40" s="302">
        <f ca="1"/>
        <v>4</v>
      </c>
      <c r="IA40" s="302">
        <f ca="1"/>
        <v>5</v>
      </c>
      <c r="IB40" s="302">
        <f ca="1"/>
        <v>6</v>
      </c>
      <c r="IC40" s="302">
        <f ca="1"/>
        <v>7</v>
      </c>
      <c r="ID40" s="302">
        <f ca="1"/>
        <v>8</v>
      </c>
      <c r="IE40" s="302">
        <f ca="1"/>
        <v>9</v>
      </c>
      <c r="IF40" s="302">
        <f ca="1"/>
        <v>10</v>
      </c>
      <c r="IG40" s="302">
        <f ca="1"/>
        <v>11</v>
      </c>
      <c r="IH40" s="302">
        <f ca="1"/>
        <v>12</v>
      </c>
      <c r="II40" s="302">
        <f ca="1"/>
        <v>1</v>
      </c>
      <c r="IJ40" s="302">
        <f ca="1"/>
        <v>2</v>
      </c>
      <c r="IK40" s="302">
        <f ca="1"/>
        <v>3</v>
      </c>
      <c r="IL40" s="302">
        <f ca="1"/>
        <v>4</v>
      </c>
      <c r="IM40" s="302">
        <f ca="1"/>
        <v>5</v>
      </c>
      <c r="IN40" s="302">
        <f ca="1"/>
        <v>6</v>
      </c>
      <c r="IO40" s="302">
        <f ca="1"/>
        <v>7</v>
      </c>
      <c r="IP40" s="302">
        <f ca="1"/>
        <v>8</v>
      </c>
      <c r="IQ40" s="302">
        <f ca="1"/>
        <v>9</v>
      </c>
      <c r="IR40" s="302">
        <f ca="1"/>
        <v>10</v>
      </c>
      <c r="IS40" s="302">
        <f ca="1"/>
        <v>11</v>
      </c>
      <c r="IT40" s="302">
        <f ca="1"/>
        <v>12</v>
      </c>
      <c r="IU40" s="302">
        <f ca="1"/>
        <v>1</v>
      </c>
      <c r="IV40" s="302">
        <f ca="1"/>
        <v>2</v>
      </c>
      <c r="IW40" s="302">
        <f ca="1"/>
        <v>3</v>
      </c>
      <c r="IX40" s="302">
        <f ca="1"/>
        <v>4</v>
      </c>
      <c r="IY40" s="302">
        <f ca="1"/>
        <v>5</v>
      </c>
      <c r="IZ40" s="302">
        <f ca="1"/>
        <v>6</v>
      </c>
      <c r="JA40" s="302">
        <f ca="1"/>
        <v>7</v>
      </c>
      <c r="JB40" s="302">
        <f ca="1"/>
        <v>8</v>
      </c>
      <c r="JC40" s="302">
        <f ca="1"/>
        <v>9</v>
      </c>
      <c r="JD40" s="302">
        <f ca="1"/>
        <v>10</v>
      </c>
      <c r="JE40" s="302">
        <f ca="1"/>
        <v>11</v>
      </c>
      <c r="JF40" s="302">
        <f ca="1"/>
        <v>12</v>
      </c>
      <c r="JG40" s="302">
        <f ca="1"/>
        <v>1</v>
      </c>
      <c r="JH40" s="302">
        <f ca="1"/>
        <v>2</v>
      </c>
      <c r="JI40" s="302">
        <f ca="1"/>
        <v>3</v>
      </c>
      <c r="JJ40" s="302">
        <f ca="1"/>
        <v>4</v>
      </c>
      <c r="JK40" s="302">
        <f ca="1"/>
        <v>5</v>
      </c>
      <c r="JL40" s="302">
        <f ca="1"/>
        <v>6</v>
      </c>
      <c r="JM40" s="302">
        <f ca="1"/>
        <v>7</v>
      </c>
      <c r="JN40" s="302">
        <f ca="1"/>
        <v>8</v>
      </c>
      <c r="JO40" s="302">
        <f ca="1"/>
        <v>9</v>
      </c>
      <c r="JP40" s="302">
        <f ca="1"/>
        <v>10</v>
      </c>
      <c r="JQ40" s="302">
        <f ca="1"/>
        <v>11</v>
      </c>
      <c r="JR40" s="302">
        <f ca="1"/>
        <v>12</v>
      </c>
      <c r="JS40" s="302">
        <f ca="1"/>
        <v>1</v>
      </c>
      <c r="JT40" s="302">
        <f ca="1"/>
        <v>2</v>
      </c>
      <c r="JU40" s="302">
        <f ca="1"/>
        <v>3</v>
      </c>
      <c r="JV40" s="302">
        <f ca="1"/>
        <v>4</v>
      </c>
      <c r="JW40" s="302">
        <f ca="1"/>
        <v>5</v>
      </c>
      <c r="JX40" s="302">
        <f ca="1"/>
        <v>6</v>
      </c>
      <c r="JY40" s="302">
        <f ca="1"/>
        <v>7</v>
      </c>
      <c r="JZ40" s="302">
        <f ca="1"/>
        <v>8</v>
      </c>
      <c r="KA40" s="302">
        <f ca="1"/>
        <v>9</v>
      </c>
      <c r="KB40" s="302">
        <f ca="1"/>
        <v>10</v>
      </c>
      <c r="KC40" s="302">
        <f ca="1"/>
        <v>11</v>
      </c>
      <c r="KD40" s="302">
        <f ca="1"/>
        <v>12</v>
      </c>
      <c r="KE40" s="302">
        <f ca="1"/>
        <v>1</v>
      </c>
      <c r="KF40" s="302">
        <f ca="1"/>
        <v>2</v>
      </c>
      <c r="KG40" s="302">
        <f ca="1"/>
        <v>3</v>
      </c>
      <c r="KH40" s="302">
        <f ca="1"/>
        <v>4</v>
      </c>
      <c r="KI40" s="302">
        <f ca="1"/>
        <v>5</v>
      </c>
      <c r="KJ40" s="302">
        <f ca="1"/>
        <v>6</v>
      </c>
      <c r="KK40" s="302">
        <f ca="1"/>
        <v>7</v>
      </c>
      <c r="KL40" s="302">
        <f ca="1"/>
        <v>8</v>
      </c>
      <c r="KM40" s="302">
        <f ca="1"/>
        <v>9</v>
      </c>
      <c r="KN40" s="302">
        <f ca="1"/>
        <v>10</v>
      </c>
      <c r="KO40" s="302">
        <f ca="1"/>
        <v>11</v>
      </c>
      <c r="KP40" s="302">
        <f ca="1"/>
        <v>12</v>
      </c>
      <c r="KQ40" s="302">
        <f ca="1"/>
        <v>1</v>
      </c>
      <c r="KR40" s="302">
        <f ca="1"/>
        <v>2</v>
      </c>
      <c r="KS40" s="302">
        <f ca="1"/>
        <v>3</v>
      </c>
      <c r="KT40" s="302">
        <f ca="1"/>
        <v>4</v>
      </c>
      <c r="KU40" s="302">
        <f ca="1"/>
        <v>5</v>
      </c>
      <c r="KV40" s="302">
        <f ca="1"/>
        <v>6</v>
      </c>
      <c r="KW40" s="302">
        <f ca="1"/>
        <v>7</v>
      </c>
      <c r="KX40" s="302">
        <f ca="1"/>
        <v>8</v>
      </c>
      <c r="KY40" s="302">
        <f ca="1"/>
        <v>9</v>
      </c>
      <c r="KZ40" s="302">
        <f ca="1"/>
        <v>10</v>
      </c>
      <c r="LA40" s="302">
        <f ca="1"/>
        <v>11</v>
      </c>
      <c r="LB40" s="302">
        <f ca="1"/>
        <v>12</v>
      </c>
      <c r="LC40" s="302">
        <f ca="1"/>
        <v>1</v>
      </c>
      <c r="LD40" s="302">
        <f ca="1"/>
        <v>2</v>
      </c>
      <c r="LE40" s="302">
        <f ca="1"/>
        <v>3</v>
      </c>
      <c r="LF40" s="302">
        <f ca="1"/>
        <v>4</v>
      </c>
      <c r="LG40" s="302">
        <f ca="1"/>
        <v>5</v>
      </c>
      <c r="LH40" s="302">
        <f ca="1"/>
        <v>6</v>
      </c>
      <c r="LI40" s="302">
        <f ca="1"/>
        <v>7</v>
      </c>
      <c r="LJ40" s="302">
        <f ca="1"/>
        <v>8</v>
      </c>
      <c r="LK40" s="302">
        <f ca="1"/>
        <v>9</v>
      </c>
      <c r="LL40" s="302">
        <f ca="1"/>
        <v>10</v>
      </c>
      <c r="LM40" s="302">
        <f ca="1"/>
        <v>11</v>
      </c>
      <c r="LN40" s="302">
        <f ca="1"/>
        <v>12</v>
      </c>
      <c r="LO40" s="302">
        <f ca="1"/>
        <v>1</v>
      </c>
      <c r="LP40" s="302">
        <f ca="1"/>
        <v>2</v>
      </c>
      <c r="LQ40" s="302">
        <f ca="1"/>
        <v>3</v>
      </c>
      <c r="LR40" s="302">
        <f ca="1"/>
        <v>4</v>
      </c>
      <c r="LS40" s="302">
        <f ca="1"/>
        <v>5</v>
      </c>
      <c r="LT40" s="302">
        <f ca="1"/>
        <v>6</v>
      </c>
      <c r="LU40" s="302">
        <f ca="1"/>
        <v>7</v>
      </c>
      <c r="LV40" s="302">
        <f ca="1"/>
        <v>8</v>
      </c>
      <c r="LW40" s="302">
        <f ca="1"/>
        <v>9</v>
      </c>
      <c r="LX40" s="302">
        <f ca="1"/>
        <v>10</v>
      </c>
      <c r="LY40" s="302">
        <f ca="1"/>
        <v>11</v>
      </c>
      <c r="LZ40" s="302">
        <f ca="1"/>
        <v>12</v>
      </c>
      <c r="MA40" s="302">
        <f ca="1"/>
        <v>1</v>
      </c>
      <c r="MB40" s="302">
        <f ca="1"/>
        <v>2</v>
      </c>
      <c r="MC40" s="302">
        <f ca="1"/>
        <v>3</v>
      </c>
      <c r="MD40" s="302">
        <f ca="1"/>
        <v>4</v>
      </c>
      <c r="ME40" s="302">
        <f ca="1"/>
        <v>5</v>
      </c>
      <c r="MF40" s="302">
        <f ca="1"/>
        <v>6</v>
      </c>
      <c r="MG40" s="302">
        <f ca="1"/>
        <v>7</v>
      </c>
      <c r="MH40" s="302">
        <f ca="1"/>
        <v>8</v>
      </c>
      <c r="MI40" s="302">
        <f ca="1"/>
        <v>9</v>
      </c>
      <c r="MJ40" s="302">
        <f ca="1"/>
        <v>10</v>
      </c>
      <c r="MK40" s="302">
        <f ca="1"/>
        <v>11</v>
      </c>
      <c r="ML40" s="302">
        <f ca="1"/>
        <v>12</v>
      </c>
      <c r="MM40" s="302">
        <f ca="1"/>
        <v>1</v>
      </c>
      <c r="MN40" s="302">
        <f ca="1"/>
        <v>2</v>
      </c>
      <c r="MO40" s="302">
        <f ca="1"/>
        <v>3</v>
      </c>
      <c r="MP40" s="302">
        <f ca="1"/>
        <v>4</v>
      </c>
      <c r="MQ40" s="302">
        <f ca="1"/>
        <v>5</v>
      </c>
      <c r="MR40" s="302">
        <f ca="1"/>
        <v>6</v>
      </c>
      <c r="MS40" s="302">
        <f ca="1"/>
        <v>7</v>
      </c>
      <c r="MT40" s="302">
        <f ca="1"/>
        <v>8</v>
      </c>
      <c r="MU40" s="302">
        <f ca="1"/>
        <v>9</v>
      </c>
      <c r="MV40" s="302">
        <f ca="1"/>
        <v>10</v>
      </c>
      <c r="MW40" s="302">
        <f ca="1"/>
        <v>11</v>
      </c>
      <c r="MX40" s="302">
        <f ca="1"/>
        <v>12</v>
      </c>
      <c r="MY40" s="302">
        <f ca="1"/>
        <v>1</v>
      </c>
      <c r="MZ40" s="302">
        <f ca="1"/>
        <v>2</v>
      </c>
      <c r="NA40" s="302">
        <f ca="1"/>
        <v>3</v>
      </c>
      <c r="NB40" s="302">
        <f ca="1"/>
        <v>4</v>
      </c>
      <c r="NC40" s="302">
        <f ca="1"/>
        <v>5</v>
      </c>
      <c r="ND40" s="302">
        <f ca="1"/>
        <v>6</v>
      </c>
      <c r="NE40" s="302">
        <f ca="1"/>
        <v>7</v>
      </c>
      <c r="NF40" s="302">
        <f ca="1"/>
        <v>8</v>
      </c>
      <c r="NG40" s="302">
        <f ca="1"/>
        <v>9</v>
      </c>
      <c r="NH40" s="302">
        <f ca="1"/>
        <v>10</v>
      </c>
      <c r="NI40" s="302">
        <f ca="1"/>
        <v>11</v>
      </c>
      <c r="NJ40" s="302">
        <f ca="1"/>
        <v>12</v>
      </c>
      <c r="NK40" s="302">
        <f ca="1"/>
        <v>1</v>
      </c>
      <c r="NL40" s="302">
        <f ca="1"/>
        <v>2</v>
      </c>
      <c r="NM40" s="302">
        <f ca="1"/>
        <v>3</v>
      </c>
      <c r="NN40" s="302">
        <f ca="1"/>
        <v>4</v>
      </c>
      <c r="NO40" s="302">
        <f ca="1"/>
        <v>5</v>
      </c>
      <c r="NP40" s="302">
        <f ca="1"/>
        <v>6</v>
      </c>
      <c r="NQ40" s="302">
        <f ca="1"/>
        <v>7</v>
      </c>
      <c r="NR40" s="302">
        <f ca="1"/>
        <v>8</v>
      </c>
      <c r="NS40" s="302">
        <f ca="1"/>
        <v>9</v>
      </c>
      <c r="NT40" s="302">
        <f ca="1"/>
        <v>10</v>
      </c>
      <c r="NU40" s="302">
        <f ca="1"/>
        <v>11</v>
      </c>
      <c r="NV40" s="302">
        <f ca="1"/>
        <v>12</v>
      </c>
      <c r="NW40" s="302">
        <f ca="1"/>
        <v>1</v>
      </c>
      <c r="NX40" s="302">
        <f ca="1"/>
        <v>2</v>
      </c>
      <c r="NY40" s="302">
        <f ca="1"/>
        <v>3</v>
      </c>
      <c r="NZ40" s="302">
        <f ca="1"/>
        <v>4</v>
      </c>
      <c r="OA40" s="302">
        <f ca="1"/>
        <v>5</v>
      </c>
      <c r="OB40" s="302">
        <f ca="1"/>
        <v>6</v>
      </c>
      <c r="OC40" s="302">
        <f ca="1"/>
        <v>7</v>
      </c>
      <c r="OD40" s="302">
        <f ca="1"/>
        <v>8</v>
      </c>
      <c r="OE40" s="302">
        <f ca="1"/>
        <v>9</v>
      </c>
      <c r="OF40" s="302">
        <f ca="1"/>
        <v>10</v>
      </c>
      <c r="OG40" s="302">
        <f ca="1"/>
        <v>11</v>
      </c>
      <c r="OH40" s="302">
        <f ca="1"/>
        <v>12</v>
      </c>
      <c r="OI40" s="302">
        <f ca="1"/>
        <v>1</v>
      </c>
      <c r="OJ40" s="302">
        <f ca="1"/>
        <v>2</v>
      </c>
      <c r="OK40" s="302">
        <f ca="1"/>
        <v>3</v>
      </c>
      <c r="OL40" s="302">
        <f ca="1"/>
        <v>4</v>
      </c>
      <c r="OM40" s="302">
        <f ca="1"/>
        <v>5</v>
      </c>
      <c r="ON40" s="302">
        <f ca="1"/>
        <v>6</v>
      </c>
      <c r="OO40" s="302">
        <f ca="1"/>
        <v>7</v>
      </c>
      <c r="OP40" s="302">
        <f ca="1"/>
        <v>8</v>
      </c>
      <c r="OQ40" s="302">
        <f ca="1"/>
        <v>9</v>
      </c>
      <c r="OR40" s="302">
        <f ca="1"/>
        <v>10</v>
      </c>
      <c r="OS40" s="302">
        <f ca="1"/>
        <v>11</v>
      </c>
      <c r="OT40" s="302">
        <f ca="1"/>
        <v>12</v>
      </c>
      <c r="OU40" s="302">
        <f ca="1"/>
        <v>1</v>
      </c>
      <c r="OV40" s="302">
        <f ca="1"/>
        <v>2</v>
      </c>
      <c r="OW40" s="302">
        <f ca="1"/>
        <v>3</v>
      </c>
      <c r="OX40" s="302">
        <f ca="1"/>
        <v>4</v>
      </c>
      <c r="OY40" s="302">
        <f ca="1"/>
        <v>5</v>
      </c>
      <c r="OZ40" s="302">
        <f ca="1"/>
        <v>6</v>
      </c>
      <c r="PA40" s="302">
        <f ca="1"/>
        <v>7</v>
      </c>
      <c r="PB40" s="302">
        <f ca="1"/>
        <v>8</v>
      </c>
      <c r="PC40" s="302">
        <f ca="1"/>
        <v>9</v>
      </c>
      <c r="PD40" s="302">
        <f ca="1"/>
        <v>10</v>
      </c>
      <c r="PE40" s="302">
        <f ca="1"/>
        <v>11</v>
      </c>
      <c r="PF40" s="302">
        <f ca="1"/>
        <v>12</v>
      </c>
      <c r="PG40" s="302">
        <f ca="1"/>
        <v>1</v>
      </c>
      <c r="PH40" s="302">
        <f ca="1"/>
        <v>2</v>
      </c>
      <c r="PI40" s="302">
        <f ca="1"/>
        <v>3</v>
      </c>
      <c r="PJ40" s="302">
        <f ca="1"/>
        <v>4</v>
      </c>
      <c r="PK40" s="302">
        <f ca="1"/>
        <v>5</v>
      </c>
      <c r="PL40" s="302">
        <f ca="1"/>
        <v>6</v>
      </c>
      <c r="PM40" s="302">
        <f ca="1"/>
        <v>7</v>
      </c>
      <c r="PN40" s="302">
        <f ca="1"/>
        <v>8</v>
      </c>
      <c r="PO40" s="302">
        <f ca="1"/>
        <v>9</v>
      </c>
      <c r="PP40" s="302">
        <f ca="1"/>
        <v>10</v>
      </c>
      <c r="PQ40" s="302">
        <f ca="1"/>
        <v>11</v>
      </c>
      <c r="PR40" s="302">
        <f ca="1"/>
        <v>12</v>
      </c>
      <c r="PS40" s="302">
        <f ca="1"/>
        <v>1</v>
      </c>
      <c r="PT40" s="302">
        <f ca="1"/>
        <v>2</v>
      </c>
      <c r="PU40" s="302">
        <f ca="1"/>
        <v>3</v>
      </c>
      <c r="PV40" s="302">
        <f ca="1"/>
        <v>4</v>
      </c>
      <c r="PW40" s="302">
        <f ca="1"/>
        <v>5</v>
      </c>
      <c r="PX40" s="302">
        <f ca="1"/>
        <v>6</v>
      </c>
      <c r="PY40" s="302">
        <f ca="1"/>
        <v>7</v>
      </c>
      <c r="PZ40" s="302">
        <f ca="1"/>
        <v>8</v>
      </c>
      <c r="QA40" s="302">
        <f ca="1"/>
        <v>9</v>
      </c>
      <c r="QB40" s="302">
        <f ca="1"/>
        <v>10</v>
      </c>
      <c r="QC40" s="302">
        <f ca="1"/>
        <v>11</v>
      </c>
      <c r="QD40" s="302">
        <f ca="1"/>
        <v>12</v>
      </c>
      <c r="QE40" s="302">
        <f ca="1"/>
        <v>1</v>
      </c>
      <c r="QF40" s="302">
        <f ca="1"/>
        <v>2</v>
      </c>
      <c r="QG40" s="302">
        <f ca="1"/>
        <v>3</v>
      </c>
      <c r="QH40" s="302">
        <f ca="1"/>
        <v>4</v>
      </c>
      <c r="QI40" s="302">
        <f ca="1"/>
        <v>5</v>
      </c>
      <c r="QJ40" s="302">
        <f ca="1"/>
        <v>6</v>
      </c>
      <c r="QK40" s="302">
        <f ca="1"/>
        <v>7</v>
      </c>
      <c r="QL40" s="302">
        <f ca="1"/>
        <v>8</v>
      </c>
      <c r="QM40" s="302">
        <f ca="1"/>
        <v>9</v>
      </c>
      <c r="QN40" s="302">
        <f ca="1"/>
        <v>10</v>
      </c>
      <c r="QO40" s="302">
        <f ca="1"/>
        <v>11</v>
      </c>
      <c r="QP40" s="302">
        <f ca="1"/>
        <v>12</v>
      </c>
      <c r="QQ40" s="302">
        <f ca="1"/>
        <v>1</v>
      </c>
      <c r="QR40" s="302">
        <f ca="1"/>
        <v>2</v>
      </c>
      <c r="QS40" s="302">
        <f ca="1"/>
        <v>3</v>
      </c>
      <c r="QT40" s="302">
        <f ca="1"/>
        <v>4</v>
      </c>
      <c r="QU40" s="302">
        <f ca="1"/>
        <v>5</v>
      </c>
      <c r="QV40" s="302">
        <f ca="1"/>
        <v>6</v>
      </c>
      <c r="QW40" s="302">
        <f ca="1"/>
        <v>7</v>
      </c>
      <c r="QX40" s="302">
        <f ca="1"/>
        <v>8</v>
      </c>
      <c r="QY40" s="302">
        <f ca="1"/>
        <v>9</v>
      </c>
      <c r="QZ40" s="302">
        <f ca="1"/>
        <v>10</v>
      </c>
      <c r="RA40" s="302">
        <f ca="1"/>
        <v>11</v>
      </c>
      <c r="RB40" s="302">
        <f ca="1"/>
        <v>12</v>
      </c>
      <c r="RC40" s="302">
        <f ca="1"/>
        <v>1</v>
      </c>
      <c r="RD40" s="302">
        <f ca="1"/>
        <v>2</v>
      </c>
      <c r="RE40" s="302">
        <f ca="1"/>
        <v>3</v>
      </c>
      <c r="RF40" s="302">
        <f ca="1"/>
        <v>4</v>
      </c>
      <c r="RG40" s="302">
        <f ca="1"/>
        <v>5</v>
      </c>
      <c r="RH40" s="302">
        <f ca="1"/>
        <v>6</v>
      </c>
      <c r="RI40" s="302">
        <f ca="1"/>
        <v>7</v>
      </c>
      <c r="RJ40" s="302">
        <f ca="1"/>
        <v>8</v>
      </c>
      <c r="RK40" s="302">
        <f ca="1"/>
        <v>9</v>
      </c>
      <c r="RL40" s="302">
        <f ca="1"/>
        <v>10</v>
      </c>
      <c r="RM40" s="302">
        <f ca="1"/>
        <v>11</v>
      </c>
      <c r="RN40" s="302">
        <f ca="1"/>
        <v>12</v>
      </c>
      <c r="RO40" s="302">
        <f ca="1"/>
        <v>1</v>
      </c>
      <c r="RP40" s="302">
        <f ca="1"/>
        <v>2</v>
      </c>
      <c r="RQ40" s="302">
        <f ca="1"/>
        <v>3</v>
      </c>
      <c r="RR40" s="302">
        <f ca="1"/>
        <v>4</v>
      </c>
      <c r="RS40" s="302">
        <f ca="1"/>
        <v>5</v>
      </c>
      <c r="RT40" s="302">
        <f ca="1"/>
        <v>6</v>
      </c>
      <c r="RU40" s="302">
        <f ca="1"/>
        <v>7</v>
      </c>
      <c r="RV40" s="302">
        <f ca="1"/>
        <v>8</v>
      </c>
      <c r="RW40" s="302">
        <f ca="1"/>
        <v>9</v>
      </c>
      <c r="RX40" s="302">
        <f ca="1"/>
        <v>10</v>
      </c>
      <c r="RY40" s="302">
        <f ca="1"/>
        <v>11</v>
      </c>
      <c r="RZ40" s="302">
        <f ca="1"/>
        <v>12</v>
      </c>
    </row>
    <row r="41" spans="1:494" x14ac:dyDescent="0.3">
      <c r="A41" s="8" t="s">
        <v>497</v>
      </c>
      <c r="B41" s="302" cm="1">
        <f t="array" aca="1" ref="B41:RZ41" ca="1">IF(YEAR(_xlfn.ANCHORARRAY(B36))=YEAR(TODAY()),12-MONTH(TODAY())+1,12)</f>
        <v>1</v>
      </c>
      <c r="C41" s="302">
        <f ca="1"/>
        <v>12</v>
      </c>
      <c r="D41" s="302">
        <f ca="1"/>
        <v>12</v>
      </c>
      <c r="E41" s="302">
        <f ca="1"/>
        <v>12</v>
      </c>
      <c r="F41" s="302">
        <f ca="1"/>
        <v>12</v>
      </c>
      <c r="G41" s="302">
        <f ca="1"/>
        <v>12</v>
      </c>
      <c r="H41" s="302">
        <f ca="1"/>
        <v>12</v>
      </c>
      <c r="I41" s="302">
        <f ca="1"/>
        <v>12</v>
      </c>
      <c r="J41" s="302">
        <f ca="1"/>
        <v>12</v>
      </c>
      <c r="K41" s="302">
        <f ca="1"/>
        <v>12</v>
      </c>
      <c r="L41" s="302">
        <f ca="1"/>
        <v>12</v>
      </c>
      <c r="M41" s="302">
        <f ca="1"/>
        <v>12</v>
      </c>
      <c r="N41" s="302">
        <f ca="1"/>
        <v>12</v>
      </c>
      <c r="O41" s="302">
        <f ca="1"/>
        <v>12</v>
      </c>
      <c r="P41" s="302">
        <f ca="1"/>
        <v>12</v>
      </c>
      <c r="Q41" s="302">
        <f ca="1"/>
        <v>12</v>
      </c>
      <c r="R41" s="302">
        <f ca="1"/>
        <v>12</v>
      </c>
      <c r="S41" s="302">
        <f ca="1"/>
        <v>12</v>
      </c>
      <c r="T41" s="302">
        <f ca="1"/>
        <v>12</v>
      </c>
      <c r="U41" s="302">
        <f ca="1"/>
        <v>12</v>
      </c>
      <c r="V41" s="302">
        <f ca="1"/>
        <v>12</v>
      </c>
      <c r="W41" s="302">
        <f ca="1"/>
        <v>12</v>
      </c>
      <c r="X41" s="302">
        <f ca="1"/>
        <v>12</v>
      </c>
      <c r="Y41" s="302">
        <f ca="1"/>
        <v>12</v>
      </c>
      <c r="Z41" s="302">
        <f ca="1"/>
        <v>12</v>
      </c>
      <c r="AA41" s="302">
        <f ca="1"/>
        <v>12</v>
      </c>
      <c r="AB41" s="302">
        <f ca="1"/>
        <v>12</v>
      </c>
      <c r="AC41" s="302">
        <f ca="1"/>
        <v>12</v>
      </c>
      <c r="AD41" s="302">
        <f ca="1"/>
        <v>12</v>
      </c>
      <c r="AE41" s="302">
        <f ca="1"/>
        <v>12</v>
      </c>
      <c r="AF41" s="302">
        <f ca="1"/>
        <v>12</v>
      </c>
      <c r="AG41" s="302">
        <f ca="1"/>
        <v>12</v>
      </c>
      <c r="AH41" s="302">
        <f ca="1"/>
        <v>12</v>
      </c>
      <c r="AI41" s="302">
        <f ca="1"/>
        <v>12</v>
      </c>
      <c r="AJ41" s="302">
        <f ca="1"/>
        <v>12</v>
      </c>
      <c r="AK41" s="302">
        <f ca="1"/>
        <v>12</v>
      </c>
      <c r="AL41" s="302">
        <f ca="1"/>
        <v>12</v>
      </c>
      <c r="AM41" s="302">
        <f ca="1"/>
        <v>12</v>
      </c>
      <c r="AN41" s="302">
        <f ca="1"/>
        <v>12</v>
      </c>
      <c r="AO41" s="302">
        <f ca="1"/>
        <v>12</v>
      </c>
      <c r="AP41" s="302">
        <f ca="1"/>
        <v>12</v>
      </c>
      <c r="AQ41" s="302">
        <f ca="1"/>
        <v>12</v>
      </c>
      <c r="AR41" s="302">
        <f ca="1"/>
        <v>12</v>
      </c>
      <c r="AS41" s="302">
        <f ca="1"/>
        <v>12</v>
      </c>
      <c r="AT41" s="302">
        <f ca="1"/>
        <v>12</v>
      </c>
      <c r="AU41" s="302">
        <f ca="1"/>
        <v>12</v>
      </c>
      <c r="AV41" s="302">
        <f ca="1"/>
        <v>12</v>
      </c>
      <c r="AW41" s="302">
        <f ca="1"/>
        <v>12</v>
      </c>
      <c r="AX41" s="302">
        <f ca="1"/>
        <v>12</v>
      </c>
      <c r="AY41" s="302">
        <f ca="1"/>
        <v>12</v>
      </c>
      <c r="AZ41" s="302">
        <f ca="1"/>
        <v>12</v>
      </c>
      <c r="BA41" s="302">
        <f ca="1"/>
        <v>12</v>
      </c>
      <c r="BB41" s="302">
        <f ca="1"/>
        <v>12</v>
      </c>
      <c r="BC41" s="302">
        <f ca="1"/>
        <v>12</v>
      </c>
      <c r="BD41" s="302">
        <f ca="1"/>
        <v>12</v>
      </c>
      <c r="BE41" s="302">
        <f ca="1"/>
        <v>12</v>
      </c>
      <c r="BF41" s="302">
        <f ca="1"/>
        <v>12</v>
      </c>
      <c r="BG41" s="302">
        <f ca="1"/>
        <v>12</v>
      </c>
      <c r="BH41" s="302">
        <f ca="1"/>
        <v>12</v>
      </c>
      <c r="BI41" s="302">
        <f ca="1"/>
        <v>12</v>
      </c>
      <c r="BJ41" s="302">
        <f ca="1"/>
        <v>12</v>
      </c>
      <c r="BK41" s="302">
        <f ca="1"/>
        <v>12</v>
      </c>
      <c r="BL41" s="302">
        <f ca="1"/>
        <v>12</v>
      </c>
      <c r="BM41" s="302">
        <f ca="1"/>
        <v>12</v>
      </c>
      <c r="BN41" s="302">
        <f ca="1"/>
        <v>12</v>
      </c>
      <c r="BO41" s="302">
        <f ca="1"/>
        <v>12</v>
      </c>
      <c r="BP41" s="302">
        <f ca="1"/>
        <v>12</v>
      </c>
      <c r="BQ41" s="302">
        <f ca="1"/>
        <v>12</v>
      </c>
      <c r="BR41" s="302">
        <f ca="1"/>
        <v>12</v>
      </c>
      <c r="BS41" s="302">
        <f ca="1"/>
        <v>12</v>
      </c>
      <c r="BT41" s="302">
        <f ca="1"/>
        <v>12</v>
      </c>
      <c r="BU41" s="302">
        <f ca="1"/>
        <v>12</v>
      </c>
      <c r="BV41" s="302">
        <f ca="1"/>
        <v>12</v>
      </c>
      <c r="BW41" s="302">
        <f ca="1"/>
        <v>12</v>
      </c>
      <c r="BX41" s="302">
        <f ca="1"/>
        <v>12</v>
      </c>
      <c r="BY41" s="302">
        <f ca="1"/>
        <v>12</v>
      </c>
      <c r="BZ41" s="302">
        <f ca="1"/>
        <v>12</v>
      </c>
      <c r="CA41" s="302">
        <f ca="1"/>
        <v>12</v>
      </c>
      <c r="CB41" s="302">
        <f ca="1"/>
        <v>12</v>
      </c>
      <c r="CC41" s="302">
        <f ca="1"/>
        <v>12</v>
      </c>
      <c r="CD41" s="302">
        <f ca="1"/>
        <v>12</v>
      </c>
      <c r="CE41" s="302">
        <f ca="1"/>
        <v>12</v>
      </c>
      <c r="CF41" s="302">
        <f ca="1"/>
        <v>12</v>
      </c>
      <c r="CG41" s="302">
        <f ca="1"/>
        <v>12</v>
      </c>
      <c r="CH41" s="302">
        <f ca="1"/>
        <v>12</v>
      </c>
      <c r="CI41" s="302">
        <f ca="1"/>
        <v>12</v>
      </c>
      <c r="CJ41" s="302">
        <f ca="1"/>
        <v>12</v>
      </c>
      <c r="CK41" s="302">
        <f ca="1"/>
        <v>12</v>
      </c>
      <c r="CL41" s="302">
        <f ca="1"/>
        <v>12</v>
      </c>
      <c r="CM41" s="302">
        <f ca="1"/>
        <v>12</v>
      </c>
      <c r="CN41" s="302">
        <f ca="1"/>
        <v>12</v>
      </c>
      <c r="CO41" s="302">
        <f ca="1"/>
        <v>12</v>
      </c>
      <c r="CP41" s="302">
        <f ca="1"/>
        <v>12</v>
      </c>
      <c r="CQ41" s="302">
        <f ca="1"/>
        <v>12</v>
      </c>
      <c r="CR41" s="302">
        <f ca="1"/>
        <v>12</v>
      </c>
      <c r="CS41" s="302">
        <f ca="1"/>
        <v>12</v>
      </c>
      <c r="CT41" s="302">
        <f ca="1"/>
        <v>12</v>
      </c>
      <c r="CU41" s="302">
        <f ca="1"/>
        <v>12</v>
      </c>
      <c r="CV41" s="302">
        <f ca="1"/>
        <v>12</v>
      </c>
      <c r="CW41" s="302">
        <f ca="1"/>
        <v>12</v>
      </c>
      <c r="CX41" s="302">
        <f ca="1"/>
        <v>12</v>
      </c>
      <c r="CY41" s="302">
        <f ca="1"/>
        <v>12</v>
      </c>
      <c r="CZ41" s="302">
        <f ca="1"/>
        <v>12</v>
      </c>
      <c r="DA41" s="302">
        <f ca="1"/>
        <v>12</v>
      </c>
      <c r="DB41" s="302">
        <f ca="1"/>
        <v>12</v>
      </c>
      <c r="DC41" s="302">
        <f ca="1"/>
        <v>12</v>
      </c>
      <c r="DD41" s="302">
        <f ca="1"/>
        <v>12</v>
      </c>
      <c r="DE41" s="302">
        <f ca="1"/>
        <v>12</v>
      </c>
      <c r="DF41" s="302">
        <f ca="1"/>
        <v>12</v>
      </c>
      <c r="DG41" s="302">
        <f ca="1"/>
        <v>12</v>
      </c>
      <c r="DH41" s="302">
        <f ca="1"/>
        <v>12</v>
      </c>
      <c r="DI41" s="302">
        <f ca="1"/>
        <v>12</v>
      </c>
      <c r="DJ41" s="302">
        <f ca="1"/>
        <v>12</v>
      </c>
      <c r="DK41" s="302">
        <f ca="1"/>
        <v>12</v>
      </c>
      <c r="DL41" s="302">
        <f ca="1"/>
        <v>12</v>
      </c>
      <c r="DM41" s="302">
        <f ca="1"/>
        <v>12</v>
      </c>
      <c r="DN41" s="302">
        <f ca="1"/>
        <v>12</v>
      </c>
      <c r="DO41" s="302">
        <f ca="1"/>
        <v>12</v>
      </c>
      <c r="DP41" s="302">
        <f ca="1"/>
        <v>12</v>
      </c>
      <c r="DQ41" s="302">
        <f ca="1"/>
        <v>12</v>
      </c>
      <c r="DR41" s="302">
        <f ca="1"/>
        <v>12</v>
      </c>
      <c r="DS41" s="302">
        <f ca="1"/>
        <v>12</v>
      </c>
      <c r="DT41" s="302">
        <f ca="1"/>
        <v>12</v>
      </c>
      <c r="DU41" s="302">
        <f ca="1"/>
        <v>12</v>
      </c>
      <c r="DV41" s="302">
        <f ca="1"/>
        <v>12</v>
      </c>
      <c r="DW41" s="302">
        <f ca="1"/>
        <v>12</v>
      </c>
      <c r="DX41" s="302">
        <f ca="1"/>
        <v>12</v>
      </c>
      <c r="DY41" s="302">
        <f ca="1"/>
        <v>12</v>
      </c>
      <c r="DZ41" s="302">
        <f ca="1"/>
        <v>12</v>
      </c>
      <c r="EA41" s="302">
        <f ca="1"/>
        <v>12</v>
      </c>
      <c r="EB41" s="302">
        <f ca="1"/>
        <v>12</v>
      </c>
      <c r="EC41" s="302">
        <f ca="1"/>
        <v>12</v>
      </c>
      <c r="ED41" s="302">
        <f ca="1"/>
        <v>12</v>
      </c>
      <c r="EE41" s="302">
        <f ca="1"/>
        <v>12</v>
      </c>
      <c r="EF41" s="302">
        <f ca="1"/>
        <v>12</v>
      </c>
      <c r="EG41" s="302">
        <f ca="1"/>
        <v>12</v>
      </c>
      <c r="EH41" s="302">
        <f ca="1"/>
        <v>12</v>
      </c>
      <c r="EI41" s="302">
        <f ca="1"/>
        <v>12</v>
      </c>
      <c r="EJ41" s="302">
        <f ca="1"/>
        <v>12</v>
      </c>
      <c r="EK41" s="302">
        <f ca="1"/>
        <v>12</v>
      </c>
      <c r="EL41" s="302">
        <f ca="1"/>
        <v>12</v>
      </c>
      <c r="EM41" s="302">
        <f ca="1"/>
        <v>12</v>
      </c>
      <c r="EN41" s="302">
        <f ca="1"/>
        <v>12</v>
      </c>
      <c r="EO41" s="302">
        <f ca="1"/>
        <v>12</v>
      </c>
      <c r="EP41" s="302">
        <f ca="1"/>
        <v>12</v>
      </c>
      <c r="EQ41" s="302">
        <f ca="1"/>
        <v>12</v>
      </c>
      <c r="ER41" s="302">
        <f ca="1"/>
        <v>12</v>
      </c>
      <c r="ES41" s="302">
        <f ca="1"/>
        <v>12</v>
      </c>
      <c r="ET41" s="302">
        <f ca="1"/>
        <v>12</v>
      </c>
      <c r="EU41" s="302">
        <f ca="1"/>
        <v>12</v>
      </c>
      <c r="EV41" s="302">
        <f ca="1"/>
        <v>12</v>
      </c>
      <c r="EW41" s="302">
        <f ca="1"/>
        <v>12</v>
      </c>
      <c r="EX41" s="302">
        <f ca="1"/>
        <v>12</v>
      </c>
      <c r="EY41" s="302">
        <f ca="1"/>
        <v>12</v>
      </c>
      <c r="EZ41" s="302">
        <f ca="1"/>
        <v>12</v>
      </c>
      <c r="FA41" s="302">
        <f ca="1"/>
        <v>12</v>
      </c>
      <c r="FB41" s="302">
        <f ca="1"/>
        <v>12</v>
      </c>
      <c r="FC41" s="302">
        <f ca="1"/>
        <v>12</v>
      </c>
      <c r="FD41" s="302">
        <f ca="1"/>
        <v>12</v>
      </c>
      <c r="FE41" s="302">
        <f ca="1"/>
        <v>12</v>
      </c>
      <c r="FF41" s="302">
        <f ca="1"/>
        <v>12</v>
      </c>
      <c r="FG41" s="302">
        <f ca="1"/>
        <v>12</v>
      </c>
      <c r="FH41" s="302">
        <f ca="1"/>
        <v>12</v>
      </c>
      <c r="FI41" s="302">
        <f ca="1"/>
        <v>12</v>
      </c>
      <c r="FJ41" s="302">
        <f ca="1"/>
        <v>12</v>
      </c>
      <c r="FK41" s="302">
        <f ca="1"/>
        <v>12</v>
      </c>
      <c r="FL41" s="302">
        <f ca="1"/>
        <v>12</v>
      </c>
      <c r="FM41" s="302">
        <f ca="1"/>
        <v>12</v>
      </c>
      <c r="FN41" s="302">
        <f ca="1"/>
        <v>12</v>
      </c>
      <c r="FO41" s="302">
        <f ca="1"/>
        <v>12</v>
      </c>
      <c r="FP41" s="302">
        <f ca="1"/>
        <v>12</v>
      </c>
      <c r="FQ41" s="302">
        <f ca="1"/>
        <v>12</v>
      </c>
      <c r="FR41" s="302">
        <f ca="1"/>
        <v>12</v>
      </c>
      <c r="FS41" s="302">
        <f ca="1"/>
        <v>12</v>
      </c>
      <c r="FT41" s="302">
        <f ca="1"/>
        <v>12</v>
      </c>
      <c r="FU41" s="302">
        <f ca="1"/>
        <v>12</v>
      </c>
      <c r="FV41" s="302">
        <f ca="1"/>
        <v>12</v>
      </c>
      <c r="FW41" s="302">
        <f ca="1"/>
        <v>12</v>
      </c>
      <c r="FX41" s="302">
        <f ca="1"/>
        <v>12</v>
      </c>
      <c r="FY41" s="302">
        <f ca="1"/>
        <v>12</v>
      </c>
      <c r="FZ41" s="302">
        <f ca="1"/>
        <v>12</v>
      </c>
      <c r="GA41" s="302">
        <f ca="1"/>
        <v>12</v>
      </c>
      <c r="GB41" s="302">
        <f ca="1"/>
        <v>12</v>
      </c>
      <c r="GC41" s="302">
        <f ca="1"/>
        <v>12</v>
      </c>
      <c r="GD41" s="302">
        <f ca="1"/>
        <v>12</v>
      </c>
      <c r="GE41" s="302">
        <f ca="1"/>
        <v>12</v>
      </c>
      <c r="GF41" s="302">
        <f ca="1"/>
        <v>12</v>
      </c>
      <c r="GG41" s="302">
        <f ca="1"/>
        <v>12</v>
      </c>
      <c r="GH41" s="302">
        <f ca="1"/>
        <v>12</v>
      </c>
      <c r="GI41" s="302">
        <f ca="1"/>
        <v>12</v>
      </c>
      <c r="GJ41" s="302">
        <f ca="1"/>
        <v>12</v>
      </c>
      <c r="GK41" s="302">
        <f ca="1"/>
        <v>12</v>
      </c>
      <c r="GL41" s="302">
        <f ca="1"/>
        <v>12</v>
      </c>
      <c r="GM41" s="302">
        <f ca="1"/>
        <v>12</v>
      </c>
      <c r="GN41" s="302">
        <f ca="1"/>
        <v>12</v>
      </c>
      <c r="GO41" s="302">
        <f ca="1"/>
        <v>12</v>
      </c>
      <c r="GP41" s="302">
        <f ca="1"/>
        <v>12</v>
      </c>
      <c r="GQ41" s="302">
        <f ca="1"/>
        <v>12</v>
      </c>
      <c r="GR41" s="302">
        <f ca="1"/>
        <v>12</v>
      </c>
      <c r="GS41" s="302">
        <f ca="1"/>
        <v>12</v>
      </c>
      <c r="GT41" s="302">
        <f ca="1"/>
        <v>12</v>
      </c>
      <c r="GU41" s="302">
        <f ca="1"/>
        <v>12</v>
      </c>
      <c r="GV41" s="302">
        <f ca="1"/>
        <v>12</v>
      </c>
      <c r="GW41" s="302">
        <f ca="1"/>
        <v>12</v>
      </c>
      <c r="GX41" s="302">
        <f ca="1"/>
        <v>12</v>
      </c>
      <c r="GY41" s="302">
        <f ca="1"/>
        <v>12</v>
      </c>
      <c r="GZ41" s="302">
        <f ca="1"/>
        <v>12</v>
      </c>
      <c r="HA41" s="302">
        <f ca="1"/>
        <v>12</v>
      </c>
      <c r="HB41" s="302">
        <f ca="1"/>
        <v>12</v>
      </c>
      <c r="HC41" s="302">
        <f ca="1"/>
        <v>12</v>
      </c>
      <c r="HD41" s="302">
        <f ca="1"/>
        <v>12</v>
      </c>
      <c r="HE41" s="302">
        <f ca="1"/>
        <v>12</v>
      </c>
      <c r="HF41" s="302">
        <f ca="1"/>
        <v>12</v>
      </c>
      <c r="HG41" s="302">
        <f ca="1"/>
        <v>12</v>
      </c>
      <c r="HH41" s="302">
        <f ca="1"/>
        <v>12</v>
      </c>
      <c r="HI41" s="302">
        <f ca="1"/>
        <v>12</v>
      </c>
      <c r="HJ41" s="302">
        <f ca="1"/>
        <v>12</v>
      </c>
      <c r="HK41" s="302">
        <f ca="1"/>
        <v>12</v>
      </c>
      <c r="HL41" s="302">
        <f ca="1"/>
        <v>12</v>
      </c>
      <c r="HM41" s="302">
        <f ca="1"/>
        <v>12</v>
      </c>
      <c r="HN41" s="302">
        <f ca="1"/>
        <v>12</v>
      </c>
      <c r="HO41" s="302">
        <f ca="1"/>
        <v>12</v>
      </c>
      <c r="HP41" s="302">
        <f ca="1"/>
        <v>12</v>
      </c>
      <c r="HQ41" s="302">
        <f ca="1"/>
        <v>12</v>
      </c>
      <c r="HR41" s="302">
        <f ca="1"/>
        <v>12</v>
      </c>
      <c r="HS41" s="302">
        <f ca="1"/>
        <v>12</v>
      </c>
      <c r="HT41" s="302">
        <f ca="1"/>
        <v>12</v>
      </c>
      <c r="HU41" s="302">
        <f ca="1"/>
        <v>12</v>
      </c>
      <c r="HV41" s="302">
        <f ca="1"/>
        <v>12</v>
      </c>
      <c r="HW41" s="302">
        <f ca="1"/>
        <v>12</v>
      </c>
      <c r="HX41" s="302">
        <f ca="1"/>
        <v>12</v>
      </c>
      <c r="HY41" s="302">
        <f ca="1"/>
        <v>12</v>
      </c>
      <c r="HZ41" s="302">
        <f ca="1"/>
        <v>12</v>
      </c>
      <c r="IA41" s="302">
        <f ca="1"/>
        <v>12</v>
      </c>
      <c r="IB41" s="302">
        <f ca="1"/>
        <v>12</v>
      </c>
      <c r="IC41" s="302">
        <f ca="1"/>
        <v>12</v>
      </c>
      <c r="ID41" s="302">
        <f ca="1"/>
        <v>12</v>
      </c>
      <c r="IE41" s="302">
        <f ca="1"/>
        <v>12</v>
      </c>
      <c r="IF41" s="302">
        <f ca="1"/>
        <v>12</v>
      </c>
      <c r="IG41" s="302">
        <f ca="1"/>
        <v>12</v>
      </c>
      <c r="IH41" s="302">
        <f ca="1"/>
        <v>12</v>
      </c>
      <c r="II41" s="302">
        <f ca="1"/>
        <v>12</v>
      </c>
      <c r="IJ41" s="302">
        <f ca="1"/>
        <v>12</v>
      </c>
      <c r="IK41" s="302">
        <f ca="1"/>
        <v>12</v>
      </c>
      <c r="IL41" s="302">
        <f ca="1"/>
        <v>12</v>
      </c>
      <c r="IM41" s="302">
        <f ca="1"/>
        <v>12</v>
      </c>
      <c r="IN41" s="302">
        <f ca="1"/>
        <v>12</v>
      </c>
      <c r="IO41" s="302">
        <f ca="1"/>
        <v>12</v>
      </c>
      <c r="IP41" s="302">
        <f ca="1"/>
        <v>12</v>
      </c>
      <c r="IQ41" s="302">
        <f ca="1"/>
        <v>12</v>
      </c>
      <c r="IR41" s="302">
        <f ca="1"/>
        <v>12</v>
      </c>
      <c r="IS41" s="302">
        <f ca="1"/>
        <v>12</v>
      </c>
      <c r="IT41" s="302">
        <f ca="1"/>
        <v>12</v>
      </c>
      <c r="IU41" s="302">
        <f ca="1"/>
        <v>12</v>
      </c>
      <c r="IV41" s="302">
        <f ca="1"/>
        <v>12</v>
      </c>
      <c r="IW41" s="302">
        <f ca="1"/>
        <v>12</v>
      </c>
      <c r="IX41" s="302">
        <f ca="1"/>
        <v>12</v>
      </c>
      <c r="IY41" s="302">
        <f ca="1"/>
        <v>12</v>
      </c>
      <c r="IZ41" s="302">
        <f ca="1"/>
        <v>12</v>
      </c>
      <c r="JA41" s="302">
        <f ca="1"/>
        <v>12</v>
      </c>
      <c r="JB41" s="302">
        <f ca="1"/>
        <v>12</v>
      </c>
      <c r="JC41" s="302">
        <f ca="1"/>
        <v>12</v>
      </c>
      <c r="JD41" s="302">
        <f ca="1"/>
        <v>12</v>
      </c>
      <c r="JE41" s="302">
        <f ca="1"/>
        <v>12</v>
      </c>
      <c r="JF41" s="302">
        <f ca="1"/>
        <v>12</v>
      </c>
      <c r="JG41" s="302">
        <f ca="1"/>
        <v>12</v>
      </c>
      <c r="JH41" s="302">
        <f ca="1"/>
        <v>12</v>
      </c>
      <c r="JI41" s="302">
        <f ca="1"/>
        <v>12</v>
      </c>
      <c r="JJ41" s="302">
        <f ca="1"/>
        <v>12</v>
      </c>
      <c r="JK41" s="302">
        <f ca="1"/>
        <v>12</v>
      </c>
      <c r="JL41" s="302">
        <f ca="1"/>
        <v>12</v>
      </c>
      <c r="JM41" s="302">
        <f ca="1"/>
        <v>12</v>
      </c>
      <c r="JN41" s="302">
        <f ca="1"/>
        <v>12</v>
      </c>
      <c r="JO41" s="302">
        <f ca="1"/>
        <v>12</v>
      </c>
      <c r="JP41" s="302">
        <f ca="1"/>
        <v>12</v>
      </c>
      <c r="JQ41" s="302">
        <f ca="1"/>
        <v>12</v>
      </c>
      <c r="JR41" s="302">
        <f ca="1"/>
        <v>12</v>
      </c>
      <c r="JS41" s="302">
        <f ca="1"/>
        <v>12</v>
      </c>
      <c r="JT41" s="302">
        <f ca="1"/>
        <v>12</v>
      </c>
      <c r="JU41" s="302">
        <f ca="1"/>
        <v>12</v>
      </c>
      <c r="JV41" s="302">
        <f ca="1"/>
        <v>12</v>
      </c>
      <c r="JW41" s="302">
        <f ca="1"/>
        <v>12</v>
      </c>
      <c r="JX41" s="302">
        <f ca="1"/>
        <v>12</v>
      </c>
      <c r="JY41" s="302">
        <f ca="1"/>
        <v>12</v>
      </c>
      <c r="JZ41" s="302">
        <f ca="1"/>
        <v>12</v>
      </c>
      <c r="KA41" s="302">
        <f ca="1"/>
        <v>12</v>
      </c>
      <c r="KB41" s="302">
        <f ca="1"/>
        <v>12</v>
      </c>
      <c r="KC41" s="302">
        <f ca="1"/>
        <v>12</v>
      </c>
      <c r="KD41" s="302">
        <f ca="1"/>
        <v>12</v>
      </c>
      <c r="KE41" s="302">
        <f ca="1"/>
        <v>12</v>
      </c>
      <c r="KF41" s="302">
        <f ca="1"/>
        <v>12</v>
      </c>
      <c r="KG41" s="302">
        <f ca="1"/>
        <v>12</v>
      </c>
      <c r="KH41" s="302">
        <f ca="1"/>
        <v>12</v>
      </c>
      <c r="KI41" s="302">
        <f ca="1"/>
        <v>12</v>
      </c>
      <c r="KJ41" s="302">
        <f ca="1"/>
        <v>12</v>
      </c>
      <c r="KK41" s="302">
        <f ca="1"/>
        <v>12</v>
      </c>
      <c r="KL41" s="302">
        <f ca="1"/>
        <v>12</v>
      </c>
      <c r="KM41" s="302">
        <f ca="1"/>
        <v>12</v>
      </c>
      <c r="KN41" s="302">
        <f ca="1"/>
        <v>12</v>
      </c>
      <c r="KO41" s="302">
        <f ca="1"/>
        <v>12</v>
      </c>
      <c r="KP41" s="302">
        <f ca="1"/>
        <v>12</v>
      </c>
      <c r="KQ41" s="302">
        <f ca="1"/>
        <v>12</v>
      </c>
      <c r="KR41" s="302">
        <f ca="1"/>
        <v>12</v>
      </c>
      <c r="KS41" s="302">
        <f ca="1"/>
        <v>12</v>
      </c>
      <c r="KT41" s="302">
        <f ca="1"/>
        <v>12</v>
      </c>
      <c r="KU41" s="302">
        <f ca="1"/>
        <v>12</v>
      </c>
      <c r="KV41" s="302">
        <f ca="1"/>
        <v>12</v>
      </c>
      <c r="KW41" s="302">
        <f ca="1"/>
        <v>12</v>
      </c>
      <c r="KX41" s="302">
        <f ca="1"/>
        <v>12</v>
      </c>
      <c r="KY41" s="302">
        <f ca="1"/>
        <v>12</v>
      </c>
      <c r="KZ41" s="302">
        <f ca="1"/>
        <v>12</v>
      </c>
      <c r="LA41" s="302">
        <f ca="1"/>
        <v>12</v>
      </c>
      <c r="LB41" s="302">
        <f ca="1"/>
        <v>12</v>
      </c>
      <c r="LC41" s="302">
        <f ca="1"/>
        <v>12</v>
      </c>
      <c r="LD41" s="302">
        <f ca="1"/>
        <v>12</v>
      </c>
      <c r="LE41" s="302">
        <f ca="1"/>
        <v>12</v>
      </c>
      <c r="LF41" s="302">
        <f ca="1"/>
        <v>12</v>
      </c>
      <c r="LG41" s="302">
        <f ca="1"/>
        <v>12</v>
      </c>
      <c r="LH41" s="302">
        <f ca="1"/>
        <v>12</v>
      </c>
      <c r="LI41" s="302">
        <f ca="1"/>
        <v>12</v>
      </c>
      <c r="LJ41" s="302">
        <f ca="1"/>
        <v>12</v>
      </c>
      <c r="LK41" s="302">
        <f ca="1"/>
        <v>12</v>
      </c>
      <c r="LL41" s="302">
        <f ca="1"/>
        <v>12</v>
      </c>
      <c r="LM41" s="302">
        <f ca="1"/>
        <v>12</v>
      </c>
      <c r="LN41" s="302">
        <f ca="1"/>
        <v>12</v>
      </c>
      <c r="LO41" s="302">
        <f ca="1"/>
        <v>12</v>
      </c>
      <c r="LP41" s="302">
        <f ca="1"/>
        <v>12</v>
      </c>
      <c r="LQ41" s="302">
        <f ca="1"/>
        <v>12</v>
      </c>
      <c r="LR41" s="302">
        <f ca="1"/>
        <v>12</v>
      </c>
      <c r="LS41" s="302">
        <f ca="1"/>
        <v>12</v>
      </c>
      <c r="LT41" s="302">
        <f ca="1"/>
        <v>12</v>
      </c>
      <c r="LU41" s="302">
        <f ca="1"/>
        <v>12</v>
      </c>
      <c r="LV41" s="302">
        <f ca="1"/>
        <v>12</v>
      </c>
      <c r="LW41" s="302">
        <f ca="1"/>
        <v>12</v>
      </c>
      <c r="LX41" s="302">
        <f ca="1"/>
        <v>12</v>
      </c>
      <c r="LY41" s="302">
        <f ca="1"/>
        <v>12</v>
      </c>
      <c r="LZ41" s="302">
        <f ca="1"/>
        <v>12</v>
      </c>
      <c r="MA41" s="302">
        <f ca="1"/>
        <v>12</v>
      </c>
      <c r="MB41" s="302">
        <f ca="1"/>
        <v>12</v>
      </c>
      <c r="MC41" s="302">
        <f ca="1"/>
        <v>12</v>
      </c>
      <c r="MD41" s="302">
        <f ca="1"/>
        <v>12</v>
      </c>
      <c r="ME41" s="302">
        <f ca="1"/>
        <v>12</v>
      </c>
      <c r="MF41" s="302">
        <f ca="1"/>
        <v>12</v>
      </c>
      <c r="MG41" s="302">
        <f ca="1"/>
        <v>12</v>
      </c>
      <c r="MH41" s="302">
        <f ca="1"/>
        <v>12</v>
      </c>
      <c r="MI41" s="302">
        <f ca="1"/>
        <v>12</v>
      </c>
      <c r="MJ41" s="302">
        <f ca="1"/>
        <v>12</v>
      </c>
      <c r="MK41" s="302">
        <f ca="1"/>
        <v>12</v>
      </c>
      <c r="ML41" s="302">
        <f ca="1"/>
        <v>12</v>
      </c>
      <c r="MM41" s="302">
        <f ca="1"/>
        <v>12</v>
      </c>
      <c r="MN41" s="302">
        <f ca="1"/>
        <v>12</v>
      </c>
      <c r="MO41" s="302">
        <f ca="1"/>
        <v>12</v>
      </c>
      <c r="MP41" s="302">
        <f ca="1"/>
        <v>12</v>
      </c>
      <c r="MQ41" s="302">
        <f ca="1"/>
        <v>12</v>
      </c>
      <c r="MR41" s="302">
        <f ca="1"/>
        <v>12</v>
      </c>
      <c r="MS41" s="302">
        <f ca="1"/>
        <v>12</v>
      </c>
      <c r="MT41" s="302">
        <f ca="1"/>
        <v>12</v>
      </c>
      <c r="MU41" s="302">
        <f ca="1"/>
        <v>12</v>
      </c>
      <c r="MV41" s="302">
        <f ca="1"/>
        <v>12</v>
      </c>
      <c r="MW41" s="302">
        <f ca="1"/>
        <v>12</v>
      </c>
      <c r="MX41" s="302">
        <f ca="1"/>
        <v>12</v>
      </c>
      <c r="MY41" s="302">
        <f ca="1"/>
        <v>12</v>
      </c>
      <c r="MZ41" s="302">
        <f ca="1"/>
        <v>12</v>
      </c>
      <c r="NA41" s="302">
        <f ca="1"/>
        <v>12</v>
      </c>
      <c r="NB41" s="302">
        <f ca="1"/>
        <v>12</v>
      </c>
      <c r="NC41" s="302">
        <f ca="1"/>
        <v>12</v>
      </c>
      <c r="ND41" s="302">
        <f ca="1"/>
        <v>12</v>
      </c>
      <c r="NE41" s="302">
        <f ca="1"/>
        <v>12</v>
      </c>
      <c r="NF41" s="302">
        <f ca="1"/>
        <v>12</v>
      </c>
      <c r="NG41" s="302">
        <f ca="1"/>
        <v>12</v>
      </c>
      <c r="NH41" s="302">
        <f ca="1"/>
        <v>12</v>
      </c>
      <c r="NI41" s="302">
        <f ca="1"/>
        <v>12</v>
      </c>
      <c r="NJ41" s="302">
        <f ca="1"/>
        <v>12</v>
      </c>
      <c r="NK41" s="302">
        <f ca="1"/>
        <v>12</v>
      </c>
      <c r="NL41" s="302">
        <f ca="1"/>
        <v>12</v>
      </c>
      <c r="NM41" s="302">
        <f ca="1"/>
        <v>12</v>
      </c>
      <c r="NN41" s="302">
        <f ca="1"/>
        <v>12</v>
      </c>
      <c r="NO41" s="302">
        <f ca="1"/>
        <v>12</v>
      </c>
      <c r="NP41" s="302">
        <f ca="1"/>
        <v>12</v>
      </c>
      <c r="NQ41" s="302">
        <f ca="1"/>
        <v>12</v>
      </c>
      <c r="NR41" s="302">
        <f ca="1"/>
        <v>12</v>
      </c>
      <c r="NS41" s="302">
        <f ca="1"/>
        <v>12</v>
      </c>
      <c r="NT41" s="302">
        <f ca="1"/>
        <v>12</v>
      </c>
      <c r="NU41" s="302">
        <f ca="1"/>
        <v>12</v>
      </c>
      <c r="NV41" s="302">
        <f ca="1"/>
        <v>12</v>
      </c>
      <c r="NW41" s="302">
        <f ca="1"/>
        <v>12</v>
      </c>
      <c r="NX41" s="302">
        <f ca="1"/>
        <v>12</v>
      </c>
      <c r="NY41" s="302">
        <f ca="1"/>
        <v>12</v>
      </c>
      <c r="NZ41" s="302">
        <f ca="1"/>
        <v>12</v>
      </c>
      <c r="OA41" s="302">
        <f ca="1"/>
        <v>12</v>
      </c>
      <c r="OB41" s="302">
        <f ca="1"/>
        <v>12</v>
      </c>
      <c r="OC41" s="302">
        <f ca="1"/>
        <v>12</v>
      </c>
      <c r="OD41" s="302">
        <f ca="1"/>
        <v>12</v>
      </c>
      <c r="OE41" s="302">
        <f ca="1"/>
        <v>12</v>
      </c>
      <c r="OF41" s="302">
        <f ca="1"/>
        <v>12</v>
      </c>
      <c r="OG41" s="302">
        <f ca="1"/>
        <v>12</v>
      </c>
      <c r="OH41" s="302">
        <f ca="1"/>
        <v>12</v>
      </c>
      <c r="OI41" s="302">
        <f ca="1"/>
        <v>12</v>
      </c>
      <c r="OJ41" s="302">
        <f ca="1"/>
        <v>12</v>
      </c>
      <c r="OK41" s="302">
        <f ca="1"/>
        <v>12</v>
      </c>
      <c r="OL41" s="302">
        <f ca="1"/>
        <v>12</v>
      </c>
      <c r="OM41" s="302">
        <f ca="1"/>
        <v>12</v>
      </c>
      <c r="ON41" s="302">
        <f ca="1"/>
        <v>12</v>
      </c>
      <c r="OO41" s="302">
        <f ca="1"/>
        <v>12</v>
      </c>
      <c r="OP41" s="302">
        <f ca="1"/>
        <v>12</v>
      </c>
      <c r="OQ41" s="302">
        <f ca="1"/>
        <v>12</v>
      </c>
      <c r="OR41" s="302">
        <f ca="1"/>
        <v>12</v>
      </c>
      <c r="OS41" s="302">
        <f ca="1"/>
        <v>12</v>
      </c>
      <c r="OT41" s="302">
        <f ca="1"/>
        <v>12</v>
      </c>
      <c r="OU41" s="302">
        <f ca="1"/>
        <v>12</v>
      </c>
      <c r="OV41" s="302">
        <f ca="1"/>
        <v>12</v>
      </c>
      <c r="OW41" s="302">
        <f ca="1"/>
        <v>12</v>
      </c>
      <c r="OX41" s="302">
        <f ca="1"/>
        <v>12</v>
      </c>
      <c r="OY41" s="302">
        <f ca="1"/>
        <v>12</v>
      </c>
      <c r="OZ41" s="302">
        <f ca="1"/>
        <v>12</v>
      </c>
      <c r="PA41" s="302">
        <f ca="1"/>
        <v>12</v>
      </c>
      <c r="PB41" s="302">
        <f ca="1"/>
        <v>12</v>
      </c>
      <c r="PC41" s="302">
        <f ca="1"/>
        <v>12</v>
      </c>
      <c r="PD41" s="302">
        <f ca="1"/>
        <v>12</v>
      </c>
      <c r="PE41" s="302">
        <f ca="1"/>
        <v>12</v>
      </c>
      <c r="PF41" s="302">
        <f ca="1"/>
        <v>12</v>
      </c>
      <c r="PG41" s="302">
        <f ca="1"/>
        <v>12</v>
      </c>
      <c r="PH41" s="302">
        <f ca="1"/>
        <v>12</v>
      </c>
      <c r="PI41" s="302">
        <f ca="1"/>
        <v>12</v>
      </c>
      <c r="PJ41" s="302">
        <f ca="1"/>
        <v>12</v>
      </c>
      <c r="PK41" s="302">
        <f ca="1"/>
        <v>12</v>
      </c>
      <c r="PL41" s="302">
        <f ca="1"/>
        <v>12</v>
      </c>
      <c r="PM41" s="302">
        <f ca="1"/>
        <v>12</v>
      </c>
      <c r="PN41" s="302">
        <f ca="1"/>
        <v>12</v>
      </c>
      <c r="PO41" s="302">
        <f ca="1"/>
        <v>12</v>
      </c>
      <c r="PP41" s="302">
        <f ca="1"/>
        <v>12</v>
      </c>
      <c r="PQ41" s="302">
        <f ca="1"/>
        <v>12</v>
      </c>
      <c r="PR41" s="302">
        <f ca="1"/>
        <v>12</v>
      </c>
      <c r="PS41" s="302">
        <f ca="1"/>
        <v>12</v>
      </c>
      <c r="PT41" s="302">
        <f ca="1"/>
        <v>12</v>
      </c>
      <c r="PU41" s="302">
        <f ca="1"/>
        <v>12</v>
      </c>
      <c r="PV41" s="302">
        <f ca="1"/>
        <v>12</v>
      </c>
      <c r="PW41" s="302">
        <f ca="1"/>
        <v>12</v>
      </c>
      <c r="PX41" s="302">
        <f ca="1"/>
        <v>12</v>
      </c>
      <c r="PY41" s="302">
        <f ca="1"/>
        <v>12</v>
      </c>
      <c r="PZ41" s="302">
        <f ca="1"/>
        <v>12</v>
      </c>
      <c r="QA41" s="302">
        <f ca="1"/>
        <v>12</v>
      </c>
      <c r="QB41" s="302">
        <f ca="1"/>
        <v>12</v>
      </c>
      <c r="QC41" s="302">
        <f ca="1"/>
        <v>12</v>
      </c>
      <c r="QD41" s="302">
        <f ca="1"/>
        <v>12</v>
      </c>
      <c r="QE41" s="302">
        <f ca="1"/>
        <v>12</v>
      </c>
      <c r="QF41" s="302">
        <f ca="1"/>
        <v>12</v>
      </c>
      <c r="QG41" s="302">
        <f ca="1"/>
        <v>12</v>
      </c>
      <c r="QH41" s="302">
        <f ca="1"/>
        <v>12</v>
      </c>
      <c r="QI41" s="302">
        <f ca="1"/>
        <v>12</v>
      </c>
      <c r="QJ41" s="302">
        <f ca="1"/>
        <v>12</v>
      </c>
      <c r="QK41" s="302">
        <f ca="1"/>
        <v>12</v>
      </c>
      <c r="QL41" s="302">
        <f ca="1"/>
        <v>12</v>
      </c>
      <c r="QM41" s="302">
        <f ca="1"/>
        <v>12</v>
      </c>
      <c r="QN41" s="302">
        <f ca="1"/>
        <v>12</v>
      </c>
      <c r="QO41" s="302">
        <f ca="1"/>
        <v>12</v>
      </c>
      <c r="QP41" s="302">
        <f ca="1"/>
        <v>12</v>
      </c>
      <c r="QQ41" s="302">
        <f ca="1"/>
        <v>12</v>
      </c>
      <c r="QR41" s="302">
        <f ca="1"/>
        <v>12</v>
      </c>
      <c r="QS41" s="302">
        <f ca="1"/>
        <v>12</v>
      </c>
      <c r="QT41" s="302">
        <f ca="1"/>
        <v>12</v>
      </c>
      <c r="QU41" s="302">
        <f ca="1"/>
        <v>12</v>
      </c>
      <c r="QV41" s="302">
        <f ca="1"/>
        <v>12</v>
      </c>
      <c r="QW41" s="302">
        <f ca="1"/>
        <v>12</v>
      </c>
      <c r="QX41" s="302">
        <f ca="1"/>
        <v>12</v>
      </c>
      <c r="QY41" s="302">
        <f ca="1"/>
        <v>12</v>
      </c>
      <c r="QZ41" s="302">
        <f ca="1"/>
        <v>12</v>
      </c>
      <c r="RA41" s="302">
        <f ca="1"/>
        <v>12</v>
      </c>
      <c r="RB41" s="302">
        <f ca="1"/>
        <v>12</v>
      </c>
      <c r="RC41" s="302">
        <f ca="1"/>
        <v>12</v>
      </c>
      <c r="RD41" s="302">
        <f ca="1"/>
        <v>12</v>
      </c>
      <c r="RE41" s="302">
        <f ca="1"/>
        <v>12</v>
      </c>
      <c r="RF41" s="302">
        <f ca="1"/>
        <v>12</v>
      </c>
      <c r="RG41" s="302">
        <f ca="1"/>
        <v>12</v>
      </c>
      <c r="RH41" s="302">
        <f ca="1"/>
        <v>12</v>
      </c>
      <c r="RI41" s="302">
        <f ca="1"/>
        <v>12</v>
      </c>
      <c r="RJ41" s="302">
        <f ca="1"/>
        <v>12</v>
      </c>
      <c r="RK41" s="302">
        <f ca="1"/>
        <v>12</v>
      </c>
      <c r="RL41" s="302">
        <f ca="1"/>
        <v>12</v>
      </c>
      <c r="RM41" s="302">
        <f ca="1"/>
        <v>12</v>
      </c>
      <c r="RN41" s="302">
        <f ca="1"/>
        <v>12</v>
      </c>
      <c r="RO41" s="302">
        <f ca="1"/>
        <v>12</v>
      </c>
      <c r="RP41" s="302">
        <f ca="1"/>
        <v>12</v>
      </c>
      <c r="RQ41" s="302">
        <f ca="1"/>
        <v>12</v>
      </c>
      <c r="RR41" s="302">
        <f ca="1"/>
        <v>12</v>
      </c>
      <c r="RS41" s="302">
        <f ca="1"/>
        <v>12</v>
      </c>
      <c r="RT41" s="302">
        <f ca="1"/>
        <v>12</v>
      </c>
      <c r="RU41" s="302">
        <f ca="1"/>
        <v>12</v>
      </c>
      <c r="RV41" s="302">
        <f ca="1"/>
        <v>12</v>
      </c>
      <c r="RW41" s="302">
        <f ca="1"/>
        <v>12</v>
      </c>
      <c r="RX41" s="302">
        <f ca="1"/>
        <v>12</v>
      </c>
      <c r="RY41" s="302">
        <f ca="1"/>
        <v>12</v>
      </c>
      <c r="RZ41" s="302">
        <f ca="1"/>
        <v>12</v>
      </c>
    </row>
    <row r="42" spans="1:494" x14ac:dyDescent="0.3">
      <c r="A42" s="8" t="s">
        <v>500</v>
      </c>
      <c r="B42" cm="1">
        <f t="array" aca="1" ref="B42:RZ42" ca="1">_xlfn.ANCHORARRAY(B38) + (_xlfn.ANCHORARRAY(B39)-_xlfn.ANCHORARRAY(B38))*(_xlfn.ANCHORARRAY(B40)-1-(12-_xlfn.ANCHORARRAY(B41)))/_xlfn.ANCHORARRAY(B41)</f>
        <v>49.254800000000003</v>
      </c>
      <c r="C42">
        <f ca="1"/>
        <v>49.28</v>
      </c>
      <c r="D42">
        <f ca="1"/>
        <v>49.885000000000005</v>
      </c>
      <c r="E42">
        <f ca="1"/>
        <v>50.49</v>
      </c>
      <c r="F42">
        <f ca="1"/>
        <v>51.094999999999999</v>
      </c>
      <c r="G42">
        <f ca="1"/>
        <v>51.7</v>
      </c>
      <c r="H42">
        <f ca="1"/>
        <v>52.305000000000007</v>
      </c>
      <c r="I42">
        <f ca="1"/>
        <v>52.910000000000004</v>
      </c>
      <c r="J42">
        <f ca="1"/>
        <v>53.515000000000001</v>
      </c>
      <c r="K42">
        <f ca="1"/>
        <v>54.120000000000005</v>
      </c>
      <c r="L42">
        <f ca="1"/>
        <v>54.725000000000009</v>
      </c>
      <c r="M42">
        <f ca="1"/>
        <v>55.330000000000005</v>
      </c>
      <c r="N42">
        <f ca="1"/>
        <v>55.935000000000002</v>
      </c>
      <c r="O42">
        <f ca="1"/>
        <v>56.540000000000006</v>
      </c>
      <c r="P42">
        <f ca="1"/>
        <v>57.176033814102567</v>
      </c>
      <c r="Q42">
        <f ca="1"/>
        <v>57.812067628205135</v>
      </c>
      <c r="R42">
        <f ca="1"/>
        <v>58.448101442307703</v>
      </c>
      <c r="S42">
        <f ca="1"/>
        <v>59.084135256410264</v>
      </c>
      <c r="T42">
        <f ca="1"/>
        <v>59.720169070512824</v>
      </c>
      <c r="U42">
        <f ca="1"/>
        <v>60.356202884615392</v>
      </c>
      <c r="V42">
        <f ca="1"/>
        <v>60.99223669871796</v>
      </c>
      <c r="W42">
        <f ca="1"/>
        <v>61.628270512820521</v>
      </c>
      <c r="X42">
        <f ca="1"/>
        <v>62.264304326923082</v>
      </c>
      <c r="Y42">
        <f ca="1"/>
        <v>62.900338141025649</v>
      </c>
      <c r="Z42">
        <f ca="1"/>
        <v>63.536371955128217</v>
      </c>
      <c r="AA42">
        <f ca="1"/>
        <v>64.172405769230778</v>
      </c>
      <c r="AB42">
        <f ca="1"/>
        <v>64.920433194862511</v>
      </c>
      <c r="AC42">
        <f ca="1"/>
        <v>65.668460620494244</v>
      </c>
      <c r="AD42">
        <f ca="1"/>
        <v>66.416488046125977</v>
      </c>
      <c r="AE42">
        <f ca="1"/>
        <v>67.16451547175771</v>
      </c>
      <c r="AF42">
        <f ca="1"/>
        <v>67.912542897389443</v>
      </c>
      <c r="AG42">
        <f ca="1"/>
        <v>68.660570323021176</v>
      </c>
      <c r="AH42">
        <f ca="1"/>
        <v>69.408597748652923</v>
      </c>
      <c r="AI42">
        <f ca="1"/>
        <v>70.156625174284656</v>
      </c>
      <c r="AJ42">
        <f ca="1"/>
        <v>70.904652599916389</v>
      </c>
      <c r="AK42">
        <f ca="1"/>
        <v>71.652680025548122</v>
      </c>
      <c r="AL42">
        <f ca="1"/>
        <v>72.400707451179855</v>
      </c>
      <c r="AM42">
        <f ca="1"/>
        <v>73.148734876811588</v>
      </c>
      <c r="AN42">
        <f ca="1"/>
        <v>73.848173453261239</v>
      </c>
      <c r="AO42">
        <f ca="1"/>
        <v>74.547612029710876</v>
      </c>
      <c r="AP42">
        <f ca="1"/>
        <v>75.247050606160528</v>
      </c>
      <c r="AQ42">
        <f ca="1"/>
        <v>75.946489182610165</v>
      </c>
      <c r="AR42">
        <f ca="1"/>
        <v>76.645927759059816</v>
      </c>
      <c r="AS42">
        <f ca="1"/>
        <v>77.345366335509453</v>
      </c>
      <c r="AT42">
        <f ca="1"/>
        <v>78.044804911959105</v>
      </c>
      <c r="AU42">
        <f ca="1"/>
        <v>78.744243488408756</v>
      </c>
      <c r="AV42">
        <f ca="1"/>
        <v>79.443682064858393</v>
      </c>
      <c r="AW42">
        <f ca="1"/>
        <v>80.143120641308045</v>
      </c>
      <c r="AX42">
        <f ca="1"/>
        <v>80.842559217757682</v>
      </c>
      <c r="AY42">
        <f ca="1"/>
        <v>81.541997794207333</v>
      </c>
      <c r="AZ42">
        <f ca="1"/>
        <v>82.39139360456366</v>
      </c>
      <c r="BA42">
        <f ca="1"/>
        <v>83.240789414919988</v>
      </c>
      <c r="BB42">
        <f ca="1"/>
        <v>84.090185225276315</v>
      </c>
      <c r="BC42">
        <f ca="1"/>
        <v>84.939581035632642</v>
      </c>
      <c r="BD42">
        <f ca="1"/>
        <v>85.788976845988969</v>
      </c>
      <c r="BE42">
        <f ca="1"/>
        <v>86.638372656345297</v>
      </c>
      <c r="BF42">
        <f ca="1"/>
        <v>87.487768466701624</v>
      </c>
      <c r="BG42">
        <f ca="1"/>
        <v>88.337164277057951</v>
      </c>
      <c r="BH42">
        <f ca="1"/>
        <v>89.186560087414279</v>
      </c>
      <c r="BI42">
        <f ca="1"/>
        <v>90.035955897770606</v>
      </c>
      <c r="BJ42">
        <f ca="1"/>
        <v>90.885351708126933</v>
      </c>
      <c r="BK42">
        <f ca="1"/>
        <v>91.73474751848326</v>
      </c>
      <c r="BL42">
        <f ca="1"/>
        <v>92.613872182202059</v>
      </c>
      <c r="BM42">
        <f ca="1"/>
        <v>93.492996845920857</v>
      </c>
      <c r="BN42">
        <f ca="1"/>
        <v>94.372121509639655</v>
      </c>
      <c r="BO42">
        <f ca="1"/>
        <v>95.251246173358453</v>
      </c>
      <c r="BP42">
        <f ca="1"/>
        <v>96.130370837077251</v>
      </c>
      <c r="BQ42">
        <f ca="1"/>
        <v>97.009495500796049</v>
      </c>
      <c r="BR42">
        <f ca="1"/>
        <v>97.888620164514862</v>
      </c>
      <c r="BS42">
        <f ca="1"/>
        <v>98.76774482823366</v>
      </c>
      <c r="BT42">
        <f ca="1"/>
        <v>99.646869491952458</v>
      </c>
      <c r="BU42">
        <f ca="1"/>
        <v>100.52599415567126</v>
      </c>
      <c r="BV42">
        <f ca="1"/>
        <v>101.40511881939005</v>
      </c>
      <c r="BW42">
        <f ca="1"/>
        <v>102.28424348310885</v>
      </c>
      <c r="BX42">
        <f ca="1"/>
        <v>103.17923061358606</v>
      </c>
      <c r="BY42">
        <f ca="1"/>
        <v>104.07421774406326</v>
      </c>
      <c r="BZ42">
        <f ca="1"/>
        <v>104.96920487454045</v>
      </c>
      <c r="CA42">
        <f ca="1"/>
        <v>105.86419200501766</v>
      </c>
      <c r="CB42">
        <f ca="1"/>
        <v>106.75917913549486</v>
      </c>
      <c r="CC42">
        <f ca="1"/>
        <v>107.65416626597207</v>
      </c>
      <c r="CD42">
        <f ca="1"/>
        <v>108.54915339644927</v>
      </c>
      <c r="CE42">
        <f ca="1"/>
        <v>109.44414052692647</v>
      </c>
      <c r="CF42">
        <f ca="1"/>
        <v>110.33912765740368</v>
      </c>
      <c r="CG42">
        <f ca="1"/>
        <v>111.23411478788087</v>
      </c>
      <c r="CH42">
        <f ca="1"/>
        <v>112.12910191835807</v>
      </c>
      <c r="CI42">
        <f ca="1"/>
        <v>113.02408904883528</v>
      </c>
      <c r="CJ42">
        <f ca="1"/>
        <v>113.96595645757557</v>
      </c>
      <c r="CK42">
        <f ca="1"/>
        <v>114.90782386631587</v>
      </c>
      <c r="CL42">
        <f ca="1"/>
        <v>115.84969127505616</v>
      </c>
      <c r="CM42">
        <f ca="1"/>
        <v>116.79155868379647</v>
      </c>
      <c r="CN42">
        <f ca="1"/>
        <v>117.73342609253676</v>
      </c>
      <c r="CO42">
        <f ca="1"/>
        <v>118.67529350127705</v>
      </c>
      <c r="CP42">
        <f ca="1"/>
        <v>119.61716091001735</v>
      </c>
      <c r="CQ42">
        <f ca="1"/>
        <v>120.55902831875764</v>
      </c>
      <c r="CR42">
        <f ca="1"/>
        <v>121.50089572749795</v>
      </c>
      <c r="CS42">
        <f ca="1"/>
        <v>122.44276313623824</v>
      </c>
      <c r="CT42">
        <f ca="1"/>
        <v>123.38463054497853</v>
      </c>
      <c r="CU42">
        <f ca="1"/>
        <v>124.32649795371883</v>
      </c>
      <c r="CV42">
        <f ca="1"/>
        <v>125.36255210333316</v>
      </c>
      <c r="CW42">
        <f ca="1"/>
        <v>126.39860625294747</v>
      </c>
      <c r="CX42">
        <f ca="1"/>
        <v>127.4346604025618</v>
      </c>
      <c r="CY42">
        <f ca="1"/>
        <v>128.47071455217613</v>
      </c>
      <c r="CZ42">
        <f ca="1"/>
        <v>129.50676870179046</v>
      </c>
      <c r="DA42">
        <f ca="1"/>
        <v>130.54282285140479</v>
      </c>
      <c r="DB42">
        <f ca="1"/>
        <v>131.57887700101912</v>
      </c>
      <c r="DC42">
        <f ca="1"/>
        <v>132.61493115063342</v>
      </c>
      <c r="DD42">
        <f ca="1"/>
        <v>133.65098530024775</v>
      </c>
      <c r="DE42">
        <f ca="1"/>
        <v>134.68703944986208</v>
      </c>
      <c r="DF42">
        <f ca="1"/>
        <v>135.72309359947641</v>
      </c>
      <c r="DG42">
        <f ca="1"/>
        <v>136.75914774909074</v>
      </c>
      <c r="DH42">
        <f ca="1"/>
        <v>137.78484135720893</v>
      </c>
      <c r="DI42">
        <f ca="1"/>
        <v>138.81053496532709</v>
      </c>
      <c r="DJ42">
        <f ca="1"/>
        <v>139.83622857344528</v>
      </c>
      <c r="DK42">
        <f ca="1"/>
        <v>140.86192218156347</v>
      </c>
      <c r="DL42">
        <f ca="1"/>
        <v>141.88761578968163</v>
      </c>
      <c r="DM42">
        <f ca="1"/>
        <v>142.91330939779982</v>
      </c>
      <c r="DN42">
        <f ca="1"/>
        <v>143.93900300591801</v>
      </c>
      <c r="DO42">
        <f ca="1"/>
        <v>144.96469661403617</v>
      </c>
      <c r="DP42">
        <f ca="1"/>
        <v>145.99039022215436</v>
      </c>
      <c r="DQ42">
        <f ca="1"/>
        <v>147.01608383027255</v>
      </c>
      <c r="DR42">
        <f ca="1"/>
        <v>148.04177743839071</v>
      </c>
      <c r="DS42">
        <f ca="1"/>
        <v>149.0674710465089</v>
      </c>
      <c r="DT42">
        <f ca="1"/>
        <v>150.18547707935772</v>
      </c>
      <c r="DU42">
        <f ca="1"/>
        <v>151.30348311220655</v>
      </c>
      <c r="DV42">
        <f ca="1"/>
        <v>152.42148914505535</v>
      </c>
      <c r="DW42">
        <f ca="1"/>
        <v>153.53949517790417</v>
      </c>
      <c r="DX42">
        <f ca="1"/>
        <v>154.657501210753</v>
      </c>
      <c r="DY42">
        <f ca="1"/>
        <v>155.77550724360179</v>
      </c>
      <c r="DZ42">
        <f ca="1"/>
        <v>156.89351327645062</v>
      </c>
      <c r="EA42">
        <f ca="1"/>
        <v>158.01151930929944</v>
      </c>
      <c r="EB42">
        <f ca="1"/>
        <v>159.12952534214827</v>
      </c>
      <c r="EC42">
        <f ca="1"/>
        <v>160.2475313749971</v>
      </c>
      <c r="ED42">
        <f ca="1"/>
        <v>161.36553740784589</v>
      </c>
      <c r="EE42">
        <f ca="1"/>
        <v>162.48354344069472</v>
      </c>
      <c r="EF42">
        <f ca="1"/>
        <v>163.56676706363268</v>
      </c>
      <c r="EG42">
        <f ca="1"/>
        <v>164.64999068657065</v>
      </c>
      <c r="EH42">
        <f ca="1"/>
        <v>165.73321430950861</v>
      </c>
      <c r="EI42">
        <f ca="1"/>
        <v>166.81643793244658</v>
      </c>
      <c r="EJ42">
        <f ca="1"/>
        <v>167.89966155538454</v>
      </c>
      <c r="EK42">
        <f ca="1"/>
        <v>168.9828851783225</v>
      </c>
      <c r="EL42">
        <f ca="1"/>
        <v>170.06610880126047</v>
      </c>
      <c r="EM42">
        <f ca="1"/>
        <v>171.14933242419843</v>
      </c>
      <c r="EN42">
        <f ca="1"/>
        <v>172.2325560471364</v>
      </c>
      <c r="EO42">
        <f ca="1"/>
        <v>173.31577967007436</v>
      </c>
      <c r="EP42">
        <f ca="1"/>
        <v>174.39900329301233</v>
      </c>
      <c r="EQ42">
        <f ca="1"/>
        <v>175.48222691595029</v>
      </c>
      <c r="ER42">
        <f ca="1"/>
        <v>176.6521084287233</v>
      </c>
      <c r="ES42">
        <f ca="1"/>
        <v>177.8219899414963</v>
      </c>
      <c r="ET42">
        <f ca="1"/>
        <v>178.9918714542693</v>
      </c>
      <c r="EU42">
        <f ca="1"/>
        <v>180.1617529670423</v>
      </c>
      <c r="EV42">
        <f ca="1"/>
        <v>181.33163447981531</v>
      </c>
      <c r="EW42">
        <f ca="1"/>
        <v>182.50151599258834</v>
      </c>
      <c r="EX42">
        <f ca="1"/>
        <v>183.67139750536134</v>
      </c>
      <c r="EY42">
        <f ca="1"/>
        <v>184.84127901813434</v>
      </c>
      <c r="EZ42">
        <f ca="1"/>
        <v>186.01116053090735</v>
      </c>
      <c r="FA42">
        <f ca="1"/>
        <v>187.18104204368035</v>
      </c>
      <c r="FB42">
        <f ca="1"/>
        <v>188.35092355645335</v>
      </c>
      <c r="FC42">
        <f ca="1"/>
        <v>189.52080506922636</v>
      </c>
      <c r="FD42">
        <f ca="1"/>
        <v>190.7842771030212</v>
      </c>
      <c r="FE42">
        <f ca="1"/>
        <v>192.04774913681604</v>
      </c>
      <c r="FF42">
        <f ca="1"/>
        <v>193.31122117061088</v>
      </c>
      <c r="FG42">
        <f ca="1"/>
        <v>194.57469320440572</v>
      </c>
      <c r="FH42">
        <f ca="1"/>
        <v>195.83816523820056</v>
      </c>
      <c r="FI42">
        <f ca="1"/>
        <v>197.1016372719954</v>
      </c>
      <c r="FJ42">
        <f ca="1"/>
        <v>198.36510930579027</v>
      </c>
      <c r="FK42">
        <f ca="1"/>
        <v>199.62858133958511</v>
      </c>
      <c r="FL42">
        <f ca="1"/>
        <v>200.89205337337995</v>
      </c>
      <c r="FM42">
        <f ca="1"/>
        <v>202.15552540717479</v>
      </c>
      <c r="FN42">
        <f ca="1"/>
        <v>203.41899744096963</v>
      </c>
      <c r="FO42">
        <f ca="1"/>
        <v>204.68246947476447</v>
      </c>
      <c r="FP42">
        <f ca="1"/>
        <v>206.04701927126291</v>
      </c>
      <c r="FQ42">
        <f ca="1"/>
        <v>207.41156906776132</v>
      </c>
      <c r="FR42">
        <f ca="1"/>
        <v>208.77611886425976</v>
      </c>
      <c r="FS42">
        <f ca="1"/>
        <v>210.14066866075819</v>
      </c>
      <c r="FT42">
        <f ca="1"/>
        <v>211.50521845725663</v>
      </c>
      <c r="FU42">
        <f ca="1"/>
        <v>212.86976825375507</v>
      </c>
      <c r="FV42">
        <f ca="1"/>
        <v>214.23431805025348</v>
      </c>
      <c r="FW42">
        <f ca="1"/>
        <v>215.59886784675192</v>
      </c>
      <c r="FX42">
        <f ca="1"/>
        <v>216.96341764325035</v>
      </c>
      <c r="FY42">
        <f ca="1"/>
        <v>218.32796743974876</v>
      </c>
      <c r="FZ42">
        <f ca="1"/>
        <v>219.6925172362472</v>
      </c>
      <c r="GA42">
        <f ca="1"/>
        <v>221.05706703274564</v>
      </c>
      <c r="GB42">
        <f ca="1"/>
        <v>222.53078081296394</v>
      </c>
      <c r="GC42">
        <f ca="1"/>
        <v>224.00449459318224</v>
      </c>
      <c r="GD42">
        <f ca="1"/>
        <v>225.47820837340055</v>
      </c>
      <c r="GE42">
        <f ca="1"/>
        <v>226.95192215361885</v>
      </c>
      <c r="GF42">
        <f ca="1"/>
        <v>228.42563593383716</v>
      </c>
      <c r="GG42">
        <f ca="1"/>
        <v>229.89934971405546</v>
      </c>
      <c r="GH42">
        <f ca="1"/>
        <v>231.37306349427377</v>
      </c>
      <c r="GI42">
        <f ca="1"/>
        <v>232.84677727449207</v>
      </c>
      <c r="GJ42">
        <f ca="1"/>
        <v>234.32049105471037</v>
      </c>
      <c r="GK42">
        <f ca="1"/>
        <v>235.79420483492868</v>
      </c>
      <c r="GL42">
        <f ca="1"/>
        <v>237.26791861514698</v>
      </c>
      <c r="GM42">
        <f ca="1"/>
        <v>238.74163239536529</v>
      </c>
      <c r="GN42">
        <f ca="1"/>
        <v>240.33324327800105</v>
      </c>
      <c r="GO42">
        <f ca="1"/>
        <v>241.92485416063684</v>
      </c>
      <c r="GP42">
        <f ca="1"/>
        <v>243.5164650432726</v>
      </c>
      <c r="GQ42">
        <f ca="1"/>
        <v>245.10807592590837</v>
      </c>
      <c r="GR42">
        <f ca="1"/>
        <v>246.69968680854416</v>
      </c>
      <c r="GS42">
        <f ca="1"/>
        <v>248.29129769117992</v>
      </c>
      <c r="GT42">
        <f ca="1"/>
        <v>249.88290857381568</v>
      </c>
      <c r="GU42">
        <f ca="1"/>
        <v>251.47451945645147</v>
      </c>
      <c r="GV42">
        <f ca="1"/>
        <v>253.06613033908724</v>
      </c>
      <c r="GW42">
        <f ca="1"/>
        <v>254.657741221723</v>
      </c>
      <c r="GX42">
        <f ca="1"/>
        <v>256.24935210435876</v>
      </c>
      <c r="GY42">
        <f ca="1"/>
        <v>257.84096298699455</v>
      </c>
      <c r="GZ42">
        <f ca="1"/>
        <v>259.55990274024117</v>
      </c>
      <c r="HA42">
        <f ca="1"/>
        <v>261.27884249348779</v>
      </c>
      <c r="HB42">
        <f ca="1"/>
        <v>262.99778224673446</v>
      </c>
      <c r="HC42">
        <f ca="1"/>
        <v>264.71672199998108</v>
      </c>
      <c r="HD42">
        <f ca="1"/>
        <v>266.43566175322769</v>
      </c>
      <c r="HE42">
        <f ca="1"/>
        <v>268.15460150647436</v>
      </c>
      <c r="HF42">
        <f ca="1"/>
        <v>269.87354125972098</v>
      </c>
      <c r="HG42">
        <f ca="1"/>
        <v>271.5924810129676</v>
      </c>
      <c r="HH42">
        <f ca="1"/>
        <v>273.31142076621421</v>
      </c>
      <c r="HI42">
        <f ca="1"/>
        <v>275.03036051946083</v>
      </c>
      <c r="HJ42">
        <f ca="1"/>
        <v>276.7493002727075</v>
      </c>
      <c r="HK42">
        <f ca="1"/>
        <v>278.46824002595412</v>
      </c>
      <c r="HL42">
        <f ca="1"/>
        <v>280.32469495946049</v>
      </c>
      <c r="HM42">
        <f ca="1"/>
        <v>282.18114989296686</v>
      </c>
      <c r="HN42">
        <f ca="1"/>
        <v>284.03760482647317</v>
      </c>
      <c r="HO42">
        <f ca="1"/>
        <v>285.89405975997954</v>
      </c>
      <c r="HP42">
        <f ca="1"/>
        <v>287.75051469348591</v>
      </c>
      <c r="HQ42">
        <f ca="1"/>
        <v>289.60696962699228</v>
      </c>
      <c r="HR42">
        <f ca="1"/>
        <v>291.46342456049865</v>
      </c>
      <c r="HS42">
        <f ca="1"/>
        <v>293.31987949400502</v>
      </c>
      <c r="HT42">
        <f ca="1"/>
        <v>295.17633442751139</v>
      </c>
      <c r="HU42">
        <f ca="1"/>
        <v>297.03278936101771</v>
      </c>
      <c r="HV42">
        <f ca="1"/>
        <v>298.88924429452408</v>
      </c>
      <c r="HW42">
        <f ca="1"/>
        <v>300.74569922803045</v>
      </c>
      <c r="HX42">
        <f ca="1"/>
        <v>302.7506705562173</v>
      </c>
      <c r="HY42">
        <f ca="1"/>
        <v>304.75564188440421</v>
      </c>
      <c r="HZ42">
        <f ca="1"/>
        <v>306.76061321259107</v>
      </c>
      <c r="IA42">
        <f ca="1"/>
        <v>308.76558454077798</v>
      </c>
      <c r="IB42">
        <f ca="1"/>
        <v>310.77055586896483</v>
      </c>
      <c r="IC42">
        <f ca="1"/>
        <v>312.77552719715175</v>
      </c>
      <c r="ID42">
        <f ca="1"/>
        <v>314.7804985253386</v>
      </c>
      <c r="IE42">
        <f ca="1"/>
        <v>316.78546985352546</v>
      </c>
      <c r="IF42">
        <f ca="1"/>
        <v>318.79044118171237</v>
      </c>
      <c r="IG42">
        <f ca="1"/>
        <v>320.79541250989922</v>
      </c>
      <c r="IH42">
        <f ca="1"/>
        <v>322.80038383808613</v>
      </c>
      <c r="II42">
        <f ca="1"/>
        <v>324.80535516627299</v>
      </c>
      <c r="IJ42">
        <f ca="1"/>
        <v>326.97072420071481</v>
      </c>
      <c r="IK42">
        <f ca="1"/>
        <v>329.13609323515664</v>
      </c>
      <c r="IL42">
        <f ca="1"/>
        <v>331.30146226959846</v>
      </c>
      <c r="IM42">
        <f ca="1"/>
        <v>333.46683130404028</v>
      </c>
      <c r="IN42">
        <f ca="1"/>
        <v>335.63220033848211</v>
      </c>
      <c r="IO42">
        <f ca="1"/>
        <v>337.79756937292393</v>
      </c>
      <c r="IP42">
        <f ca="1"/>
        <v>339.96293840736575</v>
      </c>
      <c r="IQ42">
        <f ca="1"/>
        <v>342.12830744180758</v>
      </c>
      <c r="IR42">
        <f ca="1"/>
        <v>344.2936764762494</v>
      </c>
      <c r="IS42">
        <f ca="1"/>
        <v>346.45904551069123</v>
      </c>
      <c r="IT42">
        <f ca="1"/>
        <v>348.62441454513305</v>
      </c>
      <c r="IU42">
        <f ca="1"/>
        <v>350.78978357957487</v>
      </c>
      <c r="IV42">
        <f ca="1"/>
        <v>353.12838213677202</v>
      </c>
      <c r="IW42">
        <f ca="1"/>
        <v>355.46698069396922</v>
      </c>
      <c r="IX42">
        <f ca="1"/>
        <v>357.80557925116636</v>
      </c>
      <c r="IY42">
        <f ca="1"/>
        <v>360.14417780836351</v>
      </c>
      <c r="IZ42">
        <f ca="1"/>
        <v>362.48277636556071</v>
      </c>
      <c r="JA42">
        <f ca="1"/>
        <v>364.82137492275785</v>
      </c>
      <c r="JB42">
        <f ca="1"/>
        <v>367.159973479955</v>
      </c>
      <c r="JC42">
        <f ca="1"/>
        <v>369.4985720371522</v>
      </c>
      <c r="JD42">
        <f ca="1"/>
        <v>371.83717059434935</v>
      </c>
      <c r="JE42">
        <f ca="1"/>
        <v>374.17576915154649</v>
      </c>
      <c r="JF42">
        <f ca="1"/>
        <v>376.51436770874369</v>
      </c>
      <c r="JG42">
        <f ca="1"/>
        <v>378.85296626594084</v>
      </c>
      <c r="JH42">
        <f ca="1"/>
        <v>381.3786527077138</v>
      </c>
      <c r="JI42">
        <f ca="1"/>
        <v>383.9043391494867</v>
      </c>
      <c r="JJ42">
        <f ca="1"/>
        <v>386.43002559125966</v>
      </c>
      <c r="JK42">
        <f ca="1"/>
        <v>388.95571203303263</v>
      </c>
      <c r="JL42">
        <f ca="1"/>
        <v>391.48139847480553</v>
      </c>
      <c r="JM42">
        <f ca="1"/>
        <v>394.00708491657849</v>
      </c>
      <c r="JN42">
        <f ca="1"/>
        <v>396.53277135835145</v>
      </c>
      <c r="JO42">
        <f ca="1"/>
        <v>399.05845780012436</v>
      </c>
      <c r="JP42">
        <f ca="1"/>
        <v>401.58414424189732</v>
      </c>
      <c r="JQ42">
        <f ca="1"/>
        <v>404.10983068367028</v>
      </c>
      <c r="JR42">
        <f ca="1"/>
        <v>406.63551712544319</v>
      </c>
      <c r="JS42">
        <f ca="1"/>
        <v>409.16120356721615</v>
      </c>
      <c r="JT42">
        <f ca="1"/>
        <v>411.88894492433093</v>
      </c>
      <c r="JU42">
        <f ca="1"/>
        <v>414.61668628144571</v>
      </c>
      <c r="JV42">
        <f ca="1"/>
        <v>417.34442763856049</v>
      </c>
      <c r="JW42">
        <f ca="1"/>
        <v>420.07216899567527</v>
      </c>
      <c r="JX42">
        <f ca="1"/>
        <v>422.79991035279005</v>
      </c>
      <c r="JY42">
        <f ca="1"/>
        <v>425.52765170990483</v>
      </c>
      <c r="JZ42">
        <f ca="1"/>
        <v>428.25539306701961</v>
      </c>
      <c r="KA42">
        <f ca="1"/>
        <v>430.98313442413439</v>
      </c>
      <c r="KB42">
        <f ca="1"/>
        <v>433.71087578124917</v>
      </c>
      <c r="KC42">
        <f ca="1"/>
        <v>436.43861713836395</v>
      </c>
      <c r="KD42">
        <f ca="1"/>
        <v>439.16635849547873</v>
      </c>
      <c r="KE42">
        <f ca="1"/>
        <v>441.89409985259351</v>
      </c>
      <c r="KF42">
        <f ca="1"/>
        <v>444.84006051827748</v>
      </c>
      <c r="KG42">
        <f ca="1"/>
        <v>447.78602118396145</v>
      </c>
      <c r="KH42">
        <f ca="1"/>
        <v>450.73198184964542</v>
      </c>
      <c r="KI42">
        <f ca="1"/>
        <v>453.67794251532933</v>
      </c>
      <c r="KJ42">
        <f ca="1"/>
        <v>456.6239031810133</v>
      </c>
      <c r="KK42">
        <f ca="1"/>
        <v>459.56986384669727</v>
      </c>
      <c r="KL42">
        <f ca="1"/>
        <v>462.51582451238124</v>
      </c>
      <c r="KM42">
        <f ca="1"/>
        <v>465.46178517806521</v>
      </c>
      <c r="KN42">
        <f ca="1"/>
        <v>468.40774584374913</v>
      </c>
      <c r="KO42">
        <f ca="1"/>
        <v>471.3537065094331</v>
      </c>
      <c r="KP42">
        <f ca="1"/>
        <v>474.29966717511707</v>
      </c>
      <c r="KQ42">
        <f ca="1"/>
        <v>477.24562784080103</v>
      </c>
      <c r="KR42">
        <f ca="1"/>
        <v>480.42726535973969</v>
      </c>
      <c r="KS42">
        <f ca="1"/>
        <v>483.60890287867841</v>
      </c>
      <c r="KT42">
        <f ca="1"/>
        <v>486.79054039761706</v>
      </c>
      <c r="KU42">
        <f ca="1"/>
        <v>489.97217791655572</v>
      </c>
      <c r="KV42">
        <f ca="1"/>
        <v>493.15381543549444</v>
      </c>
      <c r="KW42">
        <f ca="1"/>
        <v>496.33545295443309</v>
      </c>
      <c r="KX42">
        <f ca="1"/>
        <v>499.51709047337175</v>
      </c>
      <c r="KY42">
        <f ca="1"/>
        <v>502.69872799231047</v>
      </c>
      <c r="KZ42">
        <f ca="1"/>
        <v>505.88036551124912</v>
      </c>
      <c r="LA42">
        <f ca="1"/>
        <v>509.06200303018778</v>
      </c>
      <c r="LB42">
        <f ca="1"/>
        <v>512.24364054912644</v>
      </c>
      <c r="LC42">
        <f ca="1"/>
        <v>515.42527806806515</v>
      </c>
      <c r="LD42">
        <f ca="1"/>
        <v>518.8614465885189</v>
      </c>
      <c r="LE42">
        <f ca="1"/>
        <v>522.29761510897265</v>
      </c>
      <c r="LF42">
        <f ca="1"/>
        <v>525.7337836294264</v>
      </c>
      <c r="LG42">
        <f ca="1"/>
        <v>529.16995214988026</v>
      </c>
      <c r="LH42">
        <f ca="1"/>
        <v>532.60612067033401</v>
      </c>
      <c r="LI42">
        <f ca="1"/>
        <v>536.04228919078776</v>
      </c>
      <c r="LJ42">
        <f ca="1"/>
        <v>539.4784577112415</v>
      </c>
      <c r="LK42">
        <f ca="1"/>
        <v>542.91462623169525</v>
      </c>
      <c r="LL42">
        <f ca="1"/>
        <v>546.35079475214911</v>
      </c>
      <c r="LM42">
        <f ca="1"/>
        <v>549.78696327260286</v>
      </c>
      <c r="LN42">
        <f ca="1"/>
        <v>553.22313179305661</v>
      </c>
      <c r="LO42">
        <f ca="1"/>
        <v>556.65930031351036</v>
      </c>
      <c r="LP42">
        <f ca="1"/>
        <v>560.37036231560046</v>
      </c>
      <c r="LQ42">
        <f ca="1"/>
        <v>564.08142431769056</v>
      </c>
      <c r="LR42">
        <f ca="1"/>
        <v>567.79248631978055</v>
      </c>
      <c r="LS42">
        <f ca="1"/>
        <v>571.50354832187065</v>
      </c>
      <c r="LT42">
        <f ca="1"/>
        <v>575.21461032396076</v>
      </c>
      <c r="LU42">
        <f ca="1"/>
        <v>578.92567232605074</v>
      </c>
      <c r="LV42">
        <f ca="1"/>
        <v>582.63673432814085</v>
      </c>
      <c r="LW42">
        <f ca="1"/>
        <v>586.34779633023095</v>
      </c>
      <c r="LX42">
        <f ca="1"/>
        <v>590.05885833232105</v>
      </c>
      <c r="LY42">
        <f ca="1"/>
        <v>593.76992033441115</v>
      </c>
      <c r="LZ42">
        <f ca="1"/>
        <v>597.48098233650114</v>
      </c>
      <c r="MA42">
        <f ca="1"/>
        <v>601.19204433859124</v>
      </c>
      <c r="MB42">
        <f ca="1"/>
        <v>605.19999130084852</v>
      </c>
      <c r="MC42">
        <f ca="1"/>
        <v>609.2079382631058</v>
      </c>
      <c r="MD42">
        <f ca="1"/>
        <v>613.21588522536308</v>
      </c>
      <c r="ME42">
        <f ca="1"/>
        <v>617.22383218762036</v>
      </c>
      <c r="MF42">
        <f ca="1"/>
        <v>621.23177914987764</v>
      </c>
      <c r="MG42">
        <f ca="1"/>
        <v>625.2397261121348</v>
      </c>
      <c r="MH42">
        <f ca="1"/>
        <v>629.24767307439208</v>
      </c>
      <c r="MI42">
        <f ca="1"/>
        <v>633.25562003664936</v>
      </c>
      <c r="MJ42">
        <f ca="1"/>
        <v>637.26356699890664</v>
      </c>
      <c r="MK42">
        <f ca="1"/>
        <v>641.27151396116392</v>
      </c>
      <c r="ML42">
        <f ca="1"/>
        <v>645.2794609234212</v>
      </c>
      <c r="MM42">
        <f ca="1"/>
        <v>649.28740788567848</v>
      </c>
      <c r="MN42">
        <f ca="1"/>
        <v>653.61599060491631</v>
      </c>
      <c r="MO42">
        <f ca="1"/>
        <v>657.94457332415425</v>
      </c>
      <c r="MP42">
        <f ca="1"/>
        <v>662.27315604339208</v>
      </c>
      <c r="MQ42">
        <f ca="1"/>
        <v>666.60173876263002</v>
      </c>
      <c r="MR42">
        <f ca="1"/>
        <v>670.93032148186785</v>
      </c>
      <c r="MS42">
        <f ca="1"/>
        <v>675.25890420110568</v>
      </c>
      <c r="MT42">
        <f ca="1"/>
        <v>679.58748692034362</v>
      </c>
      <c r="MU42">
        <f ca="1"/>
        <v>683.91606963958145</v>
      </c>
      <c r="MV42">
        <f ca="1"/>
        <v>688.24465235881939</v>
      </c>
      <c r="MW42">
        <f ca="1"/>
        <v>692.57323507805722</v>
      </c>
      <c r="MX42">
        <f ca="1"/>
        <v>696.90181779729517</v>
      </c>
      <c r="MY42">
        <f ca="1"/>
        <v>701.230400516533</v>
      </c>
      <c r="MZ42">
        <f ca="1"/>
        <v>705.90526985330985</v>
      </c>
      <c r="NA42">
        <f ca="1"/>
        <v>710.58013919008681</v>
      </c>
      <c r="NB42">
        <f ca="1"/>
        <v>715.25500852686366</v>
      </c>
      <c r="NC42">
        <f ca="1"/>
        <v>719.92987786364051</v>
      </c>
      <c r="ND42">
        <f ca="1"/>
        <v>724.60474720041748</v>
      </c>
      <c r="NE42">
        <f ca="1"/>
        <v>729.27961653719433</v>
      </c>
      <c r="NF42">
        <f ca="1"/>
        <v>733.95448587397118</v>
      </c>
      <c r="NG42">
        <f ca="1"/>
        <v>738.62935521074814</v>
      </c>
      <c r="NH42">
        <f ca="1"/>
        <v>743.304224547525</v>
      </c>
      <c r="NI42">
        <f ca="1"/>
        <v>747.97909388430185</v>
      </c>
      <c r="NJ42">
        <f ca="1"/>
        <v>752.65396322107881</v>
      </c>
      <c r="NK42">
        <f ca="1"/>
        <v>757.32883255785566</v>
      </c>
      <c r="NL42">
        <f ca="1"/>
        <v>762.37769144157471</v>
      </c>
      <c r="NM42">
        <f ca="1"/>
        <v>767.42655032529376</v>
      </c>
      <c r="NN42">
        <f ca="1"/>
        <v>772.47540920901281</v>
      </c>
      <c r="NO42">
        <f ca="1"/>
        <v>777.52426809273186</v>
      </c>
      <c r="NP42">
        <f ca="1"/>
        <v>782.57312697645091</v>
      </c>
      <c r="NQ42">
        <f ca="1"/>
        <v>787.62198586016996</v>
      </c>
      <c r="NR42">
        <f ca="1"/>
        <v>792.67084474388901</v>
      </c>
      <c r="NS42">
        <f ca="1"/>
        <v>797.71970362760806</v>
      </c>
      <c r="NT42">
        <f ca="1"/>
        <v>802.7685625113271</v>
      </c>
      <c r="NU42">
        <f ca="1"/>
        <v>807.81742139504615</v>
      </c>
      <c r="NV42">
        <f ca="1"/>
        <v>812.8662802787652</v>
      </c>
      <c r="NW42">
        <f ca="1"/>
        <v>817.91513916248425</v>
      </c>
      <c r="NX42">
        <f ca="1"/>
        <v>823.36790675690077</v>
      </c>
      <c r="NY42">
        <f ca="1"/>
        <v>828.82067435131739</v>
      </c>
      <c r="NZ42">
        <f ca="1"/>
        <v>834.27344194573391</v>
      </c>
      <c r="OA42">
        <f ca="1"/>
        <v>839.72620954015053</v>
      </c>
      <c r="OB42">
        <f ca="1"/>
        <v>845.17897713456705</v>
      </c>
      <c r="OC42">
        <f ca="1"/>
        <v>850.63174472898368</v>
      </c>
      <c r="OD42">
        <f ca="1"/>
        <v>856.08451232340019</v>
      </c>
      <c r="OE42">
        <f ca="1"/>
        <v>861.5372799178167</v>
      </c>
      <c r="OF42">
        <f ca="1"/>
        <v>866.99004751223333</v>
      </c>
      <c r="OG42">
        <f ca="1"/>
        <v>872.44281510664985</v>
      </c>
      <c r="OH42">
        <f ca="1"/>
        <v>877.89558270106647</v>
      </c>
      <c r="OI42">
        <f ca="1"/>
        <v>883.34835029548299</v>
      </c>
      <c r="OJ42">
        <f ca="1"/>
        <v>889.23733929745288</v>
      </c>
      <c r="OK42">
        <f ca="1"/>
        <v>895.12632829942277</v>
      </c>
      <c r="OL42">
        <f ca="1"/>
        <v>901.01531730139266</v>
      </c>
      <c r="OM42">
        <f ca="1"/>
        <v>906.90430630336255</v>
      </c>
      <c r="ON42">
        <f ca="1"/>
        <v>912.79329530533244</v>
      </c>
      <c r="OO42">
        <f ca="1"/>
        <v>918.68228430730233</v>
      </c>
      <c r="OP42">
        <f ca="1"/>
        <v>924.57127330927233</v>
      </c>
      <c r="OQ42">
        <f ca="1"/>
        <v>930.46026231124222</v>
      </c>
      <c r="OR42">
        <f ca="1"/>
        <v>936.34925131321211</v>
      </c>
      <c r="OS42">
        <f ca="1"/>
        <v>942.238240315182</v>
      </c>
      <c r="OT42">
        <f ca="1"/>
        <v>948.12722931715189</v>
      </c>
      <c r="OU42">
        <f ca="1"/>
        <v>954.01621831912178</v>
      </c>
      <c r="OV42">
        <f ca="1"/>
        <v>960.37632644124926</v>
      </c>
      <c r="OW42">
        <f ca="1"/>
        <v>966.73643456337675</v>
      </c>
      <c r="OX42">
        <f ca="1"/>
        <v>973.09654268550423</v>
      </c>
      <c r="OY42">
        <f ca="1"/>
        <v>979.45665080763172</v>
      </c>
      <c r="OZ42">
        <f ca="1"/>
        <v>985.8167589297592</v>
      </c>
      <c r="PA42">
        <f ca="1"/>
        <v>992.17686705188657</v>
      </c>
      <c r="PB42">
        <f ca="1"/>
        <v>998.53697517401406</v>
      </c>
      <c r="PC42">
        <f ca="1"/>
        <v>1004.8970832961415</v>
      </c>
      <c r="PD42">
        <f ca="1"/>
        <v>1011.257191418269</v>
      </c>
      <c r="PE42">
        <f ca="1"/>
        <v>1017.6172995403965</v>
      </c>
      <c r="PF42">
        <f ca="1"/>
        <v>1023.977407662524</v>
      </c>
      <c r="PG42">
        <f ca="1"/>
        <v>1030.3375157846515</v>
      </c>
      <c r="PH42">
        <f ca="1"/>
        <v>1037.2064325565491</v>
      </c>
      <c r="PI42">
        <f ca="1"/>
        <v>1044.0753493284469</v>
      </c>
      <c r="PJ42">
        <f ca="1"/>
        <v>1050.9442661003445</v>
      </c>
      <c r="PK42">
        <f ca="1"/>
        <v>1057.8131828722421</v>
      </c>
      <c r="PL42">
        <f ca="1"/>
        <v>1064.68209964414</v>
      </c>
      <c r="PM42">
        <f ca="1"/>
        <v>1071.5510164160376</v>
      </c>
      <c r="PN42">
        <f ca="1"/>
        <v>1078.4199331879352</v>
      </c>
      <c r="PO42">
        <f ca="1"/>
        <v>1085.288849959833</v>
      </c>
      <c r="PP42">
        <f ca="1"/>
        <v>1092.1577667317306</v>
      </c>
      <c r="PQ42">
        <f ca="1"/>
        <v>1099.0266835036282</v>
      </c>
      <c r="PR42">
        <f ca="1"/>
        <v>1105.895600275526</v>
      </c>
      <c r="PS42">
        <f ca="1"/>
        <v>1112.7645170474236</v>
      </c>
      <c r="PT42">
        <f ca="1"/>
        <v>1120.1829471610731</v>
      </c>
      <c r="PU42">
        <f ca="1"/>
        <v>1127.6013772747226</v>
      </c>
      <c r="PV42">
        <f ca="1"/>
        <v>1135.0198073883721</v>
      </c>
      <c r="PW42">
        <f ca="1"/>
        <v>1142.4382375020216</v>
      </c>
      <c r="PX42">
        <f ca="1"/>
        <v>1149.8566676156711</v>
      </c>
      <c r="PY42">
        <f ca="1"/>
        <v>1157.2750977293208</v>
      </c>
      <c r="PZ42">
        <f ca="1"/>
        <v>1164.6935278429703</v>
      </c>
      <c r="QA42">
        <f ca="1"/>
        <v>1172.1119579566198</v>
      </c>
      <c r="QB42">
        <f ca="1"/>
        <v>1179.5303880702693</v>
      </c>
      <c r="QC42">
        <f ca="1"/>
        <v>1186.9488181839188</v>
      </c>
      <c r="QD42">
        <f ca="1"/>
        <v>1194.3672482975683</v>
      </c>
      <c r="QE42">
        <f ca="1"/>
        <v>1201.7856784112178</v>
      </c>
      <c r="QF42">
        <f ca="1"/>
        <v>1209.7975829339591</v>
      </c>
      <c r="QG42">
        <f ca="1"/>
        <v>1217.8094874567007</v>
      </c>
      <c r="QH42">
        <f ca="1"/>
        <v>1225.8213919794421</v>
      </c>
      <c r="QI42">
        <f ca="1"/>
        <v>1233.8332965021837</v>
      </c>
      <c r="QJ42">
        <f ca="1"/>
        <v>1241.845201024925</v>
      </c>
      <c r="QK42">
        <f ca="1"/>
        <v>1249.8571055476664</v>
      </c>
      <c r="QL42">
        <f ca="1"/>
        <v>1257.869010070408</v>
      </c>
      <c r="QM42">
        <f ca="1"/>
        <v>1265.8809145931493</v>
      </c>
      <c r="QN42">
        <f ca="1"/>
        <v>1273.8928191158909</v>
      </c>
      <c r="QO42">
        <f ca="1"/>
        <v>1281.9047236386323</v>
      </c>
      <c r="QP42">
        <f ca="1"/>
        <v>1289.9166281613739</v>
      </c>
      <c r="QQ42">
        <f ca="1"/>
        <v>1297.9285326841152</v>
      </c>
      <c r="QR42">
        <f ca="1"/>
        <v>1306.5813895686761</v>
      </c>
      <c r="QS42">
        <f ca="1"/>
        <v>1315.2342464532367</v>
      </c>
      <c r="QT42">
        <f ca="1"/>
        <v>1323.8871033377975</v>
      </c>
      <c r="QU42">
        <f ca="1"/>
        <v>1332.5399602223583</v>
      </c>
      <c r="QV42">
        <f ca="1"/>
        <v>1341.1928171069189</v>
      </c>
      <c r="QW42">
        <f ca="1"/>
        <v>1349.8456739914798</v>
      </c>
      <c r="QX42">
        <f ca="1"/>
        <v>1358.4985308760406</v>
      </c>
      <c r="QY42">
        <f ca="1"/>
        <v>1367.1513877606012</v>
      </c>
      <c r="QZ42">
        <f ca="1"/>
        <v>1375.804244645162</v>
      </c>
      <c r="RA42">
        <f ca="1"/>
        <v>1384.4571015297229</v>
      </c>
      <c r="RB42">
        <f ca="1"/>
        <v>1393.1099584142835</v>
      </c>
      <c r="RC42">
        <f ca="1"/>
        <v>1401.7628152988443</v>
      </c>
      <c r="RD42">
        <f ca="1"/>
        <v>1411.10790073417</v>
      </c>
      <c r="RE42">
        <f ca="1"/>
        <v>1420.4529861694955</v>
      </c>
      <c r="RF42">
        <f ca="1"/>
        <v>1429.7980716048212</v>
      </c>
      <c r="RG42">
        <f ca="1"/>
        <v>1439.1431570401469</v>
      </c>
      <c r="RH42">
        <f ca="1"/>
        <v>1448.4882424754726</v>
      </c>
      <c r="RI42">
        <f ca="1"/>
        <v>1457.8333279107983</v>
      </c>
      <c r="RJ42">
        <f ca="1"/>
        <v>1467.1784133461238</v>
      </c>
      <c r="RK42">
        <f ca="1"/>
        <v>1476.5234987814495</v>
      </c>
      <c r="RL42">
        <f ca="1"/>
        <v>1485.8685842167752</v>
      </c>
      <c r="RM42">
        <f ca="1"/>
        <v>1495.2136696521006</v>
      </c>
      <c r="RN42">
        <f ca="1"/>
        <v>1504.5587550874263</v>
      </c>
      <c r="RO42">
        <f ca="1"/>
        <v>1513.903840522752</v>
      </c>
      <c r="RP42">
        <f ca="1"/>
        <v>1523.9965327929037</v>
      </c>
      <c r="RQ42">
        <f ca="1"/>
        <v>1534.0892250630554</v>
      </c>
      <c r="RR42">
        <f ca="1"/>
        <v>1544.1819173332071</v>
      </c>
      <c r="RS42">
        <f ca="1"/>
        <v>1554.2746096033588</v>
      </c>
      <c r="RT42">
        <f ca="1"/>
        <v>1564.3673018735105</v>
      </c>
      <c r="RU42">
        <f ca="1"/>
        <v>1574.4599941436622</v>
      </c>
      <c r="RV42">
        <f ca="1"/>
        <v>1584.5526864138137</v>
      </c>
      <c r="RW42">
        <f ca="1"/>
        <v>1594.6453786839654</v>
      </c>
      <c r="RX42">
        <f ca="1"/>
        <v>1604.7380709541171</v>
      </c>
      <c r="RY42">
        <f ca="1"/>
        <v>1614.8307632242688</v>
      </c>
      <c r="RZ42">
        <f ca="1"/>
        <v>1624.9234554944205</v>
      </c>
    </row>
    <row r="43" spans="1:494" x14ac:dyDescent="0.3">
      <c r="A43" s="8" t="s">
        <v>501</v>
      </c>
      <c r="B43" cm="1">
        <f t="array" aca="1" ref="B43:RZ43" ca="1">_xlfn.ANCHORARRAY(B38) + (_xlfn.ANCHORARRAY(B39)-_xlfn.ANCHORARRAY(B38))*(_xlfn.ANCHORARRAY(B40)-(12-_xlfn.ANCHORARRAY(B41)))/_xlfn.ANCHORARRAY(B41)</f>
        <v>49.28</v>
      </c>
      <c r="C43">
        <f ca="1"/>
        <v>49.885000000000005</v>
      </c>
      <c r="D43">
        <f ca="1"/>
        <v>50.49</v>
      </c>
      <c r="E43">
        <f ca="1"/>
        <v>51.094999999999999</v>
      </c>
      <c r="F43">
        <f ca="1"/>
        <v>51.7</v>
      </c>
      <c r="G43">
        <f ca="1"/>
        <v>52.305000000000007</v>
      </c>
      <c r="H43">
        <f ca="1"/>
        <v>52.910000000000004</v>
      </c>
      <c r="I43">
        <f ca="1"/>
        <v>53.515000000000001</v>
      </c>
      <c r="J43">
        <f ca="1"/>
        <v>54.120000000000005</v>
      </c>
      <c r="K43">
        <f ca="1"/>
        <v>54.725000000000009</v>
      </c>
      <c r="L43">
        <f ca="1"/>
        <v>55.330000000000005</v>
      </c>
      <c r="M43">
        <f ca="1"/>
        <v>55.935000000000002</v>
      </c>
      <c r="N43">
        <f ca="1"/>
        <v>56.540000000000006</v>
      </c>
      <c r="O43">
        <f ca="1"/>
        <v>57.176033814102567</v>
      </c>
      <c r="P43">
        <f ca="1"/>
        <v>57.812067628205135</v>
      </c>
      <c r="Q43">
        <f ca="1"/>
        <v>58.448101442307703</v>
      </c>
      <c r="R43">
        <f ca="1"/>
        <v>59.084135256410264</v>
      </c>
      <c r="S43">
        <f ca="1"/>
        <v>59.720169070512824</v>
      </c>
      <c r="T43">
        <f ca="1"/>
        <v>60.356202884615392</v>
      </c>
      <c r="U43">
        <f ca="1"/>
        <v>60.99223669871796</v>
      </c>
      <c r="V43">
        <f ca="1"/>
        <v>61.628270512820521</v>
      </c>
      <c r="W43">
        <f ca="1"/>
        <v>62.264304326923082</v>
      </c>
      <c r="X43">
        <f ca="1"/>
        <v>62.900338141025649</v>
      </c>
      <c r="Y43">
        <f ca="1"/>
        <v>63.536371955128217</v>
      </c>
      <c r="Z43">
        <f ca="1"/>
        <v>64.172405769230778</v>
      </c>
      <c r="AA43">
        <f ca="1"/>
        <v>64.920433194862511</v>
      </c>
      <c r="AB43">
        <f ca="1"/>
        <v>65.668460620494244</v>
      </c>
      <c r="AC43">
        <f ca="1"/>
        <v>66.416488046125977</v>
      </c>
      <c r="AD43">
        <f ca="1"/>
        <v>67.16451547175771</v>
      </c>
      <c r="AE43">
        <f ca="1"/>
        <v>67.912542897389443</v>
      </c>
      <c r="AF43">
        <f ca="1"/>
        <v>68.660570323021176</v>
      </c>
      <c r="AG43">
        <f ca="1"/>
        <v>69.408597748652923</v>
      </c>
      <c r="AH43">
        <f ca="1"/>
        <v>70.156625174284656</v>
      </c>
      <c r="AI43">
        <f ca="1"/>
        <v>70.904652599916389</v>
      </c>
      <c r="AJ43">
        <f ca="1"/>
        <v>71.652680025548122</v>
      </c>
      <c r="AK43">
        <f ca="1"/>
        <v>72.400707451179855</v>
      </c>
      <c r="AL43">
        <f ca="1"/>
        <v>73.148734876811588</v>
      </c>
      <c r="AM43">
        <f ca="1"/>
        <v>73.848173453261239</v>
      </c>
      <c r="AN43">
        <f ca="1"/>
        <v>74.547612029710876</v>
      </c>
      <c r="AO43">
        <f ca="1"/>
        <v>75.247050606160528</v>
      </c>
      <c r="AP43">
        <f ca="1"/>
        <v>75.946489182610165</v>
      </c>
      <c r="AQ43">
        <f ca="1"/>
        <v>76.645927759059816</v>
      </c>
      <c r="AR43">
        <f ca="1"/>
        <v>77.345366335509453</v>
      </c>
      <c r="AS43">
        <f ca="1"/>
        <v>78.044804911959105</v>
      </c>
      <c r="AT43">
        <f ca="1"/>
        <v>78.744243488408756</v>
      </c>
      <c r="AU43">
        <f ca="1"/>
        <v>79.443682064858393</v>
      </c>
      <c r="AV43">
        <f ca="1"/>
        <v>80.143120641308045</v>
      </c>
      <c r="AW43">
        <f ca="1"/>
        <v>80.842559217757682</v>
      </c>
      <c r="AX43">
        <f ca="1"/>
        <v>81.541997794207333</v>
      </c>
      <c r="AY43">
        <f ca="1"/>
        <v>82.39139360456366</v>
      </c>
      <c r="AZ43">
        <f ca="1"/>
        <v>83.240789414919988</v>
      </c>
      <c r="BA43">
        <f ca="1"/>
        <v>84.090185225276315</v>
      </c>
      <c r="BB43">
        <f ca="1"/>
        <v>84.939581035632642</v>
      </c>
      <c r="BC43">
        <f ca="1"/>
        <v>85.788976845988969</v>
      </c>
      <c r="BD43">
        <f ca="1"/>
        <v>86.638372656345297</v>
      </c>
      <c r="BE43">
        <f ca="1"/>
        <v>87.487768466701624</v>
      </c>
      <c r="BF43">
        <f ca="1"/>
        <v>88.337164277057951</v>
      </c>
      <c r="BG43">
        <f ca="1"/>
        <v>89.186560087414279</v>
      </c>
      <c r="BH43">
        <f ca="1"/>
        <v>90.035955897770606</v>
      </c>
      <c r="BI43">
        <f ca="1"/>
        <v>90.885351708126933</v>
      </c>
      <c r="BJ43">
        <f ca="1"/>
        <v>91.73474751848326</v>
      </c>
      <c r="BK43">
        <f ca="1"/>
        <v>92.613872182202059</v>
      </c>
      <c r="BL43">
        <f ca="1"/>
        <v>93.492996845920857</v>
      </c>
      <c r="BM43">
        <f ca="1"/>
        <v>94.372121509639655</v>
      </c>
      <c r="BN43">
        <f ca="1"/>
        <v>95.251246173358453</v>
      </c>
      <c r="BO43">
        <f ca="1"/>
        <v>96.130370837077251</v>
      </c>
      <c r="BP43">
        <f ca="1"/>
        <v>97.009495500796049</v>
      </c>
      <c r="BQ43">
        <f ca="1"/>
        <v>97.888620164514862</v>
      </c>
      <c r="BR43">
        <f ca="1"/>
        <v>98.76774482823366</v>
      </c>
      <c r="BS43">
        <f ca="1"/>
        <v>99.646869491952458</v>
      </c>
      <c r="BT43">
        <f ca="1"/>
        <v>100.52599415567126</v>
      </c>
      <c r="BU43">
        <f ca="1"/>
        <v>101.40511881939005</v>
      </c>
      <c r="BV43">
        <f ca="1"/>
        <v>102.28424348310885</v>
      </c>
      <c r="BW43">
        <f ca="1"/>
        <v>103.17923061358606</v>
      </c>
      <c r="BX43">
        <f ca="1"/>
        <v>104.07421774406326</v>
      </c>
      <c r="BY43">
        <f ca="1"/>
        <v>104.96920487454045</v>
      </c>
      <c r="BZ43">
        <f ca="1"/>
        <v>105.86419200501766</v>
      </c>
      <c r="CA43">
        <f ca="1"/>
        <v>106.75917913549486</v>
      </c>
      <c r="CB43">
        <f ca="1"/>
        <v>107.65416626597207</v>
      </c>
      <c r="CC43">
        <f ca="1"/>
        <v>108.54915339644927</v>
      </c>
      <c r="CD43">
        <f ca="1"/>
        <v>109.44414052692647</v>
      </c>
      <c r="CE43">
        <f ca="1"/>
        <v>110.33912765740368</v>
      </c>
      <c r="CF43">
        <f ca="1"/>
        <v>111.23411478788087</v>
      </c>
      <c r="CG43">
        <f ca="1"/>
        <v>112.12910191835807</v>
      </c>
      <c r="CH43">
        <f ca="1"/>
        <v>113.02408904883528</v>
      </c>
      <c r="CI43">
        <f ca="1"/>
        <v>113.96595645757557</v>
      </c>
      <c r="CJ43">
        <f ca="1"/>
        <v>114.90782386631587</v>
      </c>
      <c r="CK43">
        <f ca="1"/>
        <v>115.84969127505616</v>
      </c>
      <c r="CL43">
        <f ca="1"/>
        <v>116.79155868379647</v>
      </c>
      <c r="CM43">
        <f ca="1"/>
        <v>117.73342609253676</v>
      </c>
      <c r="CN43">
        <f ca="1"/>
        <v>118.67529350127705</v>
      </c>
      <c r="CO43">
        <f ca="1"/>
        <v>119.61716091001735</v>
      </c>
      <c r="CP43">
        <f ca="1"/>
        <v>120.55902831875764</v>
      </c>
      <c r="CQ43">
        <f ca="1"/>
        <v>121.50089572749795</v>
      </c>
      <c r="CR43">
        <f ca="1"/>
        <v>122.44276313623824</v>
      </c>
      <c r="CS43">
        <f ca="1"/>
        <v>123.38463054497853</v>
      </c>
      <c r="CT43">
        <f ca="1"/>
        <v>124.32649795371883</v>
      </c>
      <c r="CU43">
        <f ca="1"/>
        <v>125.36255210333316</v>
      </c>
      <c r="CV43">
        <f ca="1"/>
        <v>126.39860625294747</v>
      </c>
      <c r="CW43">
        <f ca="1"/>
        <v>127.4346604025618</v>
      </c>
      <c r="CX43">
        <f ca="1"/>
        <v>128.47071455217613</v>
      </c>
      <c r="CY43">
        <f ca="1"/>
        <v>129.50676870179046</v>
      </c>
      <c r="CZ43">
        <f ca="1"/>
        <v>130.54282285140479</v>
      </c>
      <c r="DA43">
        <f ca="1"/>
        <v>131.57887700101912</v>
      </c>
      <c r="DB43">
        <f ca="1"/>
        <v>132.61493115063342</v>
      </c>
      <c r="DC43">
        <f ca="1"/>
        <v>133.65098530024775</v>
      </c>
      <c r="DD43">
        <f ca="1"/>
        <v>134.68703944986208</v>
      </c>
      <c r="DE43">
        <f ca="1"/>
        <v>135.72309359947641</v>
      </c>
      <c r="DF43">
        <f ca="1"/>
        <v>136.75914774909074</v>
      </c>
      <c r="DG43">
        <f ca="1"/>
        <v>137.78484135720893</v>
      </c>
      <c r="DH43">
        <f ca="1"/>
        <v>138.81053496532709</v>
      </c>
      <c r="DI43">
        <f ca="1"/>
        <v>139.83622857344528</v>
      </c>
      <c r="DJ43">
        <f ca="1"/>
        <v>140.86192218156347</v>
      </c>
      <c r="DK43">
        <f ca="1"/>
        <v>141.88761578968163</v>
      </c>
      <c r="DL43">
        <f ca="1"/>
        <v>142.91330939779982</v>
      </c>
      <c r="DM43">
        <f ca="1"/>
        <v>143.93900300591801</v>
      </c>
      <c r="DN43">
        <f ca="1"/>
        <v>144.96469661403617</v>
      </c>
      <c r="DO43">
        <f ca="1"/>
        <v>145.99039022215436</v>
      </c>
      <c r="DP43">
        <f ca="1"/>
        <v>147.01608383027255</v>
      </c>
      <c r="DQ43">
        <f ca="1"/>
        <v>148.04177743839071</v>
      </c>
      <c r="DR43">
        <f ca="1"/>
        <v>149.0674710465089</v>
      </c>
      <c r="DS43">
        <f ca="1"/>
        <v>150.18547707935772</v>
      </c>
      <c r="DT43">
        <f ca="1"/>
        <v>151.30348311220655</v>
      </c>
      <c r="DU43">
        <f ca="1"/>
        <v>152.42148914505535</v>
      </c>
      <c r="DV43">
        <f ca="1"/>
        <v>153.53949517790417</v>
      </c>
      <c r="DW43">
        <f ca="1"/>
        <v>154.657501210753</v>
      </c>
      <c r="DX43">
        <f ca="1"/>
        <v>155.77550724360179</v>
      </c>
      <c r="DY43">
        <f ca="1"/>
        <v>156.89351327645062</v>
      </c>
      <c r="DZ43">
        <f ca="1"/>
        <v>158.01151930929944</v>
      </c>
      <c r="EA43">
        <f ca="1"/>
        <v>159.12952534214827</v>
      </c>
      <c r="EB43">
        <f ca="1"/>
        <v>160.2475313749971</v>
      </c>
      <c r="EC43">
        <f ca="1"/>
        <v>161.36553740784589</v>
      </c>
      <c r="ED43">
        <f ca="1"/>
        <v>162.48354344069472</v>
      </c>
      <c r="EE43">
        <f ca="1"/>
        <v>163.56676706363268</v>
      </c>
      <c r="EF43">
        <f ca="1"/>
        <v>164.64999068657065</v>
      </c>
      <c r="EG43">
        <f ca="1"/>
        <v>165.73321430950861</v>
      </c>
      <c r="EH43">
        <f ca="1"/>
        <v>166.81643793244658</v>
      </c>
      <c r="EI43">
        <f ca="1"/>
        <v>167.89966155538454</v>
      </c>
      <c r="EJ43">
        <f ca="1"/>
        <v>168.9828851783225</v>
      </c>
      <c r="EK43">
        <f ca="1"/>
        <v>170.06610880126047</v>
      </c>
      <c r="EL43">
        <f ca="1"/>
        <v>171.14933242419843</v>
      </c>
      <c r="EM43">
        <f ca="1"/>
        <v>172.2325560471364</v>
      </c>
      <c r="EN43">
        <f ca="1"/>
        <v>173.31577967007436</v>
      </c>
      <c r="EO43">
        <f ca="1"/>
        <v>174.39900329301233</v>
      </c>
      <c r="EP43">
        <f ca="1"/>
        <v>175.48222691595029</v>
      </c>
      <c r="EQ43">
        <f ca="1"/>
        <v>176.6521084287233</v>
      </c>
      <c r="ER43">
        <f ca="1"/>
        <v>177.8219899414963</v>
      </c>
      <c r="ES43">
        <f ca="1"/>
        <v>178.9918714542693</v>
      </c>
      <c r="ET43">
        <f ca="1"/>
        <v>180.1617529670423</v>
      </c>
      <c r="EU43">
        <f ca="1"/>
        <v>181.33163447981531</v>
      </c>
      <c r="EV43">
        <f ca="1"/>
        <v>182.50151599258834</v>
      </c>
      <c r="EW43">
        <f ca="1"/>
        <v>183.67139750536134</v>
      </c>
      <c r="EX43">
        <f ca="1"/>
        <v>184.84127901813434</v>
      </c>
      <c r="EY43">
        <f ca="1"/>
        <v>186.01116053090735</v>
      </c>
      <c r="EZ43">
        <f ca="1"/>
        <v>187.18104204368035</v>
      </c>
      <c r="FA43">
        <f ca="1"/>
        <v>188.35092355645335</v>
      </c>
      <c r="FB43">
        <f ca="1"/>
        <v>189.52080506922636</v>
      </c>
      <c r="FC43">
        <f ca="1"/>
        <v>190.7842771030212</v>
      </c>
      <c r="FD43">
        <f ca="1"/>
        <v>192.04774913681604</v>
      </c>
      <c r="FE43">
        <f ca="1"/>
        <v>193.31122117061088</v>
      </c>
      <c r="FF43">
        <f ca="1"/>
        <v>194.57469320440572</v>
      </c>
      <c r="FG43">
        <f ca="1"/>
        <v>195.83816523820056</v>
      </c>
      <c r="FH43">
        <f ca="1"/>
        <v>197.1016372719954</v>
      </c>
      <c r="FI43">
        <f ca="1"/>
        <v>198.36510930579027</v>
      </c>
      <c r="FJ43">
        <f ca="1"/>
        <v>199.62858133958511</v>
      </c>
      <c r="FK43">
        <f ca="1"/>
        <v>200.89205337337995</v>
      </c>
      <c r="FL43">
        <f ca="1"/>
        <v>202.15552540717479</v>
      </c>
      <c r="FM43">
        <f ca="1"/>
        <v>203.41899744096963</v>
      </c>
      <c r="FN43">
        <f ca="1"/>
        <v>204.68246947476447</v>
      </c>
      <c r="FO43">
        <f ca="1"/>
        <v>206.04701927126291</v>
      </c>
      <c r="FP43">
        <f ca="1"/>
        <v>207.41156906776132</v>
      </c>
      <c r="FQ43">
        <f ca="1"/>
        <v>208.77611886425976</v>
      </c>
      <c r="FR43">
        <f ca="1"/>
        <v>210.14066866075819</v>
      </c>
      <c r="FS43">
        <f ca="1"/>
        <v>211.50521845725663</v>
      </c>
      <c r="FT43">
        <f ca="1"/>
        <v>212.86976825375507</v>
      </c>
      <c r="FU43">
        <f ca="1"/>
        <v>214.23431805025348</v>
      </c>
      <c r="FV43">
        <f ca="1"/>
        <v>215.59886784675192</v>
      </c>
      <c r="FW43">
        <f ca="1"/>
        <v>216.96341764325035</v>
      </c>
      <c r="FX43">
        <f ca="1"/>
        <v>218.32796743974876</v>
      </c>
      <c r="FY43">
        <f ca="1"/>
        <v>219.6925172362472</v>
      </c>
      <c r="FZ43">
        <f ca="1"/>
        <v>221.05706703274564</v>
      </c>
      <c r="GA43">
        <f ca="1"/>
        <v>222.53078081296394</v>
      </c>
      <c r="GB43">
        <f ca="1"/>
        <v>224.00449459318224</v>
      </c>
      <c r="GC43">
        <f ca="1"/>
        <v>225.47820837340055</v>
      </c>
      <c r="GD43">
        <f ca="1"/>
        <v>226.95192215361885</v>
      </c>
      <c r="GE43">
        <f ca="1"/>
        <v>228.42563593383716</v>
      </c>
      <c r="GF43">
        <f ca="1"/>
        <v>229.89934971405546</v>
      </c>
      <c r="GG43">
        <f ca="1"/>
        <v>231.37306349427377</v>
      </c>
      <c r="GH43">
        <f ca="1"/>
        <v>232.84677727449207</v>
      </c>
      <c r="GI43">
        <f ca="1"/>
        <v>234.32049105471037</v>
      </c>
      <c r="GJ43">
        <f ca="1"/>
        <v>235.79420483492868</v>
      </c>
      <c r="GK43">
        <f ca="1"/>
        <v>237.26791861514698</v>
      </c>
      <c r="GL43">
        <f ca="1"/>
        <v>238.74163239536529</v>
      </c>
      <c r="GM43">
        <f ca="1"/>
        <v>240.33324327800105</v>
      </c>
      <c r="GN43">
        <f ca="1"/>
        <v>241.92485416063684</v>
      </c>
      <c r="GO43">
        <f ca="1"/>
        <v>243.5164650432726</v>
      </c>
      <c r="GP43">
        <f ca="1"/>
        <v>245.10807592590837</v>
      </c>
      <c r="GQ43">
        <f ca="1"/>
        <v>246.69968680854416</v>
      </c>
      <c r="GR43">
        <f ca="1"/>
        <v>248.29129769117992</v>
      </c>
      <c r="GS43">
        <f ca="1"/>
        <v>249.88290857381568</v>
      </c>
      <c r="GT43">
        <f ca="1"/>
        <v>251.47451945645147</v>
      </c>
      <c r="GU43">
        <f ca="1"/>
        <v>253.06613033908724</v>
      </c>
      <c r="GV43">
        <f ca="1"/>
        <v>254.657741221723</v>
      </c>
      <c r="GW43">
        <f ca="1"/>
        <v>256.24935210435876</v>
      </c>
      <c r="GX43">
        <f ca="1"/>
        <v>257.84096298699455</v>
      </c>
      <c r="GY43">
        <f ca="1"/>
        <v>259.55990274024117</v>
      </c>
      <c r="GZ43">
        <f ca="1"/>
        <v>261.27884249348779</v>
      </c>
      <c r="HA43">
        <f ca="1"/>
        <v>262.99778224673446</v>
      </c>
      <c r="HB43">
        <f ca="1"/>
        <v>264.71672199998108</v>
      </c>
      <c r="HC43">
        <f ca="1"/>
        <v>266.43566175322769</v>
      </c>
      <c r="HD43">
        <f ca="1"/>
        <v>268.15460150647436</v>
      </c>
      <c r="HE43">
        <f ca="1"/>
        <v>269.87354125972098</v>
      </c>
      <c r="HF43">
        <f ca="1"/>
        <v>271.5924810129676</v>
      </c>
      <c r="HG43">
        <f ca="1"/>
        <v>273.31142076621421</v>
      </c>
      <c r="HH43">
        <f ca="1"/>
        <v>275.03036051946083</v>
      </c>
      <c r="HI43">
        <f ca="1"/>
        <v>276.7493002727075</v>
      </c>
      <c r="HJ43">
        <f ca="1"/>
        <v>278.46824002595412</v>
      </c>
      <c r="HK43">
        <f ca="1"/>
        <v>280.32469495946049</v>
      </c>
      <c r="HL43">
        <f ca="1"/>
        <v>282.18114989296686</v>
      </c>
      <c r="HM43">
        <f ca="1"/>
        <v>284.03760482647317</v>
      </c>
      <c r="HN43">
        <f ca="1"/>
        <v>285.89405975997954</v>
      </c>
      <c r="HO43">
        <f ca="1"/>
        <v>287.75051469348591</v>
      </c>
      <c r="HP43">
        <f ca="1"/>
        <v>289.60696962699228</v>
      </c>
      <c r="HQ43">
        <f ca="1"/>
        <v>291.46342456049865</v>
      </c>
      <c r="HR43">
        <f ca="1"/>
        <v>293.31987949400502</v>
      </c>
      <c r="HS43">
        <f ca="1"/>
        <v>295.17633442751139</v>
      </c>
      <c r="HT43">
        <f ca="1"/>
        <v>297.03278936101771</v>
      </c>
      <c r="HU43">
        <f ca="1"/>
        <v>298.88924429452408</v>
      </c>
      <c r="HV43">
        <f ca="1"/>
        <v>300.74569922803045</v>
      </c>
      <c r="HW43">
        <f ca="1"/>
        <v>302.7506705562173</v>
      </c>
      <c r="HX43">
        <f ca="1"/>
        <v>304.75564188440421</v>
      </c>
      <c r="HY43">
        <f ca="1"/>
        <v>306.76061321259107</v>
      </c>
      <c r="HZ43">
        <f ca="1"/>
        <v>308.76558454077798</v>
      </c>
      <c r="IA43">
        <f ca="1"/>
        <v>310.77055586896483</v>
      </c>
      <c r="IB43">
        <f ca="1"/>
        <v>312.77552719715175</v>
      </c>
      <c r="IC43">
        <f ca="1"/>
        <v>314.7804985253386</v>
      </c>
      <c r="ID43">
        <f ca="1"/>
        <v>316.78546985352546</v>
      </c>
      <c r="IE43">
        <f ca="1"/>
        <v>318.79044118171237</v>
      </c>
      <c r="IF43">
        <f ca="1"/>
        <v>320.79541250989922</v>
      </c>
      <c r="IG43">
        <f ca="1"/>
        <v>322.80038383808613</v>
      </c>
      <c r="IH43">
        <f ca="1"/>
        <v>324.80535516627299</v>
      </c>
      <c r="II43">
        <f ca="1"/>
        <v>326.97072420071481</v>
      </c>
      <c r="IJ43">
        <f ca="1"/>
        <v>329.13609323515664</v>
      </c>
      <c r="IK43">
        <f ca="1"/>
        <v>331.30146226959846</v>
      </c>
      <c r="IL43">
        <f ca="1"/>
        <v>333.46683130404028</v>
      </c>
      <c r="IM43">
        <f ca="1"/>
        <v>335.63220033848211</v>
      </c>
      <c r="IN43">
        <f ca="1"/>
        <v>337.79756937292393</v>
      </c>
      <c r="IO43">
        <f ca="1"/>
        <v>339.96293840736575</v>
      </c>
      <c r="IP43">
        <f ca="1"/>
        <v>342.12830744180758</v>
      </c>
      <c r="IQ43">
        <f ca="1"/>
        <v>344.2936764762494</v>
      </c>
      <c r="IR43">
        <f ca="1"/>
        <v>346.45904551069123</v>
      </c>
      <c r="IS43">
        <f ca="1"/>
        <v>348.62441454513305</v>
      </c>
      <c r="IT43">
        <f ca="1"/>
        <v>350.78978357957487</v>
      </c>
      <c r="IU43">
        <f ca="1"/>
        <v>353.12838213677202</v>
      </c>
      <c r="IV43">
        <f ca="1"/>
        <v>355.46698069396922</v>
      </c>
      <c r="IW43">
        <f ca="1"/>
        <v>357.80557925116636</v>
      </c>
      <c r="IX43">
        <f ca="1"/>
        <v>360.14417780836351</v>
      </c>
      <c r="IY43">
        <f ca="1"/>
        <v>362.48277636556071</v>
      </c>
      <c r="IZ43">
        <f ca="1"/>
        <v>364.82137492275785</v>
      </c>
      <c r="JA43">
        <f ca="1"/>
        <v>367.159973479955</v>
      </c>
      <c r="JB43">
        <f ca="1"/>
        <v>369.4985720371522</v>
      </c>
      <c r="JC43">
        <f ca="1"/>
        <v>371.83717059434935</v>
      </c>
      <c r="JD43">
        <f ca="1"/>
        <v>374.17576915154649</v>
      </c>
      <c r="JE43">
        <f ca="1"/>
        <v>376.51436770874369</v>
      </c>
      <c r="JF43">
        <f ca="1"/>
        <v>378.85296626594084</v>
      </c>
      <c r="JG43">
        <f ca="1"/>
        <v>381.3786527077138</v>
      </c>
      <c r="JH43">
        <f ca="1"/>
        <v>383.9043391494867</v>
      </c>
      <c r="JI43">
        <f ca="1"/>
        <v>386.43002559125966</v>
      </c>
      <c r="JJ43">
        <f ca="1"/>
        <v>388.95571203303263</v>
      </c>
      <c r="JK43">
        <f ca="1"/>
        <v>391.48139847480553</v>
      </c>
      <c r="JL43">
        <f ca="1"/>
        <v>394.00708491657849</v>
      </c>
      <c r="JM43">
        <f ca="1"/>
        <v>396.53277135835145</v>
      </c>
      <c r="JN43">
        <f ca="1"/>
        <v>399.05845780012436</v>
      </c>
      <c r="JO43">
        <f ca="1"/>
        <v>401.58414424189732</v>
      </c>
      <c r="JP43">
        <f ca="1"/>
        <v>404.10983068367028</v>
      </c>
      <c r="JQ43">
        <f ca="1"/>
        <v>406.63551712544319</v>
      </c>
      <c r="JR43">
        <f ca="1"/>
        <v>409.16120356721615</v>
      </c>
      <c r="JS43">
        <f ca="1"/>
        <v>411.88894492433093</v>
      </c>
      <c r="JT43">
        <f ca="1"/>
        <v>414.61668628144571</v>
      </c>
      <c r="JU43">
        <f ca="1"/>
        <v>417.34442763856049</v>
      </c>
      <c r="JV43">
        <f ca="1"/>
        <v>420.07216899567527</v>
      </c>
      <c r="JW43">
        <f ca="1"/>
        <v>422.79991035279005</v>
      </c>
      <c r="JX43">
        <f ca="1"/>
        <v>425.52765170990483</v>
      </c>
      <c r="JY43">
        <f ca="1"/>
        <v>428.25539306701961</v>
      </c>
      <c r="JZ43">
        <f ca="1"/>
        <v>430.98313442413439</v>
      </c>
      <c r="KA43">
        <f ca="1"/>
        <v>433.71087578124917</v>
      </c>
      <c r="KB43">
        <f ca="1"/>
        <v>436.43861713836395</v>
      </c>
      <c r="KC43">
        <f ca="1"/>
        <v>439.16635849547873</v>
      </c>
      <c r="KD43">
        <f ca="1"/>
        <v>441.89409985259351</v>
      </c>
      <c r="KE43">
        <f ca="1"/>
        <v>444.84006051827748</v>
      </c>
      <c r="KF43">
        <f ca="1"/>
        <v>447.78602118396145</v>
      </c>
      <c r="KG43">
        <f ca="1"/>
        <v>450.73198184964542</v>
      </c>
      <c r="KH43">
        <f ca="1"/>
        <v>453.67794251532933</v>
      </c>
      <c r="KI43">
        <f ca="1"/>
        <v>456.6239031810133</v>
      </c>
      <c r="KJ43">
        <f ca="1"/>
        <v>459.56986384669727</v>
      </c>
      <c r="KK43">
        <f ca="1"/>
        <v>462.51582451238124</v>
      </c>
      <c r="KL43">
        <f ca="1"/>
        <v>465.46178517806521</v>
      </c>
      <c r="KM43">
        <f ca="1"/>
        <v>468.40774584374913</v>
      </c>
      <c r="KN43">
        <f ca="1"/>
        <v>471.3537065094331</v>
      </c>
      <c r="KO43">
        <f ca="1"/>
        <v>474.29966717511707</v>
      </c>
      <c r="KP43">
        <f ca="1"/>
        <v>477.24562784080103</v>
      </c>
      <c r="KQ43">
        <f ca="1"/>
        <v>480.42726535973969</v>
      </c>
      <c r="KR43">
        <f ca="1"/>
        <v>483.60890287867841</v>
      </c>
      <c r="KS43">
        <f ca="1"/>
        <v>486.79054039761706</v>
      </c>
      <c r="KT43">
        <f ca="1"/>
        <v>489.97217791655572</v>
      </c>
      <c r="KU43">
        <f ca="1"/>
        <v>493.15381543549444</v>
      </c>
      <c r="KV43">
        <f ca="1"/>
        <v>496.33545295443309</v>
      </c>
      <c r="KW43">
        <f ca="1"/>
        <v>499.51709047337175</v>
      </c>
      <c r="KX43">
        <f ca="1"/>
        <v>502.69872799231047</v>
      </c>
      <c r="KY43">
        <f ca="1"/>
        <v>505.88036551124912</v>
      </c>
      <c r="KZ43">
        <f ca="1"/>
        <v>509.06200303018778</v>
      </c>
      <c r="LA43">
        <f ca="1"/>
        <v>512.24364054912644</v>
      </c>
      <c r="LB43">
        <f ca="1"/>
        <v>515.42527806806515</v>
      </c>
      <c r="LC43">
        <f ca="1"/>
        <v>518.8614465885189</v>
      </c>
      <c r="LD43">
        <f ca="1"/>
        <v>522.29761510897265</v>
      </c>
      <c r="LE43">
        <f ca="1"/>
        <v>525.7337836294264</v>
      </c>
      <c r="LF43">
        <f ca="1"/>
        <v>529.16995214988026</v>
      </c>
      <c r="LG43">
        <f ca="1"/>
        <v>532.60612067033401</v>
      </c>
      <c r="LH43">
        <f ca="1"/>
        <v>536.04228919078776</v>
      </c>
      <c r="LI43">
        <f ca="1"/>
        <v>539.4784577112415</v>
      </c>
      <c r="LJ43">
        <f ca="1"/>
        <v>542.91462623169525</v>
      </c>
      <c r="LK43">
        <f ca="1"/>
        <v>546.35079475214911</v>
      </c>
      <c r="LL43">
        <f ca="1"/>
        <v>549.78696327260286</v>
      </c>
      <c r="LM43">
        <f ca="1"/>
        <v>553.22313179305661</v>
      </c>
      <c r="LN43">
        <f ca="1"/>
        <v>556.65930031351036</v>
      </c>
      <c r="LO43">
        <f ca="1"/>
        <v>560.37036231560046</v>
      </c>
      <c r="LP43">
        <f ca="1"/>
        <v>564.08142431769056</v>
      </c>
      <c r="LQ43">
        <f ca="1"/>
        <v>567.79248631978055</v>
      </c>
      <c r="LR43">
        <f ca="1"/>
        <v>571.50354832187065</v>
      </c>
      <c r="LS43">
        <f ca="1"/>
        <v>575.21461032396076</v>
      </c>
      <c r="LT43">
        <f ca="1"/>
        <v>578.92567232605074</v>
      </c>
      <c r="LU43">
        <f ca="1"/>
        <v>582.63673432814085</v>
      </c>
      <c r="LV43">
        <f ca="1"/>
        <v>586.34779633023095</v>
      </c>
      <c r="LW43">
        <f ca="1"/>
        <v>590.05885833232105</v>
      </c>
      <c r="LX43">
        <f ca="1"/>
        <v>593.76992033441115</v>
      </c>
      <c r="LY43">
        <f ca="1"/>
        <v>597.48098233650114</v>
      </c>
      <c r="LZ43">
        <f ca="1"/>
        <v>601.19204433859124</v>
      </c>
      <c r="MA43">
        <f ca="1"/>
        <v>605.19999130084852</v>
      </c>
      <c r="MB43">
        <f ca="1"/>
        <v>609.2079382631058</v>
      </c>
      <c r="MC43">
        <f ca="1"/>
        <v>613.21588522536308</v>
      </c>
      <c r="MD43">
        <f ca="1"/>
        <v>617.22383218762036</v>
      </c>
      <c r="ME43">
        <f ca="1"/>
        <v>621.23177914987764</v>
      </c>
      <c r="MF43">
        <f ca="1"/>
        <v>625.2397261121348</v>
      </c>
      <c r="MG43">
        <f ca="1"/>
        <v>629.24767307439208</v>
      </c>
      <c r="MH43">
        <f ca="1"/>
        <v>633.25562003664936</v>
      </c>
      <c r="MI43">
        <f ca="1"/>
        <v>637.26356699890664</v>
      </c>
      <c r="MJ43">
        <f ca="1"/>
        <v>641.27151396116392</v>
      </c>
      <c r="MK43">
        <f ca="1"/>
        <v>645.2794609234212</v>
      </c>
      <c r="ML43">
        <f ca="1"/>
        <v>649.28740788567848</v>
      </c>
      <c r="MM43">
        <f ca="1"/>
        <v>653.61599060491631</v>
      </c>
      <c r="MN43">
        <f ca="1"/>
        <v>657.94457332415425</v>
      </c>
      <c r="MO43">
        <f ca="1"/>
        <v>662.27315604339208</v>
      </c>
      <c r="MP43">
        <f ca="1"/>
        <v>666.60173876263002</v>
      </c>
      <c r="MQ43">
        <f ca="1"/>
        <v>670.93032148186785</v>
      </c>
      <c r="MR43">
        <f ca="1"/>
        <v>675.25890420110568</v>
      </c>
      <c r="MS43">
        <f ca="1"/>
        <v>679.58748692034362</v>
      </c>
      <c r="MT43">
        <f ca="1"/>
        <v>683.91606963958145</v>
      </c>
      <c r="MU43">
        <f ca="1"/>
        <v>688.24465235881939</v>
      </c>
      <c r="MV43">
        <f ca="1"/>
        <v>692.57323507805722</v>
      </c>
      <c r="MW43">
        <f ca="1"/>
        <v>696.90181779729517</v>
      </c>
      <c r="MX43">
        <f ca="1"/>
        <v>701.230400516533</v>
      </c>
      <c r="MY43">
        <f ca="1"/>
        <v>705.90526985330985</v>
      </c>
      <c r="MZ43">
        <f ca="1"/>
        <v>710.58013919008681</v>
      </c>
      <c r="NA43">
        <f ca="1"/>
        <v>715.25500852686366</v>
      </c>
      <c r="NB43">
        <f ca="1"/>
        <v>719.92987786364051</v>
      </c>
      <c r="NC43">
        <f ca="1"/>
        <v>724.60474720041748</v>
      </c>
      <c r="ND43">
        <f ca="1"/>
        <v>729.27961653719433</v>
      </c>
      <c r="NE43">
        <f ca="1"/>
        <v>733.95448587397118</v>
      </c>
      <c r="NF43">
        <f ca="1"/>
        <v>738.62935521074814</v>
      </c>
      <c r="NG43">
        <f ca="1"/>
        <v>743.304224547525</v>
      </c>
      <c r="NH43">
        <f ca="1"/>
        <v>747.97909388430185</v>
      </c>
      <c r="NI43">
        <f ca="1"/>
        <v>752.65396322107881</v>
      </c>
      <c r="NJ43">
        <f ca="1"/>
        <v>757.32883255785566</v>
      </c>
      <c r="NK43">
        <f ca="1"/>
        <v>762.37769144157471</v>
      </c>
      <c r="NL43">
        <f ca="1"/>
        <v>767.42655032529376</v>
      </c>
      <c r="NM43">
        <f ca="1"/>
        <v>772.47540920901281</v>
      </c>
      <c r="NN43">
        <f ca="1"/>
        <v>777.52426809273186</v>
      </c>
      <c r="NO43">
        <f ca="1"/>
        <v>782.57312697645091</v>
      </c>
      <c r="NP43">
        <f ca="1"/>
        <v>787.62198586016996</v>
      </c>
      <c r="NQ43">
        <f ca="1"/>
        <v>792.67084474388901</v>
      </c>
      <c r="NR43">
        <f ca="1"/>
        <v>797.71970362760806</v>
      </c>
      <c r="NS43">
        <f ca="1"/>
        <v>802.7685625113271</v>
      </c>
      <c r="NT43">
        <f ca="1"/>
        <v>807.81742139504615</v>
      </c>
      <c r="NU43">
        <f ca="1"/>
        <v>812.8662802787652</v>
      </c>
      <c r="NV43">
        <f ca="1"/>
        <v>817.91513916248425</v>
      </c>
      <c r="NW43">
        <f ca="1"/>
        <v>823.36790675690077</v>
      </c>
      <c r="NX43">
        <f ca="1"/>
        <v>828.82067435131739</v>
      </c>
      <c r="NY43">
        <f ca="1"/>
        <v>834.27344194573391</v>
      </c>
      <c r="NZ43">
        <f ca="1"/>
        <v>839.72620954015053</v>
      </c>
      <c r="OA43">
        <f ca="1"/>
        <v>845.17897713456705</v>
      </c>
      <c r="OB43">
        <f ca="1"/>
        <v>850.63174472898368</v>
      </c>
      <c r="OC43">
        <f ca="1"/>
        <v>856.08451232340019</v>
      </c>
      <c r="OD43">
        <f ca="1"/>
        <v>861.5372799178167</v>
      </c>
      <c r="OE43">
        <f ca="1"/>
        <v>866.99004751223333</v>
      </c>
      <c r="OF43">
        <f ca="1"/>
        <v>872.44281510664985</v>
      </c>
      <c r="OG43">
        <f ca="1"/>
        <v>877.89558270106647</v>
      </c>
      <c r="OH43">
        <f ca="1"/>
        <v>883.34835029548299</v>
      </c>
      <c r="OI43">
        <f ca="1"/>
        <v>889.23733929745288</v>
      </c>
      <c r="OJ43">
        <f ca="1"/>
        <v>895.12632829942277</v>
      </c>
      <c r="OK43">
        <f ca="1"/>
        <v>901.01531730139266</v>
      </c>
      <c r="OL43">
        <f ca="1"/>
        <v>906.90430630336255</v>
      </c>
      <c r="OM43">
        <f ca="1"/>
        <v>912.79329530533244</v>
      </c>
      <c r="ON43">
        <f ca="1"/>
        <v>918.68228430730233</v>
      </c>
      <c r="OO43">
        <f ca="1"/>
        <v>924.57127330927233</v>
      </c>
      <c r="OP43">
        <f ca="1"/>
        <v>930.46026231124222</v>
      </c>
      <c r="OQ43">
        <f ca="1"/>
        <v>936.34925131321211</v>
      </c>
      <c r="OR43">
        <f ca="1"/>
        <v>942.238240315182</v>
      </c>
      <c r="OS43">
        <f ca="1"/>
        <v>948.12722931715189</v>
      </c>
      <c r="OT43">
        <f ca="1"/>
        <v>954.01621831912178</v>
      </c>
      <c r="OU43">
        <f ca="1"/>
        <v>960.37632644124926</v>
      </c>
      <c r="OV43">
        <f ca="1"/>
        <v>966.73643456337675</v>
      </c>
      <c r="OW43">
        <f ca="1"/>
        <v>973.09654268550423</v>
      </c>
      <c r="OX43">
        <f ca="1"/>
        <v>979.45665080763172</v>
      </c>
      <c r="OY43">
        <f ca="1"/>
        <v>985.8167589297592</v>
      </c>
      <c r="OZ43">
        <f ca="1"/>
        <v>992.17686705188657</v>
      </c>
      <c r="PA43">
        <f ca="1"/>
        <v>998.53697517401406</v>
      </c>
      <c r="PB43">
        <f ca="1"/>
        <v>1004.8970832961415</v>
      </c>
      <c r="PC43">
        <f ca="1"/>
        <v>1011.257191418269</v>
      </c>
      <c r="PD43">
        <f ca="1"/>
        <v>1017.6172995403965</v>
      </c>
      <c r="PE43">
        <f ca="1"/>
        <v>1023.977407662524</v>
      </c>
      <c r="PF43">
        <f ca="1"/>
        <v>1030.3375157846515</v>
      </c>
      <c r="PG43">
        <f ca="1"/>
        <v>1037.2064325565491</v>
      </c>
      <c r="PH43">
        <f ca="1"/>
        <v>1044.0753493284469</v>
      </c>
      <c r="PI43">
        <f ca="1"/>
        <v>1050.9442661003445</v>
      </c>
      <c r="PJ43">
        <f ca="1"/>
        <v>1057.8131828722421</v>
      </c>
      <c r="PK43">
        <f ca="1"/>
        <v>1064.68209964414</v>
      </c>
      <c r="PL43">
        <f ca="1"/>
        <v>1071.5510164160376</v>
      </c>
      <c r="PM43">
        <f ca="1"/>
        <v>1078.4199331879352</v>
      </c>
      <c r="PN43">
        <f ca="1"/>
        <v>1085.288849959833</v>
      </c>
      <c r="PO43">
        <f ca="1"/>
        <v>1092.1577667317306</v>
      </c>
      <c r="PP43">
        <f ca="1"/>
        <v>1099.0266835036282</v>
      </c>
      <c r="PQ43">
        <f ca="1"/>
        <v>1105.895600275526</v>
      </c>
      <c r="PR43">
        <f ca="1"/>
        <v>1112.7645170474236</v>
      </c>
      <c r="PS43">
        <f ca="1"/>
        <v>1120.1829471610731</v>
      </c>
      <c r="PT43">
        <f ca="1"/>
        <v>1127.6013772747226</v>
      </c>
      <c r="PU43">
        <f ca="1"/>
        <v>1135.0198073883721</v>
      </c>
      <c r="PV43">
        <f ca="1"/>
        <v>1142.4382375020216</v>
      </c>
      <c r="PW43">
        <f ca="1"/>
        <v>1149.8566676156711</v>
      </c>
      <c r="PX43">
        <f ca="1"/>
        <v>1157.2750977293208</v>
      </c>
      <c r="PY43">
        <f ca="1"/>
        <v>1164.6935278429703</v>
      </c>
      <c r="PZ43">
        <f ca="1"/>
        <v>1172.1119579566198</v>
      </c>
      <c r="QA43">
        <f ca="1"/>
        <v>1179.5303880702693</v>
      </c>
      <c r="QB43">
        <f ca="1"/>
        <v>1186.9488181839188</v>
      </c>
      <c r="QC43">
        <f ca="1"/>
        <v>1194.3672482975683</v>
      </c>
      <c r="QD43">
        <f ca="1"/>
        <v>1201.7856784112178</v>
      </c>
      <c r="QE43">
        <f ca="1"/>
        <v>1209.7975829339591</v>
      </c>
      <c r="QF43">
        <f ca="1"/>
        <v>1217.8094874567007</v>
      </c>
      <c r="QG43">
        <f ca="1"/>
        <v>1225.8213919794421</v>
      </c>
      <c r="QH43">
        <f ca="1"/>
        <v>1233.8332965021837</v>
      </c>
      <c r="QI43">
        <f ca="1"/>
        <v>1241.845201024925</v>
      </c>
      <c r="QJ43">
        <f ca="1"/>
        <v>1249.8571055476664</v>
      </c>
      <c r="QK43">
        <f ca="1"/>
        <v>1257.869010070408</v>
      </c>
      <c r="QL43">
        <f ca="1"/>
        <v>1265.8809145931493</v>
      </c>
      <c r="QM43">
        <f ca="1"/>
        <v>1273.8928191158909</v>
      </c>
      <c r="QN43">
        <f ca="1"/>
        <v>1281.9047236386323</v>
      </c>
      <c r="QO43">
        <f ca="1"/>
        <v>1289.9166281613739</v>
      </c>
      <c r="QP43">
        <f ca="1"/>
        <v>1297.9285326841152</v>
      </c>
      <c r="QQ43">
        <f ca="1"/>
        <v>1306.5813895686761</v>
      </c>
      <c r="QR43">
        <f ca="1"/>
        <v>1315.2342464532367</v>
      </c>
      <c r="QS43">
        <f ca="1"/>
        <v>1323.8871033377975</v>
      </c>
      <c r="QT43">
        <f ca="1"/>
        <v>1332.5399602223583</v>
      </c>
      <c r="QU43">
        <f ca="1"/>
        <v>1341.1928171069189</v>
      </c>
      <c r="QV43">
        <f ca="1"/>
        <v>1349.8456739914798</v>
      </c>
      <c r="QW43">
        <f ca="1"/>
        <v>1358.4985308760406</v>
      </c>
      <c r="QX43">
        <f ca="1"/>
        <v>1367.1513877606012</v>
      </c>
      <c r="QY43">
        <f ca="1"/>
        <v>1375.804244645162</v>
      </c>
      <c r="QZ43">
        <f ca="1"/>
        <v>1384.4571015297229</v>
      </c>
      <c r="RA43">
        <f ca="1"/>
        <v>1393.1099584142835</v>
      </c>
      <c r="RB43">
        <f ca="1"/>
        <v>1401.7628152988443</v>
      </c>
      <c r="RC43">
        <f ca="1"/>
        <v>1411.10790073417</v>
      </c>
      <c r="RD43">
        <f ca="1"/>
        <v>1420.4529861694955</v>
      </c>
      <c r="RE43">
        <f ca="1"/>
        <v>1429.7980716048212</v>
      </c>
      <c r="RF43">
        <f ca="1"/>
        <v>1439.1431570401469</v>
      </c>
      <c r="RG43">
        <f ca="1"/>
        <v>1448.4882424754726</v>
      </c>
      <c r="RH43">
        <f ca="1"/>
        <v>1457.8333279107983</v>
      </c>
      <c r="RI43">
        <f ca="1"/>
        <v>1467.1784133461238</v>
      </c>
      <c r="RJ43">
        <f ca="1"/>
        <v>1476.5234987814495</v>
      </c>
      <c r="RK43">
        <f ca="1"/>
        <v>1485.8685842167752</v>
      </c>
      <c r="RL43">
        <f ca="1"/>
        <v>1495.2136696521006</v>
      </c>
      <c r="RM43">
        <f ca="1"/>
        <v>1504.5587550874263</v>
      </c>
      <c r="RN43">
        <f ca="1"/>
        <v>1513.903840522752</v>
      </c>
      <c r="RO43">
        <f ca="1"/>
        <v>1523.9965327929037</v>
      </c>
      <c r="RP43">
        <f ca="1"/>
        <v>1534.0892250630554</v>
      </c>
      <c r="RQ43">
        <f ca="1"/>
        <v>1544.1819173332071</v>
      </c>
      <c r="RR43">
        <f ca="1"/>
        <v>1554.2746096033588</v>
      </c>
      <c r="RS43">
        <f ca="1"/>
        <v>1564.3673018735105</v>
      </c>
      <c r="RT43">
        <f ca="1"/>
        <v>1574.4599941436622</v>
      </c>
      <c r="RU43">
        <f ca="1"/>
        <v>1584.5526864138137</v>
      </c>
      <c r="RV43">
        <f ca="1"/>
        <v>1594.6453786839654</v>
      </c>
      <c r="RW43">
        <f ca="1"/>
        <v>1604.7380709541171</v>
      </c>
      <c r="RX43">
        <f ca="1"/>
        <v>1614.8307632242688</v>
      </c>
      <c r="RY43">
        <f ca="1"/>
        <v>1624.9234554944205</v>
      </c>
      <c r="RZ43">
        <f ca="1"/>
        <v>1635.0161477645722</v>
      </c>
    </row>
    <row r="44" spans="1:494" x14ac:dyDescent="0.3">
      <c r="A44" s="8" t="s">
        <v>502</v>
      </c>
      <c r="B44" cm="1">
        <f t="array" aca="1" ref="B44:RZ44" ca="1">(_xlfn.ANCHORARRAY(B42)+_xlfn.ANCHORARRAY(B43))/2</f>
        <v>49.267400000000002</v>
      </c>
      <c r="C44">
        <f ca="1"/>
        <v>49.582500000000003</v>
      </c>
      <c r="D44">
        <f ca="1"/>
        <v>50.1875</v>
      </c>
      <c r="E44">
        <f ca="1"/>
        <v>50.792500000000004</v>
      </c>
      <c r="F44">
        <f ca="1"/>
        <v>51.397500000000001</v>
      </c>
      <c r="G44">
        <f ca="1"/>
        <v>52.002500000000005</v>
      </c>
      <c r="H44">
        <f ca="1"/>
        <v>52.607500000000002</v>
      </c>
      <c r="I44">
        <f ca="1"/>
        <v>53.212500000000006</v>
      </c>
      <c r="J44">
        <f ca="1"/>
        <v>53.817500000000003</v>
      </c>
      <c r="K44">
        <f ca="1"/>
        <v>54.422500000000007</v>
      </c>
      <c r="L44">
        <f ca="1"/>
        <v>55.027500000000003</v>
      </c>
      <c r="M44">
        <f ca="1"/>
        <v>55.632500000000007</v>
      </c>
      <c r="N44">
        <f ca="1"/>
        <v>56.237500000000004</v>
      </c>
      <c r="O44">
        <f ca="1"/>
        <v>56.858016907051287</v>
      </c>
      <c r="P44">
        <f ca="1"/>
        <v>57.494050721153855</v>
      </c>
      <c r="Q44">
        <f ca="1"/>
        <v>58.130084535256415</v>
      </c>
      <c r="R44">
        <f ca="1"/>
        <v>58.766118349358983</v>
      </c>
      <c r="S44">
        <f ca="1"/>
        <v>59.402152163461544</v>
      </c>
      <c r="T44">
        <f ca="1"/>
        <v>60.038185977564112</v>
      </c>
      <c r="U44">
        <f ca="1"/>
        <v>60.674219791666673</v>
      </c>
      <c r="V44">
        <f ca="1"/>
        <v>61.31025360576924</v>
      </c>
      <c r="W44">
        <f ca="1"/>
        <v>61.946287419871801</v>
      </c>
      <c r="X44">
        <f ca="1"/>
        <v>62.582321233974369</v>
      </c>
      <c r="Y44">
        <f ca="1"/>
        <v>63.21835504807693</v>
      </c>
      <c r="Z44">
        <f ca="1"/>
        <v>63.854388862179498</v>
      </c>
      <c r="AA44">
        <f ca="1"/>
        <v>64.546419482046645</v>
      </c>
      <c r="AB44">
        <f ca="1"/>
        <v>65.294446907678378</v>
      </c>
      <c r="AC44">
        <f ca="1"/>
        <v>66.042474333310111</v>
      </c>
      <c r="AD44">
        <f ca="1"/>
        <v>66.790501758941843</v>
      </c>
      <c r="AE44">
        <f ca="1"/>
        <v>67.538529184573576</v>
      </c>
      <c r="AF44">
        <f ca="1"/>
        <v>68.286556610205309</v>
      </c>
      <c r="AG44">
        <f ca="1"/>
        <v>69.034584035837042</v>
      </c>
      <c r="AH44">
        <f ca="1"/>
        <v>69.78261146146879</v>
      </c>
      <c r="AI44">
        <f ca="1"/>
        <v>70.530638887100523</v>
      </c>
      <c r="AJ44">
        <f ca="1"/>
        <v>71.278666312732256</v>
      </c>
      <c r="AK44">
        <f ca="1"/>
        <v>72.026693738363988</v>
      </c>
      <c r="AL44">
        <f ca="1"/>
        <v>72.774721163995721</v>
      </c>
      <c r="AM44">
        <f ca="1"/>
        <v>73.498454165036406</v>
      </c>
      <c r="AN44">
        <f ca="1"/>
        <v>74.197892741486058</v>
      </c>
      <c r="AO44">
        <f ca="1"/>
        <v>74.897331317935709</v>
      </c>
      <c r="AP44">
        <f ca="1"/>
        <v>75.596769894385346</v>
      </c>
      <c r="AQ44">
        <f ca="1"/>
        <v>76.296208470834983</v>
      </c>
      <c r="AR44">
        <f ca="1"/>
        <v>76.995647047284635</v>
      </c>
      <c r="AS44">
        <f ca="1"/>
        <v>77.695085623734286</v>
      </c>
      <c r="AT44">
        <f ca="1"/>
        <v>78.394524200183923</v>
      </c>
      <c r="AU44">
        <f ca="1"/>
        <v>79.093962776633575</v>
      </c>
      <c r="AV44">
        <f ca="1"/>
        <v>79.793401353083226</v>
      </c>
      <c r="AW44">
        <f ca="1"/>
        <v>80.492839929532863</v>
      </c>
      <c r="AX44">
        <f ca="1"/>
        <v>81.1922785059825</v>
      </c>
      <c r="AY44">
        <f ca="1"/>
        <v>81.966695699385497</v>
      </c>
      <c r="AZ44">
        <f ca="1"/>
        <v>82.816091509741824</v>
      </c>
      <c r="BA44">
        <f ca="1"/>
        <v>83.665487320098151</v>
      </c>
      <c r="BB44">
        <f ca="1"/>
        <v>84.514883130454479</v>
      </c>
      <c r="BC44">
        <f ca="1"/>
        <v>85.364278940810806</v>
      </c>
      <c r="BD44">
        <f ca="1"/>
        <v>86.213674751167133</v>
      </c>
      <c r="BE44">
        <f ca="1"/>
        <v>87.06307056152346</v>
      </c>
      <c r="BF44">
        <f ca="1"/>
        <v>87.912466371879788</v>
      </c>
      <c r="BG44">
        <f ca="1"/>
        <v>88.761862182236115</v>
      </c>
      <c r="BH44">
        <f ca="1"/>
        <v>89.611257992592442</v>
      </c>
      <c r="BI44">
        <f ca="1"/>
        <v>90.460653802948769</v>
      </c>
      <c r="BJ44">
        <f ca="1"/>
        <v>91.310049613305097</v>
      </c>
      <c r="BK44">
        <f ca="1"/>
        <v>92.174309850342667</v>
      </c>
      <c r="BL44">
        <f ca="1"/>
        <v>93.05343451406145</v>
      </c>
      <c r="BM44">
        <f ca="1"/>
        <v>93.932559177780263</v>
      </c>
      <c r="BN44">
        <f ca="1"/>
        <v>94.811683841499047</v>
      </c>
      <c r="BO44">
        <f ca="1"/>
        <v>95.690808505217859</v>
      </c>
      <c r="BP44">
        <f ca="1"/>
        <v>96.569933168936643</v>
      </c>
      <c r="BQ44">
        <f ca="1"/>
        <v>97.449057832655456</v>
      </c>
      <c r="BR44">
        <f ca="1"/>
        <v>98.328182496374268</v>
      </c>
      <c r="BS44">
        <f ca="1"/>
        <v>99.207307160093052</v>
      </c>
      <c r="BT44">
        <f ca="1"/>
        <v>100.08643182381186</v>
      </c>
      <c r="BU44">
        <f ca="1"/>
        <v>100.96555648753065</v>
      </c>
      <c r="BV44">
        <f ca="1"/>
        <v>101.84468115124946</v>
      </c>
      <c r="BW44">
        <f ca="1"/>
        <v>102.73173704834745</v>
      </c>
      <c r="BX44">
        <f ca="1"/>
        <v>103.62672417882466</v>
      </c>
      <c r="BY44">
        <f ca="1"/>
        <v>104.52171130930185</v>
      </c>
      <c r="BZ44">
        <f ca="1"/>
        <v>105.41669843977905</v>
      </c>
      <c r="CA44">
        <f ca="1"/>
        <v>106.31168557025626</v>
      </c>
      <c r="CB44">
        <f ca="1"/>
        <v>107.20667270073346</v>
      </c>
      <c r="CC44">
        <f ca="1"/>
        <v>108.10165983121067</v>
      </c>
      <c r="CD44">
        <f ca="1"/>
        <v>108.99664696168787</v>
      </c>
      <c r="CE44">
        <f ca="1"/>
        <v>109.89163409216508</v>
      </c>
      <c r="CF44">
        <f ca="1"/>
        <v>110.78662122264228</v>
      </c>
      <c r="CG44">
        <f ca="1"/>
        <v>111.68160835311947</v>
      </c>
      <c r="CH44">
        <f ca="1"/>
        <v>112.57659548359668</v>
      </c>
      <c r="CI44">
        <f ca="1"/>
        <v>113.49502275320543</v>
      </c>
      <c r="CJ44">
        <f ca="1"/>
        <v>114.43689016194571</v>
      </c>
      <c r="CK44">
        <f ca="1"/>
        <v>115.37875757068602</v>
      </c>
      <c r="CL44">
        <f ca="1"/>
        <v>116.32062497942631</v>
      </c>
      <c r="CM44">
        <f ca="1"/>
        <v>117.26249238816661</v>
      </c>
      <c r="CN44">
        <f ca="1"/>
        <v>118.20435979690691</v>
      </c>
      <c r="CO44">
        <f ca="1"/>
        <v>119.14622720564719</v>
      </c>
      <c r="CP44">
        <f ca="1"/>
        <v>120.0880946143875</v>
      </c>
      <c r="CQ44">
        <f ca="1"/>
        <v>121.02996202312779</v>
      </c>
      <c r="CR44">
        <f ca="1"/>
        <v>121.97182943186809</v>
      </c>
      <c r="CS44">
        <f ca="1"/>
        <v>122.9136968406084</v>
      </c>
      <c r="CT44">
        <f ca="1"/>
        <v>123.85556424934867</v>
      </c>
      <c r="CU44">
        <f ca="1"/>
        <v>124.84452502852599</v>
      </c>
      <c r="CV44">
        <f ca="1"/>
        <v>125.88057917814032</v>
      </c>
      <c r="CW44">
        <f ca="1"/>
        <v>126.91663332775464</v>
      </c>
      <c r="CX44">
        <f ca="1"/>
        <v>127.95268747736897</v>
      </c>
      <c r="CY44">
        <f ca="1"/>
        <v>128.98874162698331</v>
      </c>
      <c r="CZ44">
        <f ca="1"/>
        <v>130.02479577659761</v>
      </c>
      <c r="DA44">
        <f ca="1"/>
        <v>131.06084992621197</v>
      </c>
      <c r="DB44">
        <f ca="1"/>
        <v>132.09690407582627</v>
      </c>
      <c r="DC44">
        <f ca="1"/>
        <v>133.13295822544058</v>
      </c>
      <c r="DD44">
        <f ca="1"/>
        <v>134.16901237505493</v>
      </c>
      <c r="DE44">
        <f ca="1"/>
        <v>135.20506652466923</v>
      </c>
      <c r="DF44">
        <f ca="1"/>
        <v>136.24112067428359</v>
      </c>
      <c r="DG44">
        <f ca="1"/>
        <v>137.27199455314985</v>
      </c>
      <c r="DH44">
        <f ca="1"/>
        <v>138.29768816126801</v>
      </c>
      <c r="DI44">
        <f ca="1"/>
        <v>139.32338176938617</v>
      </c>
      <c r="DJ44">
        <f ca="1"/>
        <v>140.34907537750439</v>
      </c>
      <c r="DK44">
        <f ca="1"/>
        <v>141.37476898562255</v>
      </c>
      <c r="DL44">
        <f ca="1"/>
        <v>142.40046259374071</v>
      </c>
      <c r="DM44">
        <f ca="1"/>
        <v>143.42615620185893</v>
      </c>
      <c r="DN44">
        <f ca="1"/>
        <v>144.45184980997709</v>
      </c>
      <c r="DO44">
        <f ca="1"/>
        <v>145.47754341809525</v>
      </c>
      <c r="DP44">
        <f ca="1"/>
        <v>146.50323702621347</v>
      </c>
      <c r="DQ44">
        <f ca="1"/>
        <v>147.52893063433163</v>
      </c>
      <c r="DR44">
        <f ca="1"/>
        <v>148.55462424244979</v>
      </c>
      <c r="DS44">
        <f ca="1"/>
        <v>149.62647406293331</v>
      </c>
      <c r="DT44">
        <f ca="1"/>
        <v>150.74448009578214</v>
      </c>
      <c r="DU44">
        <f ca="1"/>
        <v>151.86248612863096</v>
      </c>
      <c r="DV44">
        <f ca="1"/>
        <v>152.98049216147976</v>
      </c>
      <c r="DW44">
        <f ca="1"/>
        <v>154.09849819432858</v>
      </c>
      <c r="DX44">
        <f ca="1"/>
        <v>155.21650422717738</v>
      </c>
      <c r="DY44">
        <f ca="1"/>
        <v>156.33451026002621</v>
      </c>
      <c r="DZ44">
        <f ca="1"/>
        <v>157.45251629287503</v>
      </c>
      <c r="EA44">
        <f ca="1"/>
        <v>158.57052232572386</v>
      </c>
      <c r="EB44">
        <f ca="1"/>
        <v>159.68852835857268</v>
      </c>
      <c r="EC44">
        <f ca="1"/>
        <v>160.80653439142151</v>
      </c>
      <c r="ED44">
        <f ca="1"/>
        <v>161.9245404242703</v>
      </c>
      <c r="EE44">
        <f ca="1"/>
        <v>163.0251552521637</v>
      </c>
      <c r="EF44">
        <f ca="1"/>
        <v>164.10837887510166</v>
      </c>
      <c r="EG44">
        <f ca="1"/>
        <v>165.19160249803963</v>
      </c>
      <c r="EH44">
        <f ca="1"/>
        <v>166.27482612097759</v>
      </c>
      <c r="EI44">
        <f ca="1"/>
        <v>167.35804974391556</v>
      </c>
      <c r="EJ44">
        <f ca="1"/>
        <v>168.44127336685352</v>
      </c>
      <c r="EK44">
        <f ca="1"/>
        <v>169.52449698979149</v>
      </c>
      <c r="EL44">
        <f ca="1"/>
        <v>170.60772061272945</v>
      </c>
      <c r="EM44">
        <f ca="1"/>
        <v>171.69094423566742</v>
      </c>
      <c r="EN44">
        <f ca="1"/>
        <v>172.77416785860538</v>
      </c>
      <c r="EO44">
        <f ca="1"/>
        <v>173.85739148154335</v>
      </c>
      <c r="EP44">
        <f ca="1"/>
        <v>174.94061510448131</v>
      </c>
      <c r="EQ44">
        <f ca="1"/>
        <v>176.06716767233678</v>
      </c>
      <c r="ER44">
        <f ca="1"/>
        <v>177.23704918510981</v>
      </c>
      <c r="ES44">
        <f ca="1"/>
        <v>178.40693069788279</v>
      </c>
      <c r="ET44">
        <f ca="1"/>
        <v>179.57681221065582</v>
      </c>
      <c r="EU44">
        <f ca="1"/>
        <v>180.74669372342879</v>
      </c>
      <c r="EV44">
        <f ca="1"/>
        <v>181.91657523620182</v>
      </c>
      <c r="EW44">
        <f ca="1"/>
        <v>183.08645674897485</v>
      </c>
      <c r="EX44">
        <f ca="1"/>
        <v>184.25633826174783</v>
      </c>
      <c r="EY44">
        <f ca="1"/>
        <v>185.42621977452086</v>
      </c>
      <c r="EZ44">
        <f ca="1"/>
        <v>186.59610128729383</v>
      </c>
      <c r="FA44">
        <f ca="1"/>
        <v>187.76598280006687</v>
      </c>
      <c r="FB44">
        <f ca="1"/>
        <v>188.93586431283984</v>
      </c>
      <c r="FC44">
        <f ca="1"/>
        <v>190.15254108612379</v>
      </c>
      <c r="FD44">
        <f ca="1"/>
        <v>191.4160131199186</v>
      </c>
      <c r="FE44">
        <f ca="1"/>
        <v>192.67948515371347</v>
      </c>
      <c r="FF44">
        <f ca="1"/>
        <v>193.94295718750828</v>
      </c>
      <c r="FG44">
        <f ca="1"/>
        <v>195.20642922130315</v>
      </c>
      <c r="FH44">
        <f ca="1"/>
        <v>196.46990125509797</v>
      </c>
      <c r="FI44">
        <f ca="1"/>
        <v>197.73337328889284</v>
      </c>
      <c r="FJ44">
        <f ca="1"/>
        <v>198.9968453226877</v>
      </c>
      <c r="FK44">
        <f ca="1"/>
        <v>200.26031735648252</v>
      </c>
      <c r="FL44">
        <f ca="1"/>
        <v>201.52378939027739</v>
      </c>
      <c r="FM44">
        <f ca="1"/>
        <v>202.7872614240722</v>
      </c>
      <c r="FN44">
        <f ca="1"/>
        <v>204.05073345786707</v>
      </c>
      <c r="FO44">
        <f ca="1"/>
        <v>205.36474437301371</v>
      </c>
      <c r="FP44">
        <f ca="1"/>
        <v>206.72929416951212</v>
      </c>
      <c r="FQ44">
        <f ca="1"/>
        <v>208.09384396601052</v>
      </c>
      <c r="FR44">
        <f ca="1"/>
        <v>209.45839376250899</v>
      </c>
      <c r="FS44">
        <f ca="1"/>
        <v>210.8229435590074</v>
      </c>
      <c r="FT44">
        <f ca="1"/>
        <v>212.18749335550586</v>
      </c>
      <c r="FU44">
        <f ca="1"/>
        <v>213.55204315200427</v>
      </c>
      <c r="FV44">
        <f ca="1"/>
        <v>214.91659294850268</v>
      </c>
      <c r="FW44">
        <f ca="1"/>
        <v>216.28114274500115</v>
      </c>
      <c r="FX44">
        <f ca="1"/>
        <v>217.64569254149956</v>
      </c>
      <c r="FY44">
        <f ca="1"/>
        <v>219.01024233799797</v>
      </c>
      <c r="FZ44">
        <f ca="1"/>
        <v>220.37479213449643</v>
      </c>
      <c r="GA44">
        <f ca="1"/>
        <v>221.79392392285479</v>
      </c>
      <c r="GB44">
        <f ca="1"/>
        <v>223.26763770307309</v>
      </c>
      <c r="GC44">
        <f ca="1"/>
        <v>224.7413514832914</v>
      </c>
      <c r="GD44">
        <f ca="1"/>
        <v>226.2150652635097</v>
      </c>
      <c r="GE44">
        <f ca="1"/>
        <v>227.688779043728</v>
      </c>
      <c r="GF44">
        <f ca="1"/>
        <v>229.16249282394631</v>
      </c>
      <c r="GG44">
        <f ca="1"/>
        <v>230.63620660416461</v>
      </c>
      <c r="GH44">
        <f ca="1"/>
        <v>232.10992038438292</v>
      </c>
      <c r="GI44">
        <f ca="1"/>
        <v>233.58363416460122</v>
      </c>
      <c r="GJ44">
        <f ca="1"/>
        <v>235.05734794481953</v>
      </c>
      <c r="GK44">
        <f ca="1"/>
        <v>236.53106172503783</v>
      </c>
      <c r="GL44">
        <f ca="1"/>
        <v>238.00477550525613</v>
      </c>
      <c r="GM44">
        <f ca="1"/>
        <v>239.53743783668318</v>
      </c>
      <c r="GN44">
        <f ca="1"/>
        <v>241.12904871931894</v>
      </c>
      <c r="GO44">
        <f ca="1"/>
        <v>242.72065960195471</v>
      </c>
      <c r="GP44">
        <f ca="1"/>
        <v>244.3122704845905</v>
      </c>
      <c r="GQ44">
        <f ca="1"/>
        <v>245.90388136722626</v>
      </c>
      <c r="GR44">
        <f ca="1"/>
        <v>247.49549224986202</v>
      </c>
      <c r="GS44">
        <f ca="1"/>
        <v>249.08710313249782</v>
      </c>
      <c r="GT44">
        <f ca="1"/>
        <v>250.67871401513358</v>
      </c>
      <c r="GU44">
        <f ca="1"/>
        <v>252.27032489776934</v>
      </c>
      <c r="GV44">
        <f ca="1"/>
        <v>253.86193578040513</v>
      </c>
      <c r="GW44">
        <f ca="1"/>
        <v>255.45354666304087</v>
      </c>
      <c r="GX44">
        <f ca="1"/>
        <v>257.04515754567666</v>
      </c>
      <c r="GY44">
        <f ca="1"/>
        <v>258.70043286361783</v>
      </c>
      <c r="GZ44">
        <f ca="1"/>
        <v>260.41937261686451</v>
      </c>
      <c r="HA44">
        <f ca="1"/>
        <v>262.13831237011112</v>
      </c>
      <c r="HB44">
        <f ca="1"/>
        <v>263.85725212335774</v>
      </c>
      <c r="HC44">
        <f ca="1"/>
        <v>265.57619187660441</v>
      </c>
      <c r="HD44">
        <f ca="1"/>
        <v>267.29513162985103</v>
      </c>
      <c r="HE44">
        <f ca="1"/>
        <v>269.01407138309764</v>
      </c>
      <c r="HF44">
        <f ca="1"/>
        <v>270.73301113634432</v>
      </c>
      <c r="HG44">
        <f ca="1"/>
        <v>272.45195088959088</v>
      </c>
      <c r="HH44">
        <f ca="1"/>
        <v>274.17089064283755</v>
      </c>
      <c r="HI44">
        <f ca="1"/>
        <v>275.88983039608416</v>
      </c>
      <c r="HJ44">
        <f ca="1"/>
        <v>277.60877014933078</v>
      </c>
      <c r="HK44">
        <f ca="1"/>
        <v>279.3964674927073</v>
      </c>
      <c r="HL44">
        <f ca="1"/>
        <v>281.25292242621367</v>
      </c>
      <c r="HM44">
        <f ca="1"/>
        <v>283.10937735972004</v>
      </c>
      <c r="HN44">
        <f ca="1"/>
        <v>284.96583229322636</v>
      </c>
      <c r="HO44">
        <f ca="1"/>
        <v>286.82228722673273</v>
      </c>
      <c r="HP44">
        <f ca="1"/>
        <v>288.6787421602391</v>
      </c>
      <c r="HQ44">
        <f ca="1"/>
        <v>290.53519709374547</v>
      </c>
      <c r="HR44">
        <f ca="1"/>
        <v>292.39165202725184</v>
      </c>
      <c r="HS44">
        <f ca="1"/>
        <v>294.24810696075821</v>
      </c>
      <c r="HT44">
        <f ca="1"/>
        <v>296.10456189426452</v>
      </c>
      <c r="HU44">
        <f ca="1"/>
        <v>297.96101682777089</v>
      </c>
      <c r="HV44">
        <f ca="1"/>
        <v>299.81747176127726</v>
      </c>
      <c r="HW44">
        <f ca="1"/>
        <v>301.74818489212385</v>
      </c>
      <c r="HX44">
        <f ca="1"/>
        <v>303.75315622031076</v>
      </c>
      <c r="HY44">
        <f ca="1"/>
        <v>305.75812754849767</v>
      </c>
      <c r="HZ44">
        <f ca="1"/>
        <v>307.76309887668452</v>
      </c>
      <c r="IA44">
        <f ca="1"/>
        <v>309.76807020487138</v>
      </c>
      <c r="IB44">
        <f ca="1"/>
        <v>311.77304153305829</v>
      </c>
      <c r="IC44">
        <f ca="1"/>
        <v>313.7780128612452</v>
      </c>
      <c r="ID44">
        <f ca="1"/>
        <v>315.782984189432</v>
      </c>
      <c r="IE44">
        <f ca="1"/>
        <v>317.78795551761891</v>
      </c>
      <c r="IF44">
        <f ca="1"/>
        <v>319.79292684580582</v>
      </c>
      <c r="IG44">
        <f ca="1"/>
        <v>321.79789817399268</v>
      </c>
      <c r="IH44">
        <f ca="1"/>
        <v>323.80286950217953</v>
      </c>
      <c r="II44">
        <f ca="1"/>
        <v>325.8880396834939</v>
      </c>
      <c r="IJ44">
        <f ca="1"/>
        <v>328.05340871793572</v>
      </c>
      <c r="IK44">
        <f ca="1"/>
        <v>330.21877775237755</v>
      </c>
      <c r="IL44">
        <f ca="1"/>
        <v>332.38414678681937</v>
      </c>
      <c r="IM44">
        <f ca="1"/>
        <v>334.5495158212612</v>
      </c>
      <c r="IN44">
        <f ca="1"/>
        <v>336.71488485570302</v>
      </c>
      <c r="IO44">
        <f ca="1"/>
        <v>338.88025389014484</v>
      </c>
      <c r="IP44">
        <f ca="1"/>
        <v>341.04562292458667</v>
      </c>
      <c r="IQ44">
        <f ca="1"/>
        <v>343.21099195902849</v>
      </c>
      <c r="IR44">
        <f ca="1"/>
        <v>345.37636099347031</v>
      </c>
      <c r="IS44">
        <f ca="1"/>
        <v>347.54173002791214</v>
      </c>
      <c r="IT44">
        <f ca="1"/>
        <v>349.70709906235396</v>
      </c>
      <c r="IU44">
        <f ca="1"/>
        <v>351.95908285817347</v>
      </c>
      <c r="IV44">
        <f ca="1"/>
        <v>354.29768141537062</v>
      </c>
      <c r="IW44">
        <f ca="1"/>
        <v>356.63627997256776</v>
      </c>
      <c r="IX44">
        <f ca="1"/>
        <v>358.97487852976496</v>
      </c>
      <c r="IY44">
        <f ca="1"/>
        <v>361.31347708696211</v>
      </c>
      <c r="IZ44">
        <f ca="1"/>
        <v>363.65207564415925</v>
      </c>
      <c r="JA44">
        <f ca="1"/>
        <v>365.99067420135646</v>
      </c>
      <c r="JB44">
        <f ca="1"/>
        <v>368.3292727585536</v>
      </c>
      <c r="JC44">
        <f ca="1"/>
        <v>370.66787131575074</v>
      </c>
      <c r="JD44">
        <f ca="1"/>
        <v>373.00646987294795</v>
      </c>
      <c r="JE44">
        <f ca="1"/>
        <v>375.34506843014509</v>
      </c>
      <c r="JF44">
        <f ca="1"/>
        <v>377.68366698734224</v>
      </c>
      <c r="JG44">
        <f ca="1"/>
        <v>380.11580948682729</v>
      </c>
      <c r="JH44">
        <f ca="1"/>
        <v>382.64149592860025</v>
      </c>
      <c r="JI44">
        <f ca="1"/>
        <v>385.16718237037321</v>
      </c>
      <c r="JJ44">
        <f ca="1"/>
        <v>387.69286881214612</v>
      </c>
      <c r="JK44">
        <f ca="1"/>
        <v>390.21855525391908</v>
      </c>
      <c r="JL44">
        <f ca="1"/>
        <v>392.74424169569204</v>
      </c>
      <c r="JM44">
        <f ca="1"/>
        <v>395.26992813746494</v>
      </c>
      <c r="JN44">
        <f ca="1"/>
        <v>397.79561457923791</v>
      </c>
      <c r="JO44">
        <f ca="1"/>
        <v>400.32130102101087</v>
      </c>
      <c r="JP44">
        <f ca="1"/>
        <v>402.84698746278377</v>
      </c>
      <c r="JQ44">
        <f ca="1"/>
        <v>405.37267390455673</v>
      </c>
      <c r="JR44">
        <f ca="1"/>
        <v>407.8983603463297</v>
      </c>
      <c r="JS44">
        <f ca="1"/>
        <v>410.52507424577357</v>
      </c>
      <c r="JT44">
        <f ca="1"/>
        <v>413.25281560288829</v>
      </c>
      <c r="JU44">
        <f ca="1"/>
        <v>415.98055696000313</v>
      </c>
      <c r="JV44">
        <f ca="1"/>
        <v>418.70829831711785</v>
      </c>
      <c r="JW44">
        <f ca="1"/>
        <v>421.43603967423269</v>
      </c>
      <c r="JX44">
        <f ca="1"/>
        <v>424.16378103134741</v>
      </c>
      <c r="JY44">
        <f ca="1"/>
        <v>426.89152238846225</v>
      </c>
      <c r="JZ44">
        <f ca="1"/>
        <v>429.61926374557697</v>
      </c>
      <c r="KA44">
        <f ca="1"/>
        <v>432.34700510269181</v>
      </c>
      <c r="KB44">
        <f ca="1"/>
        <v>435.07474645980653</v>
      </c>
      <c r="KC44">
        <f ca="1"/>
        <v>437.80248781692137</v>
      </c>
      <c r="KD44">
        <f ca="1"/>
        <v>440.53022917403609</v>
      </c>
      <c r="KE44">
        <f ca="1"/>
        <v>443.3670801854355</v>
      </c>
      <c r="KF44">
        <f ca="1"/>
        <v>446.31304085111947</v>
      </c>
      <c r="KG44">
        <f ca="1"/>
        <v>449.25900151680344</v>
      </c>
      <c r="KH44">
        <f ca="1"/>
        <v>452.20496218248741</v>
      </c>
      <c r="KI44">
        <f ca="1"/>
        <v>455.15092284817132</v>
      </c>
      <c r="KJ44">
        <f ca="1"/>
        <v>458.09688351385529</v>
      </c>
      <c r="KK44">
        <f ca="1"/>
        <v>461.04284417953926</v>
      </c>
      <c r="KL44">
        <f ca="1"/>
        <v>463.98880484522323</v>
      </c>
      <c r="KM44">
        <f ca="1"/>
        <v>466.93476551090714</v>
      </c>
      <c r="KN44">
        <f ca="1"/>
        <v>469.88072617659111</v>
      </c>
      <c r="KO44">
        <f ca="1"/>
        <v>472.82668684227508</v>
      </c>
      <c r="KP44">
        <f ca="1"/>
        <v>475.77264750795905</v>
      </c>
      <c r="KQ44">
        <f ca="1"/>
        <v>478.83644660027039</v>
      </c>
      <c r="KR44">
        <f ca="1"/>
        <v>482.01808411920905</v>
      </c>
      <c r="KS44">
        <f ca="1"/>
        <v>485.19972163814771</v>
      </c>
      <c r="KT44">
        <f ca="1"/>
        <v>488.38135915708642</v>
      </c>
      <c r="KU44">
        <f ca="1"/>
        <v>491.56299667602508</v>
      </c>
      <c r="KV44">
        <f ca="1"/>
        <v>494.74463419496374</v>
      </c>
      <c r="KW44">
        <f ca="1"/>
        <v>497.92627171390245</v>
      </c>
      <c r="KX44">
        <f ca="1"/>
        <v>501.10790923284111</v>
      </c>
      <c r="KY44">
        <f ca="1"/>
        <v>504.28954675177977</v>
      </c>
      <c r="KZ44">
        <f ca="1"/>
        <v>507.47118427071848</v>
      </c>
      <c r="LA44">
        <f ca="1"/>
        <v>510.65282178965708</v>
      </c>
      <c r="LB44">
        <f ca="1"/>
        <v>513.8344593085958</v>
      </c>
      <c r="LC44">
        <f ca="1"/>
        <v>517.14336232829203</v>
      </c>
      <c r="LD44">
        <f ca="1"/>
        <v>520.57953084874578</v>
      </c>
      <c r="LE44">
        <f ca="1"/>
        <v>524.01569936919952</v>
      </c>
      <c r="LF44">
        <f ca="1"/>
        <v>527.45186788965339</v>
      </c>
      <c r="LG44">
        <f ca="1"/>
        <v>530.88803641010713</v>
      </c>
      <c r="LH44">
        <f ca="1"/>
        <v>534.32420493056088</v>
      </c>
      <c r="LI44">
        <f ca="1"/>
        <v>537.76037345101463</v>
      </c>
      <c r="LJ44">
        <f ca="1"/>
        <v>541.19654197146838</v>
      </c>
      <c r="LK44">
        <f ca="1"/>
        <v>544.63271049192213</v>
      </c>
      <c r="LL44">
        <f ca="1"/>
        <v>548.06887901237599</v>
      </c>
      <c r="LM44">
        <f ca="1"/>
        <v>551.50504753282974</v>
      </c>
      <c r="LN44">
        <f ca="1"/>
        <v>554.94121605328348</v>
      </c>
      <c r="LO44">
        <f ca="1"/>
        <v>558.51483131455541</v>
      </c>
      <c r="LP44">
        <f ca="1"/>
        <v>562.22589331664551</v>
      </c>
      <c r="LQ44">
        <f ca="1"/>
        <v>565.9369553187355</v>
      </c>
      <c r="LR44">
        <f ca="1"/>
        <v>569.6480173208256</v>
      </c>
      <c r="LS44">
        <f ca="1"/>
        <v>573.3590793229157</v>
      </c>
      <c r="LT44">
        <f ca="1"/>
        <v>577.07014132500581</v>
      </c>
      <c r="LU44">
        <f ca="1"/>
        <v>580.7812033270958</v>
      </c>
      <c r="LV44">
        <f ca="1"/>
        <v>584.4922653291859</v>
      </c>
      <c r="LW44">
        <f ca="1"/>
        <v>588.203327331276</v>
      </c>
      <c r="LX44">
        <f ca="1"/>
        <v>591.9143893333661</v>
      </c>
      <c r="LY44">
        <f ca="1"/>
        <v>595.62545133545609</v>
      </c>
      <c r="LZ44">
        <f ca="1"/>
        <v>599.33651333754619</v>
      </c>
      <c r="MA44">
        <f ca="1"/>
        <v>603.19601781971983</v>
      </c>
      <c r="MB44">
        <f ca="1"/>
        <v>607.20396478197722</v>
      </c>
      <c r="MC44">
        <f ca="1"/>
        <v>611.21191174423438</v>
      </c>
      <c r="MD44">
        <f ca="1"/>
        <v>615.21985870649178</v>
      </c>
      <c r="ME44">
        <f ca="1"/>
        <v>619.22780566874894</v>
      </c>
      <c r="MF44">
        <f ca="1"/>
        <v>623.23575263100622</v>
      </c>
      <c r="MG44">
        <f ca="1"/>
        <v>627.2436995932635</v>
      </c>
      <c r="MH44">
        <f ca="1"/>
        <v>631.25164655552067</v>
      </c>
      <c r="MI44">
        <f ca="1"/>
        <v>635.25959351777806</v>
      </c>
      <c r="MJ44">
        <f ca="1"/>
        <v>639.26754048003522</v>
      </c>
      <c r="MK44">
        <f ca="1"/>
        <v>643.27548744229262</v>
      </c>
      <c r="ML44">
        <f ca="1"/>
        <v>647.28343440454978</v>
      </c>
      <c r="MM44">
        <f ca="1"/>
        <v>651.45169924529739</v>
      </c>
      <c r="MN44">
        <f ca="1"/>
        <v>655.78028196453533</v>
      </c>
      <c r="MO44">
        <f ca="1"/>
        <v>660.10886468377316</v>
      </c>
      <c r="MP44">
        <f ca="1"/>
        <v>664.43744740301099</v>
      </c>
      <c r="MQ44">
        <f ca="1"/>
        <v>668.76603012224894</v>
      </c>
      <c r="MR44">
        <f ca="1"/>
        <v>673.09461284148676</v>
      </c>
      <c r="MS44">
        <f ca="1"/>
        <v>677.42319556072471</v>
      </c>
      <c r="MT44">
        <f ca="1"/>
        <v>681.75177827996254</v>
      </c>
      <c r="MU44">
        <f ca="1"/>
        <v>686.08036099920037</v>
      </c>
      <c r="MV44">
        <f ca="1"/>
        <v>690.40894371843831</v>
      </c>
      <c r="MW44">
        <f ca="1"/>
        <v>694.73752643767625</v>
      </c>
      <c r="MX44">
        <f ca="1"/>
        <v>699.06610915691408</v>
      </c>
      <c r="MY44">
        <f ca="1"/>
        <v>703.56783518492148</v>
      </c>
      <c r="MZ44">
        <f ca="1"/>
        <v>708.24270452169833</v>
      </c>
      <c r="NA44">
        <f ca="1"/>
        <v>712.91757385847518</v>
      </c>
      <c r="NB44">
        <f ca="1"/>
        <v>717.59244319525214</v>
      </c>
      <c r="NC44">
        <f ca="1"/>
        <v>722.267312532029</v>
      </c>
      <c r="ND44">
        <f ca="1"/>
        <v>726.94218186880585</v>
      </c>
      <c r="NE44">
        <f ca="1"/>
        <v>731.61705120558281</v>
      </c>
      <c r="NF44">
        <f ca="1"/>
        <v>736.29192054235966</v>
      </c>
      <c r="NG44">
        <f ca="1"/>
        <v>740.96678987913651</v>
      </c>
      <c r="NH44">
        <f ca="1"/>
        <v>745.64165921591348</v>
      </c>
      <c r="NI44">
        <f ca="1"/>
        <v>750.31652855269033</v>
      </c>
      <c r="NJ44">
        <f ca="1"/>
        <v>754.99139788946718</v>
      </c>
      <c r="NK44">
        <f ca="1"/>
        <v>759.85326199971519</v>
      </c>
      <c r="NL44">
        <f ca="1"/>
        <v>764.90212088343424</v>
      </c>
      <c r="NM44">
        <f ca="1"/>
        <v>769.95097976715329</v>
      </c>
      <c r="NN44">
        <f ca="1"/>
        <v>774.99983865087233</v>
      </c>
      <c r="NO44">
        <f ca="1"/>
        <v>780.04869753459138</v>
      </c>
      <c r="NP44">
        <f ca="1"/>
        <v>785.09755641831043</v>
      </c>
      <c r="NQ44">
        <f ca="1"/>
        <v>790.14641530202948</v>
      </c>
      <c r="NR44">
        <f ca="1"/>
        <v>795.19527418574853</v>
      </c>
      <c r="NS44">
        <f ca="1"/>
        <v>800.24413306946758</v>
      </c>
      <c r="NT44">
        <f ca="1"/>
        <v>805.29299195318663</v>
      </c>
      <c r="NU44">
        <f ca="1"/>
        <v>810.34185083690568</v>
      </c>
      <c r="NV44">
        <f ca="1"/>
        <v>815.39070972062473</v>
      </c>
      <c r="NW44">
        <f ca="1"/>
        <v>820.64152295969257</v>
      </c>
      <c r="NX44">
        <f ca="1"/>
        <v>826.09429055410908</v>
      </c>
      <c r="NY44">
        <f ca="1"/>
        <v>831.54705814852559</v>
      </c>
      <c r="NZ44">
        <f ca="1"/>
        <v>836.99982574294222</v>
      </c>
      <c r="OA44">
        <f ca="1"/>
        <v>842.45259333735885</v>
      </c>
      <c r="OB44">
        <f ca="1"/>
        <v>847.90536093177536</v>
      </c>
      <c r="OC44">
        <f ca="1"/>
        <v>853.35812852619188</v>
      </c>
      <c r="OD44">
        <f ca="1"/>
        <v>858.8108961206085</v>
      </c>
      <c r="OE44">
        <f ca="1"/>
        <v>864.26366371502502</v>
      </c>
      <c r="OF44">
        <f ca="1"/>
        <v>869.71643130944153</v>
      </c>
      <c r="OG44">
        <f ca="1"/>
        <v>875.16919890385816</v>
      </c>
      <c r="OH44">
        <f ca="1"/>
        <v>880.62196649827479</v>
      </c>
      <c r="OI44">
        <f ca="1"/>
        <v>886.29284479646799</v>
      </c>
      <c r="OJ44">
        <f ca="1"/>
        <v>892.18183379843776</v>
      </c>
      <c r="OK44">
        <f ca="1"/>
        <v>898.07082280040777</v>
      </c>
      <c r="OL44">
        <f ca="1"/>
        <v>903.95981180237754</v>
      </c>
      <c r="OM44">
        <f ca="1"/>
        <v>909.84880080434755</v>
      </c>
      <c r="ON44">
        <f ca="1"/>
        <v>915.73778980631732</v>
      </c>
      <c r="OO44">
        <f ca="1"/>
        <v>921.62677880828733</v>
      </c>
      <c r="OP44">
        <f ca="1"/>
        <v>927.51576781025733</v>
      </c>
      <c r="OQ44">
        <f ca="1"/>
        <v>933.40475681222711</v>
      </c>
      <c r="OR44">
        <f ca="1"/>
        <v>939.29374581419711</v>
      </c>
      <c r="OS44">
        <f ca="1"/>
        <v>945.18273481616689</v>
      </c>
      <c r="OT44">
        <f ca="1"/>
        <v>951.07172381813689</v>
      </c>
      <c r="OU44">
        <f ca="1"/>
        <v>957.19627238018552</v>
      </c>
      <c r="OV44">
        <f ca="1"/>
        <v>963.556380502313</v>
      </c>
      <c r="OW44">
        <f ca="1"/>
        <v>969.91648862444049</v>
      </c>
      <c r="OX44">
        <f ca="1"/>
        <v>976.27659674656798</v>
      </c>
      <c r="OY44">
        <f ca="1"/>
        <v>982.63670486869546</v>
      </c>
      <c r="OZ44">
        <f ca="1"/>
        <v>988.99681299082295</v>
      </c>
      <c r="PA44">
        <f ca="1"/>
        <v>995.35692111295032</v>
      </c>
      <c r="PB44">
        <f ca="1"/>
        <v>1001.7170292350778</v>
      </c>
      <c r="PC44">
        <f ca="1"/>
        <v>1008.0771373572053</v>
      </c>
      <c r="PD44">
        <f ca="1"/>
        <v>1014.4372454793328</v>
      </c>
      <c r="PE44">
        <f ca="1"/>
        <v>1020.7973536014603</v>
      </c>
      <c r="PF44">
        <f ca="1"/>
        <v>1027.1574617235879</v>
      </c>
      <c r="PG44">
        <f ca="1"/>
        <v>1033.7719741706003</v>
      </c>
      <c r="PH44">
        <f ca="1"/>
        <v>1040.6408909424981</v>
      </c>
      <c r="PI44">
        <f ca="1"/>
        <v>1047.5098077143957</v>
      </c>
      <c r="PJ44">
        <f ca="1"/>
        <v>1054.3787244862933</v>
      </c>
      <c r="PK44">
        <f ca="1"/>
        <v>1061.2476412581909</v>
      </c>
      <c r="PL44">
        <f ca="1"/>
        <v>1068.1165580300888</v>
      </c>
      <c r="PM44">
        <f ca="1"/>
        <v>1074.9854748019864</v>
      </c>
      <c r="PN44">
        <f ca="1"/>
        <v>1081.8543915738842</v>
      </c>
      <c r="PO44">
        <f ca="1"/>
        <v>1088.7233083457818</v>
      </c>
      <c r="PP44">
        <f ca="1"/>
        <v>1095.5922251176794</v>
      </c>
      <c r="PQ44">
        <f ca="1"/>
        <v>1102.461141889577</v>
      </c>
      <c r="PR44">
        <f ca="1"/>
        <v>1109.3300586614748</v>
      </c>
      <c r="PS44">
        <f ca="1"/>
        <v>1116.4737321042485</v>
      </c>
      <c r="PT44">
        <f ca="1"/>
        <v>1123.8921622178977</v>
      </c>
      <c r="PU44">
        <f ca="1"/>
        <v>1131.3105923315475</v>
      </c>
      <c r="PV44">
        <f ca="1"/>
        <v>1138.7290224451967</v>
      </c>
      <c r="PW44">
        <f ca="1"/>
        <v>1146.1474525588465</v>
      </c>
      <c r="PX44">
        <f ca="1"/>
        <v>1153.5658826724959</v>
      </c>
      <c r="PY44">
        <f ca="1"/>
        <v>1160.9843127861454</v>
      </c>
      <c r="PZ44">
        <f ca="1"/>
        <v>1168.4027428997952</v>
      </c>
      <c r="QA44">
        <f ca="1"/>
        <v>1175.8211730134444</v>
      </c>
      <c r="QB44">
        <f ca="1"/>
        <v>1183.2396031270941</v>
      </c>
      <c r="QC44">
        <f ca="1"/>
        <v>1190.6580332407434</v>
      </c>
      <c r="QD44">
        <f ca="1"/>
        <v>1198.0764633543931</v>
      </c>
      <c r="QE44">
        <f ca="1"/>
        <v>1205.7916306725883</v>
      </c>
      <c r="QF44">
        <f ca="1"/>
        <v>1213.8035351953299</v>
      </c>
      <c r="QG44">
        <f ca="1"/>
        <v>1221.8154397180715</v>
      </c>
      <c r="QH44">
        <f ca="1"/>
        <v>1229.8273442408129</v>
      </c>
      <c r="QI44">
        <f ca="1"/>
        <v>1237.8392487635542</v>
      </c>
      <c r="QJ44">
        <f ca="1"/>
        <v>1245.8511532862958</v>
      </c>
      <c r="QK44">
        <f ca="1"/>
        <v>1253.8630578090372</v>
      </c>
      <c r="QL44">
        <f ca="1"/>
        <v>1261.8749623317785</v>
      </c>
      <c r="QM44">
        <f ca="1"/>
        <v>1269.8868668545201</v>
      </c>
      <c r="QN44">
        <f ca="1"/>
        <v>1277.8987713772617</v>
      </c>
      <c r="QO44">
        <f ca="1"/>
        <v>1285.9106759000031</v>
      </c>
      <c r="QP44">
        <f ca="1"/>
        <v>1293.9225804227444</v>
      </c>
      <c r="QQ44">
        <f ca="1"/>
        <v>1302.2549611263958</v>
      </c>
      <c r="QR44">
        <f ca="1"/>
        <v>1310.9078180109564</v>
      </c>
      <c r="QS44">
        <f ca="1"/>
        <v>1319.560674895517</v>
      </c>
      <c r="QT44">
        <f ca="1"/>
        <v>1328.213531780078</v>
      </c>
      <c r="QU44">
        <f ca="1"/>
        <v>1336.8663886646386</v>
      </c>
      <c r="QV44">
        <f ca="1"/>
        <v>1345.5192455491992</v>
      </c>
      <c r="QW44">
        <f ca="1"/>
        <v>1354.1721024337603</v>
      </c>
      <c r="QX44">
        <f ca="1"/>
        <v>1362.8249593183209</v>
      </c>
      <c r="QY44">
        <f ca="1"/>
        <v>1371.4778162028815</v>
      </c>
      <c r="QZ44">
        <f ca="1"/>
        <v>1380.1306730874426</v>
      </c>
      <c r="RA44">
        <f ca="1"/>
        <v>1388.7835299720032</v>
      </c>
      <c r="RB44">
        <f ca="1"/>
        <v>1397.4363868565638</v>
      </c>
      <c r="RC44">
        <f ca="1"/>
        <v>1406.4353580165071</v>
      </c>
      <c r="RD44">
        <f ca="1"/>
        <v>1415.7804434518328</v>
      </c>
      <c r="RE44">
        <f ca="1"/>
        <v>1425.1255288871585</v>
      </c>
      <c r="RF44">
        <f ca="1"/>
        <v>1434.4706143224839</v>
      </c>
      <c r="RG44">
        <f ca="1"/>
        <v>1443.8156997578099</v>
      </c>
      <c r="RH44">
        <f ca="1"/>
        <v>1453.1607851931353</v>
      </c>
      <c r="RI44">
        <f ca="1"/>
        <v>1462.505870628461</v>
      </c>
      <c r="RJ44">
        <f ca="1"/>
        <v>1471.8509560637867</v>
      </c>
      <c r="RK44">
        <f ca="1"/>
        <v>1481.1960414991122</v>
      </c>
      <c r="RL44">
        <f ca="1"/>
        <v>1490.5411269344379</v>
      </c>
      <c r="RM44">
        <f ca="1"/>
        <v>1499.8862123697636</v>
      </c>
      <c r="RN44">
        <f ca="1"/>
        <v>1509.2312978050891</v>
      </c>
      <c r="RO44">
        <f ca="1"/>
        <v>1518.950186657828</v>
      </c>
      <c r="RP44">
        <f ca="1"/>
        <v>1529.0428789279795</v>
      </c>
      <c r="RQ44">
        <f ca="1"/>
        <v>1539.1355711981314</v>
      </c>
      <c r="RR44">
        <f ca="1"/>
        <v>1549.2282634682829</v>
      </c>
      <c r="RS44">
        <f ca="1"/>
        <v>1559.3209557384348</v>
      </c>
      <c r="RT44">
        <f ca="1"/>
        <v>1569.4136480085863</v>
      </c>
      <c r="RU44">
        <f ca="1"/>
        <v>1579.506340278738</v>
      </c>
      <c r="RV44">
        <f ca="1"/>
        <v>1589.5990325488897</v>
      </c>
      <c r="RW44">
        <f ca="1"/>
        <v>1599.6917248190412</v>
      </c>
      <c r="RX44">
        <f ca="1"/>
        <v>1609.7844170891931</v>
      </c>
      <c r="RY44">
        <f ca="1"/>
        <v>1619.8771093593446</v>
      </c>
      <c r="RZ44">
        <f ca="1"/>
        <v>1629.9698016294965</v>
      </c>
    </row>
    <row r="47" spans="1:494" x14ac:dyDescent="0.3">
      <c r="A47" s="8"/>
    </row>
    <row r="48" spans="1:494" x14ac:dyDescent="0.3">
      <c r="A48" t="s">
        <v>51</v>
      </c>
    </row>
    <row r="49" spans="1:494" x14ac:dyDescent="0.3">
      <c r="A49" t="s">
        <v>498</v>
      </c>
      <c r="B49" s="8">
        <f ca="1">TODAY()</f>
        <v>45993</v>
      </c>
    </row>
    <row r="50" spans="1:494" x14ac:dyDescent="0.3">
      <c r="A50" t="s">
        <v>499</v>
      </c>
      <c r="B50" s="8">
        <f>DATE((MAX(_xlfn.ANCHORARRAY(C1))),12,31)</f>
        <v>60997</v>
      </c>
    </row>
    <row r="51" spans="1:494" x14ac:dyDescent="0.3">
      <c r="A51" s="8" t="s">
        <v>492</v>
      </c>
      <c r="B51" s="8" cm="1">
        <f t="array" aca="1" ref="B51:RZ51" ca="1">EDATE(EOMONTH(B49,-4)+1,_xlfn.SEQUENCE(1,((YEAR(B50)-YEAR(B49))*12+(MONTH(B50)-MONTH(B49))+1),0))</f>
        <v>45901</v>
      </c>
      <c r="C51" s="8">
        <f ca="1"/>
        <v>45931</v>
      </c>
      <c r="D51" s="8">
        <f ca="1"/>
        <v>45962</v>
      </c>
      <c r="E51" s="8">
        <f ca="1"/>
        <v>45992</v>
      </c>
      <c r="F51" s="8">
        <f ca="1"/>
        <v>46023</v>
      </c>
      <c r="G51" s="8">
        <f ca="1"/>
        <v>46054</v>
      </c>
      <c r="H51" s="8">
        <f ca="1"/>
        <v>46082</v>
      </c>
      <c r="I51" s="8">
        <f ca="1"/>
        <v>46113</v>
      </c>
      <c r="J51" s="8">
        <f ca="1"/>
        <v>46143</v>
      </c>
      <c r="K51" s="8">
        <f ca="1"/>
        <v>46174</v>
      </c>
      <c r="L51" s="8">
        <f ca="1"/>
        <v>46204</v>
      </c>
      <c r="M51" s="8">
        <f ca="1"/>
        <v>46235</v>
      </c>
      <c r="N51" s="8">
        <f ca="1"/>
        <v>46266</v>
      </c>
      <c r="O51" s="8">
        <f ca="1"/>
        <v>46296</v>
      </c>
      <c r="P51" s="8">
        <f ca="1"/>
        <v>46327</v>
      </c>
      <c r="Q51" s="8">
        <f ca="1"/>
        <v>46357</v>
      </c>
      <c r="R51" s="8">
        <f ca="1"/>
        <v>46388</v>
      </c>
      <c r="S51" s="8">
        <f ca="1"/>
        <v>46419</v>
      </c>
      <c r="T51" s="8">
        <f ca="1"/>
        <v>46447</v>
      </c>
      <c r="U51" s="8">
        <f ca="1"/>
        <v>46478</v>
      </c>
      <c r="V51" s="8">
        <f ca="1"/>
        <v>46508</v>
      </c>
      <c r="W51" s="8">
        <f ca="1"/>
        <v>46539</v>
      </c>
      <c r="X51" s="8">
        <f ca="1"/>
        <v>46569</v>
      </c>
      <c r="Y51" s="8">
        <f ca="1"/>
        <v>46600</v>
      </c>
      <c r="Z51" s="8">
        <f ca="1"/>
        <v>46631</v>
      </c>
      <c r="AA51" s="8">
        <f ca="1"/>
        <v>46661</v>
      </c>
      <c r="AB51" s="8">
        <f ca="1"/>
        <v>46692</v>
      </c>
      <c r="AC51" s="8">
        <f ca="1"/>
        <v>46722</v>
      </c>
      <c r="AD51" s="8">
        <f ca="1"/>
        <v>46753</v>
      </c>
      <c r="AE51" s="8">
        <f ca="1"/>
        <v>46784</v>
      </c>
      <c r="AF51" s="8">
        <f ca="1"/>
        <v>46813</v>
      </c>
      <c r="AG51" s="8">
        <f ca="1"/>
        <v>46844</v>
      </c>
      <c r="AH51" s="8">
        <f ca="1"/>
        <v>46874</v>
      </c>
      <c r="AI51" s="8">
        <f ca="1"/>
        <v>46905</v>
      </c>
      <c r="AJ51" s="8">
        <f ca="1"/>
        <v>46935</v>
      </c>
      <c r="AK51" s="8">
        <f ca="1"/>
        <v>46966</v>
      </c>
      <c r="AL51" s="8">
        <f ca="1"/>
        <v>46997</v>
      </c>
      <c r="AM51" s="8">
        <f ca="1"/>
        <v>47027</v>
      </c>
      <c r="AN51" s="8">
        <f ca="1"/>
        <v>47058</v>
      </c>
      <c r="AO51" s="8">
        <f ca="1"/>
        <v>47088</v>
      </c>
      <c r="AP51" s="8">
        <f ca="1"/>
        <v>47119</v>
      </c>
      <c r="AQ51" s="8">
        <f ca="1"/>
        <v>47150</v>
      </c>
      <c r="AR51" s="8">
        <f ca="1"/>
        <v>47178</v>
      </c>
      <c r="AS51" s="8">
        <f ca="1"/>
        <v>47209</v>
      </c>
      <c r="AT51" s="8">
        <f ca="1"/>
        <v>47239</v>
      </c>
      <c r="AU51" s="8">
        <f ca="1"/>
        <v>47270</v>
      </c>
      <c r="AV51" s="8">
        <f ca="1"/>
        <v>47300</v>
      </c>
      <c r="AW51" s="8">
        <f ca="1"/>
        <v>47331</v>
      </c>
      <c r="AX51" s="8">
        <f ca="1"/>
        <v>47362</v>
      </c>
      <c r="AY51" s="8">
        <f ca="1"/>
        <v>47392</v>
      </c>
      <c r="AZ51" s="8">
        <f ca="1"/>
        <v>47423</v>
      </c>
      <c r="BA51" s="8">
        <f ca="1"/>
        <v>47453</v>
      </c>
      <c r="BB51" s="8">
        <f ca="1"/>
        <v>47484</v>
      </c>
      <c r="BC51" s="8">
        <f ca="1"/>
        <v>47515</v>
      </c>
      <c r="BD51" s="8">
        <f ca="1"/>
        <v>47543</v>
      </c>
      <c r="BE51" s="8">
        <f ca="1"/>
        <v>47574</v>
      </c>
      <c r="BF51" s="8">
        <f ca="1"/>
        <v>47604</v>
      </c>
      <c r="BG51" s="8">
        <f ca="1"/>
        <v>47635</v>
      </c>
      <c r="BH51" s="8">
        <f ca="1"/>
        <v>47665</v>
      </c>
      <c r="BI51" s="8">
        <f ca="1"/>
        <v>47696</v>
      </c>
      <c r="BJ51" s="8">
        <f ca="1"/>
        <v>47727</v>
      </c>
      <c r="BK51" s="8">
        <f ca="1"/>
        <v>47757</v>
      </c>
      <c r="BL51" s="8">
        <f ca="1"/>
        <v>47788</v>
      </c>
      <c r="BM51" s="8">
        <f ca="1"/>
        <v>47818</v>
      </c>
      <c r="BN51" s="8">
        <f ca="1"/>
        <v>47849</v>
      </c>
      <c r="BO51" s="8">
        <f ca="1"/>
        <v>47880</v>
      </c>
      <c r="BP51" s="8">
        <f ca="1"/>
        <v>47908</v>
      </c>
      <c r="BQ51" s="8">
        <f ca="1"/>
        <v>47939</v>
      </c>
      <c r="BR51" s="8">
        <f ca="1"/>
        <v>47969</v>
      </c>
      <c r="BS51" s="8">
        <f ca="1"/>
        <v>48000</v>
      </c>
      <c r="BT51" s="8">
        <f ca="1"/>
        <v>48030</v>
      </c>
      <c r="BU51" s="8">
        <f ca="1"/>
        <v>48061</v>
      </c>
      <c r="BV51" s="8">
        <f ca="1"/>
        <v>48092</v>
      </c>
      <c r="BW51" s="8">
        <f ca="1"/>
        <v>48122</v>
      </c>
      <c r="BX51" s="8">
        <f ca="1"/>
        <v>48153</v>
      </c>
      <c r="BY51" s="8">
        <f ca="1"/>
        <v>48183</v>
      </c>
      <c r="BZ51" s="8">
        <f ca="1"/>
        <v>48214</v>
      </c>
      <c r="CA51" s="8">
        <f ca="1"/>
        <v>48245</v>
      </c>
      <c r="CB51" s="8">
        <f ca="1"/>
        <v>48274</v>
      </c>
      <c r="CC51" s="8">
        <f ca="1"/>
        <v>48305</v>
      </c>
      <c r="CD51" s="8">
        <f ca="1"/>
        <v>48335</v>
      </c>
      <c r="CE51" s="8">
        <f ca="1"/>
        <v>48366</v>
      </c>
      <c r="CF51" s="8">
        <f ca="1"/>
        <v>48396</v>
      </c>
      <c r="CG51" s="8">
        <f ca="1"/>
        <v>48427</v>
      </c>
      <c r="CH51" s="8">
        <f ca="1"/>
        <v>48458</v>
      </c>
      <c r="CI51" s="8">
        <f ca="1"/>
        <v>48488</v>
      </c>
      <c r="CJ51" s="8">
        <f ca="1"/>
        <v>48519</v>
      </c>
      <c r="CK51" s="8">
        <f ca="1"/>
        <v>48549</v>
      </c>
      <c r="CL51" s="8">
        <f ca="1"/>
        <v>48580</v>
      </c>
      <c r="CM51" s="8">
        <f ca="1"/>
        <v>48611</v>
      </c>
      <c r="CN51" s="8">
        <f ca="1"/>
        <v>48639</v>
      </c>
      <c r="CO51" s="8">
        <f ca="1"/>
        <v>48670</v>
      </c>
      <c r="CP51" s="8">
        <f ca="1"/>
        <v>48700</v>
      </c>
      <c r="CQ51" s="8">
        <f ca="1"/>
        <v>48731</v>
      </c>
      <c r="CR51" s="8">
        <f ca="1"/>
        <v>48761</v>
      </c>
      <c r="CS51" s="8">
        <f ca="1"/>
        <v>48792</v>
      </c>
      <c r="CT51" s="8">
        <f ca="1"/>
        <v>48823</v>
      </c>
      <c r="CU51" s="8">
        <f ca="1"/>
        <v>48853</v>
      </c>
      <c r="CV51" s="8">
        <f ca="1"/>
        <v>48884</v>
      </c>
      <c r="CW51" s="8">
        <f ca="1"/>
        <v>48914</v>
      </c>
      <c r="CX51" s="8">
        <f ca="1"/>
        <v>48945</v>
      </c>
      <c r="CY51" s="8">
        <f ca="1"/>
        <v>48976</v>
      </c>
      <c r="CZ51" s="8">
        <f ca="1"/>
        <v>49004</v>
      </c>
      <c r="DA51" s="8">
        <f ca="1"/>
        <v>49035</v>
      </c>
      <c r="DB51" s="8">
        <f ca="1"/>
        <v>49065</v>
      </c>
      <c r="DC51" s="8">
        <f ca="1"/>
        <v>49096</v>
      </c>
      <c r="DD51" s="8">
        <f ca="1"/>
        <v>49126</v>
      </c>
      <c r="DE51" s="8">
        <f ca="1"/>
        <v>49157</v>
      </c>
      <c r="DF51" s="8">
        <f ca="1"/>
        <v>49188</v>
      </c>
      <c r="DG51" s="8">
        <f ca="1"/>
        <v>49218</v>
      </c>
      <c r="DH51" s="8">
        <f ca="1"/>
        <v>49249</v>
      </c>
      <c r="DI51" s="8">
        <f ca="1"/>
        <v>49279</v>
      </c>
      <c r="DJ51" s="8">
        <f ca="1"/>
        <v>49310</v>
      </c>
      <c r="DK51" s="8">
        <f ca="1"/>
        <v>49341</v>
      </c>
      <c r="DL51" s="8">
        <f ca="1"/>
        <v>49369</v>
      </c>
      <c r="DM51" s="8">
        <f ca="1"/>
        <v>49400</v>
      </c>
      <c r="DN51" s="8">
        <f ca="1"/>
        <v>49430</v>
      </c>
      <c r="DO51" s="8">
        <f ca="1"/>
        <v>49461</v>
      </c>
      <c r="DP51" s="8">
        <f ca="1"/>
        <v>49491</v>
      </c>
      <c r="DQ51" s="8">
        <f ca="1"/>
        <v>49522</v>
      </c>
      <c r="DR51" s="8">
        <f ca="1"/>
        <v>49553</v>
      </c>
      <c r="DS51" s="8">
        <f ca="1"/>
        <v>49583</v>
      </c>
      <c r="DT51" s="8">
        <f ca="1"/>
        <v>49614</v>
      </c>
      <c r="DU51" s="8">
        <f ca="1"/>
        <v>49644</v>
      </c>
      <c r="DV51" s="8">
        <f ca="1"/>
        <v>49675</v>
      </c>
      <c r="DW51" s="8">
        <f ca="1"/>
        <v>49706</v>
      </c>
      <c r="DX51" s="8">
        <f ca="1"/>
        <v>49735</v>
      </c>
      <c r="DY51" s="8">
        <f ca="1"/>
        <v>49766</v>
      </c>
      <c r="DZ51" s="8">
        <f ca="1"/>
        <v>49796</v>
      </c>
      <c r="EA51" s="8">
        <f ca="1"/>
        <v>49827</v>
      </c>
      <c r="EB51" s="8">
        <f ca="1"/>
        <v>49857</v>
      </c>
      <c r="EC51" s="8">
        <f ca="1"/>
        <v>49888</v>
      </c>
      <c r="ED51" s="8">
        <f ca="1"/>
        <v>49919</v>
      </c>
      <c r="EE51" s="8">
        <f ca="1"/>
        <v>49949</v>
      </c>
      <c r="EF51" s="8">
        <f ca="1"/>
        <v>49980</v>
      </c>
      <c r="EG51" s="8">
        <f ca="1"/>
        <v>50010</v>
      </c>
      <c r="EH51" s="8">
        <f ca="1"/>
        <v>50041</v>
      </c>
      <c r="EI51" s="8">
        <f ca="1"/>
        <v>50072</v>
      </c>
      <c r="EJ51" s="8">
        <f ca="1"/>
        <v>50100</v>
      </c>
      <c r="EK51" s="8">
        <f ca="1"/>
        <v>50131</v>
      </c>
      <c r="EL51" s="8">
        <f ca="1"/>
        <v>50161</v>
      </c>
      <c r="EM51" s="8">
        <f ca="1"/>
        <v>50192</v>
      </c>
      <c r="EN51" s="8">
        <f ca="1"/>
        <v>50222</v>
      </c>
      <c r="EO51" s="8">
        <f ca="1"/>
        <v>50253</v>
      </c>
      <c r="EP51" s="8">
        <f ca="1"/>
        <v>50284</v>
      </c>
      <c r="EQ51" s="8">
        <f ca="1"/>
        <v>50314</v>
      </c>
      <c r="ER51" s="8">
        <f ca="1"/>
        <v>50345</v>
      </c>
      <c r="ES51" s="8">
        <f ca="1"/>
        <v>50375</v>
      </c>
      <c r="ET51" s="8">
        <f ca="1"/>
        <v>50406</v>
      </c>
      <c r="EU51" s="8">
        <f ca="1"/>
        <v>50437</v>
      </c>
      <c r="EV51" s="8">
        <f ca="1"/>
        <v>50465</v>
      </c>
      <c r="EW51" s="8">
        <f ca="1"/>
        <v>50496</v>
      </c>
      <c r="EX51" s="8">
        <f ca="1"/>
        <v>50526</v>
      </c>
      <c r="EY51" s="8">
        <f ca="1"/>
        <v>50557</v>
      </c>
      <c r="EZ51" s="8">
        <f ca="1"/>
        <v>50587</v>
      </c>
      <c r="FA51" s="8">
        <f ca="1"/>
        <v>50618</v>
      </c>
      <c r="FB51" s="8">
        <f ca="1"/>
        <v>50649</v>
      </c>
      <c r="FC51" s="8">
        <f ca="1"/>
        <v>50679</v>
      </c>
      <c r="FD51" s="8">
        <f ca="1"/>
        <v>50710</v>
      </c>
      <c r="FE51" s="8">
        <f ca="1"/>
        <v>50740</v>
      </c>
      <c r="FF51" s="8">
        <f ca="1"/>
        <v>50771</v>
      </c>
      <c r="FG51" s="8">
        <f ca="1"/>
        <v>50802</v>
      </c>
      <c r="FH51" s="8">
        <f ca="1"/>
        <v>50830</v>
      </c>
      <c r="FI51" s="8">
        <f ca="1"/>
        <v>50861</v>
      </c>
      <c r="FJ51" s="8">
        <f ca="1"/>
        <v>50891</v>
      </c>
      <c r="FK51" s="8">
        <f ca="1"/>
        <v>50922</v>
      </c>
      <c r="FL51" s="8">
        <f ca="1"/>
        <v>50952</v>
      </c>
      <c r="FM51" s="8">
        <f ca="1"/>
        <v>50983</v>
      </c>
      <c r="FN51" s="8">
        <f ca="1"/>
        <v>51014</v>
      </c>
      <c r="FO51" s="8">
        <f ca="1"/>
        <v>51044</v>
      </c>
      <c r="FP51" s="8">
        <f ca="1"/>
        <v>51075</v>
      </c>
      <c r="FQ51" s="8">
        <f ca="1"/>
        <v>51105</v>
      </c>
      <c r="FR51" s="8">
        <f ca="1"/>
        <v>51136</v>
      </c>
      <c r="FS51" s="8">
        <f ca="1"/>
        <v>51167</v>
      </c>
      <c r="FT51" s="8">
        <f ca="1"/>
        <v>51196</v>
      </c>
      <c r="FU51" s="8">
        <f ca="1"/>
        <v>51227</v>
      </c>
      <c r="FV51" s="8">
        <f ca="1"/>
        <v>51257</v>
      </c>
      <c r="FW51" s="8">
        <f ca="1"/>
        <v>51288</v>
      </c>
      <c r="FX51" s="8">
        <f ca="1"/>
        <v>51318</v>
      </c>
      <c r="FY51" s="8">
        <f ca="1"/>
        <v>51349</v>
      </c>
      <c r="FZ51" s="8">
        <f ca="1"/>
        <v>51380</v>
      </c>
      <c r="GA51" s="8">
        <f ca="1"/>
        <v>51410</v>
      </c>
      <c r="GB51" s="8">
        <f ca="1"/>
        <v>51441</v>
      </c>
      <c r="GC51" s="8">
        <f ca="1"/>
        <v>51471</v>
      </c>
      <c r="GD51" s="8">
        <f ca="1"/>
        <v>51502</v>
      </c>
      <c r="GE51" s="8">
        <f ca="1"/>
        <v>51533</v>
      </c>
      <c r="GF51" s="8">
        <f ca="1"/>
        <v>51561</v>
      </c>
      <c r="GG51" s="8">
        <f ca="1"/>
        <v>51592</v>
      </c>
      <c r="GH51" s="8">
        <f ca="1"/>
        <v>51622</v>
      </c>
      <c r="GI51" s="8">
        <f ca="1"/>
        <v>51653</v>
      </c>
      <c r="GJ51" s="8">
        <f ca="1"/>
        <v>51683</v>
      </c>
      <c r="GK51" s="8">
        <f ca="1"/>
        <v>51714</v>
      </c>
      <c r="GL51" s="8">
        <f ca="1"/>
        <v>51745</v>
      </c>
      <c r="GM51" s="8">
        <f ca="1"/>
        <v>51775</v>
      </c>
      <c r="GN51" s="8">
        <f ca="1"/>
        <v>51806</v>
      </c>
      <c r="GO51" s="8">
        <f ca="1"/>
        <v>51836</v>
      </c>
      <c r="GP51" s="8">
        <f ca="1"/>
        <v>51867</v>
      </c>
      <c r="GQ51" s="8">
        <f ca="1"/>
        <v>51898</v>
      </c>
      <c r="GR51" s="8">
        <f ca="1"/>
        <v>51926</v>
      </c>
      <c r="GS51" s="8">
        <f ca="1"/>
        <v>51957</v>
      </c>
      <c r="GT51" s="8">
        <f ca="1"/>
        <v>51987</v>
      </c>
      <c r="GU51" s="8">
        <f ca="1"/>
        <v>52018</v>
      </c>
      <c r="GV51" s="8">
        <f ca="1"/>
        <v>52048</v>
      </c>
      <c r="GW51" s="8">
        <f ca="1"/>
        <v>52079</v>
      </c>
      <c r="GX51" s="8">
        <f ca="1"/>
        <v>52110</v>
      </c>
      <c r="GY51" s="8">
        <f ca="1"/>
        <v>52140</v>
      </c>
      <c r="GZ51" s="8">
        <f ca="1"/>
        <v>52171</v>
      </c>
      <c r="HA51" s="8">
        <f ca="1"/>
        <v>52201</v>
      </c>
      <c r="HB51" s="8">
        <f ca="1"/>
        <v>52232</v>
      </c>
      <c r="HC51" s="8">
        <f ca="1"/>
        <v>52263</v>
      </c>
      <c r="HD51" s="8">
        <f ca="1"/>
        <v>52291</v>
      </c>
      <c r="HE51" s="8">
        <f ca="1"/>
        <v>52322</v>
      </c>
      <c r="HF51" s="8">
        <f ca="1"/>
        <v>52352</v>
      </c>
      <c r="HG51" s="8">
        <f ca="1"/>
        <v>52383</v>
      </c>
      <c r="HH51" s="8">
        <f ca="1"/>
        <v>52413</v>
      </c>
      <c r="HI51" s="8">
        <f ca="1"/>
        <v>52444</v>
      </c>
      <c r="HJ51" s="8">
        <f ca="1"/>
        <v>52475</v>
      </c>
      <c r="HK51" s="8">
        <f ca="1"/>
        <v>52505</v>
      </c>
      <c r="HL51" s="8">
        <f ca="1"/>
        <v>52536</v>
      </c>
      <c r="HM51" s="8">
        <f ca="1"/>
        <v>52566</v>
      </c>
      <c r="HN51" s="8">
        <f ca="1"/>
        <v>52597</v>
      </c>
      <c r="HO51" s="8">
        <f ca="1"/>
        <v>52628</v>
      </c>
      <c r="HP51" s="8">
        <f ca="1"/>
        <v>52657</v>
      </c>
      <c r="HQ51" s="8">
        <f ca="1"/>
        <v>52688</v>
      </c>
      <c r="HR51" s="8">
        <f ca="1"/>
        <v>52718</v>
      </c>
      <c r="HS51" s="8">
        <f ca="1"/>
        <v>52749</v>
      </c>
      <c r="HT51" s="8">
        <f ca="1"/>
        <v>52779</v>
      </c>
      <c r="HU51" s="8">
        <f ca="1"/>
        <v>52810</v>
      </c>
      <c r="HV51" s="8">
        <f ca="1"/>
        <v>52841</v>
      </c>
      <c r="HW51" s="8">
        <f ca="1"/>
        <v>52871</v>
      </c>
      <c r="HX51" s="8">
        <f ca="1"/>
        <v>52902</v>
      </c>
      <c r="HY51" s="8">
        <f ca="1"/>
        <v>52932</v>
      </c>
      <c r="HZ51" s="8">
        <f ca="1"/>
        <v>52963</v>
      </c>
      <c r="IA51" s="8">
        <f ca="1"/>
        <v>52994</v>
      </c>
      <c r="IB51" s="8">
        <f ca="1"/>
        <v>53022</v>
      </c>
      <c r="IC51" s="8">
        <f ca="1"/>
        <v>53053</v>
      </c>
      <c r="ID51" s="8">
        <f ca="1"/>
        <v>53083</v>
      </c>
      <c r="IE51" s="8">
        <f ca="1"/>
        <v>53114</v>
      </c>
      <c r="IF51" s="8">
        <f ca="1"/>
        <v>53144</v>
      </c>
      <c r="IG51" s="8">
        <f ca="1"/>
        <v>53175</v>
      </c>
      <c r="IH51" s="8">
        <f ca="1"/>
        <v>53206</v>
      </c>
      <c r="II51" s="8">
        <f ca="1"/>
        <v>53236</v>
      </c>
      <c r="IJ51" s="8">
        <f ca="1"/>
        <v>53267</v>
      </c>
      <c r="IK51" s="8">
        <f ca="1"/>
        <v>53297</v>
      </c>
      <c r="IL51" s="8">
        <f ca="1"/>
        <v>53328</v>
      </c>
      <c r="IM51" s="8">
        <f ca="1"/>
        <v>53359</v>
      </c>
      <c r="IN51" s="8">
        <f ca="1"/>
        <v>53387</v>
      </c>
      <c r="IO51" s="8">
        <f ca="1"/>
        <v>53418</v>
      </c>
      <c r="IP51" s="8">
        <f ca="1"/>
        <v>53448</v>
      </c>
      <c r="IQ51" s="8">
        <f ca="1"/>
        <v>53479</v>
      </c>
      <c r="IR51" s="8">
        <f ca="1"/>
        <v>53509</v>
      </c>
      <c r="IS51" s="8">
        <f ca="1"/>
        <v>53540</v>
      </c>
      <c r="IT51" s="8">
        <f ca="1"/>
        <v>53571</v>
      </c>
      <c r="IU51" s="8">
        <f ca="1"/>
        <v>53601</v>
      </c>
      <c r="IV51" s="8">
        <f ca="1"/>
        <v>53632</v>
      </c>
      <c r="IW51" s="8">
        <f ca="1"/>
        <v>53662</v>
      </c>
      <c r="IX51" s="8">
        <f ca="1"/>
        <v>53693</v>
      </c>
      <c r="IY51" s="8">
        <f ca="1"/>
        <v>53724</v>
      </c>
      <c r="IZ51" s="8">
        <f ca="1"/>
        <v>53752</v>
      </c>
      <c r="JA51" s="8">
        <f ca="1"/>
        <v>53783</v>
      </c>
      <c r="JB51" s="8">
        <f ca="1"/>
        <v>53813</v>
      </c>
      <c r="JC51" s="8">
        <f ca="1"/>
        <v>53844</v>
      </c>
      <c r="JD51" s="8">
        <f ca="1"/>
        <v>53874</v>
      </c>
      <c r="JE51" s="8">
        <f ca="1"/>
        <v>53905</v>
      </c>
      <c r="JF51" s="8">
        <f ca="1"/>
        <v>53936</v>
      </c>
      <c r="JG51" s="8">
        <f ca="1"/>
        <v>53966</v>
      </c>
      <c r="JH51" s="8">
        <f ca="1"/>
        <v>53997</v>
      </c>
      <c r="JI51" s="8">
        <f ca="1"/>
        <v>54027</v>
      </c>
      <c r="JJ51" s="8">
        <f ca="1"/>
        <v>54058</v>
      </c>
      <c r="JK51" s="8">
        <f ca="1"/>
        <v>54089</v>
      </c>
      <c r="JL51" s="8">
        <f ca="1"/>
        <v>54118</v>
      </c>
      <c r="JM51" s="8">
        <f ca="1"/>
        <v>54149</v>
      </c>
      <c r="JN51" s="8">
        <f ca="1"/>
        <v>54179</v>
      </c>
      <c r="JO51" s="8">
        <f ca="1"/>
        <v>54210</v>
      </c>
      <c r="JP51" s="8">
        <f ca="1"/>
        <v>54240</v>
      </c>
      <c r="JQ51" s="8">
        <f ca="1"/>
        <v>54271</v>
      </c>
      <c r="JR51" s="8">
        <f ca="1"/>
        <v>54302</v>
      </c>
      <c r="JS51" s="8">
        <f ca="1"/>
        <v>54332</v>
      </c>
      <c r="JT51" s="8">
        <f ca="1"/>
        <v>54363</v>
      </c>
      <c r="JU51" s="8">
        <f ca="1"/>
        <v>54393</v>
      </c>
      <c r="JV51" s="8">
        <f ca="1"/>
        <v>54424</v>
      </c>
      <c r="JW51" s="8">
        <f ca="1"/>
        <v>54455</v>
      </c>
      <c r="JX51" s="8">
        <f ca="1"/>
        <v>54483</v>
      </c>
      <c r="JY51" s="8">
        <f ca="1"/>
        <v>54514</v>
      </c>
      <c r="JZ51" s="8">
        <f ca="1"/>
        <v>54544</v>
      </c>
      <c r="KA51" s="8">
        <f ca="1"/>
        <v>54575</v>
      </c>
      <c r="KB51" s="8">
        <f ca="1"/>
        <v>54605</v>
      </c>
      <c r="KC51" s="8">
        <f ca="1"/>
        <v>54636</v>
      </c>
      <c r="KD51" s="8">
        <f ca="1"/>
        <v>54667</v>
      </c>
      <c r="KE51" s="8">
        <f ca="1"/>
        <v>54697</v>
      </c>
      <c r="KF51" s="8">
        <f ca="1"/>
        <v>54728</v>
      </c>
      <c r="KG51" s="8">
        <f ca="1"/>
        <v>54758</v>
      </c>
      <c r="KH51" s="8">
        <f ca="1"/>
        <v>54789</v>
      </c>
      <c r="KI51" s="8">
        <f ca="1"/>
        <v>54820</v>
      </c>
      <c r="KJ51" s="8">
        <f ca="1"/>
        <v>54848</v>
      </c>
      <c r="KK51" s="8">
        <f ca="1"/>
        <v>54879</v>
      </c>
      <c r="KL51" s="8">
        <f ca="1"/>
        <v>54909</v>
      </c>
      <c r="KM51" s="8">
        <f ca="1"/>
        <v>54940</v>
      </c>
      <c r="KN51" s="8">
        <f ca="1"/>
        <v>54970</v>
      </c>
      <c r="KO51" s="8">
        <f ca="1"/>
        <v>55001</v>
      </c>
      <c r="KP51" s="8">
        <f ca="1"/>
        <v>55032</v>
      </c>
      <c r="KQ51" s="8">
        <f ca="1"/>
        <v>55062</v>
      </c>
      <c r="KR51" s="8">
        <f ca="1"/>
        <v>55093</v>
      </c>
      <c r="KS51" s="8">
        <f ca="1"/>
        <v>55123</v>
      </c>
      <c r="KT51" s="8">
        <f ca="1"/>
        <v>55154</v>
      </c>
      <c r="KU51" s="8">
        <f ca="1"/>
        <v>55185</v>
      </c>
      <c r="KV51" s="8">
        <f ca="1"/>
        <v>55213</v>
      </c>
      <c r="KW51" s="8">
        <f ca="1"/>
        <v>55244</v>
      </c>
      <c r="KX51" s="8">
        <f ca="1"/>
        <v>55274</v>
      </c>
      <c r="KY51" s="8">
        <f ca="1"/>
        <v>55305</v>
      </c>
      <c r="KZ51" s="8">
        <f ca="1"/>
        <v>55335</v>
      </c>
      <c r="LA51" s="8">
        <f ca="1"/>
        <v>55366</v>
      </c>
      <c r="LB51" s="8">
        <f ca="1"/>
        <v>55397</v>
      </c>
      <c r="LC51" s="8">
        <f ca="1"/>
        <v>55427</v>
      </c>
      <c r="LD51" s="8">
        <f ca="1"/>
        <v>55458</v>
      </c>
      <c r="LE51" s="8">
        <f ca="1"/>
        <v>55488</v>
      </c>
      <c r="LF51" s="8">
        <f ca="1"/>
        <v>55519</v>
      </c>
      <c r="LG51" s="8">
        <f ca="1"/>
        <v>55550</v>
      </c>
      <c r="LH51" s="8">
        <f ca="1"/>
        <v>55579</v>
      </c>
      <c r="LI51" s="8">
        <f ca="1"/>
        <v>55610</v>
      </c>
      <c r="LJ51" s="8">
        <f ca="1"/>
        <v>55640</v>
      </c>
      <c r="LK51" s="8">
        <f ca="1"/>
        <v>55671</v>
      </c>
      <c r="LL51" s="8">
        <f ca="1"/>
        <v>55701</v>
      </c>
      <c r="LM51" s="8">
        <f ca="1"/>
        <v>55732</v>
      </c>
      <c r="LN51" s="8">
        <f ca="1"/>
        <v>55763</v>
      </c>
      <c r="LO51" s="8">
        <f ca="1"/>
        <v>55793</v>
      </c>
      <c r="LP51" s="8">
        <f ca="1"/>
        <v>55824</v>
      </c>
      <c r="LQ51" s="8">
        <f ca="1"/>
        <v>55854</v>
      </c>
      <c r="LR51" s="8">
        <f ca="1"/>
        <v>55885</v>
      </c>
      <c r="LS51" s="8">
        <f ca="1"/>
        <v>55916</v>
      </c>
      <c r="LT51" s="8">
        <f ca="1"/>
        <v>55944</v>
      </c>
      <c r="LU51" s="8">
        <f ca="1"/>
        <v>55975</v>
      </c>
      <c r="LV51" s="8">
        <f ca="1"/>
        <v>56005</v>
      </c>
      <c r="LW51" s="8">
        <f ca="1"/>
        <v>56036</v>
      </c>
      <c r="LX51" s="8">
        <f ca="1"/>
        <v>56066</v>
      </c>
      <c r="LY51" s="8">
        <f ca="1"/>
        <v>56097</v>
      </c>
      <c r="LZ51" s="8">
        <f ca="1"/>
        <v>56128</v>
      </c>
      <c r="MA51" s="8">
        <f ca="1"/>
        <v>56158</v>
      </c>
      <c r="MB51" s="8">
        <f ca="1"/>
        <v>56189</v>
      </c>
      <c r="MC51" s="8">
        <f ca="1"/>
        <v>56219</v>
      </c>
      <c r="MD51" s="8">
        <f ca="1"/>
        <v>56250</v>
      </c>
      <c r="ME51" s="8">
        <f ca="1"/>
        <v>56281</v>
      </c>
      <c r="MF51" s="8">
        <f ca="1"/>
        <v>56309</v>
      </c>
      <c r="MG51" s="8">
        <f ca="1"/>
        <v>56340</v>
      </c>
      <c r="MH51" s="8">
        <f ca="1"/>
        <v>56370</v>
      </c>
      <c r="MI51" s="8">
        <f ca="1"/>
        <v>56401</v>
      </c>
      <c r="MJ51" s="8">
        <f ca="1"/>
        <v>56431</v>
      </c>
      <c r="MK51" s="8">
        <f ca="1"/>
        <v>56462</v>
      </c>
      <c r="ML51" s="8">
        <f ca="1"/>
        <v>56493</v>
      </c>
      <c r="MM51" s="8">
        <f ca="1"/>
        <v>56523</v>
      </c>
      <c r="MN51" s="8">
        <f ca="1"/>
        <v>56554</v>
      </c>
      <c r="MO51" s="8">
        <f ca="1"/>
        <v>56584</v>
      </c>
      <c r="MP51" s="8">
        <f ca="1"/>
        <v>56615</v>
      </c>
      <c r="MQ51" s="8">
        <f ca="1"/>
        <v>56646</v>
      </c>
      <c r="MR51" s="8">
        <f ca="1"/>
        <v>56674</v>
      </c>
      <c r="MS51" s="8">
        <f ca="1"/>
        <v>56705</v>
      </c>
      <c r="MT51" s="8">
        <f ca="1"/>
        <v>56735</v>
      </c>
      <c r="MU51" s="8">
        <f ca="1"/>
        <v>56766</v>
      </c>
      <c r="MV51" s="8">
        <f ca="1"/>
        <v>56796</v>
      </c>
      <c r="MW51" s="8">
        <f ca="1"/>
        <v>56827</v>
      </c>
      <c r="MX51" s="8">
        <f ca="1"/>
        <v>56858</v>
      </c>
      <c r="MY51" s="8">
        <f ca="1"/>
        <v>56888</v>
      </c>
      <c r="MZ51" s="8">
        <f ca="1"/>
        <v>56919</v>
      </c>
      <c r="NA51" s="8">
        <f ca="1"/>
        <v>56949</v>
      </c>
      <c r="NB51" s="8">
        <f ca="1"/>
        <v>56980</v>
      </c>
      <c r="NC51" s="8">
        <f ca="1"/>
        <v>57011</v>
      </c>
      <c r="ND51" s="8">
        <f ca="1"/>
        <v>57040</v>
      </c>
      <c r="NE51" s="8">
        <f ca="1"/>
        <v>57071</v>
      </c>
      <c r="NF51" s="8">
        <f ca="1"/>
        <v>57101</v>
      </c>
      <c r="NG51" s="8">
        <f ca="1"/>
        <v>57132</v>
      </c>
      <c r="NH51" s="8">
        <f ca="1"/>
        <v>57162</v>
      </c>
      <c r="NI51" s="8">
        <f ca="1"/>
        <v>57193</v>
      </c>
      <c r="NJ51" s="8">
        <f ca="1"/>
        <v>57224</v>
      </c>
      <c r="NK51" s="8">
        <f ca="1"/>
        <v>57254</v>
      </c>
      <c r="NL51" s="8">
        <f ca="1"/>
        <v>57285</v>
      </c>
      <c r="NM51" s="8">
        <f ca="1"/>
        <v>57315</v>
      </c>
      <c r="NN51" s="8">
        <f ca="1"/>
        <v>57346</v>
      </c>
      <c r="NO51" s="8">
        <f ca="1"/>
        <v>57377</v>
      </c>
      <c r="NP51" s="8">
        <f ca="1"/>
        <v>57405</v>
      </c>
      <c r="NQ51" s="8">
        <f ca="1"/>
        <v>57436</v>
      </c>
      <c r="NR51" s="8">
        <f ca="1"/>
        <v>57466</v>
      </c>
      <c r="NS51" s="8">
        <f ca="1"/>
        <v>57497</v>
      </c>
      <c r="NT51" s="8">
        <f ca="1"/>
        <v>57527</v>
      </c>
      <c r="NU51" s="8">
        <f ca="1"/>
        <v>57558</v>
      </c>
      <c r="NV51" s="8">
        <f ca="1"/>
        <v>57589</v>
      </c>
      <c r="NW51" s="8">
        <f ca="1"/>
        <v>57619</v>
      </c>
      <c r="NX51" s="8">
        <f ca="1"/>
        <v>57650</v>
      </c>
      <c r="NY51" s="8">
        <f ca="1"/>
        <v>57680</v>
      </c>
      <c r="NZ51" s="8">
        <f ca="1"/>
        <v>57711</v>
      </c>
      <c r="OA51" s="8">
        <f ca="1"/>
        <v>57742</v>
      </c>
      <c r="OB51" s="8">
        <f ca="1"/>
        <v>57770</v>
      </c>
      <c r="OC51" s="8">
        <f ca="1"/>
        <v>57801</v>
      </c>
      <c r="OD51" s="8">
        <f ca="1"/>
        <v>57831</v>
      </c>
      <c r="OE51" s="8">
        <f ca="1"/>
        <v>57862</v>
      </c>
      <c r="OF51" s="8">
        <f ca="1"/>
        <v>57892</v>
      </c>
      <c r="OG51" s="8">
        <f ca="1"/>
        <v>57923</v>
      </c>
      <c r="OH51" s="8">
        <f ca="1"/>
        <v>57954</v>
      </c>
      <c r="OI51" s="8">
        <f ca="1"/>
        <v>57984</v>
      </c>
      <c r="OJ51" s="8">
        <f ca="1"/>
        <v>58015</v>
      </c>
      <c r="OK51" s="8">
        <f ca="1"/>
        <v>58045</v>
      </c>
      <c r="OL51" s="8">
        <f ca="1"/>
        <v>58076</v>
      </c>
      <c r="OM51" s="8">
        <f ca="1"/>
        <v>58107</v>
      </c>
      <c r="ON51" s="8">
        <f ca="1"/>
        <v>58135</v>
      </c>
      <c r="OO51" s="8">
        <f ca="1"/>
        <v>58166</v>
      </c>
      <c r="OP51" s="8">
        <f ca="1"/>
        <v>58196</v>
      </c>
      <c r="OQ51" s="8">
        <f ca="1"/>
        <v>58227</v>
      </c>
      <c r="OR51" s="8">
        <f ca="1"/>
        <v>58257</v>
      </c>
      <c r="OS51" s="8">
        <f ca="1"/>
        <v>58288</v>
      </c>
      <c r="OT51" s="8">
        <f ca="1"/>
        <v>58319</v>
      </c>
      <c r="OU51" s="8">
        <f ca="1"/>
        <v>58349</v>
      </c>
      <c r="OV51" s="8">
        <f ca="1"/>
        <v>58380</v>
      </c>
      <c r="OW51" s="8">
        <f ca="1"/>
        <v>58410</v>
      </c>
      <c r="OX51" s="8">
        <f ca="1"/>
        <v>58441</v>
      </c>
      <c r="OY51" s="8">
        <f ca="1"/>
        <v>58472</v>
      </c>
      <c r="OZ51" s="8">
        <f ca="1"/>
        <v>58501</v>
      </c>
      <c r="PA51" s="8">
        <f ca="1"/>
        <v>58532</v>
      </c>
      <c r="PB51" s="8">
        <f ca="1"/>
        <v>58562</v>
      </c>
      <c r="PC51" s="8">
        <f ca="1"/>
        <v>58593</v>
      </c>
      <c r="PD51" s="8">
        <f ca="1"/>
        <v>58623</v>
      </c>
      <c r="PE51" s="8">
        <f ca="1"/>
        <v>58654</v>
      </c>
      <c r="PF51" s="8">
        <f ca="1"/>
        <v>58685</v>
      </c>
      <c r="PG51" s="8">
        <f ca="1"/>
        <v>58715</v>
      </c>
      <c r="PH51" s="8">
        <f ca="1"/>
        <v>58746</v>
      </c>
      <c r="PI51" s="8">
        <f ca="1"/>
        <v>58776</v>
      </c>
      <c r="PJ51" s="8">
        <f ca="1"/>
        <v>58807</v>
      </c>
      <c r="PK51" s="8">
        <f ca="1"/>
        <v>58838</v>
      </c>
      <c r="PL51" s="8">
        <f ca="1"/>
        <v>58866</v>
      </c>
      <c r="PM51" s="8">
        <f ca="1"/>
        <v>58897</v>
      </c>
      <c r="PN51" s="8">
        <f ca="1"/>
        <v>58927</v>
      </c>
      <c r="PO51" s="8">
        <f ca="1"/>
        <v>58958</v>
      </c>
      <c r="PP51" s="8">
        <f ca="1"/>
        <v>58988</v>
      </c>
      <c r="PQ51" s="8">
        <f ca="1"/>
        <v>59019</v>
      </c>
      <c r="PR51" s="8">
        <f ca="1"/>
        <v>59050</v>
      </c>
      <c r="PS51" s="8">
        <f ca="1"/>
        <v>59080</v>
      </c>
      <c r="PT51" s="8">
        <f ca="1"/>
        <v>59111</v>
      </c>
      <c r="PU51" s="8">
        <f ca="1"/>
        <v>59141</v>
      </c>
      <c r="PV51" s="8">
        <f ca="1"/>
        <v>59172</v>
      </c>
      <c r="PW51" s="8">
        <f ca="1"/>
        <v>59203</v>
      </c>
      <c r="PX51" s="8">
        <f ca="1"/>
        <v>59231</v>
      </c>
      <c r="PY51" s="8">
        <f ca="1"/>
        <v>59262</v>
      </c>
      <c r="PZ51" s="8">
        <f ca="1"/>
        <v>59292</v>
      </c>
      <c r="QA51" s="8">
        <f ca="1"/>
        <v>59323</v>
      </c>
      <c r="QB51" s="8">
        <f ca="1"/>
        <v>59353</v>
      </c>
      <c r="QC51" s="8">
        <f ca="1"/>
        <v>59384</v>
      </c>
      <c r="QD51" s="8">
        <f ca="1"/>
        <v>59415</v>
      </c>
      <c r="QE51" s="8">
        <f ca="1"/>
        <v>59445</v>
      </c>
      <c r="QF51" s="8">
        <f ca="1"/>
        <v>59476</v>
      </c>
      <c r="QG51" s="8">
        <f ca="1"/>
        <v>59506</v>
      </c>
      <c r="QH51" s="8">
        <f ca="1"/>
        <v>59537</v>
      </c>
      <c r="QI51" s="8">
        <f ca="1"/>
        <v>59568</v>
      </c>
      <c r="QJ51" s="8">
        <f ca="1"/>
        <v>59596</v>
      </c>
      <c r="QK51" s="8">
        <f ca="1"/>
        <v>59627</v>
      </c>
      <c r="QL51" s="8">
        <f ca="1"/>
        <v>59657</v>
      </c>
      <c r="QM51" s="8">
        <f ca="1"/>
        <v>59688</v>
      </c>
      <c r="QN51" s="8">
        <f ca="1"/>
        <v>59718</v>
      </c>
      <c r="QO51" s="8">
        <f ca="1"/>
        <v>59749</v>
      </c>
      <c r="QP51" s="8">
        <f ca="1"/>
        <v>59780</v>
      </c>
      <c r="QQ51" s="8">
        <f ca="1"/>
        <v>59810</v>
      </c>
      <c r="QR51" s="8">
        <f ca="1"/>
        <v>59841</v>
      </c>
      <c r="QS51" s="8">
        <f ca="1"/>
        <v>59871</v>
      </c>
      <c r="QT51" s="8">
        <f ca="1"/>
        <v>59902</v>
      </c>
      <c r="QU51" s="8">
        <f ca="1"/>
        <v>59933</v>
      </c>
      <c r="QV51" s="8">
        <f ca="1"/>
        <v>59962</v>
      </c>
      <c r="QW51" s="8">
        <f ca="1"/>
        <v>59993</v>
      </c>
      <c r="QX51" s="8">
        <f ca="1"/>
        <v>60023</v>
      </c>
      <c r="QY51" s="8">
        <f ca="1"/>
        <v>60054</v>
      </c>
      <c r="QZ51" s="8">
        <f ca="1"/>
        <v>60084</v>
      </c>
      <c r="RA51" s="8">
        <f ca="1"/>
        <v>60115</v>
      </c>
      <c r="RB51" s="8">
        <f ca="1"/>
        <v>60146</v>
      </c>
      <c r="RC51" s="8">
        <f ca="1"/>
        <v>60176</v>
      </c>
      <c r="RD51" s="8">
        <f ca="1"/>
        <v>60207</v>
      </c>
      <c r="RE51" s="8">
        <f ca="1"/>
        <v>60237</v>
      </c>
      <c r="RF51" s="8">
        <f ca="1"/>
        <v>60268</v>
      </c>
      <c r="RG51" s="8">
        <f ca="1"/>
        <v>60299</v>
      </c>
      <c r="RH51" s="8">
        <f ca="1"/>
        <v>60327</v>
      </c>
      <c r="RI51" s="8">
        <f ca="1"/>
        <v>60358</v>
      </c>
      <c r="RJ51" s="8">
        <f ca="1"/>
        <v>60388</v>
      </c>
      <c r="RK51" s="8">
        <f ca="1"/>
        <v>60419</v>
      </c>
      <c r="RL51" s="8">
        <f ca="1"/>
        <v>60449</v>
      </c>
      <c r="RM51" s="8">
        <f ca="1"/>
        <v>60480</v>
      </c>
      <c r="RN51" s="8">
        <f ca="1"/>
        <v>60511</v>
      </c>
      <c r="RO51" s="8">
        <f ca="1"/>
        <v>60541</v>
      </c>
      <c r="RP51" s="8">
        <f ca="1"/>
        <v>60572</v>
      </c>
      <c r="RQ51" s="8">
        <f ca="1"/>
        <v>60602</v>
      </c>
      <c r="RR51" s="8">
        <f ca="1"/>
        <v>60633</v>
      </c>
      <c r="RS51" s="8">
        <f ca="1"/>
        <v>60664</v>
      </c>
      <c r="RT51" s="8">
        <f ca="1"/>
        <v>60692</v>
      </c>
      <c r="RU51" s="8">
        <f ca="1"/>
        <v>60723</v>
      </c>
      <c r="RV51" s="8">
        <f ca="1"/>
        <v>60753</v>
      </c>
      <c r="RW51" s="8">
        <f ca="1"/>
        <v>60784</v>
      </c>
      <c r="RX51" s="8">
        <f ca="1"/>
        <v>60814</v>
      </c>
      <c r="RY51" s="8">
        <f ca="1"/>
        <v>60845</v>
      </c>
      <c r="RZ51" s="8">
        <f ca="1"/>
        <v>60876</v>
      </c>
    </row>
    <row r="52" spans="1:494" x14ac:dyDescent="0.3">
      <c r="A52" t="s">
        <v>493</v>
      </c>
      <c r="B52" s="302" cm="1">
        <f t="array" aca="1" ref="B52:RZ52" ca="1">MATCH(YEAR(_xlfn.ANCHORARRAY(B51)),_xlfn.ANCHORARRAY($C$1))</f>
        <v>11</v>
      </c>
      <c r="C52" s="302">
        <f ca="1"/>
        <v>11</v>
      </c>
      <c r="D52" s="302">
        <f ca="1"/>
        <v>11</v>
      </c>
      <c r="E52" s="302">
        <f ca="1"/>
        <v>11</v>
      </c>
      <c r="F52" s="302">
        <f ca="1"/>
        <v>12</v>
      </c>
      <c r="G52" s="302">
        <f ca="1"/>
        <v>12</v>
      </c>
      <c r="H52" s="302">
        <f ca="1"/>
        <v>12</v>
      </c>
      <c r="I52" s="302">
        <f ca="1"/>
        <v>12</v>
      </c>
      <c r="J52" s="302">
        <f ca="1"/>
        <v>12</v>
      </c>
      <c r="K52" s="302">
        <f ca="1"/>
        <v>12</v>
      </c>
      <c r="L52" s="302">
        <f ca="1"/>
        <v>12</v>
      </c>
      <c r="M52" s="302">
        <f ca="1"/>
        <v>12</v>
      </c>
      <c r="N52" s="302">
        <f ca="1"/>
        <v>12</v>
      </c>
      <c r="O52" s="302">
        <f ca="1"/>
        <v>12</v>
      </c>
      <c r="P52" s="302">
        <f ca="1"/>
        <v>12</v>
      </c>
      <c r="Q52" s="302">
        <f ca="1"/>
        <v>12</v>
      </c>
      <c r="R52" s="302">
        <f ca="1"/>
        <v>13</v>
      </c>
      <c r="S52" s="302">
        <f ca="1"/>
        <v>13</v>
      </c>
      <c r="T52" s="302">
        <f ca="1"/>
        <v>13</v>
      </c>
      <c r="U52" s="302">
        <f ca="1"/>
        <v>13</v>
      </c>
      <c r="V52" s="302">
        <f ca="1"/>
        <v>13</v>
      </c>
      <c r="W52" s="302">
        <f ca="1"/>
        <v>13</v>
      </c>
      <c r="X52" s="302">
        <f ca="1"/>
        <v>13</v>
      </c>
      <c r="Y52" s="302">
        <f ca="1"/>
        <v>13</v>
      </c>
      <c r="Z52" s="302">
        <f ca="1"/>
        <v>13</v>
      </c>
      <c r="AA52" s="302">
        <f ca="1"/>
        <v>13</v>
      </c>
      <c r="AB52" s="302">
        <f ca="1"/>
        <v>13</v>
      </c>
      <c r="AC52" s="302">
        <f ca="1"/>
        <v>13</v>
      </c>
      <c r="AD52" s="302">
        <f ca="1"/>
        <v>14</v>
      </c>
      <c r="AE52" s="302">
        <f ca="1"/>
        <v>14</v>
      </c>
      <c r="AF52" s="302">
        <f ca="1"/>
        <v>14</v>
      </c>
      <c r="AG52" s="302">
        <f ca="1"/>
        <v>14</v>
      </c>
      <c r="AH52" s="302">
        <f ca="1"/>
        <v>14</v>
      </c>
      <c r="AI52" s="302">
        <f ca="1"/>
        <v>14</v>
      </c>
      <c r="AJ52" s="302">
        <f ca="1"/>
        <v>14</v>
      </c>
      <c r="AK52" s="302">
        <f ca="1"/>
        <v>14</v>
      </c>
      <c r="AL52" s="302">
        <f ca="1"/>
        <v>14</v>
      </c>
      <c r="AM52" s="302">
        <f ca="1"/>
        <v>14</v>
      </c>
      <c r="AN52" s="302">
        <f ca="1"/>
        <v>14</v>
      </c>
      <c r="AO52" s="302">
        <f ca="1"/>
        <v>14</v>
      </c>
      <c r="AP52" s="302">
        <f ca="1"/>
        <v>15</v>
      </c>
      <c r="AQ52" s="302">
        <f ca="1"/>
        <v>15</v>
      </c>
      <c r="AR52" s="302">
        <f ca="1"/>
        <v>15</v>
      </c>
      <c r="AS52" s="302">
        <f ca="1"/>
        <v>15</v>
      </c>
      <c r="AT52" s="302">
        <f ca="1"/>
        <v>15</v>
      </c>
      <c r="AU52" s="302">
        <f ca="1"/>
        <v>15</v>
      </c>
      <c r="AV52" s="302">
        <f ca="1"/>
        <v>15</v>
      </c>
      <c r="AW52" s="302">
        <f ca="1"/>
        <v>15</v>
      </c>
      <c r="AX52" s="302">
        <f ca="1"/>
        <v>15</v>
      </c>
      <c r="AY52" s="302">
        <f ca="1"/>
        <v>15</v>
      </c>
      <c r="AZ52" s="302">
        <f ca="1"/>
        <v>15</v>
      </c>
      <c r="BA52" s="302">
        <f ca="1"/>
        <v>15</v>
      </c>
      <c r="BB52" s="302">
        <f ca="1"/>
        <v>16</v>
      </c>
      <c r="BC52" s="302">
        <f ca="1"/>
        <v>16</v>
      </c>
      <c r="BD52" s="302">
        <f ca="1"/>
        <v>16</v>
      </c>
      <c r="BE52" s="302">
        <f ca="1"/>
        <v>16</v>
      </c>
      <c r="BF52" s="302">
        <f ca="1"/>
        <v>16</v>
      </c>
      <c r="BG52" s="302">
        <f ca="1"/>
        <v>16</v>
      </c>
      <c r="BH52" s="302">
        <f ca="1"/>
        <v>16</v>
      </c>
      <c r="BI52" s="302">
        <f ca="1"/>
        <v>16</v>
      </c>
      <c r="BJ52" s="302">
        <f ca="1"/>
        <v>16</v>
      </c>
      <c r="BK52" s="302">
        <f ca="1"/>
        <v>16</v>
      </c>
      <c r="BL52" s="302">
        <f ca="1"/>
        <v>16</v>
      </c>
      <c r="BM52" s="302">
        <f ca="1"/>
        <v>16</v>
      </c>
      <c r="BN52" s="302">
        <f ca="1"/>
        <v>17</v>
      </c>
      <c r="BO52" s="302">
        <f ca="1"/>
        <v>17</v>
      </c>
      <c r="BP52" s="302">
        <f ca="1"/>
        <v>17</v>
      </c>
      <c r="BQ52" s="302">
        <f ca="1"/>
        <v>17</v>
      </c>
      <c r="BR52" s="302">
        <f ca="1"/>
        <v>17</v>
      </c>
      <c r="BS52" s="302">
        <f ca="1"/>
        <v>17</v>
      </c>
      <c r="BT52" s="302">
        <f ca="1"/>
        <v>17</v>
      </c>
      <c r="BU52" s="302">
        <f ca="1"/>
        <v>17</v>
      </c>
      <c r="BV52" s="302">
        <f ca="1"/>
        <v>17</v>
      </c>
      <c r="BW52" s="302">
        <f ca="1"/>
        <v>17</v>
      </c>
      <c r="BX52" s="302">
        <f ca="1"/>
        <v>17</v>
      </c>
      <c r="BY52" s="302">
        <f ca="1"/>
        <v>17</v>
      </c>
      <c r="BZ52" s="302">
        <f ca="1"/>
        <v>18</v>
      </c>
      <c r="CA52" s="302">
        <f ca="1"/>
        <v>18</v>
      </c>
      <c r="CB52" s="302">
        <f ca="1"/>
        <v>18</v>
      </c>
      <c r="CC52" s="302">
        <f ca="1"/>
        <v>18</v>
      </c>
      <c r="CD52" s="302">
        <f ca="1"/>
        <v>18</v>
      </c>
      <c r="CE52" s="302">
        <f ca="1"/>
        <v>18</v>
      </c>
      <c r="CF52" s="302">
        <f ca="1"/>
        <v>18</v>
      </c>
      <c r="CG52" s="302">
        <f ca="1"/>
        <v>18</v>
      </c>
      <c r="CH52" s="302">
        <f ca="1"/>
        <v>18</v>
      </c>
      <c r="CI52" s="302">
        <f ca="1"/>
        <v>18</v>
      </c>
      <c r="CJ52" s="302">
        <f ca="1"/>
        <v>18</v>
      </c>
      <c r="CK52" s="302">
        <f ca="1"/>
        <v>18</v>
      </c>
      <c r="CL52" s="302">
        <f ca="1"/>
        <v>19</v>
      </c>
      <c r="CM52" s="302">
        <f ca="1"/>
        <v>19</v>
      </c>
      <c r="CN52" s="302">
        <f ca="1"/>
        <v>19</v>
      </c>
      <c r="CO52" s="302">
        <f ca="1"/>
        <v>19</v>
      </c>
      <c r="CP52" s="302">
        <f ca="1"/>
        <v>19</v>
      </c>
      <c r="CQ52" s="302">
        <f ca="1"/>
        <v>19</v>
      </c>
      <c r="CR52" s="302">
        <f ca="1"/>
        <v>19</v>
      </c>
      <c r="CS52" s="302">
        <f ca="1"/>
        <v>19</v>
      </c>
      <c r="CT52" s="302">
        <f ca="1"/>
        <v>19</v>
      </c>
      <c r="CU52" s="302">
        <f ca="1"/>
        <v>19</v>
      </c>
      <c r="CV52" s="302">
        <f ca="1"/>
        <v>19</v>
      </c>
      <c r="CW52" s="302">
        <f ca="1"/>
        <v>19</v>
      </c>
      <c r="CX52" s="302">
        <f ca="1"/>
        <v>20</v>
      </c>
      <c r="CY52" s="302">
        <f ca="1"/>
        <v>20</v>
      </c>
      <c r="CZ52" s="302">
        <f ca="1"/>
        <v>20</v>
      </c>
      <c r="DA52" s="302">
        <f ca="1"/>
        <v>20</v>
      </c>
      <c r="DB52" s="302">
        <f ca="1"/>
        <v>20</v>
      </c>
      <c r="DC52" s="302">
        <f ca="1"/>
        <v>20</v>
      </c>
      <c r="DD52" s="302">
        <f ca="1"/>
        <v>20</v>
      </c>
      <c r="DE52" s="302">
        <f ca="1"/>
        <v>20</v>
      </c>
      <c r="DF52" s="302">
        <f ca="1"/>
        <v>20</v>
      </c>
      <c r="DG52" s="302">
        <f ca="1"/>
        <v>20</v>
      </c>
      <c r="DH52" s="302">
        <f ca="1"/>
        <v>20</v>
      </c>
      <c r="DI52" s="302">
        <f ca="1"/>
        <v>20</v>
      </c>
      <c r="DJ52" s="302">
        <f ca="1"/>
        <v>21</v>
      </c>
      <c r="DK52" s="302">
        <f ca="1"/>
        <v>21</v>
      </c>
      <c r="DL52" s="302">
        <f ca="1"/>
        <v>21</v>
      </c>
      <c r="DM52" s="302">
        <f ca="1"/>
        <v>21</v>
      </c>
      <c r="DN52" s="302">
        <f ca="1"/>
        <v>21</v>
      </c>
      <c r="DO52" s="302">
        <f ca="1"/>
        <v>21</v>
      </c>
      <c r="DP52" s="302">
        <f ca="1"/>
        <v>21</v>
      </c>
      <c r="DQ52" s="302">
        <f ca="1"/>
        <v>21</v>
      </c>
      <c r="DR52" s="302">
        <f ca="1"/>
        <v>21</v>
      </c>
      <c r="DS52" s="302">
        <f ca="1"/>
        <v>21</v>
      </c>
      <c r="DT52" s="302">
        <f ca="1"/>
        <v>21</v>
      </c>
      <c r="DU52" s="302">
        <f ca="1"/>
        <v>21</v>
      </c>
      <c r="DV52" s="302">
        <f ca="1"/>
        <v>22</v>
      </c>
      <c r="DW52" s="302">
        <f ca="1"/>
        <v>22</v>
      </c>
      <c r="DX52" s="302">
        <f ca="1"/>
        <v>22</v>
      </c>
      <c r="DY52" s="302">
        <f ca="1"/>
        <v>22</v>
      </c>
      <c r="DZ52" s="302">
        <f ca="1"/>
        <v>22</v>
      </c>
      <c r="EA52" s="302">
        <f ca="1"/>
        <v>22</v>
      </c>
      <c r="EB52" s="302">
        <f ca="1"/>
        <v>22</v>
      </c>
      <c r="EC52" s="302">
        <f ca="1"/>
        <v>22</v>
      </c>
      <c r="ED52" s="302">
        <f ca="1"/>
        <v>22</v>
      </c>
      <c r="EE52" s="302">
        <f ca="1"/>
        <v>22</v>
      </c>
      <c r="EF52" s="302">
        <f ca="1"/>
        <v>22</v>
      </c>
      <c r="EG52" s="302">
        <f ca="1"/>
        <v>22</v>
      </c>
      <c r="EH52" s="302">
        <f ca="1"/>
        <v>23</v>
      </c>
      <c r="EI52" s="302">
        <f ca="1"/>
        <v>23</v>
      </c>
      <c r="EJ52" s="302">
        <f ca="1"/>
        <v>23</v>
      </c>
      <c r="EK52" s="302">
        <f ca="1"/>
        <v>23</v>
      </c>
      <c r="EL52" s="302">
        <f ca="1"/>
        <v>23</v>
      </c>
      <c r="EM52" s="302">
        <f ca="1"/>
        <v>23</v>
      </c>
      <c r="EN52" s="302">
        <f ca="1"/>
        <v>23</v>
      </c>
      <c r="EO52" s="302">
        <f ca="1"/>
        <v>23</v>
      </c>
      <c r="EP52" s="302">
        <f ca="1"/>
        <v>23</v>
      </c>
      <c r="EQ52" s="302">
        <f ca="1"/>
        <v>23</v>
      </c>
      <c r="ER52" s="302">
        <f ca="1"/>
        <v>23</v>
      </c>
      <c r="ES52" s="302">
        <f ca="1"/>
        <v>23</v>
      </c>
      <c r="ET52" s="302">
        <f ca="1"/>
        <v>24</v>
      </c>
      <c r="EU52" s="302">
        <f ca="1"/>
        <v>24</v>
      </c>
      <c r="EV52" s="302">
        <f ca="1"/>
        <v>24</v>
      </c>
      <c r="EW52" s="302">
        <f ca="1"/>
        <v>24</v>
      </c>
      <c r="EX52" s="302">
        <f ca="1"/>
        <v>24</v>
      </c>
      <c r="EY52" s="302">
        <f ca="1"/>
        <v>24</v>
      </c>
      <c r="EZ52" s="302">
        <f ca="1"/>
        <v>24</v>
      </c>
      <c r="FA52" s="302">
        <f ca="1"/>
        <v>24</v>
      </c>
      <c r="FB52" s="302">
        <f ca="1"/>
        <v>24</v>
      </c>
      <c r="FC52" s="302">
        <f ca="1"/>
        <v>24</v>
      </c>
      <c r="FD52" s="302">
        <f ca="1"/>
        <v>24</v>
      </c>
      <c r="FE52" s="302">
        <f ca="1"/>
        <v>24</v>
      </c>
      <c r="FF52" s="302">
        <f ca="1"/>
        <v>25</v>
      </c>
      <c r="FG52" s="302">
        <f ca="1"/>
        <v>25</v>
      </c>
      <c r="FH52" s="302">
        <f ca="1"/>
        <v>25</v>
      </c>
      <c r="FI52" s="302">
        <f ca="1"/>
        <v>25</v>
      </c>
      <c r="FJ52" s="302">
        <f ca="1"/>
        <v>25</v>
      </c>
      <c r="FK52" s="302">
        <f ca="1"/>
        <v>25</v>
      </c>
      <c r="FL52" s="302">
        <f ca="1"/>
        <v>25</v>
      </c>
      <c r="FM52" s="302">
        <f ca="1"/>
        <v>25</v>
      </c>
      <c r="FN52" s="302">
        <f ca="1"/>
        <v>25</v>
      </c>
      <c r="FO52" s="302">
        <f ca="1"/>
        <v>25</v>
      </c>
      <c r="FP52" s="302">
        <f ca="1"/>
        <v>25</v>
      </c>
      <c r="FQ52" s="302">
        <f ca="1"/>
        <v>25</v>
      </c>
      <c r="FR52" s="302">
        <f ca="1"/>
        <v>26</v>
      </c>
      <c r="FS52" s="302">
        <f ca="1"/>
        <v>26</v>
      </c>
      <c r="FT52" s="302">
        <f ca="1"/>
        <v>26</v>
      </c>
      <c r="FU52" s="302">
        <f ca="1"/>
        <v>26</v>
      </c>
      <c r="FV52" s="302">
        <f ca="1"/>
        <v>26</v>
      </c>
      <c r="FW52" s="302">
        <f ca="1"/>
        <v>26</v>
      </c>
      <c r="FX52" s="302">
        <f ca="1"/>
        <v>26</v>
      </c>
      <c r="FY52" s="302">
        <f ca="1"/>
        <v>26</v>
      </c>
      <c r="FZ52" s="302">
        <f ca="1"/>
        <v>26</v>
      </c>
      <c r="GA52" s="302">
        <f ca="1"/>
        <v>26</v>
      </c>
      <c r="GB52" s="302">
        <f ca="1"/>
        <v>26</v>
      </c>
      <c r="GC52" s="302">
        <f ca="1"/>
        <v>26</v>
      </c>
      <c r="GD52" s="302">
        <f ca="1"/>
        <v>27</v>
      </c>
      <c r="GE52" s="302">
        <f ca="1"/>
        <v>27</v>
      </c>
      <c r="GF52" s="302">
        <f ca="1"/>
        <v>27</v>
      </c>
      <c r="GG52" s="302">
        <f ca="1"/>
        <v>27</v>
      </c>
      <c r="GH52" s="302">
        <f ca="1"/>
        <v>27</v>
      </c>
      <c r="GI52" s="302">
        <f ca="1"/>
        <v>27</v>
      </c>
      <c r="GJ52" s="302">
        <f ca="1"/>
        <v>27</v>
      </c>
      <c r="GK52" s="302">
        <f ca="1"/>
        <v>27</v>
      </c>
      <c r="GL52" s="302">
        <f ca="1"/>
        <v>27</v>
      </c>
      <c r="GM52" s="302">
        <f ca="1"/>
        <v>27</v>
      </c>
      <c r="GN52" s="302">
        <f ca="1"/>
        <v>27</v>
      </c>
      <c r="GO52" s="302">
        <f ca="1"/>
        <v>27</v>
      </c>
      <c r="GP52" s="302">
        <f ca="1"/>
        <v>28</v>
      </c>
      <c r="GQ52" s="302">
        <f ca="1"/>
        <v>28</v>
      </c>
      <c r="GR52" s="302">
        <f ca="1"/>
        <v>28</v>
      </c>
      <c r="GS52" s="302">
        <f ca="1"/>
        <v>28</v>
      </c>
      <c r="GT52" s="302">
        <f ca="1"/>
        <v>28</v>
      </c>
      <c r="GU52" s="302">
        <f ca="1"/>
        <v>28</v>
      </c>
      <c r="GV52" s="302">
        <f ca="1"/>
        <v>28</v>
      </c>
      <c r="GW52" s="302">
        <f ca="1"/>
        <v>28</v>
      </c>
      <c r="GX52" s="302">
        <f ca="1"/>
        <v>28</v>
      </c>
      <c r="GY52" s="302">
        <f ca="1"/>
        <v>28</v>
      </c>
      <c r="GZ52" s="302">
        <f ca="1"/>
        <v>28</v>
      </c>
      <c r="HA52" s="302">
        <f ca="1"/>
        <v>28</v>
      </c>
      <c r="HB52" s="302">
        <f ca="1"/>
        <v>29</v>
      </c>
      <c r="HC52" s="302">
        <f ca="1"/>
        <v>29</v>
      </c>
      <c r="HD52" s="302">
        <f ca="1"/>
        <v>29</v>
      </c>
      <c r="HE52" s="302">
        <f ca="1"/>
        <v>29</v>
      </c>
      <c r="HF52" s="302">
        <f ca="1"/>
        <v>29</v>
      </c>
      <c r="HG52" s="302">
        <f ca="1"/>
        <v>29</v>
      </c>
      <c r="HH52" s="302">
        <f ca="1"/>
        <v>29</v>
      </c>
      <c r="HI52" s="302">
        <f ca="1"/>
        <v>29</v>
      </c>
      <c r="HJ52" s="302">
        <f ca="1"/>
        <v>29</v>
      </c>
      <c r="HK52" s="302">
        <f ca="1"/>
        <v>29</v>
      </c>
      <c r="HL52" s="302">
        <f ca="1"/>
        <v>29</v>
      </c>
      <c r="HM52" s="302">
        <f ca="1"/>
        <v>29</v>
      </c>
      <c r="HN52" s="302">
        <f ca="1"/>
        <v>30</v>
      </c>
      <c r="HO52" s="302">
        <f ca="1"/>
        <v>30</v>
      </c>
      <c r="HP52" s="302">
        <f ca="1"/>
        <v>30</v>
      </c>
      <c r="HQ52" s="302">
        <f ca="1"/>
        <v>30</v>
      </c>
      <c r="HR52" s="302">
        <f ca="1"/>
        <v>30</v>
      </c>
      <c r="HS52" s="302">
        <f ca="1"/>
        <v>30</v>
      </c>
      <c r="HT52" s="302">
        <f ca="1"/>
        <v>30</v>
      </c>
      <c r="HU52" s="302">
        <f ca="1"/>
        <v>30</v>
      </c>
      <c r="HV52" s="302">
        <f ca="1"/>
        <v>30</v>
      </c>
      <c r="HW52" s="302">
        <f ca="1"/>
        <v>30</v>
      </c>
      <c r="HX52" s="302">
        <f ca="1"/>
        <v>30</v>
      </c>
      <c r="HY52" s="302">
        <f ca="1"/>
        <v>30</v>
      </c>
      <c r="HZ52" s="302">
        <f ca="1"/>
        <v>31</v>
      </c>
      <c r="IA52" s="302">
        <f ca="1"/>
        <v>31</v>
      </c>
      <c r="IB52" s="302">
        <f ca="1"/>
        <v>31</v>
      </c>
      <c r="IC52" s="302">
        <f ca="1"/>
        <v>31</v>
      </c>
      <c r="ID52" s="302">
        <f ca="1"/>
        <v>31</v>
      </c>
      <c r="IE52" s="302">
        <f ca="1"/>
        <v>31</v>
      </c>
      <c r="IF52" s="302">
        <f ca="1"/>
        <v>31</v>
      </c>
      <c r="IG52" s="302">
        <f ca="1"/>
        <v>31</v>
      </c>
      <c r="IH52" s="302">
        <f ca="1"/>
        <v>31</v>
      </c>
      <c r="II52" s="302">
        <f ca="1"/>
        <v>31</v>
      </c>
      <c r="IJ52" s="302">
        <f ca="1"/>
        <v>31</v>
      </c>
      <c r="IK52" s="302">
        <f ca="1"/>
        <v>31</v>
      </c>
      <c r="IL52" s="302">
        <f ca="1"/>
        <v>32</v>
      </c>
      <c r="IM52" s="302">
        <f ca="1"/>
        <v>32</v>
      </c>
      <c r="IN52" s="302">
        <f ca="1"/>
        <v>32</v>
      </c>
      <c r="IO52" s="302">
        <f ca="1"/>
        <v>32</v>
      </c>
      <c r="IP52" s="302">
        <f ca="1"/>
        <v>32</v>
      </c>
      <c r="IQ52" s="302">
        <f ca="1"/>
        <v>32</v>
      </c>
      <c r="IR52" s="302">
        <f ca="1"/>
        <v>32</v>
      </c>
      <c r="IS52" s="302">
        <f ca="1"/>
        <v>32</v>
      </c>
      <c r="IT52" s="302">
        <f ca="1"/>
        <v>32</v>
      </c>
      <c r="IU52" s="302">
        <f ca="1"/>
        <v>32</v>
      </c>
      <c r="IV52" s="302">
        <f ca="1"/>
        <v>32</v>
      </c>
      <c r="IW52" s="302">
        <f ca="1"/>
        <v>32</v>
      </c>
      <c r="IX52" s="302">
        <f ca="1"/>
        <v>33</v>
      </c>
      <c r="IY52" s="302">
        <f ca="1"/>
        <v>33</v>
      </c>
      <c r="IZ52" s="302">
        <f ca="1"/>
        <v>33</v>
      </c>
      <c r="JA52" s="302">
        <f ca="1"/>
        <v>33</v>
      </c>
      <c r="JB52" s="302">
        <f ca="1"/>
        <v>33</v>
      </c>
      <c r="JC52" s="302">
        <f ca="1"/>
        <v>33</v>
      </c>
      <c r="JD52" s="302">
        <f ca="1"/>
        <v>33</v>
      </c>
      <c r="JE52" s="302">
        <f ca="1"/>
        <v>33</v>
      </c>
      <c r="JF52" s="302">
        <f ca="1"/>
        <v>33</v>
      </c>
      <c r="JG52" s="302">
        <f ca="1"/>
        <v>33</v>
      </c>
      <c r="JH52" s="302">
        <f ca="1"/>
        <v>33</v>
      </c>
      <c r="JI52" s="302">
        <f ca="1"/>
        <v>33</v>
      </c>
      <c r="JJ52" s="302">
        <f ca="1"/>
        <v>34</v>
      </c>
      <c r="JK52" s="302">
        <f ca="1"/>
        <v>34</v>
      </c>
      <c r="JL52" s="302">
        <f ca="1"/>
        <v>34</v>
      </c>
      <c r="JM52" s="302">
        <f ca="1"/>
        <v>34</v>
      </c>
      <c r="JN52" s="302">
        <f ca="1"/>
        <v>34</v>
      </c>
      <c r="JO52" s="302">
        <f ca="1"/>
        <v>34</v>
      </c>
      <c r="JP52" s="302">
        <f ca="1"/>
        <v>34</v>
      </c>
      <c r="JQ52" s="302">
        <f ca="1"/>
        <v>34</v>
      </c>
      <c r="JR52" s="302">
        <f ca="1"/>
        <v>34</v>
      </c>
      <c r="JS52" s="302">
        <f ca="1"/>
        <v>34</v>
      </c>
      <c r="JT52" s="302">
        <f ca="1"/>
        <v>34</v>
      </c>
      <c r="JU52" s="302">
        <f ca="1"/>
        <v>34</v>
      </c>
      <c r="JV52" s="302">
        <f ca="1"/>
        <v>35</v>
      </c>
      <c r="JW52" s="302">
        <f ca="1"/>
        <v>35</v>
      </c>
      <c r="JX52" s="302">
        <f ca="1"/>
        <v>35</v>
      </c>
      <c r="JY52" s="302">
        <f ca="1"/>
        <v>35</v>
      </c>
      <c r="JZ52" s="302">
        <f ca="1"/>
        <v>35</v>
      </c>
      <c r="KA52" s="302">
        <f ca="1"/>
        <v>35</v>
      </c>
      <c r="KB52" s="302">
        <f ca="1"/>
        <v>35</v>
      </c>
      <c r="KC52" s="302">
        <f ca="1"/>
        <v>35</v>
      </c>
      <c r="KD52" s="302">
        <f ca="1"/>
        <v>35</v>
      </c>
      <c r="KE52" s="302">
        <f ca="1"/>
        <v>35</v>
      </c>
      <c r="KF52" s="302">
        <f ca="1"/>
        <v>35</v>
      </c>
      <c r="KG52" s="302">
        <f ca="1"/>
        <v>35</v>
      </c>
      <c r="KH52" s="302">
        <f ca="1"/>
        <v>36</v>
      </c>
      <c r="KI52" s="302">
        <f ca="1"/>
        <v>36</v>
      </c>
      <c r="KJ52" s="302">
        <f ca="1"/>
        <v>36</v>
      </c>
      <c r="KK52" s="302">
        <f ca="1"/>
        <v>36</v>
      </c>
      <c r="KL52" s="302">
        <f ca="1"/>
        <v>36</v>
      </c>
      <c r="KM52" s="302">
        <f ca="1"/>
        <v>36</v>
      </c>
      <c r="KN52" s="302">
        <f ca="1"/>
        <v>36</v>
      </c>
      <c r="KO52" s="302">
        <f ca="1"/>
        <v>36</v>
      </c>
      <c r="KP52" s="302">
        <f ca="1"/>
        <v>36</v>
      </c>
      <c r="KQ52" s="302">
        <f ca="1"/>
        <v>36</v>
      </c>
      <c r="KR52" s="302">
        <f ca="1"/>
        <v>36</v>
      </c>
      <c r="KS52" s="302">
        <f ca="1"/>
        <v>36</v>
      </c>
      <c r="KT52" s="302">
        <f ca="1"/>
        <v>37</v>
      </c>
      <c r="KU52" s="302">
        <f ca="1"/>
        <v>37</v>
      </c>
      <c r="KV52" s="302">
        <f ca="1"/>
        <v>37</v>
      </c>
      <c r="KW52" s="302">
        <f ca="1"/>
        <v>37</v>
      </c>
      <c r="KX52" s="302">
        <f ca="1"/>
        <v>37</v>
      </c>
      <c r="KY52" s="302">
        <f ca="1"/>
        <v>37</v>
      </c>
      <c r="KZ52" s="302">
        <f ca="1"/>
        <v>37</v>
      </c>
      <c r="LA52" s="302">
        <f ca="1"/>
        <v>37</v>
      </c>
      <c r="LB52" s="302">
        <f ca="1"/>
        <v>37</v>
      </c>
      <c r="LC52" s="302">
        <f ca="1"/>
        <v>37</v>
      </c>
      <c r="LD52" s="302">
        <f ca="1"/>
        <v>37</v>
      </c>
      <c r="LE52" s="302">
        <f ca="1"/>
        <v>37</v>
      </c>
      <c r="LF52" s="302">
        <f ca="1"/>
        <v>38</v>
      </c>
      <c r="LG52" s="302">
        <f ca="1"/>
        <v>38</v>
      </c>
      <c r="LH52" s="302">
        <f ca="1"/>
        <v>38</v>
      </c>
      <c r="LI52" s="302">
        <f ca="1"/>
        <v>38</v>
      </c>
      <c r="LJ52" s="302">
        <f ca="1"/>
        <v>38</v>
      </c>
      <c r="LK52" s="302">
        <f ca="1"/>
        <v>38</v>
      </c>
      <c r="LL52" s="302">
        <f ca="1"/>
        <v>38</v>
      </c>
      <c r="LM52" s="302">
        <f ca="1"/>
        <v>38</v>
      </c>
      <c r="LN52" s="302">
        <f ca="1"/>
        <v>38</v>
      </c>
      <c r="LO52" s="302">
        <f ca="1"/>
        <v>38</v>
      </c>
      <c r="LP52" s="302">
        <f ca="1"/>
        <v>38</v>
      </c>
      <c r="LQ52" s="302">
        <f ca="1"/>
        <v>38</v>
      </c>
      <c r="LR52" s="302">
        <f ca="1"/>
        <v>39</v>
      </c>
      <c r="LS52" s="302">
        <f ca="1"/>
        <v>39</v>
      </c>
      <c r="LT52" s="302">
        <f ca="1"/>
        <v>39</v>
      </c>
      <c r="LU52" s="302">
        <f ca="1"/>
        <v>39</v>
      </c>
      <c r="LV52" s="302">
        <f ca="1"/>
        <v>39</v>
      </c>
      <c r="LW52" s="302">
        <f ca="1"/>
        <v>39</v>
      </c>
      <c r="LX52" s="302">
        <f ca="1"/>
        <v>39</v>
      </c>
      <c r="LY52" s="302">
        <f ca="1"/>
        <v>39</v>
      </c>
      <c r="LZ52" s="302">
        <f ca="1"/>
        <v>39</v>
      </c>
      <c r="MA52" s="302">
        <f ca="1"/>
        <v>39</v>
      </c>
      <c r="MB52" s="302">
        <f ca="1"/>
        <v>39</v>
      </c>
      <c r="MC52" s="302">
        <f ca="1"/>
        <v>39</v>
      </c>
      <c r="MD52" s="302">
        <f ca="1"/>
        <v>40</v>
      </c>
      <c r="ME52" s="302">
        <f ca="1"/>
        <v>40</v>
      </c>
      <c r="MF52" s="302">
        <f ca="1"/>
        <v>40</v>
      </c>
      <c r="MG52" s="302">
        <f ca="1"/>
        <v>40</v>
      </c>
      <c r="MH52" s="302">
        <f ca="1"/>
        <v>40</v>
      </c>
      <c r="MI52" s="302">
        <f ca="1"/>
        <v>40</v>
      </c>
      <c r="MJ52" s="302">
        <f ca="1"/>
        <v>40</v>
      </c>
      <c r="MK52" s="302">
        <f ca="1"/>
        <v>40</v>
      </c>
      <c r="ML52" s="302">
        <f ca="1"/>
        <v>40</v>
      </c>
      <c r="MM52" s="302">
        <f ca="1"/>
        <v>40</v>
      </c>
      <c r="MN52" s="302">
        <f ca="1"/>
        <v>40</v>
      </c>
      <c r="MO52" s="302">
        <f ca="1"/>
        <v>40</v>
      </c>
      <c r="MP52" s="302">
        <f ca="1"/>
        <v>41</v>
      </c>
      <c r="MQ52" s="302">
        <f ca="1"/>
        <v>41</v>
      </c>
      <c r="MR52" s="302">
        <f ca="1"/>
        <v>41</v>
      </c>
      <c r="MS52" s="302">
        <f ca="1"/>
        <v>41</v>
      </c>
      <c r="MT52" s="302">
        <f ca="1"/>
        <v>41</v>
      </c>
      <c r="MU52" s="302">
        <f ca="1"/>
        <v>41</v>
      </c>
      <c r="MV52" s="302">
        <f ca="1"/>
        <v>41</v>
      </c>
      <c r="MW52" s="302">
        <f ca="1"/>
        <v>41</v>
      </c>
      <c r="MX52" s="302">
        <f ca="1"/>
        <v>41</v>
      </c>
      <c r="MY52" s="302">
        <f ca="1"/>
        <v>41</v>
      </c>
      <c r="MZ52" s="302">
        <f ca="1"/>
        <v>41</v>
      </c>
      <c r="NA52" s="302">
        <f ca="1"/>
        <v>41</v>
      </c>
      <c r="NB52" s="302">
        <f ca="1"/>
        <v>42</v>
      </c>
      <c r="NC52" s="302">
        <f ca="1"/>
        <v>42</v>
      </c>
      <c r="ND52" s="302">
        <f ca="1"/>
        <v>42</v>
      </c>
      <c r="NE52" s="302">
        <f ca="1"/>
        <v>42</v>
      </c>
      <c r="NF52" s="302">
        <f ca="1"/>
        <v>42</v>
      </c>
      <c r="NG52" s="302">
        <f ca="1"/>
        <v>42</v>
      </c>
      <c r="NH52" s="302">
        <f ca="1"/>
        <v>42</v>
      </c>
      <c r="NI52" s="302">
        <f ca="1"/>
        <v>42</v>
      </c>
      <c r="NJ52" s="302">
        <f ca="1"/>
        <v>42</v>
      </c>
      <c r="NK52" s="302">
        <f ca="1"/>
        <v>42</v>
      </c>
      <c r="NL52" s="302">
        <f ca="1"/>
        <v>42</v>
      </c>
      <c r="NM52" s="302">
        <f ca="1"/>
        <v>42</v>
      </c>
      <c r="NN52" s="302">
        <f ca="1"/>
        <v>43</v>
      </c>
      <c r="NO52" s="302">
        <f ca="1"/>
        <v>43</v>
      </c>
      <c r="NP52" s="302">
        <f ca="1"/>
        <v>43</v>
      </c>
      <c r="NQ52" s="302">
        <f ca="1"/>
        <v>43</v>
      </c>
      <c r="NR52" s="302">
        <f ca="1"/>
        <v>43</v>
      </c>
      <c r="NS52" s="302">
        <f ca="1"/>
        <v>43</v>
      </c>
      <c r="NT52" s="302">
        <f ca="1"/>
        <v>43</v>
      </c>
      <c r="NU52" s="302">
        <f ca="1"/>
        <v>43</v>
      </c>
      <c r="NV52" s="302">
        <f ca="1"/>
        <v>43</v>
      </c>
      <c r="NW52" s="302">
        <f ca="1"/>
        <v>43</v>
      </c>
      <c r="NX52" s="302">
        <f ca="1"/>
        <v>43</v>
      </c>
      <c r="NY52" s="302">
        <f ca="1"/>
        <v>43</v>
      </c>
      <c r="NZ52" s="302">
        <f ca="1"/>
        <v>44</v>
      </c>
      <c r="OA52" s="302">
        <f ca="1"/>
        <v>44</v>
      </c>
      <c r="OB52" s="302">
        <f ca="1"/>
        <v>44</v>
      </c>
      <c r="OC52" s="302">
        <f ca="1"/>
        <v>44</v>
      </c>
      <c r="OD52" s="302">
        <f ca="1"/>
        <v>44</v>
      </c>
      <c r="OE52" s="302">
        <f ca="1"/>
        <v>44</v>
      </c>
      <c r="OF52" s="302">
        <f ca="1"/>
        <v>44</v>
      </c>
      <c r="OG52" s="302">
        <f ca="1"/>
        <v>44</v>
      </c>
      <c r="OH52" s="302">
        <f ca="1"/>
        <v>44</v>
      </c>
      <c r="OI52" s="302">
        <f ca="1"/>
        <v>44</v>
      </c>
      <c r="OJ52" s="302">
        <f ca="1"/>
        <v>44</v>
      </c>
      <c r="OK52" s="302">
        <f ca="1"/>
        <v>44</v>
      </c>
      <c r="OL52" s="302">
        <f ca="1"/>
        <v>45</v>
      </c>
      <c r="OM52" s="302">
        <f ca="1"/>
        <v>45</v>
      </c>
      <c r="ON52" s="302">
        <f ca="1"/>
        <v>45</v>
      </c>
      <c r="OO52" s="302">
        <f ca="1"/>
        <v>45</v>
      </c>
      <c r="OP52" s="302">
        <f ca="1"/>
        <v>45</v>
      </c>
      <c r="OQ52" s="302">
        <f ca="1"/>
        <v>45</v>
      </c>
      <c r="OR52" s="302">
        <f ca="1"/>
        <v>45</v>
      </c>
      <c r="OS52" s="302">
        <f ca="1"/>
        <v>45</v>
      </c>
      <c r="OT52" s="302">
        <f ca="1"/>
        <v>45</v>
      </c>
      <c r="OU52" s="302">
        <f ca="1"/>
        <v>45</v>
      </c>
      <c r="OV52" s="302">
        <f ca="1"/>
        <v>45</v>
      </c>
      <c r="OW52" s="302">
        <f ca="1"/>
        <v>45</v>
      </c>
      <c r="OX52" s="302">
        <f ca="1"/>
        <v>46</v>
      </c>
      <c r="OY52" s="302">
        <f ca="1"/>
        <v>46</v>
      </c>
      <c r="OZ52" s="302">
        <f ca="1"/>
        <v>46</v>
      </c>
      <c r="PA52" s="302">
        <f ca="1"/>
        <v>46</v>
      </c>
      <c r="PB52" s="302">
        <f ca="1"/>
        <v>46</v>
      </c>
      <c r="PC52" s="302">
        <f ca="1"/>
        <v>46</v>
      </c>
      <c r="PD52" s="302">
        <f ca="1"/>
        <v>46</v>
      </c>
      <c r="PE52" s="302">
        <f ca="1"/>
        <v>46</v>
      </c>
      <c r="PF52" s="302">
        <f ca="1"/>
        <v>46</v>
      </c>
      <c r="PG52" s="302">
        <f ca="1"/>
        <v>46</v>
      </c>
      <c r="PH52" s="302">
        <f ca="1"/>
        <v>46</v>
      </c>
      <c r="PI52" s="302">
        <f ca="1"/>
        <v>46</v>
      </c>
      <c r="PJ52" s="302">
        <f ca="1"/>
        <v>47</v>
      </c>
      <c r="PK52" s="302">
        <f ca="1"/>
        <v>47</v>
      </c>
      <c r="PL52" s="302">
        <f ca="1"/>
        <v>47</v>
      </c>
      <c r="PM52" s="302">
        <f ca="1"/>
        <v>47</v>
      </c>
      <c r="PN52" s="302">
        <f ca="1"/>
        <v>47</v>
      </c>
      <c r="PO52" s="302">
        <f ca="1"/>
        <v>47</v>
      </c>
      <c r="PP52" s="302">
        <f ca="1"/>
        <v>47</v>
      </c>
      <c r="PQ52" s="302">
        <f ca="1"/>
        <v>47</v>
      </c>
      <c r="PR52" s="302">
        <f ca="1"/>
        <v>47</v>
      </c>
      <c r="PS52" s="302">
        <f ca="1"/>
        <v>47</v>
      </c>
      <c r="PT52" s="302">
        <f ca="1"/>
        <v>47</v>
      </c>
      <c r="PU52" s="302">
        <f ca="1"/>
        <v>47</v>
      </c>
      <c r="PV52" s="302">
        <f ca="1"/>
        <v>48</v>
      </c>
      <c r="PW52" s="302">
        <f ca="1"/>
        <v>48</v>
      </c>
      <c r="PX52" s="302">
        <f ca="1"/>
        <v>48</v>
      </c>
      <c r="PY52" s="302">
        <f ca="1"/>
        <v>48</v>
      </c>
      <c r="PZ52" s="302">
        <f ca="1"/>
        <v>48</v>
      </c>
      <c r="QA52" s="302">
        <f ca="1"/>
        <v>48</v>
      </c>
      <c r="QB52" s="302">
        <f ca="1"/>
        <v>48</v>
      </c>
      <c r="QC52" s="302">
        <f ca="1"/>
        <v>48</v>
      </c>
      <c r="QD52" s="302">
        <f ca="1"/>
        <v>48</v>
      </c>
      <c r="QE52" s="302">
        <f ca="1"/>
        <v>48</v>
      </c>
      <c r="QF52" s="302">
        <f ca="1"/>
        <v>48</v>
      </c>
      <c r="QG52" s="302">
        <f ca="1"/>
        <v>48</v>
      </c>
      <c r="QH52" s="302">
        <f ca="1"/>
        <v>49</v>
      </c>
      <c r="QI52" s="302">
        <f ca="1"/>
        <v>49</v>
      </c>
      <c r="QJ52" s="302">
        <f ca="1"/>
        <v>49</v>
      </c>
      <c r="QK52" s="302">
        <f ca="1"/>
        <v>49</v>
      </c>
      <c r="QL52" s="302">
        <f ca="1"/>
        <v>49</v>
      </c>
      <c r="QM52" s="302">
        <f ca="1"/>
        <v>49</v>
      </c>
      <c r="QN52" s="302">
        <f ca="1"/>
        <v>49</v>
      </c>
      <c r="QO52" s="302">
        <f ca="1"/>
        <v>49</v>
      </c>
      <c r="QP52" s="302">
        <f ca="1"/>
        <v>49</v>
      </c>
      <c r="QQ52" s="302">
        <f ca="1"/>
        <v>49</v>
      </c>
      <c r="QR52" s="302">
        <f ca="1"/>
        <v>49</v>
      </c>
      <c r="QS52" s="302">
        <f ca="1"/>
        <v>49</v>
      </c>
      <c r="QT52" s="302">
        <f ca="1"/>
        <v>50</v>
      </c>
      <c r="QU52" s="302">
        <f ca="1"/>
        <v>50</v>
      </c>
      <c r="QV52" s="302">
        <f ca="1"/>
        <v>50</v>
      </c>
      <c r="QW52" s="302">
        <f ca="1"/>
        <v>50</v>
      </c>
      <c r="QX52" s="302">
        <f ca="1"/>
        <v>50</v>
      </c>
      <c r="QY52" s="302">
        <f ca="1"/>
        <v>50</v>
      </c>
      <c r="QZ52" s="302">
        <f ca="1"/>
        <v>50</v>
      </c>
      <c r="RA52" s="302">
        <f ca="1"/>
        <v>50</v>
      </c>
      <c r="RB52" s="302">
        <f ca="1"/>
        <v>50</v>
      </c>
      <c r="RC52" s="302">
        <f ca="1"/>
        <v>50</v>
      </c>
      <c r="RD52" s="302">
        <f ca="1"/>
        <v>50</v>
      </c>
      <c r="RE52" s="302">
        <f ca="1"/>
        <v>50</v>
      </c>
      <c r="RF52" s="302">
        <f ca="1"/>
        <v>51</v>
      </c>
      <c r="RG52" s="302">
        <f ca="1"/>
        <v>51</v>
      </c>
      <c r="RH52" s="302">
        <f ca="1"/>
        <v>51</v>
      </c>
      <c r="RI52" s="302">
        <f ca="1"/>
        <v>51</v>
      </c>
      <c r="RJ52" s="302">
        <f ca="1"/>
        <v>51</v>
      </c>
      <c r="RK52" s="302">
        <f ca="1"/>
        <v>51</v>
      </c>
      <c r="RL52" s="302">
        <f ca="1"/>
        <v>51</v>
      </c>
      <c r="RM52" s="302">
        <f ca="1"/>
        <v>51</v>
      </c>
      <c r="RN52" s="302">
        <f ca="1"/>
        <v>51</v>
      </c>
      <c r="RO52" s="302">
        <f ca="1"/>
        <v>51</v>
      </c>
      <c r="RP52" s="302">
        <f ca="1"/>
        <v>51</v>
      </c>
      <c r="RQ52" s="302">
        <f ca="1"/>
        <v>51</v>
      </c>
      <c r="RR52" s="302">
        <f ca="1"/>
        <v>52</v>
      </c>
      <c r="RS52" s="302">
        <f ca="1"/>
        <v>52</v>
      </c>
      <c r="RT52" s="302">
        <f ca="1"/>
        <v>52</v>
      </c>
      <c r="RU52" s="302">
        <f ca="1"/>
        <v>52</v>
      </c>
      <c r="RV52" s="302">
        <f ca="1"/>
        <v>52</v>
      </c>
      <c r="RW52" s="302">
        <f ca="1"/>
        <v>52</v>
      </c>
      <c r="RX52" s="302">
        <f ca="1"/>
        <v>52</v>
      </c>
      <c r="RY52" s="302">
        <f ca="1"/>
        <v>52</v>
      </c>
      <c r="RZ52" s="302">
        <f ca="1"/>
        <v>52</v>
      </c>
    </row>
    <row r="53" spans="1:494" x14ac:dyDescent="0.3">
      <c r="A53" t="s">
        <v>494</v>
      </c>
      <c r="B53" cm="1">
        <f t="array" aca="1" ref="B53:RZ53" ca="1">IF(  YEAR(_xlfn.ANCHORARRAY(B51))=YEAR(TODAY()),B48,INDEX($C$11:$BB$11,_xlfn.ANCHORARRAY( B52)-1))</f>
        <v>0</v>
      </c>
      <c r="C53">
        <f ca="1"/>
        <v>0</v>
      </c>
      <c r="D53">
        <f ca="1"/>
        <v>0</v>
      </c>
      <c r="E53">
        <f ca="1"/>
        <v>0</v>
      </c>
      <c r="F53">
        <f ca="1"/>
        <v>49.28</v>
      </c>
      <c r="G53">
        <f ca="1"/>
        <v>49.28</v>
      </c>
      <c r="H53">
        <f ca="1"/>
        <v>49.28</v>
      </c>
      <c r="I53">
        <f ca="1"/>
        <v>49.28</v>
      </c>
      <c r="J53">
        <f ca="1"/>
        <v>49.28</v>
      </c>
      <c r="K53">
        <f ca="1"/>
        <v>49.28</v>
      </c>
      <c r="L53">
        <f ca="1"/>
        <v>49.28</v>
      </c>
      <c r="M53">
        <f ca="1"/>
        <v>49.28</v>
      </c>
      <c r="N53">
        <f ca="1"/>
        <v>49.28</v>
      </c>
      <c r="O53">
        <f ca="1"/>
        <v>49.28</v>
      </c>
      <c r="P53">
        <f ca="1"/>
        <v>49.28</v>
      </c>
      <c r="Q53">
        <f ca="1"/>
        <v>49.28</v>
      </c>
      <c r="R53">
        <f ca="1"/>
        <v>56.540000000000006</v>
      </c>
      <c r="S53">
        <f ca="1"/>
        <v>56.540000000000006</v>
      </c>
      <c r="T53">
        <f ca="1"/>
        <v>56.540000000000006</v>
      </c>
      <c r="U53">
        <f ca="1"/>
        <v>56.540000000000006</v>
      </c>
      <c r="V53">
        <f ca="1"/>
        <v>56.540000000000006</v>
      </c>
      <c r="W53">
        <f ca="1"/>
        <v>56.540000000000006</v>
      </c>
      <c r="X53">
        <f ca="1"/>
        <v>56.540000000000006</v>
      </c>
      <c r="Y53">
        <f ca="1"/>
        <v>56.540000000000006</v>
      </c>
      <c r="Z53">
        <f ca="1"/>
        <v>56.540000000000006</v>
      </c>
      <c r="AA53">
        <f ca="1"/>
        <v>56.540000000000006</v>
      </c>
      <c r="AB53">
        <f ca="1"/>
        <v>56.540000000000006</v>
      </c>
      <c r="AC53">
        <f ca="1"/>
        <v>56.540000000000006</v>
      </c>
      <c r="AD53">
        <f ca="1"/>
        <v>64.172405769230778</v>
      </c>
      <c r="AE53">
        <f ca="1"/>
        <v>64.172405769230778</v>
      </c>
      <c r="AF53">
        <f ca="1"/>
        <v>64.172405769230778</v>
      </c>
      <c r="AG53">
        <f ca="1"/>
        <v>64.172405769230778</v>
      </c>
      <c r="AH53">
        <f ca="1"/>
        <v>64.172405769230778</v>
      </c>
      <c r="AI53">
        <f ca="1"/>
        <v>64.172405769230778</v>
      </c>
      <c r="AJ53">
        <f ca="1"/>
        <v>64.172405769230778</v>
      </c>
      <c r="AK53">
        <f ca="1"/>
        <v>64.172405769230778</v>
      </c>
      <c r="AL53">
        <f ca="1"/>
        <v>64.172405769230778</v>
      </c>
      <c r="AM53">
        <f ca="1"/>
        <v>64.172405769230778</v>
      </c>
      <c r="AN53">
        <f ca="1"/>
        <v>64.172405769230778</v>
      </c>
      <c r="AO53">
        <f ca="1"/>
        <v>64.172405769230778</v>
      </c>
      <c r="AP53">
        <f ca="1"/>
        <v>73.148734876811588</v>
      </c>
      <c r="AQ53">
        <f ca="1"/>
        <v>73.148734876811588</v>
      </c>
      <c r="AR53">
        <f ca="1"/>
        <v>73.148734876811588</v>
      </c>
      <c r="AS53">
        <f ca="1"/>
        <v>73.148734876811588</v>
      </c>
      <c r="AT53">
        <f ca="1"/>
        <v>73.148734876811588</v>
      </c>
      <c r="AU53">
        <f ca="1"/>
        <v>73.148734876811588</v>
      </c>
      <c r="AV53">
        <f ca="1"/>
        <v>73.148734876811588</v>
      </c>
      <c r="AW53">
        <f ca="1"/>
        <v>73.148734876811588</v>
      </c>
      <c r="AX53">
        <f ca="1"/>
        <v>73.148734876811588</v>
      </c>
      <c r="AY53">
        <f ca="1"/>
        <v>73.148734876811588</v>
      </c>
      <c r="AZ53">
        <f ca="1"/>
        <v>73.148734876811588</v>
      </c>
      <c r="BA53">
        <f ca="1"/>
        <v>73.148734876811588</v>
      </c>
      <c r="BB53">
        <f ca="1"/>
        <v>81.541997794207333</v>
      </c>
      <c r="BC53">
        <f ca="1"/>
        <v>81.541997794207333</v>
      </c>
      <c r="BD53">
        <f ca="1"/>
        <v>81.541997794207333</v>
      </c>
      <c r="BE53">
        <f ca="1"/>
        <v>81.541997794207333</v>
      </c>
      <c r="BF53">
        <f ca="1"/>
        <v>81.541997794207333</v>
      </c>
      <c r="BG53">
        <f ca="1"/>
        <v>81.541997794207333</v>
      </c>
      <c r="BH53">
        <f ca="1"/>
        <v>81.541997794207333</v>
      </c>
      <c r="BI53">
        <f ca="1"/>
        <v>81.541997794207333</v>
      </c>
      <c r="BJ53">
        <f ca="1"/>
        <v>81.541997794207333</v>
      </c>
      <c r="BK53">
        <f ca="1"/>
        <v>81.541997794207333</v>
      </c>
      <c r="BL53">
        <f ca="1"/>
        <v>81.541997794207333</v>
      </c>
      <c r="BM53">
        <f ca="1"/>
        <v>81.541997794207333</v>
      </c>
      <c r="BN53">
        <f ca="1"/>
        <v>91.73474751848326</v>
      </c>
      <c r="BO53">
        <f ca="1"/>
        <v>91.73474751848326</v>
      </c>
      <c r="BP53">
        <f ca="1"/>
        <v>91.73474751848326</v>
      </c>
      <c r="BQ53">
        <f ca="1"/>
        <v>91.73474751848326</v>
      </c>
      <c r="BR53">
        <f ca="1"/>
        <v>91.73474751848326</v>
      </c>
      <c r="BS53">
        <f ca="1"/>
        <v>91.73474751848326</v>
      </c>
      <c r="BT53">
        <f ca="1"/>
        <v>91.73474751848326</v>
      </c>
      <c r="BU53">
        <f ca="1"/>
        <v>91.73474751848326</v>
      </c>
      <c r="BV53">
        <f ca="1"/>
        <v>91.73474751848326</v>
      </c>
      <c r="BW53">
        <f ca="1"/>
        <v>91.73474751848326</v>
      </c>
      <c r="BX53">
        <f ca="1"/>
        <v>91.73474751848326</v>
      </c>
      <c r="BY53">
        <f ca="1"/>
        <v>91.73474751848326</v>
      </c>
      <c r="BZ53">
        <f ca="1"/>
        <v>102.28424348310885</v>
      </c>
      <c r="CA53">
        <f ca="1"/>
        <v>102.28424348310885</v>
      </c>
      <c r="CB53">
        <f ca="1"/>
        <v>102.28424348310885</v>
      </c>
      <c r="CC53">
        <f ca="1"/>
        <v>102.28424348310885</v>
      </c>
      <c r="CD53">
        <f ca="1"/>
        <v>102.28424348310885</v>
      </c>
      <c r="CE53">
        <f ca="1"/>
        <v>102.28424348310885</v>
      </c>
      <c r="CF53">
        <f ca="1"/>
        <v>102.28424348310885</v>
      </c>
      <c r="CG53">
        <f ca="1"/>
        <v>102.28424348310885</v>
      </c>
      <c r="CH53">
        <f ca="1"/>
        <v>102.28424348310885</v>
      </c>
      <c r="CI53">
        <f ca="1"/>
        <v>102.28424348310885</v>
      </c>
      <c r="CJ53">
        <f ca="1"/>
        <v>102.28424348310885</v>
      </c>
      <c r="CK53">
        <f ca="1"/>
        <v>102.28424348310885</v>
      </c>
      <c r="CL53">
        <f ca="1"/>
        <v>113.02408904883528</v>
      </c>
      <c r="CM53">
        <f ca="1"/>
        <v>113.02408904883528</v>
      </c>
      <c r="CN53">
        <f ca="1"/>
        <v>113.02408904883528</v>
      </c>
      <c r="CO53">
        <f ca="1"/>
        <v>113.02408904883528</v>
      </c>
      <c r="CP53">
        <f ca="1"/>
        <v>113.02408904883528</v>
      </c>
      <c r="CQ53">
        <f ca="1"/>
        <v>113.02408904883528</v>
      </c>
      <c r="CR53">
        <f ca="1"/>
        <v>113.02408904883528</v>
      </c>
      <c r="CS53">
        <f ca="1"/>
        <v>113.02408904883528</v>
      </c>
      <c r="CT53">
        <f ca="1"/>
        <v>113.02408904883528</v>
      </c>
      <c r="CU53">
        <f ca="1"/>
        <v>113.02408904883528</v>
      </c>
      <c r="CV53">
        <f ca="1"/>
        <v>113.02408904883528</v>
      </c>
      <c r="CW53">
        <f ca="1"/>
        <v>113.02408904883528</v>
      </c>
      <c r="CX53">
        <f ca="1"/>
        <v>124.32649795371883</v>
      </c>
      <c r="CY53">
        <f ca="1"/>
        <v>124.32649795371883</v>
      </c>
      <c r="CZ53">
        <f ca="1"/>
        <v>124.32649795371883</v>
      </c>
      <c r="DA53">
        <f ca="1"/>
        <v>124.32649795371883</v>
      </c>
      <c r="DB53">
        <f ca="1"/>
        <v>124.32649795371883</v>
      </c>
      <c r="DC53">
        <f ca="1"/>
        <v>124.32649795371883</v>
      </c>
      <c r="DD53">
        <f ca="1"/>
        <v>124.32649795371883</v>
      </c>
      <c r="DE53">
        <f ca="1"/>
        <v>124.32649795371883</v>
      </c>
      <c r="DF53">
        <f ca="1"/>
        <v>124.32649795371883</v>
      </c>
      <c r="DG53">
        <f ca="1"/>
        <v>124.32649795371883</v>
      </c>
      <c r="DH53">
        <f ca="1"/>
        <v>124.32649795371883</v>
      </c>
      <c r="DI53">
        <f ca="1"/>
        <v>124.32649795371883</v>
      </c>
      <c r="DJ53">
        <f ca="1"/>
        <v>136.75914774909074</v>
      </c>
      <c r="DK53">
        <f ca="1"/>
        <v>136.75914774909074</v>
      </c>
      <c r="DL53">
        <f ca="1"/>
        <v>136.75914774909074</v>
      </c>
      <c r="DM53">
        <f ca="1"/>
        <v>136.75914774909074</v>
      </c>
      <c r="DN53">
        <f ca="1"/>
        <v>136.75914774909074</v>
      </c>
      <c r="DO53">
        <f ca="1"/>
        <v>136.75914774909074</v>
      </c>
      <c r="DP53">
        <f ca="1"/>
        <v>136.75914774909074</v>
      </c>
      <c r="DQ53">
        <f ca="1"/>
        <v>136.75914774909074</v>
      </c>
      <c r="DR53">
        <f ca="1"/>
        <v>136.75914774909074</v>
      </c>
      <c r="DS53">
        <f ca="1"/>
        <v>136.75914774909074</v>
      </c>
      <c r="DT53">
        <f ca="1"/>
        <v>136.75914774909074</v>
      </c>
      <c r="DU53">
        <f ca="1"/>
        <v>136.75914774909074</v>
      </c>
      <c r="DV53">
        <f ca="1"/>
        <v>149.0674710465089</v>
      </c>
      <c r="DW53">
        <f ca="1"/>
        <v>149.0674710465089</v>
      </c>
      <c r="DX53">
        <f ca="1"/>
        <v>149.0674710465089</v>
      </c>
      <c r="DY53">
        <f ca="1"/>
        <v>149.0674710465089</v>
      </c>
      <c r="DZ53">
        <f ca="1"/>
        <v>149.0674710465089</v>
      </c>
      <c r="EA53">
        <f ca="1"/>
        <v>149.0674710465089</v>
      </c>
      <c r="EB53">
        <f ca="1"/>
        <v>149.0674710465089</v>
      </c>
      <c r="EC53">
        <f ca="1"/>
        <v>149.0674710465089</v>
      </c>
      <c r="ED53">
        <f ca="1"/>
        <v>149.0674710465089</v>
      </c>
      <c r="EE53">
        <f ca="1"/>
        <v>149.0674710465089</v>
      </c>
      <c r="EF53">
        <f ca="1"/>
        <v>149.0674710465089</v>
      </c>
      <c r="EG53">
        <f ca="1"/>
        <v>149.0674710465089</v>
      </c>
      <c r="EH53">
        <f ca="1"/>
        <v>162.48354344069472</v>
      </c>
      <c r="EI53">
        <f ca="1"/>
        <v>162.48354344069472</v>
      </c>
      <c r="EJ53">
        <f ca="1"/>
        <v>162.48354344069472</v>
      </c>
      <c r="EK53">
        <f ca="1"/>
        <v>162.48354344069472</v>
      </c>
      <c r="EL53">
        <f ca="1"/>
        <v>162.48354344069472</v>
      </c>
      <c r="EM53">
        <f ca="1"/>
        <v>162.48354344069472</v>
      </c>
      <c r="EN53">
        <f ca="1"/>
        <v>162.48354344069472</v>
      </c>
      <c r="EO53">
        <f ca="1"/>
        <v>162.48354344069472</v>
      </c>
      <c r="EP53">
        <f ca="1"/>
        <v>162.48354344069472</v>
      </c>
      <c r="EQ53">
        <f ca="1"/>
        <v>162.48354344069472</v>
      </c>
      <c r="ER53">
        <f ca="1"/>
        <v>162.48354344069472</v>
      </c>
      <c r="ES53">
        <f ca="1"/>
        <v>162.48354344069472</v>
      </c>
      <c r="ET53">
        <f ca="1"/>
        <v>175.48222691595029</v>
      </c>
      <c r="EU53">
        <f ca="1"/>
        <v>175.48222691595029</v>
      </c>
      <c r="EV53">
        <f ca="1"/>
        <v>175.48222691595029</v>
      </c>
      <c r="EW53">
        <f ca="1"/>
        <v>175.48222691595029</v>
      </c>
      <c r="EX53">
        <f ca="1"/>
        <v>175.48222691595029</v>
      </c>
      <c r="EY53">
        <f ca="1"/>
        <v>175.48222691595029</v>
      </c>
      <c r="EZ53">
        <f ca="1"/>
        <v>175.48222691595029</v>
      </c>
      <c r="FA53">
        <f ca="1"/>
        <v>175.48222691595029</v>
      </c>
      <c r="FB53">
        <f ca="1"/>
        <v>175.48222691595029</v>
      </c>
      <c r="FC53">
        <f ca="1"/>
        <v>175.48222691595029</v>
      </c>
      <c r="FD53">
        <f ca="1"/>
        <v>175.48222691595029</v>
      </c>
      <c r="FE53">
        <f ca="1"/>
        <v>175.48222691595029</v>
      </c>
      <c r="FF53">
        <f ca="1"/>
        <v>189.52080506922636</v>
      </c>
      <c r="FG53">
        <f ca="1"/>
        <v>189.52080506922636</v>
      </c>
      <c r="FH53">
        <f ca="1"/>
        <v>189.52080506922636</v>
      </c>
      <c r="FI53">
        <f ca="1"/>
        <v>189.52080506922636</v>
      </c>
      <c r="FJ53">
        <f ca="1"/>
        <v>189.52080506922636</v>
      </c>
      <c r="FK53">
        <f ca="1"/>
        <v>189.52080506922636</v>
      </c>
      <c r="FL53">
        <f ca="1"/>
        <v>189.52080506922636</v>
      </c>
      <c r="FM53">
        <f ca="1"/>
        <v>189.52080506922636</v>
      </c>
      <c r="FN53">
        <f ca="1"/>
        <v>189.52080506922636</v>
      </c>
      <c r="FO53">
        <f ca="1"/>
        <v>189.52080506922636</v>
      </c>
      <c r="FP53">
        <f ca="1"/>
        <v>189.52080506922636</v>
      </c>
      <c r="FQ53">
        <f ca="1"/>
        <v>189.52080506922636</v>
      </c>
      <c r="FR53">
        <f ca="1"/>
        <v>204.68246947476447</v>
      </c>
      <c r="FS53">
        <f ca="1"/>
        <v>204.68246947476447</v>
      </c>
      <c r="FT53">
        <f ca="1"/>
        <v>204.68246947476447</v>
      </c>
      <c r="FU53">
        <f ca="1"/>
        <v>204.68246947476447</v>
      </c>
      <c r="FV53">
        <f ca="1"/>
        <v>204.68246947476447</v>
      </c>
      <c r="FW53">
        <f ca="1"/>
        <v>204.68246947476447</v>
      </c>
      <c r="FX53">
        <f ca="1"/>
        <v>204.68246947476447</v>
      </c>
      <c r="FY53">
        <f ca="1"/>
        <v>204.68246947476447</v>
      </c>
      <c r="FZ53">
        <f ca="1"/>
        <v>204.68246947476447</v>
      </c>
      <c r="GA53">
        <f ca="1"/>
        <v>204.68246947476447</v>
      </c>
      <c r="GB53">
        <f ca="1"/>
        <v>204.68246947476447</v>
      </c>
      <c r="GC53">
        <f ca="1"/>
        <v>204.68246947476447</v>
      </c>
      <c r="GD53">
        <f ca="1"/>
        <v>221.05706703274564</v>
      </c>
      <c r="GE53">
        <f ca="1"/>
        <v>221.05706703274564</v>
      </c>
      <c r="GF53">
        <f ca="1"/>
        <v>221.05706703274564</v>
      </c>
      <c r="GG53">
        <f ca="1"/>
        <v>221.05706703274564</v>
      </c>
      <c r="GH53">
        <f ca="1"/>
        <v>221.05706703274564</v>
      </c>
      <c r="GI53">
        <f ca="1"/>
        <v>221.05706703274564</v>
      </c>
      <c r="GJ53">
        <f ca="1"/>
        <v>221.05706703274564</v>
      </c>
      <c r="GK53">
        <f ca="1"/>
        <v>221.05706703274564</v>
      </c>
      <c r="GL53">
        <f ca="1"/>
        <v>221.05706703274564</v>
      </c>
      <c r="GM53">
        <f ca="1"/>
        <v>221.05706703274564</v>
      </c>
      <c r="GN53">
        <f ca="1"/>
        <v>221.05706703274564</v>
      </c>
      <c r="GO53">
        <f ca="1"/>
        <v>221.05706703274564</v>
      </c>
      <c r="GP53">
        <f ca="1"/>
        <v>238.74163239536529</v>
      </c>
      <c r="GQ53">
        <f ca="1"/>
        <v>238.74163239536529</v>
      </c>
      <c r="GR53">
        <f ca="1"/>
        <v>238.74163239536529</v>
      </c>
      <c r="GS53">
        <f ca="1"/>
        <v>238.74163239536529</v>
      </c>
      <c r="GT53">
        <f ca="1"/>
        <v>238.74163239536529</v>
      </c>
      <c r="GU53">
        <f ca="1"/>
        <v>238.74163239536529</v>
      </c>
      <c r="GV53">
        <f ca="1"/>
        <v>238.74163239536529</v>
      </c>
      <c r="GW53">
        <f ca="1"/>
        <v>238.74163239536529</v>
      </c>
      <c r="GX53">
        <f ca="1"/>
        <v>238.74163239536529</v>
      </c>
      <c r="GY53">
        <f ca="1"/>
        <v>238.74163239536529</v>
      </c>
      <c r="GZ53">
        <f ca="1"/>
        <v>238.74163239536529</v>
      </c>
      <c r="HA53">
        <f ca="1"/>
        <v>238.74163239536529</v>
      </c>
      <c r="HB53">
        <f ca="1"/>
        <v>257.84096298699455</v>
      </c>
      <c r="HC53">
        <f ca="1"/>
        <v>257.84096298699455</v>
      </c>
      <c r="HD53">
        <f ca="1"/>
        <v>257.84096298699455</v>
      </c>
      <c r="HE53">
        <f ca="1"/>
        <v>257.84096298699455</v>
      </c>
      <c r="HF53">
        <f ca="1"/>
        <v>257.84096298699455</v>
      </c>
      <c r="HG53">
        <f ca="1"/>
        <v>257.84096298699455</v>
      </c>
      <c r="HH53">
        <f ca="1"/>
        <v>257.84096298699455</v>
      </c>
      <c r="HI53">
        <f ca="1"/>
        <v>257.84096298699455</v>
      </c>
      <c r="HJ53">
        <f ca="1"/>
        <v>257.84096298699455</v>
      </c>
      <c r="HK53">
        <f ca="1"/>
        <v>257.84096298699455</v>
      </c>
      <c r="HL53">
        <f ca="1"/>
        <v>257.84096298699455</v>
      </c>
      <c r="HM53">
        <f ca="1"/>
        <v>257.84096298699455</v>
      </c>
      <c r="HN53">
        <f ca="1"/>
        <v>278.46824002595412</v>
      </c>
      <c r="HO53">
        <f ca="1"/>
        <v>278.46824002595412</v>
      </c>
      <c r="HP53">
        <f ca="1"/>
        <v>278.46824002595412</v>
      </c>
      <c r="HQ53">
        <f ca="1"/>
        <v>278.46824002595412</v>
      </c>
      <c r="HR53">
        <f ca="1"/>
        <v>278.46824002595412</v>
      </c>
      <c r="HS53">
        <f ca="1"/>
        <v>278.46824002595412</v>
      </c>
      <c r="HT53">
        <f ca="1"/>
        <v>278.46824002595412</v>
      </c>
      <c r="HU53">
        <f ca="1"/>
        <v>278.46824002595412</v>
      </c>
      <c r="HV53">
        <f ca="1"/>
        <v>278.46824002595412</v>
      </c>
      <c r="HW53">
        <f ca="1"/>
        <v>278.46824002595412</v>
      </c>
      <c r="HX53">
        <f ca="1"/>
        <v>278.46824002595412</v>
      </c>
      <c r="HY53">
        <f ca="1"/>
        <v>278.46824002595412</v>
      </c>
      <c r="HZ53">
        <f ca="1"/>
        <v>300.74569922803045</v>
      </c>
      <c r="IA53">
        <f ca="1"/>
        <v>300.74569922803045</v>
      </c>
      <c r="IB53">
        <f ca="1"/>
        <v>300.74569922803045</v>
      </c>
      <c r="IC53">
        <f ca="1"/>
        <v>300.74569922803045</v>
      </c>
      <c r="ID53">
        <f ca="1"/>
        <v>300.74569922803045</v>
      </c>
      <c r="IE53">
        <f ca="1"/>
        <v>300.74569922803045</v>
      </c>
      <c r="IF53">
        <f ca="1"/>
        <v>300.74569922803045</v>
      </c>
      <c r="IG53">
        <f ca="1"/>
        <v>300.74569922803045</v>
      </c>
      <c r="IH53">
        <f ca="1"/>
        <v>300.74569922803045</v>
      </c>
      <c r="II53">
        <f ca="1"/>
        <v>300.74569922803045</v>
      </c>
      <c r="IJ53">
        <f ca="1"/>
        <v>300.74569922803045</v>
      </c>
      <c r="IK53">
        <f ca="1"/>
        <v>300.74569922803045</v>
      </c>
      <c r="IL53">
        <f ca="1"/>
        <v>324.80535516627299</v>
      </c>
      <c r="IM53">
        <f ca="1"/>
        <v>324.80535516627299</v>
      </c>
      <c r="IN53">
        <f ca="1"/>
        <v>324.80535516627299</v>
      </c>
      <c r="IO53">
        <f ca="1"/>
        <v>324.80535516627299</v>
      </c>
      <c r="IP53">
        <f ca="1"/>
        <v>324.80535516627299</v>
      </c>
      <c r="IQ53">
        <f ca="1"/>
        <v>324.80535516627299</v>
      </c>
      <c r="IR53">
        <f ca="1"/>
        <v>324.80535516627299</v>
      </c>
      <c r="IS53">
        <f ca="1"/>
        <v>324.80535516627299</v>
      </c>
      <c r="IT53">
        <f ca="1"/>
        <v>324.80535516627299</v>
      </c>
      <c r="IU53">
        <f ca="1"/>
        <v>324.80535516627299</v>
      </c>
      <c r="IV53">
        <f ca="1"/>
        <v>324.80535516627299</v>
      </c>
      <c r="IW53">
        <f ca="1"/>
        <v>324.80535516627299</v>
      </c>
      <c r="IX53">
        <f ca="1"/>
        <v>350.78978357957487</v>
      </c>
      <c r="IY53">
        <f ca="1"/>
        <v>350.78978357957487</v>
      </c>
      <c r="IZ53">
        <f ca="1"/>
        <v>350.78978357957487</v>
      </c>
      <c r="JA53">
        <f ca="1"/>
        <v>350.78978357957487</v>
      </c>
      <c r="JB53">
        <f ca="1"/>
        <v>350.78978357957487</v>
      </c>
      <c r="JC53">
        <f ca="1"/>
        <v>350.78978357957487</v>
      </c>
      <c r="JD53">
        <f ca="1"/>
        <v>350.78978357957487</v>
      </c>
      <c r="JE53">
        <f ca="1"/>
        <v>350.78978357957487</v>
      </c>
      <c r="JF53">
        <f ca="1"/>
        <v>350.78978357957487</v>
      </c>
      <c r="JG53">
        <f ca="1"/>
        <v>350.78978357957487</v>
      </c>
      <c r="JH53">
        <f ca="1"/>
        <v>350.78978357957487</v>
      </c>
      <c r="JI53">
        <f ca="1"/>
        <v>350.78978357957487</v>
      </c>
      <c r="JJ53">
        <f ca="1"/>
        <v>378.85296626594084</v>
      </c>
      <c r="JK53">
        <f ca="1"/>
        <v>378.85296626594084</v>
      </c>
      <c r="JL53">
        <f ca="1"/>
        <v>378.85296626594084</v>
      </c>
      <c r="JM53">
        <f ca="1"/>
        <v>378.85296626594084</v>
      </c>
      <c r="JN53">
        <f ca="1"/>
        <v>378.85296626594084</v>
      </c>
      <c r="JO53">
        <f ca="1"/>
        <v>378.85296626594084</v>
      </c>
      <c r="JP53">
        <f ca="1"/>
        <v>378.85296626594084</v>
      </c>
      <c r="JQ53">
        <f ca="1"/>
        <v>378.85296626594084</v>
      </c>
      <c r="JR53">
        <f ca="1"/>
        <v>378.85296626594084</v>
      </c>
      <c r="JS53">
        <f ca="1"/>
        <v>378.85296626594084</v>
      </c>
      <c r="JT53">
        <f ca="1"/>
        <v>378.85296626594084</v>
      </c>
      <c r="JU53">
        <f ca="1"/>
        <v>378.85296626594084</v>
      </c>
      <c r="JV53">
        <f ca="1"/>
        <v>409.16120356721615</v>
      </c>
      <c r="JW53">
        <f ca="1"/>
        <v>409.16120356721615</v>
      </c>
      <c r="JX53">
        <f ca="1"/>
        <v>409.16120356721615</v>
      </c>
      <c r="JY53">
        <f ca="1"/>
        <v>409.16120356721615</v>
      </c>
      <c r="JZ53">
        <f ca="1"/>
        <v>409.16120356721615</v>
      </c>
      <c r="KA53">
        <f ca="1"/>
        <v>409.16120356721615</v>
      </c>
      <c r="KB53">
        <f ca="1"/>
        <v>409.16120356721615</v>
      </c>
      <c r="KC53">
        <f ca="1"/>
        <v>409.16120356721615</v>
      </c>
      <c r="KD53">
        <f ca="1"/>
        <v>409.16120356721615</v>
      </c>
      <c r="KE53">
        <f ca="1"/>
        <v>409.16120356721615</v>
      </c>
      <c r="KF53">
        <f ca="1"/>
        <v>409.16120356721615</v>
      </c>
      <c r="KG53">
        <f ca="1"/>
        <v>409.16120356721615</v>
      </c>
      <c r="KH53">
        <f ca="1"/>
        <v>441.89409985259351</v>
      </c>
      <c r="KI53">
        <f ca="1"/>
        <v>441.89409985259351</v>
      </c>
      <c r="KJ53">
        <f ca="1"/>
        <v>441.89409985259351</v>
      </c>
      <c r="KK53">
        <f ca="1"/>
        <v>441.89409985259351</v>
      </c>
      <c r="KL53">
        <f ca="1"/>
        <v>441.89409985259351</v>
      </c>
      <c r="KM53">
        <f ca="1"/>
        <v>441.89409985259351</v>
      </c>
      <c r="KN53">
        <f ca="1"/>
        <v>441.89409985259351</v>
      </c>
      <c r="KO53">
        <f ca="1"/>
        <v>441.89409985259351</v>
      </c>
      <c r="KP53">
        <f ca="1"/>
        <v>441.89409985259351</v>
      </c>
      <c r="KQ53">
        <f ca="1"/>
        <v>441.89409985259351</v>
      </c>
      <c r="KR53">
        <f ca="1"/>
        <v>441.89409985259351</v>
      </c>
      <c r="KS53">
        <f ca="1"/>
        <v>441.89409985259351</v>
      </c>
      <c r="KT53">
        <f ca="1"/>
        <v>477.24562784080103</v>
      </c>
      <c r="KU53">
        <f ca="1"/>
        <v>477.24562784080103</v>
      </c>
      <c r="KV53">
        <f ca="1"/>
        <v>477.24562784080103</v>
      </c>
      <c r="KW53">
        <f ca="1"/>
        <v>477.24562784080103</v>
      </c>
      <c r="KX53">
        <f ca="1"/>
        <v>477.24562784080103</v>
      </c>
      <c r="KY53">
        <f ca="1"/>
        <v>477.24562784080103</v>
      </c>
      <c r="KZ53">
        <f ca="1"/>
        <v>477.24562784080103</v>
      </c>
      <c r="LA53">
        <f ca="1"/>
        <v>477.24562784080103</v>
      </c>
      <c r="LB53">
        <f ca="1"/>
        <v>477.24562784080103</v>
      </c>
      <c r="LC53">
        <f ca="1"/>
        <v>477.24562784080103</v>
      </c>
      <c r="LD53">
        <f ca="1"/>
        <v>477.24562784080103</v>
      </c>
      <c r="LE53">
        <f ca="1"/>
        <v>477.24562784080103</v>
      </c>
      <c r="LF53">
        <f ca="1"/>
        <v>515.42527806806515</v>
      </c>
      <c r="LG53">
        <f ca="1"/>
        <v>515.42527806806515</v>
      </c>
      <c r="LH53">
        <f ca="1"/>
        <v>515.42527806806515</v>
      </c>
      <c r="LI53">
        <f ca="1"/>
        <v>515.42527806806515</v>
      </c>
      <c r="LJ53">
        <f ca="1"/>
        <v>515.42527806806515</v>
      </c>
      <c r="LK53">
        <f ca="1"/>
        <v>515.42527806806515</v>
      </c>
      <c r="LL53">
        <f ca="1"/>
        <v>515.42527806806515</v>
      </c>
      <c r="LM53">
        <f ca="1"/>
        <v>515.42527806806515</v>
      </c>
      <c r="LN53">
        <f ca="1"/>
        <v>515.42527806806515</v>
      </c>
      <c r="LO53">
        <f ca="1"/>
        <v>515.42527806806515</v>
      </c>
      <c r="LP53">
        <f ca="1"/>
        <v>515.42527806806515</v>
      </c>
      <c r="LQ53">
        <f ca="1"/>
        <v>515.42527806806515</v>
      </c>
      <c r="LR53">
        <f ca="1"/>
        <v>556.65930031351036</v>
      </c>
      <c r="LS53">
        <f ca="1"/>
        <v>556.65930031351036</v>
      </c>
      <c r="LT53">
        <f ca="1"/>
        <v>556.65930031351036</v>
      </c>
      <c r="LU53">
        <f ca="1"/>
        <v>556.65930031351036</v>
      </c>
      <c r="LV53">
        <f ca="1"/>
        <v>556.65930031351036</v>
      </c>
      <c r="LW53">
        <f ca="1"/>
        <v>556.65930031351036</v>
      </c>
      <c r="LX53">
        <f ca="1"/>
        <v>556.65930031351036</v>
      </c>
      <c r="LY53">
        <f ca="1"/>
        <v>556.65930031351036</v>
      </c>
      <c r="LZ53">
        <f ca="1"/>
        <v>556.65930031351036</v>
      </c>
      <c r="MA53">
        <f ca="1"/>
        <v>556.65930031351036</v>
      </c>
      <c r="MB53">
        <f ca="1"/>
        <v>556.65930031351036</v>
      </c>
      <c r="MC53">
        <f ca="1"/>
        <v>556.65930031351036</v>
      </c>
      <c r="MD53">
        <f ca="1"/>
        <v>601.19204433859124</v>
      </c>
      <c r="ME53">
        <f ca="1"/>
        <v>601.19204433859124</v>
      </c>
      <c r="MF53">
        <f ca="1"/>
        <v>601.19204433859124</v>
      </c>
      <c r="MG53">
        <f ca="1"/>
        <v>601.19204433859124</v>
      </c>
      <c r="MH53">
        <f ca="1"/>
        <v>601.19204433859124</v>
      </c>
      <c r="MI53">
        <f ca="1"/>
        <v>601.19204433859124</v>
      </c>
      <c r="MJ53">
        <f ca="1"/>
        <v>601.19204433859124</v>
      </c>
      <c r="MK53">
        <f ca="1"/>
        <v>601.19204433859124</v>
      </c>
      <c r="ML53">
        <f ca="1"/>
        <v>601.19204433859124</v>
      </c>
      <c r="MM53">
        <f ca="1"/>
        <v>601.19204433859124</v>
      </c>
      <c r="MN53">
        <f ca="1"/>
        <v>601.19204433859124</v>
      </c>
      <c r="MO53">
        <f ca="1"/>
        <v>601.19204433859124</v>
      </c>
      <c r="MP53">
        <f ca="1"/>
        <v>649.28740788567848</v>
      </c>
      <c r="MQ53">
        <f ca="1"/>
        <v>649.28740788567848</v>
      </c>
      <c r="MR53">
        <f ca="1"/>
        <v>649.28740788567848</v>
      </c>
      <c r="MS53">
        <f ca="1"/>
        <v>649.28740788567848</v>
      </c>
      <c r="MT53">
        <f ca="1"/>
        <v>649.28740788567848</v>
      </c>
      <c r="MU53">
        <f ca="1"/>
        <v>649.28740788567848</v>
      </c>
      <c r="MV53">
        <f ca="1"/>
        <v>649.28740788567848</v>
      </c>
      <c r="MW53">
        <f ca="1"/>
        <v>649.28740788567848</v>
      </c>
      <c r="MX53">
        <f ca="1"/>
        <v>649.28740788567848</v>
      </c>
      <c r="MY53">
        <f ca="1"/>
        <v>649.28740788567848</v>
      </c>
      <c r="MZ53">
        <f ca="1"/>
        <v>649.28740788567848</v>
      </c>
      <c r="NA53">
        <f ca="1"/>
        <v>649.28740788567848</v>
      </c>
      <c r="NB53">
        <f ca="1"/>
        <v>701.230400516533</v>
      </c>
      <c r="NC53">
        <f ca="1"/>
        <v>701.230400516533</v>
      </c>
      <c r="ND53">
        <f ca="1"/>
        <v>701.230400516533</v>
      </c>
      <c r="NE53">
        <f ca="1"/>
        <v>701.230400516533</v>
      </c>
      <c r="NF53">
        <f ca="1"/>
        <v>701.230400516533</v>
      </c>
      <c r="NG53">
        <f ca="1"/>
        <v>701.230400516533</v>
      </c>
      <c r="NH53">
        <f ca="1"/>
        <v>701.230400516533</v>
      </c>
      <c r="NI53">
        <f ca="1"/>
        <v>701.230400516533</v>
      </c>
      <c r="NJ53">
        <f ca="1"/>
        <v>701.230400516533</v>
      </c>
      <c r="NK53">
        <f ca="1"/>
        <v>701.230400516533</v>
      </c>
      <c r="NL53">
        <f ca="1"/>
        <v>701.230400516533</v>
      </c>
      <c r="NM53">
        <f ca="1"/>
        <v>701.230400516533</v>
      </c>
      <c r="NN53">
        <f ca="1"/>
        <v>757.32883255785566</v>
      </c>
      <c r="NO53">
        <f ca="1"/>
        <v>757.32883255785566</v>
      </c>
      <c r="NP53">
        <f ca="1"/>
        <v>757.32883255785566</v>
      </c>
      <c r="NQ53">
        <f ca="1"/>
        <v>757.32883255785566</v>
      </c>
      <c r="NR53">
        <f ca="1"/>
        <v>757.32883255785566</v>
      </c>
      <c r="NS53">
        <f ca="1"/>
        <v>757.32883255785566</v>
      </c>
      <c r="NT53">
        <f ca="1"/>
        <v>757.32883255785566</v>
      </c>
      <c r="NU53">
        <f ca="1"/>
        <v>757.32883255785566</v>
      </c>
      <c r="NV53">
        <f ca="1"/>
        <v>757.32883255785566</v>
      </c>
      <c r="NW53">
        <f ca="1"/>
        <v>757.32883255785566</v>
      </c>
      <c r="NX53">
        <f ca="1"/>
        <v>757.32883255785566</v>
      </c>
      <c r="NY53">
        <f ca="1"/>
        <v>757.32883255785566</v>
      </c>
      <c r="NZ53">
        <f ca="1"/>
        <v>817.91513916248425</v>
      </c>
      <c r="OA53">
        <f ca="1"/>
        <v>817.91513916248425</v>
      </c>
      <c r="OB53">
        <f ca="1"/>
        <v>817.91513916248425</v>
      </c>
      <c r="OC53">
        <f ca="1"/>
        <v>817.91513916248425</v>
      </c>
      <c r="OD53">
        <f ca="1"/>
        <v>817.91513916248425</v>
      </c>
      <c r="OE53">
        <f ca="1"/>
        <v>817.91513916248425</v>
      </c>
      <c r="OF53">
        <f ca="1"/>
        <v>817.91513916248425</v>
      </c>
      <c r="OG53">
        <f ca="1"/>
        <v>817.91513916248425</v>
      </c>
      <c r="OH53">
        <f ca="1"/>
        <v>817.91513916248425</v>
      </c>
      <c r="OI53">
        <f ca="1"/>
        <v>817.91513916248425</v>
      </c>
      <c r="OJ53">
        <f ca="1"/>
        <v>817.91513916248425</v>
      </c>
      <c r="OK53">
        <f ca="1"/>
        <v>817.91513916248425</v>
      </c>
      <c r="OL53">
        <f ca="1"/>
        <v>883.34835029548299</v>
      </c>
      <c r="OM53">
        <f ca="1"/>
        <v>883.34835029548299</v>
      </c>
      <c r="ON53">
        <f ca="1"/>
        <v>883.34835029548299</v>
      </c>
      <c r="OO53">
        <f ca="1"/>
        <v>883.34835029548299</v>
      </c>
      <c r="OP53">
        <f ca="1"/>
        <v>883.34835029548299</v>
      </c>
      <c r="OQ53">
        <f ca="1"/>
        <v>883.34835029548299</v>
      </c>
      <c r="OR53">
        <f ca="1"/>
        <v>883.34835029548299</v>
      </c>
      <c r="OS53">
        <f ca="1"/>
        <v>883.34835029548299</v>
      </c>
      <c r="OT53">
        <f ca="1"/>
        <v>883.34835029548299</v>
      </c>
      <c r="OU53">
        <f ca="1"/>
        <v>883.34835029548299</v>
      </c>
      <c r="OV53">
        <f ca="1"/>
        <v>883.34835029548299</v>
      </c>
      <c r="OW53">
        <f ca="1"/>
        <v>883.34835029548299</v>
      </c>
      <c r="OX53">
        <f ca="1"/>
        <v>954.01621831912178</v>
      </c>
      <c r="OY53">
        <f ca="1"/>
        <v>954.01621831912178</v>
      </c>
      <c r="OZ53">
        <f ca="1"/>
        <v>954.01621831912178</v>
      </c>
      <c r="PA53">
        <f ca="1"/>
        <v>954.01621831912178</v>
      </c>
      <c r="PB53">
        <f ca="1"/>
        <v>954.01621831912178</v>
      </c>
      <c r="PC53">
        <f ca="1"/>
        <v>954.01621831912178</v>
      </c>
      <c r="PD53">
        <f ca="1"/>
        <v>954.01621831912178</v>
      </c>
      <c r="PE53">
        <f ca="1"/>
        <v>954.01621831912178</v>
      </c>
      <c r="PF53">
        <f ca="1"/>
        <v>954.01621831912178</v>
      </c>
      <c r="PG53">
        <f ca="1"/>
        <v>954.01621831912178</v>
      </c>
      <c r="PH53">
        <f ca="1"/>
        <v>954.01621831912178</v>
      </c>
      <c r="PI53">
        <f ca="1"/>
        <v>954.01621831912178</v>
      </c>
      <c r="PJ53">
        <f ca="1"/>
        <v>1030.3375157846515</v>
      </c>
      <c r="PK53">
        <f ca="1"/>
        <v>1030.3375157846515</v>
      </c>
      <c r="PL53">
        <f ca="1"/>
        <v>1030.3375157846515</v>
      </c>
      <c r="PM53">
        <f ca="1"/>
        <v>1030.3375157846515</v>
      </c>
      <c r="PN53">
        <f ca="1"/>
        <v>1030.3375157846515</v>
      </c>
      <c r="PO53">
        <f ca="1"/>
        <v>1030.3375157846515</v>
      </c>
      <c r="PP53">
        <f ca="1"/>
        <v>1030.3375157846515</v>
      </c>
      <c r="PQ53">
        <f ca="1"/>
        <v>1030.3375157846515</v>
      </c>
      <c r="PR53">
        <f ca="1"/>
        <v>1030.3375157846515</v>
      </c>
      <c r="PS53">
        <f ca="1"/>
        <v>1030.3375157846515</v>
      </c>
      <c r="PT53">
        <f ca="1"/>
        <v>1030.3375157846515</v>
      </c>
      <c r="PU53">
        <f ca="1"/>
        <v>1030.3375157846515</v>
      </c>
      <c r="PV53">
        <f ca="1"/>
        <v>1112.7645170474236</v>
      </c>
      <c r="PW53">
        <f ca="1"/>
        <v>1112.7645170474236</v>
      </c>
      <c r="PX53">
        <f ca="1"/>
        <v>1112.7645170474236</v>
      </c>
      <c r="PY53">
        <f ca="1"/>
        <v>1112.7645170474236</v>
      </c>
      <c r="PZ53">
        <f ca="1"/>
        <v>1112.7645170474236</v>
      </c>
      <c r="QA53">
        <f ca="1"/>
        <v>1112.7645170474236</v>
      </c>
      <c r="QB53">
        <f ca="1"/>
        <v>1112.7645170474236</v>
      </c>
      <c r="QC53">
        <f ca="1"/>
        <v>1112.7645170474236</v>
      </c>
      <c r="QD53">
        <f ca="1"/>
        <v>1112.7645170474236</v>
      </c>
      <c r="QE53">
        <f ca="1"/>
        <v>1112.7645170474236</v>
      </c>
      <c r="QF53">
        <f ca="1"/>
        <v>1112.7645170474236</v>
      </c>
      <c r="QG53">
        <f ca="1"/>
        <v>1112.7645170474236</v>
      </c>
      <c r="QH53">
        <f ca="1"/>
        <v>1201.7856784112178</v>
      </c>
      <c r="QI53">
        <f ca="1"/>
        <v>1201.7856784112178</v>
      </c>
      <c r="QJ53">
        <f ca="1"/>
        <v>1201.7856784112178</v>
      </c>
      <c r="QK53">
        <f ca="1"/>
        <v>1201.7856784112178</v>
      </c>
      <c r="QL53">
        <f ca="1"/>
        <v>1201.7856784112178</v>
      </c>
      <c r="QM53">
        <f ca="1"/>
        <v>1201.7856784112178</v>
      </c>
      <c r="QN53">
        <f ca="1"/>
        <v>1201.7856784112178</v>
      </c>
      <c r="QO53">
        <f ca="1"/>
        <v>1201.7856784112178</v>
      </c>
      <c r="QP53">
        <f ca="1"/>
        <v>1201.7856784112178</v>
      </c>
      <c r="QQ53">
        <f ca="1"/>
        <v>1201.7856784112178</v>
      </c>
      <c r="QR53">
        <f ca="1"/>
        <v>1201.7856784112178</v>
      </c>
      <c r="QS53">
        <f ca="1"/>
        <v>1201.7856784112178</v>
      </c>
      <c r="QT53">
        <f ca="1"/>
        <v>1297.9285326841152</v>
      </c>
      <c r="QU53">
        <f ca="1"/>
        <v>1297.9285326841152</v>
      </c>
      <c r="QV53">
        <f ca="1"/>
        <v>1297.9285326841152</v>
      </c>
      <c r="QW53">
        <f ca="1"/>
        <v>1297.9285326841152</v>
      </c>
      <c r="QX53">
        <f ca="1"/>
        <v>1297.9285326841152</v>
      </c>
      <c r="QY53">
        <f ca="1"/>
        <v>1297.9285326841152</v>
      </c>
      <c r="QZ53">
        <f ca="1"/>
        <v>1297.9285326841152</v>
      </c>
      <c r="RA53">
        <f ca="1"/>
        <v>1297.9285326841152</v>
      </c>
      <c r="RB53">
        <f ca="1"/>
        <v>1297.9285326841152</v>
      </c>
      <c r="RC53">
        <f ca="1"/>
        <v>1297.9285326841152</v>
      </c>
      <c r="RD53">
        <f ca="1"/>
        <v>1297.9285326841152</v>
      </c>
      <c r="RE53">
        <f ca="1"/>
        <v>1297.9285326841152</v>
      </c>
      <c r="RF53">
        <f ca="1"/>
        <v>1401.7628152988443</v>
      </c>
      <c r="RG53">
        <f ca="1"/>
        <v>1401.7628152988443</v>
      </c>
      <c r="RH53">
        <f ca="1"/>
        <v>1401.7628152988443</v>
      </c>
      <c r="RI53">
        <f ca="1"/>
        <v>1401.7628152988443</v>
      </c>
      <c r="RJ53">
        <f ca="1"/>
        <v>1401.7628152988443</v>
      </c>
      <c r="RK53">
        <f ca="1"/>
        <v>1401.7628152988443</v>
      </c>
      <c r="RL53">
        <f ca="1"/>
        <v>1401.7628152988443</v>
      </c>
      <c r="RM53">
        <f ca="1"/>
        <v>1401.7628152988443</v>
      </c>
      <c r="RN53">
        <f ca="1"/>
        <v>1401.7628152988443</v>
      </c>
      <c r="RO53">
        <f ca="1"/>
        <v>1401.7628152988443</v>
      </c>
      <c r="RP53">
        <f ca="1"/>
        <v>1401.7628152988443</v>
      </c>
      <c r="RQ53">
        <f ca="1"/>
        <v>1401.7628152988443</v>
      </c>
      <c r="RR53">
        <f ca="1"/>
        <v>1513.903840522752</v>
      </c>
      <c r="RS53">
        <f ca="1"/>
        <v>1513.903840522752</v>
      </c>
      <c r="RT53">
        <f ca="1"/>
        <v>1513.903840522752</v>
      </c>
      <c r="RU53">
        <f ca="1"/>
        <v>1513.903840522752</v>
      </c>
      <c r="RV53">
        <f ca="1"/>
        <v>1513.903840522752</v>
      </c>
      <c r="RW53">
        <f ca="1"/>
        <v>1513.903840522752</v>
      </c>
      <c r="RX53">
        <f ca="1"/>
        <v>1513.903840522752</v>
      </c>
      <c r="RY53">
        <f ca="1"/>
        <v>1513.903840522752</v>
      </c>
      <c r="RZ53">
        <f ca="1"/>
        <v>1513.903840522752</v>
      </c>
    </row>
    <row r="62" spans="1:494" x14ac:dyDescent="0.3">
      <c r="O62" t="s">
        <v>531</v>
      </c>
    </row>
    <row r="63" spans="1:494" x14ac:dyDescent="0.3">
      <c r="H63" t="s">
        <v>521</v>
      </c>
      <c r="O63" t="s">
        <v>532</v>
      </c>
    </row>
    <row r="64" spans="1:494" x14ac:dyDescent="0.3">
      <c r="H64" s="343" t="s">
        <v>522</v>
      </c>
      <c r="O64" t="s">
        <v>533</v>
      </c>
    </row>
    <row r="65" spans="6:15" x14ac:dyDescent="0.3">
      <c r="H65" s="343" t="s">
        <v>523</v>
      </c>
    </row>
    <row r="67" spans="6:15" x14ac:dyDescent="0.3">
      <c r="O67" t="s">
        <v>524</v>
      </c>
    </row>
    <row r="68" spans="6:15" x14ac:dyDescent="0.3">
      <c r="O68" t="s">
        <v>525</v>
      </c>
    </row>
    <row r="69" spans="6:15" x14ac:dyDescent="0.3">
      <c r="H69" t="s">
        <v>513</v>
      </c>
      <c r="I69" t="s">
        <v>512</v>
      </c>
      <c r="J69" t="s">
        <v>511</v>
      </c>
      <c r="K69" t="s">
        <v>516</v>
      </c>
      <c r="O69" t="s">
        <v>526</v>
      </c>
    </row>
    <row r="70" spans="6:15" x14ac:dyDescent="0.3">
      <c r="F70" t="s">
        <v>517</v>
      </c>
      <c r="G70" s="4"/>
      <c r="H70" s="4">
        <v>2.52E-2</v>
      </c>
      <c r="I70" s="4">
        <v>1.6299999999999999E-2</v>
      </c>
      <c r="O70" t="s">
        <v>527</v>
      </c>
    </row>
    <row r="71" spans="6:15" x14ac:dyDescent="0.3">
      <c r="F71" t="s">
        <v>518</v>
      </c>
      <c r="G71" s="4"/>
      <c r="H71" s="4">
        <v>3.2300000000000002E-2</v>
      </c>
      <c r="I71" s="4">
        <v>2.5499999999999998E-2</v>
      </c>
      <c r="O71" t="s">
        <v>529</v>
      </c>
    </row>
    <row r="72" spans="6:15" x14ac:dyDescent="0.3">
      <c r="F72" t="s">
        <v>514</v>
      </c>
      <c r="H72">
        <v>41.224600000000002</v>
      </c>
      <c r="I72">
        <v>41.726300000000002</v>
      </c>
      <c r="J72">
        <v>42.168999999999997</v>
      </c>
      <c r="O72" t="s">
        <v>528</v>
      </c>
    </row>
    <row r="73" spans="6:15" x14ac:dyDescent="0.3">
      <c r="F73" t="s">
        <v>515</v>
      </c>
      <c r="H73">
        <v>48.338000000000001</v>
      </c>
      <c r="I73">
        <v>48.603200000000001</v>
      </c>
      <c r="J73">
        <v>48.747399999999999</v>
      </c>
      <c r="O73" t="s">
        <v>530</v>
      </c>
    </row>
    <row r="75" spans="6:15" x14ac:dyDescent="0.3">
      <c r="F75" t="s">
        <v>52</v>
      </c>
      <c r="I75" s="340">
        <v>238.24</v>
      </c>
      <c r="J75" s="340">
        <f>I75*(0.25*(1+H70) + 0.15*(1+H71) + 0.3*I72/H72 + 0.3*I73/H73)</f>
        <v>242.15711478687913</v>
      </c>
      <c r="K75" s="340">
        <f>J75*(0.25*(1+I70) + 0.15*(1+I71) + 0.3*J72/I72 + 0.3*J73/I73)</f>
        <v>245.05644969502637</v>
      </c>
    </row>
    <row r="81" spans="1:1" x14ac:dyDescent="0.3">
      <c r="A81" t="s">
        <v>519</v>
      </c>
    </row>
  </sheetData>
  <pageMargins left="0.7" right="0.7" top="0.75" bottom="0.75" header="0.3" footer="0.3"/>
  <drawing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FA8662B-198F-441A-94E3-0B06E7C31A2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Çalışma Sayfaları</vt:lpstr>
      </vt:variant>
      <vt:variant>
        <vt:i4>7</vt:i4>
      </vt:variant>
    </vt:vector>
  </HeadingPairs>
  <TitlesOfParts>
    <vt:vector size="7" baseType="lpstr">
      <vt:lpstr>Fizibilite</vt:lpstr>
      <vt:lpstr>GES</vt:lpstr>
      <vt:lpstr>DATA-&gt;&gt;&gt;</vt:lpstr>
      <vt:lpstr>TEİAŞ</vt:lpstr>
      <vt:lpstr>Water Properties</vt:lpstr>
      <vt:lpstr>Sorgu1</vt:lpstr>
      <vt:lpstr>Macro Data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Mustafa Çağatay Sipahioğlu</dc:creator>
  <cp:lastModifiedBy>Mustafa Çağatay Sipahioğlu</cp:lastModifiedBy>
  <dcterms:created xsi:type="dcterms:W3CDTF">2015-06-05T18:19:34Z</dcterms:created>
  <dcterms:modified xsi:type="dcterms:W3CDTF">2025-12-02T12:10:57Z</dcterms:modified>
</cp:coreProperties>
</file>